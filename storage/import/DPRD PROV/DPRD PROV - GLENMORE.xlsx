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EXCEL PEMILU 2024\GLENMORE\"/>
    </mc:Choice>
  </mc:AlternateContent>
  <xr:revisionPtr revIDLastSave="0" documentId="13_ncr:1_{A0D96C48-558D-4036-81D8-34B2EECCD140}" xr6:coauthVersionLast="47" xr6:coauthVersionMax="47" xr10:uidLastSave="{00000000-0000-0000-0000-000000000000}"/>
  <bookViews>
    <workbookView xWindow="0" yWindow="6022" windowWidth="21600" windowHeight="6668" tabRatio="810" activeTab="3" xr2:uid="{F263E089-6C93-4E6F-AA5B-BD89F8333161}"/>
  </bookViews>
  <sheets>
    <sheet name="DPRD PROVINSI" sheetId="1" r:id="rId1"/>
    <sheet name="BUMIHARJO" sheetId="9" r:id="rId2"/>
    <sheet name="KARANGHARJO" sheetId="10" r:id="rId3"/>
    <sheet name="MARGOMULYO" sheetId="11" r:id="rId4"/>
    <sheet name="SEPANJANG" sheetId="15" r:id="rId5"/>
    <sheet name="SUMBERGONDO" sheetId="16" r:id="rId6"/>
    <sheet name="TEGALHARJO" sheetId="17" r:id="rId7"/>
    <sheet name="TULUNGREJO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8" i="11" l="1"/>
  <c r="S257" i="11"/>
  <c r="S256" i="11"/>
  <c r="S255" i="11"/>
  <c r="S254" i="11"/>
  <c r="S253" i="11"/>
  <c r="S252" i="11"/>
  <c r="S251" i="11"/>
  <c r="S250" i="11"/>
  <c r="S249" i="11"/>
  <c r="S259" i="11" s="1"/>
  <c r="S234" i="11"/>
  <c r="S233" i="11"/>
  <c r="S232" i="11"/>
  <c r="S231" i="11"/>
  <c r="S230" i="11"/>
  <c r="S229" i="11"/>
  <c r="S228" i="11"/>
  <c r="S227" i="11"/>
  <c r="S226" i="11"/>
  <c r="S225" i="11"/>
  <c r="S222" i="11"/>
  <c r="S221" i="11"/>
  <c r="S220" i="11"/>
  <c r="S219" i="11"/>
  <c r="S218" i="11"/>
  <c r="S217" i="11"/>
  <c r="S216" i="11"/>
  <c r="S215" i="11"/>
  <c r="S214" i="11"/>
  <c r="S213" i="11"/>
  <c r="S223" i="11" s="1"/>
  <c r="S174" i="11"/>
  <c r="S173" i="11"/>
  <c r="S172" i="11"/>
  <c r="S171" i="11"/>
  <c r="S170" i="11"/>
  <c r="S169" i="11"/>
  <c r="S168" i="11"/>
  <c r="S167" i="11"/>
  <c r="S166" i="11"/>
  <c r="S165" i="11"/>
  <c r="S175" i="11" s="1"/>
  <c r="S162" i="11"/>
  <c r="S161" i="11"/>
  <c r="S160" i="11"/>
  <c r="S159" i="11"/>
  <c r="S158" i="11"/>
  <c r="S157" i="11"/>
  <c r="S156" i="11"/>
  <c r="S155" i="11"/>
  <c r="S154" i="11"/>
  <c r="S153" i="11"/>
  <c r="S150" i="11"/>
  <c r="S149" i="11"/>
  <c r="S148" i="11"/>
  <c r="S147" i="11"/>
  <c r="S146" i="11"/>
  <c r="S145" i="11"/>
  <c r="S144" i="11"/>
  <c r="S143" i="11"/>
  <c r="S142" i="11"/>
  <c r="S141" i="11"/>
  <c r="S138" i="11"/>
  <c r="S137" i="11"/>
  <c r="S136" i="11"/>
  <c r="S135" i="11"/>
  <c r="S134" i="11"/>
  <c r="S133" i="11"/>
  <c r="S132" i="11"/>
  <c r="S131" i="11"/>
  <c r="S130" i="11"/>
  <c r="S129" i="11"/>
  <c r="S126" i="11"/>
  <c r="S125" i="11"/>
  <c r="S124" i="11"/>
  <c r="S123" i="11"/>
  <c r="S122" i="11"/>
  <c r="S121" i="11"/>
  <c r="S120" i="11"/>
  <c r="S119" i="11"/>
  <c r="S118" i="11"/>
  <c r="S117" i="11"/>
  <c r="S114" i="11"/>
  <c r="S113" i="11"/>
  <c r="S112" i="11"/>
  <c r="S111" i="11"/>
  <c r="S110" i="11"/>
  <c r="S109" i="11"/>
  <c r="S108" i="11"/>
  <c r="S107" i="11"/>
  <c r="S106" i="11"/>
  <c r="S105" i="11"/>
  <c r="S102" i="11"/>
  <c r="S101" i="11"/>
  <c r="S100" i="11"/>
  <c r="S99" i="11"/>
  <c r="S98" i="11"/>
  <c r="S97" i="11"/>
  <c r="S96" i="11"/>
  <c r="S95" i="11"/>
  <c r="S94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AE162" i="9"/>
  <c r="AE161" i="9"/>
  <c r="AE160" i="9"/>
  <c r="AE159" i="9"/>
  <c r="AE158" i="9"/>
  <c r="AE157" i="9"/>
  <c r="AE156" i="9"/>
  <c r="AE155" i="9"/>
  <c r="AE154" i="9"/>
  <c r="AE153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AD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AD151" i="9"/>
  <c r="AC151" i="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AB162" i="16"/>
  <c r="AB161" i="16"/>
  <c r="AB160" i="16"/>
  <c r="AB159" i="16"/>
  <c r="AB158" i="16"/>
  <c r="AB157" i="16"/>
  <c r="AB156" i="16"/>
  <c r="AB155" i="16"/>
  <c r="AB154" i="16"/>
  <c r="AB153" i="16"/>
  <c r="AA259" i="16"/>
  <c r="Z259" i="16"/>
  <c r="Y259" i="16"/>
  <c r="X259" i="16"/>
  <c r="W259" i="16"/>
  <c r="V259" i="16"/>
  <c r="U259" i="16"/>
  <c r="T259" i="16"/>
  <c r="S259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AA247" i="16"/>
  <c r="Z247" i="16"/>
  <c r="Y247" i="16"/>
  <c r="X247" i="16"/>
  <c r="W247" i="16"/>
  <c r="V247" i="16"/>
  <c r="U247" i="16"/>
  <c r="T247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AA223" i="16"/>
  <c r="Z223" i="16"/>
  <c r="Y223" i="16"/>
  <c r="X223" i="16"/>
  <c r="W223" i="16"/>
  <c r="V223" i="16"/>
  <c r="U223" i="16"/>
  <c r="T223" i="16"/>
  <c r="S223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AA211" i="16"/>
  <c r="Z211" i="16"/>
  <c r="Y211" i="16"/>
  <c r="X211" i="16"/>
  <c r="W211" i="16"/>
  <c r="V211" i="16"/>
  <c r="U211" i="16"/>
  <c r="T211" i="16"/>
  <c r="S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AA199" i="16"/>
  <c r="Z199" i="16"/>
  <c r="Y199" i="16"/>
  <c r="X199" i="16"/>
  <c r="W199" i="16"/>
  <c r="V199" i="16"/>
  <c r="U199" i="16"/>
  <c r="T199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AA187" i="16"/>
  <c r="Z187" i="16"/>
  <c r="Y187" i="16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AA175" i="16"/>
  <c r="Z175" i="16"/>
  <c r="Y175" i="16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AA163" i="16"/>
  <c r="Z163" i="16"/>
  <c r="Y163" i="16"/>
  <c r="X163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AA151" i="16"/>
  <c r="Z151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AA91" i="16"/>
  <c r="Z91" i="16"/>
  <c r="Y91" i="16"/>
  <c r="X91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AB67" i="16"/>
  <c r="AA67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BJ199" i="3"/>
  <c r="BL162" i="3"/>
  <c r="BL161" i="3"/>
  <c r="BL160" i="3"/>
  <c r="BL159" i="3"/>
  <c r="BL158" i="3"/>
  <c r="BL157" i="3"/>
  <c r="BL156" i="3"/>
  <c r="BL155" i="3"/>
  <c r="BL154" i="3"/>
  <c r="BL153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BK247" i="3"/>
  <c r="BJ247" i="3"/>
  <c r="BI247" i="3"/>
  <c r="BH247" i="3"/>
  <c r="BG247" i="3"/>
  <c r="BF247" i="3"/>
  <c r="BE247" i="3"/>
  <c r="BD247" i="3"/>
  <c r="BC247" i="3"/>
  <c r="BB247" i="3"/>
  <c r="BA247" i="3"/>
  <c r="AZ247" i="3"/>
  <c r="AY247" i="3"/>
  <c r="AX247" i="3"/>
  <c r="AW247" i="3"/>
  <c r="AV247" i="3"/>
  <c r="AU247" i="3"/>
  <c r="AT247" i="3"/>
  <c r="AS247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BK235" i="3"/>
  <c r="BJ235" i="3"/>
  <c r="BI235" i="3"/>
  <c r="BH235" i="3"/>
  <c r="BG235" i="3"/>
  <c r="BF235" i="3"/>
  <c r="BE235" i="3"/>
  <c r="BD235" i="3"/>
  <c r="BC235" i="3"/>
  <c r="BB235" i="3"/>
  <c r="BA235" i="3"/>
  <c r="AZ235" i="3"/>
  <c r="AY235" i="3"/>
  <c r="AX235" i="3"/>
  <c r="AW235" i="3"/>
  <c r="AV235" i="3"/>
  <c r="AU235" i="3"/>
  <c r="AT235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BK223" i="3"/>
  <c r="BJ223" i="3"/>
  <c r="BI223" i="3"/>
  <c r="BH223" i="3"/>
  <c r="BG223" i="3"/>
  <c r="BF223" i="3"/>
  <c r="BE223" i="3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BK211" i="3"/>
  <c r="BJ211" i="3"/>
  <c r="BI211" i="3"/>
  <c r="BH211" i="3"/>
  <c r="BG211" i="3"/>
  <c r="BF211" i="3"/>
  <c r="BE211" i="3"/>
  <c r="BD211" i="3"/>
  <c r="BC211" i="3"/>
  <c r="BB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BK199" i="3"/>
  <c r="BI199" i="3"/>
  <c r="BH199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BK187" i="3"/>
  <c r="BJ187" i="3"/>
  <c r="BI187" i="3"/>
  <c r="BH187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BK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BK163" i="3"/>
  <c r="BJ163" i="3"/>
  <c r="BI163" i="3"/>
  <c r="BH163" i="3"/>
  <c r="BG163" i="3"/>
  <c r="BF163" i="3"/>
  <c r="BE163" i="3"/>
  <c r="BD163" i="3"/>
  <c r="BC163" i="3"/>
  <c r="BB163" i="3"/>
  <c r="BA163" i="3"/>
  <c r="AZ163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BK151" i="3"/>
  <c r="BJ151" i="3"/>
  <c r="BI151" i="3"/>
  <c r="BH151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BK139" i="3"/>
  <c r="BJ139" i="3"/>
  <c r="BI139" i="3"/>
  <c r="BH139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BL47" i="3"/>
  <c r="BL48" i="3"/>
  <c r="BL49" i="3"/>
  <c r="BL50" i="3"/>
  <c r="BL51" i="3"/>
  <c r="BL52" i="3"/>
  <c r="BL53" i="3"/>
  <c r="BL54" i="3"/>
  <c r="BK160" i="10"/>
  <c r="BK159" i="10"/>
  <c r="BK158" i="10"/>
  <c r="BK157" i="10"/>
  <c r="BK156" i="10"/>
  <c r="BK155" i="10"/>
  <c r="BK154" i="10"/>
  <c r="BK153" i="10"/>
  <c r="BK79" i="10"/>
  <c r="BJ259" i="10"/>
  <c r="BI259" i="10"/>
  <c r="BH259" i="10"/>
  <c r="BG259" i="10"/>
  <c r="BF259" i="10"/>
  <c r="BE259" i="10"/>
  <c r="BD259" i="10"/>
  <c r="BC259" i="10"/>
  <c r="BB259" i="10"/>
  <c r="BA259" i="10"/>
  <c r="AZ259" i="10"/>
  <c r="AY259" i="10"/>
  <c r="AX259" i="10"/>
  <c r="AW259" i="10"/>
  <c r="AV259" i="10"/>
  <c r="AU259" i="10"/>
  <c r="AT259" i="10"/>
  <c r="AS259" i="10"/>
  <c r="AR259" i="10"/>
  <c r="AQ259" i="10"/>
  <c r="AP259" i="10"/>
  <c r="AO259" i="10"/>
  <c r="AN259" i="10"/>
  <c r="AM259" i="10"/>
  <c r="AL259" i="10"/>
  <c r="AK259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BJ247" i="10"/>
  <c r="BI247" i="10"/>
  <c r="BH247" i="10"/>
  <c r="BG247" i="10"/>
  <c r="BF247" i="10"/>
  <c r="BE247" i="10"/>
  <c r="BD247" i="10"/>
  <c r="BC247" i="10"/>
  <c r="BB247" i="10"/>
  <c r="BA247" i="10"/>
  <c r="AZ247" i="10"/>
  <c r="AY247" i="10"/>
  <c r="AX247" i="10"/>
  <c r="AW247" i="10"/>
  <c r="AV247" i="10"/>
  <c r="AU247" i="10"/>
  <c r="AT247" i="10"/>
  <c r="AS247" i="10"/>
  <c r="AR247" i="10"/>
  <c r="AQ247" i="10"/>
  <c r="AP247" i="10"/>
  <c r="AO247" i="10"/>
  <c r="AN247" i="10"/>
  <c r="AM247" i="10"/>
  <c r="AL247" i="10"/>
  <c r="AK247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BJ235" i="10"/>
  <c r="BI235" i="10"/>
  <c r="BH235" i="10"/>
  <c r="BG235" i="10"/>
  <c r="BF235" i="10"/>
  <c r="BE235" i="10"/>
  <c r="BD235" i="10"/>
  <c r="BC235" i="10"/>
  <c r="BB235" i="10"/>
  <c r="BA235" i="10"/>
  <c r="AZ235" i="10"/>
  <c r="AY235" i="10"/>
  <c r="AX235" i="10"/>
  <c r="AW235" i="10"/>
  <c r="AV235" i="10"/>
  <c r="AU235" i="10"/>
  <c r="AT235" i="10"/>
  <c r="AS235" i="10"/>
  <c r="AR235" i="10"/>
  <c r="AQ235" i="10"/>
  <c r="AP235" i="10"/>
  <c r="AO235" i="10"/>
  <c r="AN235" i="10"/>
  <c r="AM235" i="10"/>
  <c r="AL235" i="10"/>
  <c r="AK235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BJ223" i="10"/>
  <c r="BI223" i="10"/>
  <c r="BH223" i="10"/>
  <c r="BG223" i="10"/>
  <c r="BF223" i="10"/>
  <c r="BE223" i="10"/>
  <c r="BD223" i="10"/>
  <c r="BC223" i="10"/>
  <c r="BB223" i="10"/>
  <c r="BA223" i="10"/>
  <c r="AZ223" i="10"/>
  <c r="AY223" i="10"/>
  <c r="AX223" i="10"/>
  <c r="AW223" i="10"/>
  <c r="AV223" i="10"/>
  <c r="AU223" i="10"/>
  <c r="AT223" i="10"/>
  <c r="AS223" i="10"/>
  <c r="AR223" i="10"/>
  <c r="AQ223" i="10"/>
  <c r="AP223" i="10"/>
  <c r="AO223" i="10"/>
  <c r="AN223" i="10"/>
  <c r="AM223" i="10"/>
  <c r="AL223" i="10"/>
  <c r="AK223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BJ211" i="10"/>
  <c r="BI211" i="10"/>
  <c r="BH211" i="10"/>
  <c r="BG211" i="10"/>
  <c r="BF211" i="10"/>
  <c r="BE211" i="10"/>
  <c r="BD211" i="10"/>
  <c r="BC211" i="10"/>
  <c r="BB211" i="10"/>
  <c r="BA211" i="10"/>
  <c r="AZ211" i="10"/>
  <c r="AY211" i="10"/>
  <c r="AX211" i="10"/>
  <c r="AW211" i="10"/>
  <c r="AV211" i="10"/>
  <c r="AU211" i="10"/>
  <c r="AT211" i="10"/>
  <c r="AS211" i="10"/>
  <c r="AR211" i="10"/>
  <c r="AQ211" i="10"/>
  <c r="AP211" i="10"/>
  <c r="AO211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BJ199" i="10"/>
  <c r="BI199" i="10"/>
  <c r="BH199" i="10"/>
  <c r="BG199" i="10"/>
  <c r="BF199" i="10"/>
  <c r="BE199" i="10"/>
  <c r="BD199" i="10"/>
  <c r="BC199" i="10"/>
  <c r="BB199" i="10"/>
  <c r="BA199" i="10"/>
  <c r="AZ199" i="10"/>
  <c r="AY199" i="10"/>
  <c r="AX199" i="10"/>
  <c r="AW199" i="10"/>
  <c r="AV199" i="10"/>
  <c r="AU199" i="10"/>
  <c r="AT199" i="10"/>
  <c r="AS199" i="10"/>
  <c r="AR199" i="10"/>
  <c r="AQ199" i="10"/>
  <c r="AP199" i="10"/>
  <c r="AO199" i="10"/>
  <c r="AN199" i="10"/>
  <c r="AM199" i="10"/>
  <c r="AL199" i="10"/>
  <c r="AK199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BJ187" i="10"/>
  <c r="BI187" i="10"/>
  <c r="BH187" i="10"/>
  <c r="BG187" i="10"/>
  <c r="BF187" i="10"/>
  <c r="BE187" i="10"/>
  <c r="BD187" i="10"/>
  <c r="BC187" i="10"/>
  <c r="BB187" i="10"/>
  <c r="BA187" i="10"/>
  <c r="AZ187" i="10"/>
  <c r="AY187" i="10"/>
  <c r="AX187" i="10"/>
  <c r="AW187" i="10"/>
  <c r="AV187" i="10"/>
  <c r="AU187" i="10"/>
  <c r="AT187" i="10"/>
  <c r="AS187" i="10"/>
  <c r="AR187" i="10"/>
  <c r="AQ187" i="10"/>
  <c r="AP187" i="10"/>
  <c r="AO187" i="10"/>
  <c r="AN187" i="10"/>
  <c r="AM187" i="10"/>
  <c r="AL187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BJ175" i="10"/>
  <c r="BI175" i="10"/>
  <c r="BH175" i="10"/>
  <c r="BG175" i="10"/>
  <c r="BF175" i="10"/>
  <c r="BE175" i="10"/>
  <c r="BD175" i="10"/>
  <c r="BC175" i="10"/>
  <c r="BB175" i="10"/>
  <c r="BA175" i="10"/>
  <c r="AZ175" i="10"/>
  <c r="AY175" i="10"/>
  <c r="AX175" i="10"/>
  <c r="AW175" i="10"/>
  <c r="AV175" i="10"/>
  <c r="AU175" i="10"/>
  <c r="AT175" i="10"/>
  <c r="AS175" i="10"/>
  <c r="AR175" i="10"/>
  <c r="AQ175" i="10"/>
  <c r="AP175" i="10"/>
  <c r="AO175" i="10"/>
  <c r="AN175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BJ163" i="10"/>
  <c r="BI163" i="10"/>
  <c r="BH163" i="10"/>
  <c r="BG163" i="10"/>
  <c r="BF163" i="10"/>
  <c r="BE163" i="10"/>
  <c r="BD163" i="10"/>
  <c r="BC163" i="10"/>
  <c r="BB163" i="10"/>
  <c r="BA163" i="10"/>
  <c r="AZ163" i="10"/>
  <c r="AY163" i="10"/>
  <c r="AX163" i="10"/>
  <c r="AW163" i="10"/>
  <c r="AV163" i="10"/>
  <c r="AU163" i="10"/>
  <c r="AT163" i="10"/>
  <c r="AS163" i="10"/>
  <c r="AR163" i="10"/>
  <c r="AQ163" i="10"/>
  <c r="AP163" i="10"/>
  <c r="AO163" i="10"/>
  <c r="AN163" i="10"/>
  <c r="AM163" i="10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BJ151" i="10"/>
  <c r="BI151" i="10"/>
  <c r="BH151" i="10"/>
  <c r="BG151" i="10"/>
  <c r="BF151" i="10"/>
  <c r="BE151" i="10"/>
  <c r="BD151" i="10"/>
  <c r="BC151" i="10"/>
  <c r="BB151" i="10"/>
  <c r="BA151" i="10"/>
  <c r="AZ151" i="10"/>
  <c r="AY151" i="10"/>
  <c r="AX151" i="10"/>
  <c r="AW151" i="10"/>
  <c r="AV151" i="10"/>
  <c r="AU151" i="10"/>
  <c r="AT151" i="10"/>
  <c r="AS151" i="10"/>
  <c r="AR151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BJ139" i="10"/>
  <c r="BI139" i="10"/>
  <c r="BH139" i="10"/>
  <c r="BG139" i="10"/>
  <c r="BF139" i="10"/>
  <c r="BE139" i="10"/>
  <c r="BD139" i="10"/>
  <c r="BC139" i="10"/>
  <c r="BB139" i="10"/>
  <c r="BA139" i="10"/>
  <c r="AZ139" i="10"/>
  <c r="AY139" i="10"/>
  <c r="AX139" i="10"/>
  <c r="AW139" i="10"/>
  <c r="AV139" i="10"/>
  <c r="AU139" i="10"/>
  <c r="AT139" i="10"/>
  <c r="AS139" i="10"/>
  <c r="AR139" i="10"/>
  <c r="AQ139" i="10"/>
  <c r="AP139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BJ127" i="10"/>
  <c r="BI127" i="10"/>
  <c r="BH127" i="10"/>
  <c r="BG127" i="10"/>
  <c r="BF127" i="10"/>
  <c r="BE127" i="10"/>
  <c r="BD127" i="10"/>
  <c r="BC127" i="10"/>
  <c r="BB127" i="10"/>
  <c r="BA127" i="10"/>
  <c r="AZ127" i="10"/>
  <c r="AY127" i="10"/>
  <c r="AX127" i="10"/>
  <c r="AW127" i="10"/>
  <c r="AV127" i="10"/>
  <c r="AU127" i="10"/>
  <c r="AT127" i="10"/>
  <c r="AS127" i="10"/>
  <c r="AR127" i="10"/>
  <c r="AQ127" i="10"/>
  <c r="AP127" i="10"/>
  <c r="AO127" i="10"/>
  <c r="AN127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BJ115" i="10"/>
  <c r="BI115" i="10"/>
  <c r="BH115" i="10"/>
  <c r="BG115" i="10"/>
  <c r="BF115" i="10"/>
  <c r="BE115" i="10"/>
  <c r="BD115" i="10"/>
  <c r="BC115" i="10"/>
  <c r="BB115" i="10"/>
  <c r="BA115" i="10"/>
  <c r="AZ115" i="10"/>
  <c r="AY115" i="10"/>
  <c r="AX115" i="10"/>
  <c r="AW115" i="10"/>
  <c r="AV115" i="10"/>
  <c r="AU115" i="10"/>
  <c r="AT115" i="10"/>
  <c r="AS115" i="10"/>
  <c r="AR115" i="10"/>
  <c r="AQ115" i="10"/>
  <c r="AP115" i="10"/>
  <c r="AO115" i="10"/>
  <c r="AN115" i="10"/>
  <c r="AM115" i="10"/>
  <c r="AL115" i="10"/>
  <c r="AK115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BJ103" i="10"/>
  <c r="BI103" i="10"/>
  <c r="BH103" i="10"/>
  <c r="BG103" i="10"/>
  <c r="BF103" i="10"/>
  <c r="BE103" i="10"/>
  <c r="BD103" i="10"/>
  <c r="BC103" i="10"/>
  <c r="BB103" i="10"/>
  <c r="BA103" i="10"/>
  <c r="AZ103" i="10"/>
  <c r="AY103" i="10"/>
  <c r="AX103" i="10"/>
  <c r="AW103" i="10"/>
  <c r="AV103" i="10"/>
  <c r="AU103" i="10"/>
  <c r="AT103" i="10"/>
  <c r="AS103" i="10"/>
  <c r="AR103" i="10"/>
  <c r="AQ103" i="10"/>
  <c r="AP103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BJ91" i="10"/>
  <c r="BI91" i="10"/>
  <c r="BH91" i="10"/>
  <c r="BG91" i="10"/>
  <c r="BF91" i="10"/>
  <c r="BE91" i="10"/>
  <c r="BD91" i="10"/>
  <c r="BC91" i="10"/>
  <c r="BB91" i="10"/>
  <c r="BA91" i="10"/>
  <c r="AZ91" i="10"/>
  <c r="AY91" i="10"/>
  <c r="AX91" i="10"/>
  <c r="AW91" i="10"/>
  <c r="AV91" i="10"/>
  <c r="AU91" i="10"/>
  <c r="AT91" i="10"/>
  <c r="AS91" i="10"/>
  <c r="AR91" i="10"/>
  <c r="AQ91" i="10"/>
  <c r="AP91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BJ79" i="10"/>
  <c r="BI79" i="10"/>
  <c r="BH79" i="10"/>
  <c r="BG79" i="10"/>
  <c r="BF79" i="10"/>
  <c r="BE79" i="10"/>
  <c r="BD79" i="10"/>
  <c r="BC79" i="10"/>
  <c r="BB79" i="10"/>
  <c r="BA79" i="10"/>
  <c r="AZ79" i="10"/>
  <c r="AY79" i="10"/>
  <c r="AX79" i="10"/>
  <c r="AW79" i="10"/>
  <c r="AV79" i="10"/>
  <c r="AU79" i="10"/>
  <c r="AT79" i="10"/>
  <c r="AS79" i="10"/>
  <c r="AR79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BK67" i="10"/>
  <c r="BJ67" i="10"/>
  <c r="BI67" i="10"/>
  <c r="BH67" i="10"/>
  <c r="BG67" i="10"/>
  <c r="BF67" i="10"/>
  <c r="BE67" i="10"/>
  <c r="BD67" i="10"/>
  <c r="BC67" i="10"/>
  <c r="BB67" i="10"/>
  <c r="BA67" i="10"/>
  <c r="AZ67" i="10"/>
  <c r="AY67" i="10"/>
  <c r="AX67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BK55" i="10"/>
  <c r="BJ55" i="10"/>
  <c r="BI55" i="10"/>
  <c r="BH55" i="10"/>
  <c r="BG55" i="10"/>
  <c r="BF55" i="10"/>
  <c r="BE55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AJ246" i="15"/>
  <c r="AJ245" i="15"/>
  <c r="AJ244" i="15"/>
  <c r="AJ243" i="15"/>
  <c r="AJ242" i="15"/>
  <c r="AJ241" i="15"/>
  <c r="AJ240" i="15"/>
  <c r="AJ239" i="15"/>
  <c r="AJ238" i="15"/>
  <c r="AJ237" i="15"/>
  <c r="AJ210" i="15"/>
  <c r="AJ209" i="15"/>
  <c r="AJ208" i="15"/>
  <c r="AJ207" i="15"/>
  <c r="AJ206" i="15"/>
  <c r="AJ205" i="15"/>
  <c r="AJ204" i="15"/>
  <c r="AJ203" i="15"/>
  <c r="AJ202" i="15"/>
  <c r="AJ201" i="15"/>
  <c r="AJ162" i="15"/>
  <c r="AJ161" i="15"/>
  <c r="AJ160" i="15"/>
  <c r="AJ159" i="15"/>
  <c r="AJ158" i="15"/>
  <c r="AJ157" i="15"/>
  <c r="AJ156" i="15"/>
  <c r="AJ155" i="15"/>
  <c r="AJ154" i="15"/>
  <c r="AJ153" i="15"/>
  <c r="E139" i="15"/>
  <c r="F139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T139" i="15"/>
  <c r="AI259" i="15"/>
  <c r="AH259" i="15"/>
  <c r="AG259" i="15"/>
  <c r="AF259" i="15"/>
  <c r="AE259" i="15"/>
  <c r="AD259" i="15"/>
  <c r="AC259" i="15"/>
  <c r="AB259" i="15"/>
  <c r="AA259" i="15"/>
  <c r="Z259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AI247" i="15"/>
  <c r="AH247" i="15"/>
  <c r="AG247" i="15"/>
  <c r="AF247" i="15"/>
  <c r="AE247" i="15"/>
  <c r="AD247" i="15"/>
  <c r="AC247" i="15"/>
  <c r="AB247" i="15"/>
  <c r="AA247" i="15"/>
  <c r="Z247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AI235" i="15"/>
  <c r="AH235" i="15"/>
  <c r="AG235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AI223" i="15"/>
  <c r="AH223" i="15"/>
  <c r="AG223" i="15"/>
  <c r="AF223" i="15"/>
  <c r="AE223" i="15"/>
  <c r="AD223" i="15"/>
  <c r="AC223" i="15"/>
  <c r="AB223" i="15"/>
  <c r="AA223" i="15"/>
  <c r="Z223" i="15"/>
  <c r="Y223" i="15"/>
  <c r="X223" i="15"/>
  <c r="W223" i="15"/>
  <c r="V223" i="15"/>
  <c r="U223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AI211" i="15"/>
  <c r="AH211" i="15"/>
  <c r="AG211" i="15"/>
  <c r="AF211" i="15"/>
  <c r="AE211" i="15"/>
  <c r="AD211" i="15"/>
  <c r="AC211" i="15"/>
  <c r="AB211" i="15"/>
  <c r="AA211" i="15"/>
  <c r="Z211" i="15"/>
  <c r="Y211" i="15"/>
  <c r="X211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AI199" i="15"/>
  <c r="AH199" i="15"/>
  <c r="AG199" i="15"/>
  <c r="AF199" i="15"/>
  <c r="AE199" i="15"/>
  <c r="AD199" i="15"/>
  <c r="AC199" i="15"/>
  <c r="AB199" i="15"/>
  <c r="AA199" i="15"/>
  <c r="Z199" i="15"/>
  <c r="Y199" i="15"/>
  <c r="X199" i="15"/>
  <c r="W199" i="15"/>
  <c r="V199" i="15"/>
  <c r="U199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AI187" i="15"/>
  <c r="AH187" i="15"/>
  <c r="AG187" i="15"/>
  <c r="AF187" i="15"/>
  <c r="AE187" i="15"/>
  <c r="AD187" i="15"/>
  <c r="AC187" i="15"/>
  <c r="AB187" i="15"/>
  <c r="AA187" i="15"/>
  <c r="Z187" i="15"/>
  <c r="Y187" i="15"/>
  <c r="X187" i="15"/>
  <c r="W187" i="15"/>
  <c r="V187" i="15"/>
  <c r="U187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AI175" i="15"/>
  <c r="AH175" i="15"/>
  <c r="AG175" i="15"/>
  <c r="AF175" i="15"/>
  <c r="AE175" i="15"/>
  <c r="AD175" i="15"/>
  <c r="AC175" i="15"/>
  <c r="AB175" i="15"/>
  <c r="AA175" i="15"/>
  <c r="Z175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AI163" i="15"/>
  <c r="AH163" i="15"/>
  <c r="AG163" i="15"/>
  <c r="AF163" i="15"/>
  <c r="AE163" i="15"/>
  <c r="AD163" i="15"/>
  <c r="AC163" i="15"/>
  <c r="AB163" i="15"/>
  <c r="AA163" i="15"/>
  <c r="Z163" i="15"/>
  <c r="Y163" i="15"/>
  <c r="X163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AP163" i="17"/>
  <c r="AP162" i="17"/>
  <c r="AP161" i="17"/>
  <c r="AP160" i="17"/>
  <c r="AP159" i="17"/>
  <c r="AP158" i="17"/>
  <c r="AP157" i="17"/>
  <c r="AP156" i="17"/>
  <c r="AP155" i="17"/>
  <c r="AP154" i="17"/>
  <c r="AP153" i="17"/>
  <c r="AO259" i="17"/>
  <c r="AN259" i="17"/>
  <c r="AM259" i="17"/>
  <c r="AL259" i="17"/>
  <c r="AK259" i="17"/>
  <c r="AJ259" i="17"/>
  <c r="AI259" i="17"/>
  <c r="AH259" i="17"/>
  <c r="AG259" i="17"/>
  <c r="AF259" i="17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AO247" i="17"/>
  <c r="AN247" i="17"/>
  <c r="AM247" i="17"/>
  <c r="AL247" i="17"/>
  <c r="AK247" i="17"/>
  <c r="AJ247" i="17"/>
  <c r="AI247" i="17"/>
  <c r="AH247" i="17"/>
  <c r="AG247" i="17"/>
  <c r="AF247" i="17"/>
  <c r="AE247" i="17"/>
  <c r="AD247" i="17"/>
  <c r="AC247" i="17"/>
  <c r="AB247" i="17"/>
  <c r="AA247" i="17"/>
  <c r="Z247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AO235" i="17"/>
  <c r="AN235" i="17"/>
  <c r="AM235" i="17"/>
  <c r="AL235" i="17"/>
  <c r="AK235" i="17"/>
  <c r="AJ235" i="17"/>
  <c r="AI235" i="17"/>
  <c r="AH235" i="17"/>
  <c r="AG235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AO223" i="17"/>
  <c r="AN223" i="17"/>
  <c r="AM223" i="17"/>
  <c r="AL223" i="17"/>
  <c r="AK223" i="17"/>
  <c r="AJ223" i="17"/>
  <c r="AI223" i="17"/>
  <c r="AH223" i="17"/>
  <c r="AG223" i="17"/>
  <c r="AF223" i="17"/>
  <c r="AE223" i="17"/>
  <c r="AD223" i="17"/>
  <c r="AC223" i="17"/>
  <c r="AB223" i="17"/>
  <c r="AA223" i="17"/>
  <c r="Z223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AO211" i="17"/>
  <c r="AN211" i="17"/>
  <c r="AM211" i="17"/>
  <c r="AL211" i="17"/>
  <c r="AK211" i="17"/>
  <c r="AJ211" i="17"/>
  <c r="AI211" i="17"/>
  <c r="AH211" i="17"/>
  <c r="AG211" i="17"/>
  <c r="AF211" i="17"/>
  <c r="AE211" i="17"/>
  <c r="AD211" i="17"/>
  <c r="AC211" i="17"/>
  <c r="AB211" i="17"/>
  <c r="AA211" i="17"/>
  <c r="Z211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AO199" i="17"/>
  <c r="AN199" i="17"/>
  <c r="AM199" i="17"/>
  <c r="AL199" i="17"/>
  <c r="AK199" i="17"/>
  <c r="AJ199" i="17"/>
  <c r="AI199" i="17"/>
  <c r="AH199" i="17"/>
  <c r="AG199" i="17"/>
  <c r="AF199" i="17"/>
  <c r="AE199" i="17"/>
  <c r="AD199" i="17"/>
  <c r="AC199" i="17"/>
  <c r="AB199" i="17"/>
  <c r="AA199" i="17"/>
  <c r="Z199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AO187" i="17"/>
  <c r="AN187" i="17"/>
  <c r="AM187" i="17"/>
  <c r="AL187" i="17"/>
  <c r="AK187" i="17"/>
  <c r="AJ187" i="17"/>
  <c r="AI187" i="17"/>
  <c r="AH187" i="17"/>
  <c r="AG187" i="17"/>
  <c r="AF187" i="17"/>
  <c r="AE187" i="17"/>
  <c r="AD187" i="17"/>
  <c r="AC187" i="17"/>
  <c r="AB187" i="17"/>
  <c r="AA187" i="17"/>
  <c r="Z187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AO175" i="17"/>
  <c r="AN175" i="17"/>
  <c r="AM175" i="17"/>
  <c r="AL175" i="17"/>
  <c r="AK175" i="17"/>
  <c r="AJ175" i="17"/>
  <c r="AI175" i="17"/>
  <c r="AH175" i="17"/>
  <c r="AG175" i="17"/>
  <c r="AF175" i="17"/>
  <c r="AE175" i="17"/>
  <c r="AD175" i="17"/>
  <c r="AC175" i="17"/>
  <c r="AB175" i="17"/>
  <c r="AA175" i="17"/>
  <c r="Z175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AO163" i="17"/>
  <c r="AN163" i="17"/>
  <c r="AM163" i="17"/>
  <c r="AL163" i="17"/>
  <c r="AK163" i="17"/>
  <c r="AJ163" i="17"/>
  <c r="AI163" i="17"/>
  <c r="AH163" i="17"/>
  <c r="AG163" i="17"/>
  <c r="AF163" i="17"/>
  <c r="AE163" i="17"/>
  <c r="AD163" i="17"/>
  <c r="AC163" i="17"/>
  <c r="AB163" i="17"/>
  <c r="AA163" i="17"/>
  <c r="Z163" i="17"/>
  <c r="Y163" i="17"/>
  <c r="X163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AO151" i="17"/>
  <c r="AN151" i="17"/>
  <c r="AM151" i="17"/>
  <c r="AL151" i="17"/>
  <c r="AK151" i="17"/>
  <c r="AJ151" i="17"/>
  <c r="AI151" i="17"/>
  <c r="AH151" i="17"/>
  <c r="AG151" i="17"/>
  <c r="AF151" i="17"/>
  <c r="AE151" i="17"/>
  <c r="AD151" i="17"/>
  <c r="AC151" i="17"/>
  <c r="AB151" i="17"/>
  <c r="AA151" i="17"/>
  <c r="Z151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AO103" i="17"/>
  <c r="AN103" i="17"/>
  <c r="AM103" i="17"/>
  <c r="AL103" i="17"/>
  <c r="AK103" i="17"/>
  <c r="AJ103" i="17"/>
  <c r="AI103" i="17"/>
  <c r="AH103" i="17"/>
  <c r="AG103" i="17"/>
  <c r="AF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AO91" i="17"/>
  <c r="AN91" i="17"/>
  <c r="AM91" i="17"/>
  <c r="AL91" i="17"/>
  <c r="AK91" i="17"/>
  <c r="AJ91" i="17"/>
  <c r="AI91" i="17"/>
  <c r="AH91" i="17"/>
  <c r="AG91" i="17"/>
  <c r="AF91" i="17"/>
  <c r="AE91" i="17"/>
  <c r="AD91" i="17"/>
  <c r="AC91" i="17"/>
  <c r="AB91" i="17"/>
  <c r="AA91" i="17"/>
  <c r="Z91" i="17"/>
  <c r="Y91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AO79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AO67" i="17"/>
  <c r="AN67" i="17"/>
  <c r="AM67" i="17"/>
  <c r="AL67" i="17"/>
  <c r="AK67" i="17"/>
  <c r="AJ67" i="17"/>
  <c r="AI67" i="17"/>
  <c r="AH67" i="17"/>
  <c r="AG67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E55" i="17"/>
  <c r="F55" i="17"/>
  <c r="G55" i="17"/>
  <c r="AP55" i="17" s="1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AF55" i="17"/>
  <c r="AG55" i="17"/>
  <c r="AH55" i="17"/>
  <c r="AI55" i="17"/>
  <c r="AJ55" i="17"/>
  <c r="AK55" i="17"/>
  <c r="AL55" i="17"/>
  <c r="AM55" i="17"/>
  <c r="AN55" i="17"/>
  <c r="AO55" i="17"/>
  <c r="S235" i="11" l="1"/>
  <c r="BL55" i="3"/>
  <c r="N41" i="10" l="1"/>
  <c r="M41" i="10"/>
  <c r="L41" i="10"/>
  <c r="K41" i="10"/>
  <c r="J41" i="10"/>
  <c r="N36" i="10"/>
  <c r="M36" i="10"/>
  <c r="L36" i="10"/>
  <c r="K36" i="10"/>
  <c r="J36" i="10"/>
  <c r="N29" i="10"/>
  <c r="M29" i="10"/>
  <c r="L29" i="10"/>
  <c r="K29" i="10"/>
  <c r="J29" i="10"/>
  <c r="N28" i="10"/>
  <c r="N30" i="10" s="1"/>
  <c r="M28" i="10"/>
  <c r="M30" i="10" s="1"/>
  <c r="L28" i="10"/>
  <c r="L30" i="10" s="1"/>
  <c r="K28" i="10"/>
  <c r="J28" i="10"/>
  <c r="N27" i="10"/>
  <c r="M27" i="10"/>
  <c r="L27" i="10"/>
  <c r="K27" i="10"/>
  <c r="J27" i="10"/>
  <c r="N24" i="10"/>
  <c r="M24" i="10"/>
  <c r="L24" i="10"/>
  <c r="K24" i="10"/>
  <c r="J24" i="10"/>
  <c r="N21" i="10"/>
  <c r="M21" i="10"/>
  <c r="L21" i="10"/>
  <c r="K21" i="10"/>
  <c r="J21" i="10"/>
  <c r="N16" i="10"/>
  <c r="M16" i="10"/>
  <c r="L16" i="10"/>
  <c r="K16" i="10"/>
  <c r="J16" i="10"/>
  <c r="N41" i="11"/>
  <c r="M41" i="11"/>
  <c r="L41" i="11"/>
  <c r="K41" i="11"/>
  <c r="J41" i="11"/>
  <c r="N36" i="11"/>
  <c r="M36" i="11"/>
  <c r="L36" i="11"/>
  <c r="K36" i="11"/>
  <c r="J36" i="11"/>
  <c r="N29" i="11"/>
  <c r="M29" i="11"/>
  <c r="L29" i="11"/>
  <c r="K29" i="11"/>
  <c r="J29" i="11"/>
  <c r="N28" i="11"/>
  <c r="N30" i="11" s="1"/>
  <c r="M28" i="11"/>
  <c r="M30" i="11" s="1"/>
  <c r="L28" i="11"/>
  <c r="K28" i="11"/>
  <c r="K30" i="11" s="1"/>
  <c r="J28" i="11"/>
  <c r="J30" i="11" s="1"/>
  <c r="N27" i="11"/>
  <c r="M27" i="11"/>
  <c r="L27" i="11"/>
  <c r="K27" i="11"/>
  <c r="J27" i="11"/>
  <c r="N24" i="11"/>
  <c r="M24" i="11"/>
  <c r="L24" i="11"/>
  <c r="K24" i="11"/>
  <c r="J24" i="11"/>
  <c r="N21" i="11"/>
  <c r="M21" i="11"/>
  <c r="L21" i="11"/>
  <c r="K21" i="11"/>
  <c r="J21" i="11"/>
  <c r="N16" i="11"/>
  <c r="M16" i="11"/>
  <c r="L16" i="11"/>
  <c r="K16" i="11"/>
  <c r="J16" i="11"/>
  <c r="M262" i="15"/>
  <c r="M264" i="15" s="1"/>
  <c r="N41" i="15"/>
  <c r="M41" i="15"/>
  <c r="L41" i="15"/>
  <c r="K41" i="15"/>
  <c r="J41" i="15"/>
  <c r="N36" i="15"/>
  <c r="M36" i="15"/>
  <c r="L36" i="15"/>
  <c r="K36" i="15"/>
  <c r="J36" i="15"/>
  <c r="N29" i="15"/>
  <c r="M29" i="15"/>
  <c r="L29" i="15"/>
  <c r="K29" i="15"/>
  <c r="J29" i="15"/>
  <c r="N28" i="15"/>
  <c r="M28" i="15"/>
  <c r="M30" i="15" s="1"/>
  <c r="L28" i="15"/>
  <c r="K28" i="15"/>
  <c r="K30" i="15" s="1"/>
  <c r="J28" i="15"/>
  <c r="N27" i="15"/>
  <c r="M27" i="15"/>
  <c r="L27" i="15"/>
  <c r="K27" i="15"/>
  <c r="J27" i="15"/>
  <c r="N24" i="15"/>
  <c r="M24" i="15"/>
  <c r="L24" i="15"/>
  <c r="K24" i="15"/>
  <c r="J24" i="15"/>
  <c r="N21" i="15"/>
  <c r="M21" i="15"/>
  <c r="L21" i="15"/>
  <c r="K21" i="15"/>
  <c r="J21" i="15"/>
  <c r="N16" i="15"/>
  <c r="M16" i="15"/>
  <c r="L16" i="15"/>
  <c r="K16" i="15"/>
  <c r="J16" i="15"/>
  <c r="N41" i="16"/>
  <c r="M41" i="16"/>
  <c r="L41" i="16"/>
  <c r="K41" i="16"/>
  <c r="J41" i="16"/>
  <c r="N36" i="16"/>
  <c r="M36" i="16"/>
  <c r="L36" i="16"/>
  <c r="K36" i="16"/>
  <c r="J36" i="16"/>
  <c r="N29" i="16"/>
  <c r="M29" i="16"/>
  <c r="L29" i="16"/>
  <c r="K29" i="16"/>
  <c r="J29" i="16"/>
  <c r="N28" i="16"/>
  <c r="M28" i="16"/>
  <c r="L28" i="16"/>
  <c r="L30" i="16" s="1"/>
  <c r="K28" i="16"/>
  <c r="J28" i="16"/>
  <c r="J30" i="16" s="1"/>
  <c r="N27" i="16"/>
  <c r="M27" i="16"/>
  <c r="L27" i="16"/>
  <c r="K27" i="16"/>
  <c r="J27" i="16"/>
  <c r="N24" i="16"/>
  <c r="M24" i="16"/>
  <c r="L24" i="16"/>
  <c r="K24" i="16"/>
  <c r="J24" i="16"/>
  <c r="N21" i="16"/>
  <c r="M21" i="16"/>
  <c r="L21" i="16"/>
  <c r="K21" i="16"/>
  <c r="J21" i="16"/>
  <c r="N16" i="16"/>
  <c r="M16" i="16"/>
  <c r="L16" i="16"/>
  <c r="K16" i="16"/>
  <c r="J16" i="16"/>
  <c r="J262" i="17"/>
  <c r="J264" i="17" s="1"/>
  <c r="N41" i="17"/>
  <c r="M41" i="17"/>
  <c r="L41" i="17"/>
  <c r="K41" i="17"/>
  <c r="J41" i="17"/>
  <c r="N36" i="17"/>
  <c r="M36" i="17"/>
  <c r="L36" i="17"/>
  <c r="K36" i="17"/>
  <c r="J36" i="17"/>
  <c r="N29" i="17"/>
  <c r="M29" i="17"/>
  <c r="L29" i="17"/>
  <c r="K29" i="17"/>
  <c r="J29" i="17"/>
  <c r="N28" i="17"/>
  <c r="M28" i="17"/>
  <c r="L28" i="17"/>
  <c r="K28" i="17"/>
  <c r="J28" i="17"/>
  <c r="J30" i="17" s="1"/>
  <c r="N27" i="17"/>
  <c r="M27" i="17"/>
  <c r="L27" i="17"/>
  <c r="K27" i="17"/>
  <c r="J27" i="17"/>
  <c r="N24" i="17"/>
  <c r="M24" i="17"/>
  <c r="L24" i="17"/>
  <c r="K24" i="17"/>
  <c r="J24" i="17"/>
  <c r="N21" i="17"/>
  <c r="M21" i="17"/>
  <c r="L21" i="17"/>
  <c r="K21" i="17"/>
  <c r="J21" i="17"/>
  <c r="N16" i="17"/>
  <c r="M16" i="17"/>
  <c r="L16" i="17"/>
  <c r="K16" i="17"/>
  <c r="J16" i="17"/>
  <c r="N41" i="3"/>
  <c r="M41" i="3"/>
  <c r="L41" i="3"/>
  <c r="K41" i="3"/>
  <c r="J41" i="3"/>
  <c r="N36" i="3"/>
  <c r="M36" i="3"/>
  <c r="L36" i="3"/>
  <c r="K36" i="3"/>
  <c r="J36" i="3"/>
  <c r="N29" i="3"/>
  <c r="M29" i="3"/>
  <c r="L29" i="3"/>
  <c r="K29" i="3"/>
  <c r="J29" i="3"/>
  <c r="N28" i="3"/>
  <c r="M28" i="3"/>
  <c r="L28" i="3"/>
  <c r="K28" i="3"/>
  <c r="J28" i="3"/>
  <c r="J30" i="3" s="1"/>
  <c r="N27" i="3"/>
  <c r="M27" i="3"/>
  <c r="L27" i="3"/>
  <c r="K27" i="3"/>
  <c r="J27" i="3"/>
  <c r="N24" i="3"/>
  <c r="M24" i="3"/>
  <c r="L24" i="3"/>
  <c r="K24" i="3"/>
  <c r="J24" i="3"/>
  <c r="N21" i="3"/>
  <c r="M21" i="3"/>
  <c r="L21" i="3"/>
  <c r="K21" i="3"/>
  <c r="J21" i="3"/>
  <c r="N16" i="3"/>
  <c r="M16" i="3"/>
  <c r="L16" i="3"/>
  <c r="K16" i="3"/>
  <c r="J16" i="3"/>
  <c r="N41" i="9"/>
  <c r="M41" i="9"/>
  <c r="L41" i="9"/>
  <c r="K41" i="9"/>
  <c r="J41" i="9"/>
  <c r="N36" i="9"/>
  <c r="M36" i="9"/>
  <c r="L36" i="9"/>
  <c r="K36" i="9"/>
  <c r="J36" i="9"/>
  <c r="N29" i="9"/>
  <c r="M29" i="9"/>
  <c r="L29" i="9"/>
  <c r="K29" i="9"/>
  <c r="J29" i="9"/>
  <c r="N28" i="9"/>
  <c r="N30" i="9" s="1"/>
  <c r="M28" i="9"/>
  <c r="M30" i="9" s="1"/>
  <c r="L28" i="9"/>
  <c r="L30" i="9" s="1"/>
  <c r="K28" i="9"/>
  <c r="K30" i="9" s="1"/>
  <c r="J28" i="9"/>
  <c r="N27" i="9"/>
  <c r="M27" i="9"/>
  <c r="L27" i="9"/>
  <c r="K27" i="9"/>
  <c r="J27" i="9"/>
  <c r="N24" i="9"/>
  <c r="M24" i="9"/>
  <c r="L24" i="9"/>
  <c r="K24" i="9"/>
  <c r="J24" i="9"/>
  <c r="N21" i="9"/>
  <c r="M21" i="9"/>
  <c r="L21" i="9"/>
  <c r="K21" i="9"/>
  <c r="J21" i="9"/>
  <c r="N16" i="9"/>
  <c r="M16" i="9"/>
  <c r="L16" i="9"/>
  <c r="K16" i="9"/>
  <c r="J16" i="9"/>
  <c r="S41" i="10"/>
  <c r="R41" i="10"/>
  <c r="Q41" i="10"/>
  <c r="P41" i="10"/>
  <c r="O41" i="10"/>
  <c r="S36" i="10"/>
  <c r="R36" i="10"/>
  <c r="Q36" i="10"/>
  <c r="P36" i="10"/>
  <c r="O36" i="10"/>
  <c r="S29" i="10"/>
  <c r="R29" i="10"/>
  <c r="Q29" i="10"/>
  <c r="P29" i="10"/>
  <c r="O29" i="10"/>
  <c r="S28" i="10"/>
  <c r="R28" i="10"/>
  <c r="R30" i="10" s="1"/>
  <c r="Q28" i="10"/>
  <c r="Q30" i="10" s="1"/>
  <c r="P28" i="10"/>
  <c r="O28" i="10"/>
  <c r="S27" i="10"/>
  <c r="R27" i="10"/>
  <c r="Q27" i="10"/>
  <c r="P27" i="10"/>
  <c r="O27" i="10"/>
  <c r="S24" i="10"/>
  <c r="R24" i="10"/>
  <c r="Q24" i="10"/>
  <c r="P24" i="10"/>
  <c r="O24" i="10"/>
  <c r="S21" i="10"/>
  <c r="R21" i="10"/>
  <c r="Q21" i="10"/>
  <c r="P21" i="10"/>
  <c r="O21" i="10"/>
  <c r="S16" i="10"/>
  <c r="R16" i="10"/>
  <c r="Q16" i="10"/>
  <c r="P16" i="10"/>
  <c r="O16" i="10"/>
  <c r="R41" i="11"/>
  <c r="Q41" i="11"/>
  <c r="P41" i="11"/>
  <c r="O41" i="11"/>
  <c r="R36" i="11"/>
  <c r="Q36" i="11"/>
  <c r="P36" i="11"/>
  <c r="O36" i="11"/>
  <c r="R29" i="11"/>
  <c r="Q29" i="11"/>
  <c r="P29" i="11"/>
  <c r="O29" i="11"/>
  <c r="R28" i="11"/>
  <c r="Q28" i="11"/>
  <c r="P28" i="11"/>
  <c r="O28" i="11"/>
  <c r="R27" i="11"/>
  <c r="Q27" i="11"/>
  <c r="P27" i="11"/>
  <c r="O27" i="11"/>
  <c r="R24" i="11"/>
  <c r="Q24" i="11"/>
  <c r="P24" i="11"/>
  <c r="O24" i="11"/>
  <c r="R21" i="11"/>
  <c r="Q21" i="11"/>
  <c r="P21" i="11"/>
  <c r="O21" i="11"/>
  <c r="R16" i="11"/>
  <c r="Q16" i="11"/>
  <c r="P16" i="11"/>
  <c r="O16" i="11"/>
  <c r="S41" i="15"/>
  <c r="R41" i="15"/>
  <c r="Q41" i="15"/>
  <c r="P41" i="15"/>
  <c r="O41" i="15"/>
  <c r="S36" i="15"/>
  <c r="R36" i="15"/>
  <c r="Q36" i="15"/>
  <c r="P36" i="15"/>
  <c r="O36" i="15"/>
  <c r="S29" i="15"/>
  <c r="R29" i="15"/>
  <c r="Q29" i="15"/>
  <c r="P29" i="15"/>
  <c r="O29" i="15"/>
  <c r="S28" i="15"/>
  <c r="R28" i="15"/>
  <c r="Q28" i="15"/>
  <c r="P28" i="15"/>
  <c r="O28" i="15"/>
  <c r="S27" i="15"/>
  <c r="R27" i="15"/>
  <c r="Q27" i="15"/>
  <c r="P27" i="15"/>
  <c r="O27" i="15"/>
  <c r="S24" i="15"/>
  <c r="R24" i="15"/>
  <c r="Q24" i="15"/>
  <c r="P24" i="15"/>
  <c r="O24" i="15"/>
  <c r="S21" i="15"/>
  <c r="R21" i="15"/>
  <c r="Q21" i="15"/>
  <c r="P21" i="15"/>
  <c r="O21" i="15"/>
  <c r="S16" i="15"/>
  <c r="R16" i="15"/>
  <c r="Q16" i="15"/>
  <c r="P16" i="15"/>
  <c r="O16" i="15"/>
  <c r="S41" i="16"/>
  <c r="R41" i="16"/>
  <c r="Q41" i="16"/>
  <c r="P41" i="16"/>
  <c r="O41" i="16"/>
  <c r="S36" i="16"/>
  <c r="R36" i="16"/>
  <c r="Q36" i="16"/>
  <c r="P36" i="16"/>
  <c r="O36" i="16"/>
  <c r="S29" i="16"/>
  <c r="R29" i="16"/>
  <c r="Q29" i="16"/>
  <c r="P29" i="16"/>
  <c r="O29" i="16"/>
  <c r="S28" i="16"/>
  <c r="R28" i="16"/>
  <c r="Q28" i="16"/>
  <c r="Q30" i="16" s="1"/>
  <c r="P28" i="16"/>
  <c r="O28" i="16"/>
  <c r="S27" i="16"/>
  <c r="R27" i="16"/>
  <c r="Q27" i="16"/>
  <c r="P27" i="16"/>
  <c r="O27" i="16"/>
  <c r="S24" i="16"/>
  <c r="R24" i="16"/>
  <c r="Q24" i="16"/>
  <c r="P24" i="16"/>
  <c r="O24" i="16"/>
  <c r="S21" i="16"/>
  <c r="R21" i="16"/>
  <c r="Q21" i="16"/>
  <c r="P21" i="16"/>
  <c r="O21" i="16"/>
  <c r="S16" i="16"/>
  <c r="R16" i="16"/>
  <c r="Q16" i="16"/>
  <c r="P16" i="16"/>
  <c r="O16" i="16"/>
  <c r="S41" i="17"/>
  <c r="R41" i="17"/>
  <c r="Q41" i="17"/>
  <c r="P41" i="17"/>
  <c r="O41" i="17"/>
  <c r="S36" i="17"/>
  <c r="R36" i="17"/>
  <c r="Q36" i="17"/>
  <c r="P36" i="17"/>
  <c r="O36" i="17"/>
  <c r="S29" i="17"/>
  <c r="R29" i="17"/>
  <c r="Q29" i="17"/>
  <c r="P29" i="17"/>
  <c r="O29" i="17"/>
  <c r="S28" i="17"/>
  <c r="R28" i="17"/>
  <c r="Q28" i="17"/>
  <c r="P28" i="17"/>
  <c r="O28" i="17"/>
  <c r="S27" i="17"/>
  <c r="R27" i="17"/>
  <c r="Q27" i="17"/>
  <c r="P27" i="17"/>
  <c r="O27" i="17"/>
  <c r="S24" i="17"/>
  <c r="R24" i="17"/>
  <c r="Q24" i="17"/>
  <c r="P24" i="17"/>
  <c r="O24" i="17"/>
  <c r="S21" i="17"/>
  <c r="R21" i="17"/>
  <c r="Q21" i="17"/>
  <c r="P21" i="17"/>
  <c r="O21" i="17"/>
  <c r="S16" i="17"/>
  <c r="R16" i="17"/>
  <c r="Q16" i="17"/>
  <c r="P16" i="17"/>
  <c r="O16" i="17"/>
  <c r="S41" i="3"/>
  <c r="R41" i="3"/>
  <c r="Q41" i="3"/>
  <c r="P41" i="3"/>
  <c r="O41" i="3"/>
  <c r="S36" i="3"/>
  <c r="R36" i="3"/>
  <c r="Q36" i="3"/>
  <c r="P36" i="3"/>
  <c r="O36" i="3"/>
  <c r="S29" i="3"/>
  <c r="R29" i="3"/>
  <c r="Q29" i="3"/>
  <c r="P29" i="3"/>
  <c r="O29" i="3"/>
  <c r="S28" i="3"/>
  <c r="R28" i="3"/>
  <c r="Q28" i="3"/>
  <c r="P28" i="3"/>
  <c r="O28" i="3"/>
  <c r="S27" i="3"/>
  <c r="R27" i="3"/>
  <c r="Q27" i="3"/>
  <c r="P27" i="3"/>
  <c r="O27" i="3"/>
  <c r="S24" i="3"/>
  <c r="R24" i="3"/>
  <c r="Q24" i="3"/>
  <c r="P24" i="3"/>
  <c r="O24" i="3"/>
  <c r="S21" i="3"/>
  <c r="R21" i="3"/>
  <c r="Q21" i="3"/>
  <c r="P21" i="3"/>
  <c r="O21" i="3"/>
  <c r="S16" i="3"/>
  <c r="R16" i="3"/>
  <c r="Q16" i="3"/>
  <c r="P16" i="3"/>
  <c r="O16" i="3"/>
  <c r="S41" i="9"/>
  <c r="R41" i="9"/>
  <c r="Q41" i="9"/>
  <c r="P41" i="9"/>
  <c r="O41" i="9"/>
  <c r="S36" i="9"/>
  <c r="R36" i="9"/>
  <c r="Q36" i="9"/>
  <c r="P36" i="9"/>
  <c r="O36" i="9"/>
  <c r="S29" i="9"/>
  <c r="R29" i="9"/>
  <c r="Q29" i="9"/>
  <c r="P29" i="9"/>
  <c r="O29" i="9"/>
  <c r="S28" i="9"/>
  <c r="R28" i="9"/>
  <c r="Q28" i="9"/>
  <c r="P28" i="9"/>
  <c r="O28" i="9"/>
  <c r="S27" i="9"/>
  <c r="R27" i="9"/>
  <c r="Q27" i="9"/>
  <c r="P27" i="9"/>
  <c r="O27" i="9"/>
  <c r="S24" i="9"/>
  <c r="R24" i="9"/>
  <c r="Q24" i="9"/>
  <c r="P24" i="9"/>
  <c r="O24" i="9"/>
  <c r="S21" i="9"/>
  <c r="R21" i="9"/>
  <c r="Q21" i="9"/>
  <c r="P21" i="9"/>
  <c r="O21" i="9"/>
  <c r="S16" i="9"/>
  <c r="R16" i="9"/>
  <c r="Q16" i="9"/>
  <c r="P16" i="9"/>
  <c r="O16" i="9"/>
  <c r="X41" i="10"/>
  <c r="W41" i="10"/>
  <c r="V41" i="10"/>
  <c r="U41" i="10"/>
  <c r="T41" i="10"/>
  <c r="X36" i="10"/>
  <c r="W36" i="10"/>
  <c r="V36" i="10"/>
  <c r="U36" i="10"/>
  <c r="T36" i="10"/>
  <c r="X29" i="10"/>
  <c r="W29" i="10"/>
  <c r="V29" i="10"/>
  <c r="U29" i="10"/>
  <c r="T29" i="10"/>
  <c r="X28" i="10"/>
  <c r="W28" i="10"/>
  <c r="V28" i="10"/>
  <c r="U28" i="10"/>
  <c r="T28" i="10"/>
  <c r="T30" i="10" s="1"/>
  <c r="X27" i="10"/>
  <c r="W27" i="10"/>
  <c r="V27" i="10"/>
  <c r="U27" i="10"/>
  <c r="T27" i="10"/>
  <c r="X24" i="10"/>
  <c r="W24" i="10"/>
  <c r="V24" i="10"/>
  <c r="U24" i="10"/>
  <c r="T24" i="10"/>
  <c r="X21" i="10"/>
  <c r="W21" i="10"/>
  <c r="V21" i="10"/>
  <c r="U21" i="10"/>
  <c r="T21" i="10"/>
  <c r="X16" i="10"/>
  <c r="W16" i="10"/>
  <c r="V16" i="10"/>
  <c r="U16" i="10"/>
  <c r="T16" i="10"/>
  <c r="X41" i="15"/>
  <c r="W41" i="15"/>
  <c r="V41" i="15"/>
  <c r="U41" i="15"/>
  <c r="T41" i="15"/>
  <c r="X36" i="15"/>
  <c r="W36" i="15"/>
  <c r="V36" i="15"/>
  <c r="U36" i="15"/>
  <c r="T36" i="15"/>
  <c r="X29" i="15"/>
  <c r="W29" i="15"/>
  <c r="V29" i="15"/>
  <c r="U29" i="15"/>
  <c r="T29" i="15"/>
  <c r="X28" i="15"/>
  <c r="W28" i="15"/>
  <c r="V28" i="15"/>
  <c r="U28" i="15"/>
  <c r="T28" i="15"/>
  <c r="X27" i="15"/>
  <c r="W27" i="15"/>
  <c r="V27" i="15"/>
  <c r="U27" i="15"/>
  <c r="T27" i="15"/>
  <c r="X24" i="15"/>
  <c r="W24" i="15"/>
  <c r="V24" i="15"/>
  <c r="U24" i="15"/>
  <c r="T24" i="15"/>
  <c r="X21" i="15"/>
  <c r="W21" i="15"/>
  <c r="V21" i="15"/>
  <c r="U21" i="15"/>
  <c r="T21" i="15"/>
  <c r="X16" i="15"/>
  <c r="W16" i="15"/>
  <c r="V16" i="15"/>
  <c r="U16" i="15"/>
  <c r="T16" i="15"/>
  <c r="X41" i="16"/>
  <c r="W41" i="16"/>
  <c r="V41" i="16"/>
  <c r="U41" i="16"/>
  <c r="T41" i="16"/>
  <c r="X36" i="16"/>
  <c r="W36" i="16"/>
  <c r="V36" i="16"/>
  <c r="U36" i="16"/>
  <c r="T36" i="16"/>
  <c r="X29" i="16"/>
  <c r="W29" i="16"/>
  <c r="V29" i="16"/>
  <c r="U29" i="16"/>
  <c r="T29" i="16"/>
  <c r="X28" i="16"/>
  <c r="W28" i="16"/>
  <c r="V28" i="16"/>
  <c r="U28" i="16"/>
  <c r="T28" i="16"/>
  <c r="X27" i="16"/>
  <c r="W27" i="16"/>
  <c r="V27" i="16"/>
  <c r="U27" i="16"/>
  <c r="T27" i="16"/>
  <c r="X24" i="16"/>
  <c r="W24" i="16"/>
  <c r="V24" i="16"/>
  <c r="U24" i="16"/>
  <c r="T24" i="16"/>
  <c r="X21" i="16"/>
  <c r="W21" i="16"/>
  <c r="V21" i="16"/>
  <c r="U21" i="16"/>
  <c r="T21" i="16"/>
  <c r="X16" i="16"/>
  <c r="W16" i="16"/>
  <c r="V16" i="16"/>
  <c r="U16" i="16"/>
  <c r="T16" i="16"/>
  <c r="X41" i="17"/>
  <c r="W41" i="17"/>
  <c r="V41" i="17"/>
  <c r="U41" i="17"/>
  <c r="T41" i="17"/>
  <c r="X36" i="17"/>
  <c r="W36" i="17"/>
  <c r="V36" i="17"/>
  <c r="U36" i="17"/>
  <c r="T36" i="17"/>
  <c r="X29" i="17"/>
  <c r="W29" i="17"/>
  <c r="V29" i="17"/>
  <c r="U29" i="17"/>
  <c r="T29" i="17"/>
  <c r="X28" i="17"/>
  <c r="W28" i="17"/>
  <c r="V28" i="17"/>
  <c r="U28" i="17"/>
  <c r="T28" i="17"/>
  <c r="X27" i="17"/>
  <c r="W27" i="17"/>
  <c r="V27" i="17"/>
  <c r="U27" i="17"/>
  <c r="T27" i="17"/>
  <c r="X24" i="17"/>
  <c r="W24" i="17"/>
  <c r="V24" i="17"/>
  <c r="U24" i="17"/>
  <c r="T24" i="17"/>
  <c r="X21" i="17"/>
  <c r="W21" i="17"/>
  <c r="V21" i="17"/>
  <c r="U21" i="17"/>
  <c r="T21" i="17"/>
  <c r="X16" i="17"/>
  <c r="W16" i="17"/>
  <c r="V16" i="17"/>
  <c r="U16" i="17"/>
  <c r="T16" i="17"/>
  <c r="X41" i="3"/>
  <c r="W41" i="3"/>
  <c r="V41" i="3"/>
  <c r="U41" i="3"/>
  <c r="T41" i="3"/>
  <c r="X36" i="3"/>
  <c r="W36" i="3"/>
  <c r="V36" i="3"/>
  <c r="U36" i="3"/>
  <c r="T36" i="3"/>
  <c r="X29" i="3"/>
  <c r="W29" i="3"/>
  <c r="V29" i="3"/>
  <c r="U29" i="3"/>
  <c r="T29" i="3"/>
  <c r="X28" i="3"/>
  <c r="W28" i="3"/>
  <c r="V28" i="3"/>
  <c r="U28" i="3"/>
  <c r="T28" i="3"/>
  <c r="X27" i="3"/>
  <c r="W27" i="3"/>
  <c r="V27" i="3"/>
  <c r="U27" i="3"/>
  <c r="T27" i="3"/>
  <c r="X24" i="3"/>
  <c r="W24" i="3"/>
  <c r="V24" i="3"/>
  <c r="U24" i="3"/>
  <c r="T24" i="3"/>
  <c r="X21" i="3"/>
  <c r="W21" i="3"/>
  <c r="V21" i="3"/>
  <c r="U21" i="3"/>
  <c r="T21" i="3"/>
  <c r="X16" i="3"/>
  <c r="W16" i="3"/>
  <c r="V16" i="3"/>
  <c r="U16" i="3"/>
  <c r="T16" i="3"/>
  <c r="X41" i="9"/>
  <c r="W41" i="9"/>
  <c r="V41" i="9"/>
  <c r="U41" i="9"/>
  <c r="T41" i="9"/>
  <c r="X36" i="9"/>
  <c r="W36" i="9"/>
  <c r="V36" i="9"/>
  <c r="U36" i="9"/>
  <c r="T36" i="9"/>
  <c r="X29" i="9"/>
  <c r="W29" i="9"/>
  <c r="V29" i="9"/>
  <c r="U29" i="9"/>
  <c r="T29" i="9"/>
  <c r="X28" i="9"/>
  <c r="W28" i="9"/>
  <c r="V28" i="9"/>
  <c r="U28" i="9"/>
  <c r="T28" i="9"/>
  <c r="X27" i="9"/>
  <c r="W27" i="9"/>
  <c r="V27" i="9"/>
  <c r="U27" i="9"/>
  <c r="T27" i="9"/>
  <c r="X24" i="9"/>
  <c r="W24" i="9"/>
  <c r="V24" i="9"/>
  <c r="U24" i="9"/>
  <c r="T24" i="9"/>
  <c r="X21" i="9"/>
  <c r="W21" i="9"/>
  <c r="V21" i="9"/>
  <c r="U21" i="9"/>
  <c r="T21" i="9"/>
  <c r="X16" i="9"/>
  <c r="W16" i="9"/>
  <c r="V16" i="9"/>
  <c r="U16" i="9"/>
  <c r="T16" i="9"/>
  <c r="AC41" i="10"/>
  <c r="AB41" i="10"/>
  <c r="AA41" i="10"/>
  <c r="Z41" i="10"/>
  <c r="Y41" i="10"/>
  <c r="AC36" i="10"/>
  <c r="AB36" i="10"/>
  <c r="AA36" i="10"/>
  <c r="Z36" i="10"/>
  <c r="Y36" i="10"/>
  <c r="AC29" i="10"/>
  <c r="AB29" i="10"/>
  <c r="AA29" i="10"/>
  <c r="Z29" i="10"/>
  <c r="Y29" i="10"/>
  <c r="AC28" i="10"/>
  <c r="AB28" i="10"/>
  <c r="AA28" i="10"/>
  <c r="Z28" i="10"/>
  <c r="Y28" i="10"/>
  <c r="Y30" i="10" s="1"/>
  <c r="AC27" i="10"/>
  <c r="AB27" i="10"/>
  <c r="AA27" i="10"/>
  <c r="Z27" i="10"/>
  <c r="Y27" i="10"/>
  <c r="AC24" i="10"/>
  <c r="AB24" i="10"/>
  <c r="AA24" i="10"/>
  <c r="Z24" i="10"/>
  <c r="Y24" i="10"/>
  <c r="AC21" i="10"/>
  <c r="AB21" i="10"/>
  <c r="AA21" i="10"/>
  <c r="Z21" i="10"/>
  <c r="Y21" i="10"/>
  <c r="AC16" i="10"/>
  <c r="AB16" i="10"/>
  <c r="AA16" i="10"/>
  <c r="Z16" i="10"/>
  <c r="Y16" i="10"/>
  <c r="AC41" i="15"/>
  <c r="AB41" i="15"/>
  <c r="AA41" i="15"/>
  <c r="Z41" i="15"/>
  <c r="Y41" i="15"/>
  <c r="AC36" i="15"/>
  <c r="AB36" i="15"/>
  <c r="AA36" i="15"/>
  <c r="Z36" i="15"/>
  <c r="Y36" i="15"/>
  <c r="AC29" i="15"/>
  <c r="AC30" i="15" s="1"/>
  <c r="AB29" i="15"/>
  <c r="AA29" i="15"/>
  <c r="Z29" i="15"/>
  <c r="Y29" i="15"/>
  <c r="AC28" i="15"/>
  <c r="AB28" i="15"/>
  <c r="AA28" i="15"/>
  <c r="Z28" i="15"/>
  <c r="Y28" i="15"/>
  <c r="AC27" i="15"/>
  <c r="AB27" i="15"/>
  <c r="AA27" i="15"/>
  <c r="Z27" i="15"/>
  <c r="Y27" i="15"/>
  <c r="AC24" i="15"/>
  <c r="AB24" i="15"/>
  <c r="AA24" i="15"/>
  <c r="Z24" i="15"/>
  <c r="Y24" i="15"/>
  <c r="AC21" i="15"/>
  <c r="AB21" i="15"/>
  <c r="AA21" i="15"/>
  <c r="Z21" i="15"/>
  <c r="Y21" i="15"/>
  <c r="AC16" i="15"/>
  <c r="AB16" i="15"/>
  <c r="AA16" i="15"/>
  <c r="Z16" i="15"/>
  <c r="Y16" i="15"/>
  <c r="AA41" i="16"/>
  <c r="Z41" i="16"/>
  <c r="Y41" i="16"/>
  <c r="AA36" i="16"/>
  <c r="Z36" i="16"/>
  <c r="Y36" i="16"/>
  <c r="AA29" i="16"/>
  <c r="Z29" i="16"/>
  <c r="Y29" i="16"/>
  <c r="AA28" i="16"/>
  <c r="Z28" i="16"/>
  <c r="Y28" i="16"/>
  <c r="Y30" i="16" s="1"/>
  <c r="AA27" i="16"/>
  <c r="Z27" i="16"/>
  <c r="Y27" i="16"/>
  <c r="AA24" i="16"/>
  <c r="Z24" i="16"/>
  <c r="Y24" i="16"/>
  <c r="AA21" i="16"/>
  <c r="Z21" i="16"/>
  <c r="Y21" i="16"/>
  <c r="AA16" i="16"/>
  <c r="Z16" i="16"/>
  <c r="Y16" i="16"/>
  <c r="AC41" i="17"/>
  <c r="AB41" i="17"/>
  <c r="AA41" i="17"/>
  <c r="Z41" i="17"/>
  <c r="Y41" i="17"/>
  <c r="AC36" i="17"/>
  <c r="AB36" i="17"/>
  <c r="AA36" i="17"/>
  <c r="Z36" i="17"/>
  <c r="Y36" i="17"/>
  <c r="AC29" i="17"/>
  <c r="AB29" i="17"/>
  <c r="AA29" i="17"/>
  <c r="Z29" i="17"/>
  <c r="Y29" i="17"/>
  <c r="AC28" i="17"/>
  <c r="AB28" i="17"/>
  <c r="AA28" i="17"/>
  <c r="Z28" i="17"/>
  <c r="Y28" i="17"/>
  <c r="AC27" i="17"/>
  <c r="AB27" i="17"/>
  <c r="AA27" i="17"/>
  <c r="Z27" i="17"/>
  <c r="Y27" i="17"/>
  <c r="AC24" i="17"/>
  <c r="AB24" i="17"/>
  <c r="AA24" i="17"/>
  <c r="Z24" i="17"/>
  <c r="Y24" i="17"/>
  <c r="AC21" i="17"/>
  <c r="AB21" i="17"/>
  <c r="AA21" i="17"/>
  <c r="Z21" i="17"/>
  <c r="Y21" i="17"/>
  <c r="AC16" i="17"/>
  <c r="AB16" i="17"/>
  <c r="AA16" i="17"/>
  <c r="Z16" i="17"/>
  <c r="Y16" i="17"/>
  <c r="AC41" i="3"/>
  <c r="AB41" i="3"/>
  <c r="AA41" i="3"/>
  <c r="Z41" i="3"/>
  <c r="Y41" i="3"/>
  <c r="AC36" i="3"/>
  <c r="AB36" i="3"/>
  <c r="AA36" i="3"/>
  <c r="Z36" i="3"/>
  <c r="Y36" i="3"/>
  <c r="AC29" i="3"/>
  <c r="AB29" i="3"/>
  <c r="AA29" i="3"/>
  <c r="Z29" i="3"/>
  <c r="Y29" i="3"/>
  <c r="AC28" i="3"/>
  <c r="AC30" i="3" s="1"/>
  <c r="AB28" i="3"/>
  <c r="AA28" i="3"/>
  <c r="Z28" i="3"/>
  <c r="Y28" i="3"/>
  <c r="AC27" i="3"/>
  <c r="AB27" i="3"/>
  <c r="AA27" i="3"/>
  <c r="Z27" i="3"/>
  <c r="Y27" i="3"/>
  <c r="AC24" i="3"/>
  <c r="AB24" i="3"/>
  <c r="AA24" i="3"/>
  <c r="Z24" i="3"/>
  <c r="Y24" i="3"/>
  <c r="AC21" i="3"/>
  <c r="AB21" i="3"/>
  <c r="AA21" i="3"/>
  <c r="Z21" i="3"/>
  <c r="Y21" i="3"/>
  <c r="AC16" i="3"/>
  <c r="AB16" i="3"/>
  <c r="AA16" i="3"/>
  <c r="Z16" i="3"/>
  <c r="Y16" i="3"/>
  <c r="AC41" i="9"/>
  <c r="AB41" i="9"/>
  <c r="AA41" i="9"/>
  <c r="Z41" i="9"/>
  <c r="Y41" i="9"/>
  <c r="AC36" i="9"/>
  <c r="AB36" i="9"/>
  <c r="AA36" i="9"/>
  <c r="Z36" i="9"/>
  <c r="Y36" i="9"/>
  <c r="AC29" i="9"/>
  <c r="AB29" i="9"/>
  <c r="AA29" i="9"/>
  <c r="Z29" i="9"/>
  <c r="Y29" i="9"/>
  <c r="AC28" i="9"/>
  <c r="AB28" i="9"/>
  <c r="AA28" i="9"/>
  <c r="Z28" i="9"/>
  <c r="Y28" i="9"/>
  <c r="AC27" i="9"/>
  <c r="AB27" i="9"/>
  <c r="AA27" i="9"/>
  <c r="Z27" i="9"/>
  <c r="Y27" i="9"/>
  <c r="AC24" i="9"/>
  <c r="AB24" i="9"/>
  <c r="AA24" i="9"/>
  <c r="Z24" i="9"/>
  <c r="Y24" i="9"/>
  <c r="AC21" i="9"/>
  <c r="AB21" i="9"/>
  <c r="AA21" i="9"/>
  <c r="Z21" i="9"/>
  <c r="Y21" i="9"/>
  <c r="AC16" i="9"/>
  <c r="AB16" i="9"/>
  <c r="AA16" i="9"/>
  <c r="Z16" i="9"/>
  <c r="Y16" i="9"/>
  <c r="AH41" i="10"/>
  <c r="AG41" i="10"/>
  <c r="AF41" i="10"/>
  <c r="AE41" i="10"/>
  <c r="AD41" i="10"/>
  <c r="AH36" i="10"/>
  <c r="AG36" i="10"/>
  <c r="AF36" i="10"/>
  <c r="AE36" i="10"/>
  <c r="AD36" i="10"/>
  <c r="AH29" i="10"/>
  <c r="AG29" i="10"/>
  <c r="AF29" i="10"/>
  <c r="AE29" i="10"/>
  <c r="AD29" i="10"/>
  <c r="AH28" i="10"/>
  <c r="AG28" i="10"/>
  <c r="AF28" i="10"/>
  <c r="AE28" i="10"/>
  <c r="AD28" i="10"/>
  <c r="AD30" i="10" s="1"/>
  <c r="AH27" i="10"/>
  <c r="AG27" i="10"/>
  <c r="AF27" i="10"/>
  <c r="AE27" i="10"/>
  <c r="AD27" i="10"/>
  <c r="AH24" i="10"/>
  <c r="AG24" i="10"/>
  <c r="AF24" i="10"/>
  <c r="AE24" i="10"/>
  <c r="AD24" i="10"/>
  <c r="AH21" i="10"/>
  <c r="AG21" i="10"/>
  <c r="AF21" i="10"/>
  <c r="AE21" i="10"/>
  <c r="AD21" i="10"/>
  <c r="AH16" i="10"/>
  <c r="AG16" i="10"/>
  <c r="AF16" i="10"/>
  <c r="AE16" i="10"/>
  <c r="AD16" i="10"/>
  <c r="AH41" i="15"/>
  <c r="AG41" i="15"/>
  <c r="AF41" i="15"/>
  <c r="AE41" i="15"/>
  <c r="AD41" i="15"/>
  <c r="AH36" i="15"/>
  <c r="AG36" i="15"/>
  <c r="AF36" i="15"/>
  <c r="AE36" i="15"/>
  <c r="AD36" i="15"/>
  <c r="AH29" i="15"/>
  <c r="AG29" i="15"/>
  <c r="AF29" i="15"/>
  <c r="AE29" i="15"/>
  <c r="AD29" i="15"/>
  <c r="AH28" i="15"/>
  <c r="AG28" i="15"/>
  <c r="AF28" i="15"/>
  <c r="AE28" i="15"/>
  <c r="AD28" i="15"/>
  <c r="AH27" i="15"/>
  <c r="AG27" i="15"/>
  <c r="AF27" i="15"/>
  <c r="AE27" i="15"/>
  <c r="AD27" i="15"/>
  <c r="AH24" i="15"/>
  <c r="AG24" i="15"/>
  <c r="AF24" i="15"/>
  <c r="AE24" i="15"/>
  <c r="AD24" i="15"/>
  <c r="AH21" i="15"/>
  <c r="AG21" i="15"/>
  <c r="AF21" i="15"/>
  <c r="AE21" i="15"/>
  <c r="AD21" i="15"/>
  <c r="AH16" i="15"/>
  <c r="AG16" i="15"/>
  <c r="AF16" i="15"/>
  <c r="AE16" i="15"/>
  <c r="AD16" i="15"/>
  <c r="AH41" i="17"/>
  <c r="AG41" i="17"/>
  <c r="AF41" i="17"/>
  <c r="AE41" i="17"/>
  <c r="AD41" i="17"/>
  <c r="AH36" i="17"/>
  <c r="AG36" i="17"/>
  <c r="AF36" i="17"/>
  <c r="AE36" i="17"/>
  <c r="AD36" i="17"/>
  <c r="AH29" i="17"/>
  <c r="AG29" i="17"/>
  <c r="AF29" i="17"/>
  <c r="AE29" i="17"/>
  <c r="AD29" i="17"/>
  <c r="AH28" i="17"/>
  <c r="AG28" i="17"/>
  <c r="AF28" i="17"/>
  <c r="AE28" i="17"/>
  <c r="AD28" i="17"/>
  <c r="AH27" i="17"/>
  <c r="AG27" i="17"/>
  <c r="AF27" i="17"/>
  <c r="AE27" i="17"/>
  <c r="AD27" i="17"/>
  <c r="AH24" i="17"/>
  <c r="AG24" i="17"/>
  <c r="AF24" i="17"/>
  <c r="AE24" i="17"/>
  <c r="AD24" i="17"/>
  <c r="AH21" i="17"/>
  <c r="AG21" i="17"/>
  <c r="AF21" i="17"/>
  <c r="AE21" i="17"/>
  <c r="AD21" i="17"/>
  <c r="AH16" i="17"/>
  <c r="AG16" i="17"/>
  <c r="AF16" i="17"/>
  <c r="AE16" i="17"/>
  <c r="AD16" i="17"/>
  <c r="AH41" i="3"/>
  <c r="AG41" i="3"/>
  <c r="AF41" i="3"/>
  <c r="AE41" i="3"/>
  <c r="AD41" i="3"/>
  <c r="AH36" i="3"/>
  <c r="AG36" i="3"/>
  <c r="AF36" i="3"/>
  <c r="AE36" i="3"/>
  <c r="AD36" i="3"/>
  <c r="AH29" i="3"/>
  <c r="AG29" i="3"/>
  <c r="AF29" i="3"/>
  <c r="AE29" i="3"/>
  <c r="AD29" i="3"/>
  <c r="AH28" i="3"/>
  <c r="AG28" i="3"/>
  <c r="AF28" i="3"/>
  <c r="AE28" i="3"/>
  <c r="AD28" i="3"/>
  <c r="AH27" i="3"/>
  <c r="AG27" i="3"/>
  <c r="AF27" i="3"/>
  <c r="AE27" i="3"/>
  <c r="AD27" i="3"/>
  <c r="AH24" i="3"/>
  <c r="AG24" i="3"/>
  <c r="AF24" i="3"/>
  <c r="AE24" i="3"/>
  <c r="AD24" i="3"/>
  <c r="AH21" i="3"/>
  <c r="AG21" i="3"/>
  <c r="AF21" i="3"/>
  <c r="AE21" i="3"/>
  <c r="AD21" i="3"/>
  <c r="AH16" i="3"/>
  <c r="AG16" i="3"/>
  <c r="AF16" i="3"/>
  <c r="AE16" i="3"/>
  <c r="AD16" i="3"/>
  <c r="AD41" i="9"/>
  <c r="AD36" i="9"/>
  <c r="AD29" i="9"/>
  <c r="AD28" i="9"/>
  <c r="AD30" i="9" s="1"/>
  <c r="AD27" i="9"/>
  <c r="AD24" i="9"/>
  <c r="AD21" i="9"/>
  <c r="AD16" i="9"/>
  <c r="AM41" i="10"/>
  <c r="AL41" i="10"/>
  <c r="AK41" i="10"/>
  <c r="AJ41" i="10"/>
  <c r="AI41" i="10"/>
  <c r="AM36" i="10"/>
  <c r="AL36" i="10"/>
  <c r="AK36" i="10"/>
  <c r="AJ36" i="10"/>
  <c r="AI36" i="10"/>
  <c r="AM29" i="10"/>
  <c r="AL29" i="10"/>
  <c r="AK29" i="10"/>
  <c r="AJ29" i="10"/>
  <c r="AI29" i="10"/>
  <c r="AM28" i="10"/>
  <c r="AL28" i="10"/>
  <c r="AK28" i="10"/>
  <c r="AJ28" i="10"/>
  <c r="AI28" i="10"/>
  <c r="AM27" i="10"/>
  <c r="AL27" i="10"/>
  <c r="AK27" i="10"/>
  <c r="AJ27" i="10"/>
  <c r="AI27" i="10"/>
  <c r="AM24" i="10"/>
  <c r="AL24" i="10"/>
  <c r="AK24" i="10"/>
  <c r="AJ24" i="10"/>
  <c r="AI24" i="10"/>
  <c r="AM21" i="10"/>
  <c r="AL21" i="10"/>
  <c r="AK21" i="10"/>
  <c r="AJ21" i="10"/>
  <c r="AI21" i="10"/>
  <c r="AM16" i="10"/>
  <c r="AL16" i="10"/>
  <c r="AK16" i="10"/>
  <c r="AJ16" i="10"/>
  <c r="AI16" i="10"/>
  <c r="AI41" i="15"/>
  <c r="AI36" i="15"/>
  <c r="AI29" i="15"/>
  <c r="AI28" i="15"/>
  <c r="AI27" i="15"/>
  <c r="AI24" i="15"/>
  <c r="AI21" i="15"/>
  <c r="AI16" i="15"/>
  <c r="AM41" i="17"/>
  <c r="AL41" i="17"/>
  <c r="AK41" i="17"/>
  <c r="AJ41" i="17"/>
  <c r="AI41" i="17"/>
  <c r="AM36" i="17"/>
  <c r="AL36" i="17"/>
  <c r="AK36" i="17"/>
  <c r="AJ36" i="17"/>
  <c r="AI36" i="17"/>
  <c r="AM29" i="17"/>
  <c r="AL29" i="17"/>
  <c r="AK29" i="17"/>
  <c r="AJ29" i="17"/>
  <c r="AI29" i="17"/>
  <c r="AM28" i="17"/>
  <c r="AL28" i="17"/>
  <c r="AK28" i="17"/>
  <c r="AJ28" i="17"/>
  <c r="AI28" i="17"/>
  <c r="AM27" i="17"/>
  <c r="AL27" i="17"/>
  <c r="AK27" i="17"/>
  <c r="AJ27" i="17"/>
  <c r="AI27" i="17"/>
  <c r="AM24" i="17"/>
  <c r="AL24" i="17"/>
  <c r="AK24" i="17"/>
  <c r="AJ24" i="17"/>
  <c r="AI24" i="17"/>
  <c r="AM21" i="17"/>
  <c r="AL21" i="17"/>
  <c r="AK21" i="17"/>
  <c r="AJ21" i="17"/>
  <c r="AI21" i="17"/>
  <c r="AM16" i="17"/>
  <c r="AL16" i="17"/>
  <c r="AK16" i="17"/>
  <c r="AJ16" i="17"/>
  <c r="AI16" i="17"/>
  <c r="AM41" i="3"/>
  <c r="AL41" i="3"/>
  <c r="AK41" i="3"/>
  <c r="AJ41" i="3"/>
  <c r="AI41" i="3"/>
  <c r="AM36" i="3"/>
  <c r="AL36" i="3"/>
  <c r="AK36" i="3"/>
  <c r="AJ36" i="3"/>
  <c r="AI36" i="3"/>
  <c r="AM29" i="3"/>
  <c r="AL29" i="3"/>
  <c r="AK29" i="3"/>
  <c r="AJ29" i="3"/>
  <c r="AI29" i="3"/>
  <c r="AM28" i="3"/>
  <c r="AL28" i="3"/>
  <c r="AK28" i="3"/>
  <c r="AJ28" i="3"/>
  <c r="AI28" i="3"/>
  <c r="AM27" i="3"/>
  <c r="AL27" i="3"/>
  <c r="AK27" i="3"/>
  <c r="AJ27" i="3"/>
  <c r="AI27" i="3"/>
  <c r="AM24" i="3"/>
  <c r="AL24" i="3"/>
  <c r="AK24" i="3"/>
  <c r="AJ24" i="3"/>
  <c r="AI24" i="3"/>
  <c r="AM21" i="3"/>
  <c r="AL21" i="3"/>
  <c r="AK21" i="3"/>
  <c r="AJ21" i="3"/>
  <c r="AI21" i="3"/>
  <c r="AM16" i="3"/>
  <c r="AL16" i="3"/>
  <c r="AK16" i="3"/>
  <c r="AJ16" i="3"/>
  <c r="AI16" i="3"/>
  <c r="AR41" i="10"/>
  <c r="AQ41" i="10"/>
  <c r="AP41" i="10"/>
  <c r="AO41" i="10"/>
  <c r="AN41" i="10"/>
  <c r="AR36" i="10"/>
  <c r="AQ36" i="10"/>
  <c r="AP36" i="10"/>
  <c r="AO36" i="10"/>
  <c r="AN36" i="10"/>
  <c r="AR29" i="10"/>
  <c r="AQ29" i="10"/>
  <c r="AP29" i="10"/>
  <c r="AO29" i="10"/>
  <c r="AN29" i="10"/>
  <c r="AR28" i="10"/>
  <c r="AQ28" i="10"/>
  <c r="AP28" i="10"/>
  <c r="AO28" i="10"/>
  <c r="AN28" i="10"/>
  <c r="AR27" i="10"/>
  <c r="AQ27" i="10"/>
  <c r="AP27" i="10"/>
  <c r="AO27" i="10"/>
  <c r="AN27" i="10"/>
  <c r="AR24" i="10"/>
  <c r="AQ24" i="10"/>
  <c r="AP24" i="10"/>
  <c r="AO24" i="10"/>
  <c r="AN24" i="10"/>
  <c r="AR21" i="10"/>
  <c r="AQ21" i="10"/>
  <c r="AP21" i="10"/>
  <c r="AO21" i="10"/>
  <c r="AN21" i="10"/>
  <c r="AR16" i="10"/>
  <c r="AQ16" i="10"/>
  <c r="AP16" i="10"/>
  <c r="AO16" i="10"/>
  <c r="AN16" i="10"/>
  <c r="AO41" i="17"/>
  <c r="AN41" i="17"/>
  <c r="AO36" i="17"/>
  <c r="AN36" i="17"/>
  <c r="AO29" i="17"/>
  <c r="AN29" i="17"/>
  <c r="AO28" i="17"/>
  <c r="AN28" i="17"/>
  <c r="AO27" i="17"/>
  <c r="AN27" i="17"/>
  <c r="AO24" i="17"/>
  <c r="AN24" i="17"/>
  <c r="AO21" i="17"/>
  <c r="AN21" i="17"/>
  <c r="AO16" i="17"/>
  <c r="AN16" i="17"/>
  <c r="AR41" i="3"/>
  <c r="AQ41" i="3"/>
  <c r="AP41" i="3"/>
  <c r="AO41" i="3"/>
  <c r="AN41" i="3"/>
  <c r="AR36" i="3"/>
  <c r="AQ36" i="3"/>
  <c r="AP36" i="3"/>
  <c r="AO36" i="3"/>
  <c r="AN36" i="3"/>
  <c r="AR29" i="3"/>
  <c r="AQ29" i="3"/>
  <c r="AP29" i="3"/>
  <c r="AO29" i="3"/>
  <c r="AN29" i="3"/>
  <c r="AR28" i="3"/>
  <c r="AQ28" i="3"/>
  <c r="AP28" i="3"/>
  <c r="AO28" i="3"/>
  <c r="AN28" i="3"/>
  <c r="AR27" i="3"/>
  <c r="AQ27" i="3"/>
  <c r="AP27" i="3"/>
  <c r="AO27" i="3"/>
  <c r="AN27" i="3"/>
  <c r="AR24" i="3"/>
  <c r="AQ24" i="3"/>
  <c r="AP24" i="3"/>
  <c r="AO24" i="3"/>
  <c r="AN24" i="3"/>
  <c r="AR21" i="3"/>
  <c r="AQ21" i="3"/>
  <c r="AP21" i="3"/>
  <c r="AO21" i="3"/>
  <c r="AN21" i="3"/>
  <c r="AR16" i="3"/>
  <c r="AQ16" i="3"/>
  <c r="AP16" i="3"/>
  <c r="AO16" i="3"/>
  <c r="AN16" i="3"/>
  <c r="AW41" i="10"/>
  <c r="AV41" i="10"/>
  <c r="AU41" i="10"/>
  <c r="AT41" i="10"/>
  <c r="AS41" i="10"/>
  <c r="AW36" i="10"/>
  <c r="AV36" i="10"/>
  <c r="AU36" i="10"/>
  <c r="AT36" i="10"/>
  <c r="AS36" i="10"/>
  <c r="AW29" i="10"/>
  <c r="AV29" i="10"/>
  <c r="AU29" i="10"/>
  <c r="AT29" i="10"/>
  <c r="AS29" i="10"/>
  <c r="AW28" i="10"/>
  <c r="AV28" i="10"/>
  <c r="AU28" i="10"/>
  <c r="AT28" i="10"/>
  <c r="AS28" i="10"/>
  <c r="AW27" i="10"/>
  <c r="AV27" i="10"/>
  <c r="AU27" i="10"/>
  <c r="AT27" i="10"/>
  <c r="AS27" i="10"/>
  <c r="AW24" i="10"/>
  <c r="AV24" i="10"/>
  <c r="AU24" i="10"/>
  <c r="AT24" i="10"/>
  <c r="AS24" i="10"/>
  <c r="AW21" i="10"/>
  <c r="AV21" i="10"/>
  <c r="AU21" i="10"/>
  <c r="AT21" i="10"/>
  <c r="AS21" i="10"/>
  <c r="AW16" i="10"/>
  <c r="AV16" i="10"/>
  <c r="AU16" i="10"/>
  <c r="AT16" i="10"/>
  <c r="AS16" i="10"/>
  <c r="AW41" i="3"/>
  <c r="AV41" i="3"/>
  <c r="AU41" i="3"/>
  <c r="AT41" i="3"/>
  <c r="AS41" i="3"/>
  <c r="AW36" i="3"/>
  <c r="AV36" i="3"/>
  <c r="AU36" i="3"/>
  <c r="AT36" i="3"/>
  <c r="AS36" i="3"/>
  <c r="AW29" i="3"/>
  <c r="AV29" i="3"/>
  <c r="AU29" i="3"/>
  <c r="AT29" i="3"/>
  <c r="AS29" i="3"/>
  <c r="AW28" i="3"/>
  <c r="AV28" i="3"/>
  <c r="AU28" i="3"/>
  <c r="AT28" i="3"/>
  <c r="AS28" i="3"/>
  <c r="AW27" i="3"/>
  <c r="AV27" i="3"/>
  <c r="AU27" i="3"/>
  <c r="AT27" i="3"/>
  <c r="AS27" i="3"/>
  <c r="AW24" i="3"/>
  <c r="AV24" i="3"/>
  <c r="AU24" i="3"/>
  <c r="AT24" i="3"/>
  <c r="AS24" i="3"/>
  <c r="AW21" i="3"/>
  <c r="AV21" i="3"/>
  <c r="AU21" i="3"/>
  <c r="AT21" i="3"/>
  <c r="AS21" i="3"/>
  <c r="AW16" i="3"/>
  <c r="AV16" i="3"/>
  <c r="AU16" i="3"/>
  <c r="AT16" i="3"/>
  <c r="AS16" i="3"/>
  <c r="BB41" i="10"/>
  <c r="BA41" i="10"/>
  <c r="AZ41" i="10"/>
  <c r="AY41" i="10"/>
  <c r="AX41" i="10"/>
  <c r="BB36" i="10"/>
  <c r="BA36" i="10"/>
  <c r="AZ36" i="10"/>
  <c r="AY36" i="10"/>
  <c r="AX36" i="10"/>
  <c r="BB29" i="10"/>
  <c r="BA29" i="10"/>
  <c r="AZ29" i="10"/>
  <c r="AY29" i="10"/>
  <c r="AX29" i="10"/>
  <c r="BB28" i="10"/>
  <c r="BA28" i="10"/>
  <c r="AZ28" i="10"/>
  <c r="AY28" i="10"/>
  <c r="AX28" i="10"/>
  <c r="BB27" i="10"/>
  <c r="BA27" i="10"/>
  <c r="AZ27" i="10"/>
  <c r="AY27" i="10"/>
  <c r="AX27" i="10"/>
  <c r="BB24" i="10"/>
  <c r="BA24" i="10"/>
  <c r="AZ24" i="10"/>
  <c r="AY24" i="10"/>
  <c r="AX24" i="10"/>
  <c r="BB21" i="10"/>
  <c r="BA21" i="10"/>
  <c r="AZ21" i="10"/>
  <c r="AY21" i="10"/>
  <c r="AX21" i="10"/>
  <c r="BB16" i="10"/>
  <c r="BA16" i="10"/>
  <c r="AZ16" i="10"/>
  <c r="AY16" i="10"/>
  <c r="AX16" i="10"/>
  <c r="BB41" i="3"/>
  <c r="BA41" i="3"/>
  <c r="AZ41" i="3"/>
  <c r="AY41" i="3"/>
  <c r="AX41" i="3"/>
  <c r="BB36" i="3"/>
  <c r="BA36" i="3"/>
  <c r="AZ36" i="3"/>
  <c r="AY36" i="3"/>
  <c r="AX36" i="3"/>
  <c r="BB29" i="3"/>
  <c r="BA29" i="3"/>
  <c r="AZ29" i="3"/>
  <c r="AY29" i="3"/>
  <c r="AX29" i="3"/>
  <c r="BB28" i="3"/>
  <c r="BA28" i="3"/>
  <c r="AZ28" i="3"/>
  <c r="AY28" i="3"/>
  <c r="AX28" i="3"/>
  <c r="BB27" i="3"/>
  <c r="BA27" i="3"/>
  <c r="AZ27" i="3"/>
  <c r="AY27" i="3"/>
  <c r="AX27" i="3"/>
  <c r="BB24" i="3"/>
  <c r="BA24" i="3"/>
  <c r="AZ24" i="3"/>
  <c r="AY24" i="3"/>
  <c r="AX24" i="3"/>
  <c r="BB21" i="3"/>
  <c r="BA21" i="3"/>
  <c r="AZ21" i="3"/>
  <c r="AY21" i="3"/>
  <c r="AX21" i="3"/>
  <c r="BB16" i="3"/>
  <c r="BA16" i="3"/>
  <c r="AZ16" i="3"/>
  <c r="AY16" i="3"/>
  <c r="AX16" i="3"/>
  <c r="BG41" i="10"/>
  <c r="BF41" i="10"/>
  <c r="BE41" i="10"/>
  <c r="BD41" i="10"/>
  <c r="BC41" i="10"/>
  <c r="BG36" i="10"/>
  <c r="BF36" i="10"/>
  <c r="BE36" i="10"/>
  <c r="BD36" i="10"/>
  <c r="BC36" i="10"/>
  <c r="BG29" i="10"/>
  <c r="BF29" i="10"/>
  <c r="BE29" i="10"/>
  <c r="BD29" i="10"/>
  <c r="BC29" i="10"/>
  <c r="BG28" i="10"/>
  <c r="BF28" i="10"/>
  <c r="BE28" i="10"/>
  <c r="BD28" i="10"/>
  <c r="BC28" i="10"/>
  <c r="BG27" i="10"/>
  <c r="BF27" i="10"/>
  <c r="BE27" i="10"/>
  <c r="BD27" i="10"/>
  <c r="BC27" i="10"/>
  <c r="BG24" i="10"/>
  <c r="BF24" i="10"/>
  <c r="BE24" i="10"/>
  <c r="BD24" i="10"/>
  <c r="BC24" i="10"/>
  <c r="BG21" i="10"/>
  <c r="BF21" i="10"/>
  <c r="BE21" i="10"/>
  <c r="BD21" i="10"/>
  <c r="BC21" i="10"/>
  <c r="BG16" i="10"/>
  <c r="BF16" i="10"/>
  <c r="BE16" i="10"/>
  <c r="BD16" i="10"/>
  <c r="BC16" i="10"/>
  <c r="BG41" i="3"/>
  <c r="BF41" i="3"/>
  <c r="BE41" i="3"/>
  <c r="BD41" i="3"/>
  <c r="BC41" i="3"/>
  <c r="BG36" i="3"/>
  <c r="BF36" i="3"/>
  <c r="BE36" i="3"/>
  <c r="BD36" i="3"/>
  <c r="BC36" i="3"/>
  <c r="BG29" i="3"/>
  <c r="BF29" i="3"/>
  <c r="BE29" i="3"/>
  <c r="BD29" i="3"/>
  <c r="BC29" i="3"/>
  <c r="BG28" i="3"/>
  <c r="BF28" i="3"/>
  <c r="BE28" i="3"/>
  <c r="BD28" i="3"/>
  <c r="BC28" i="3"/>
  <c r="BG27" i="3"/>
  <c r="BF27" i="3"/>
  <c r="BE27" i="3"/>
  <c r="BD27" i="3"/>
  <c r="BC27" i="3"/>
  <c r="BG24" i="3"/>
  <c r="BF24" i="3"/>
  <c r="BE24" i="3"/>
  <c r="BD24" i="3"/>
  <c r="BC24" i="3"/>
  <c r="BG21" i="3"/>
  <c r="BF21" i="3"/>
  <c r="BE21" i="3"/>
  <c r="BD21" i="3"/>
  <c r="BC21" i="3"/>
  <c r="BG16" i="3"/>
  <c r="BF16" i="3"/>
  <c r="BE16" i="3"/>
  <c r="BD16" i="3"/>
  <c r="BC16" i="3"/>
  <c r="Q262" i="11" l="1"/>
  <c r="Q264" i="11" s="1"/>
  <c r="M262" i="9"/>
  <c r="M264" i="9" s="1"/>
  <c r="R30" i="11"/>
  <c r="O30" i="11"/>
  <c r="P30" i="11"/>
  <c r="Q30" i="9"/>
  <c r="R30" i="9"/>
  <c r="AA30" i="9"/>
  <c r="AB30" i="9"/>
  <c r="P30" i="9"/>
  <c r="M30" i="16"/>
  <c r="N30" i="16"/>
  <c r="P30" i="16"/>
  <c r="K30" i="3"/>
  <c r="L30" i="3"/>
  <c r="N30" i="3"/>
  <c r="O30" i="3"/>
  <c r="P30" i="3"/>
  <c r="M30" i="3"/>
  <c r="Q30" i="3"/>
  <c r="O30" i="10"/>
  <c r="J30" i="10"/>
  <c r="N30" i="15"/>
  <c r="O30" i="15"/>
  <c r="K30" i="17"/>
  <c r="M30" i="17"/>
  <c r="X30" i="17"/>
  <c r="L30" i="17"/>
  <c r="W30" i="17"/>
  <c r="S30" i="17"/>
  <c r="AH30" i="17"/>
  <c r="O30" i="17"/>
  <c r="P30" i="17"/>
  <c r="R30" i="17"/>
  <c r="K262" i="3"/>
  <c r="K264" i="3" s="1"/>
  <c r="L262" i="3"/>
  <c r="L264" i="3" s="1"/>
  <c r="W30" i="3"/>
  <c r="AF30" i="3"/>
  <c r="X30" i="3"/>
  <c r="S30" i="3"/>
  <c r="J262" i="3"/>
  <c r="J264" i="3" s="1"/>
  <c r="N262" i="3"/>
  <c r="N264" i="3" s="1"/>
  <c r="M262" i="3"/>
  <c r="M264" i="3" s="1"/>
  <c r="V262" i="17"/>
  <c r="V264" i="17" s="1"/>
  <c r="K262" i="17"/>
  <c r="K264" i="17" s="1"/>
  <c r="N262" i="17"/>
  <c r="N264" i="17" s="1"/>
  <c r="N30" i="17"/>
  <c r="M262" i="17"/>
  <c r="M264" i="17" s="1"/>
  <c r="L262" i="17"/>
  <c r="L264" i="17" s="1"/>
  <c r="O262" i="17"/>
  <c r="O264" i="17" s="1"/>
  <c r="M262" i="16"/>
  <c r="M264" i="16" s="1"/>
  <c r="N262" i="16"/>
  <c r="N264" i="16" s="1"/>
  <c r="L262" i="16"/>
  <c r="L264" i="16" s="1"/>
  <c r="K262" i="16"/>
  <c r="K264" i="16" s="1"/>
  <c r="R30" i="16"/>
  <c r="K30" i="16"/>
  <c r="O30" i="16"/>
  <c r="J262" i="16"/>
  <c r="J264" i="16" s="1"/>
  <c r="N262" i="15"/>
  <c r="N264" i="15" s="1"/>
  <c r="L30" i="15"/>
  <c r="K262" i="15"/>
  <c r="K264" i="15" s="1"/>
  <c r="J262" i="15"/>
  <c r="J264" i="15" s="1"/>
  <c r="J30" i="15"/>
  <c r="Q262" i="15"/>
  <c r="Q264" i="15" s="1"/>
  <c r="T30" i="15"/>
  <c r="P30" i="15"/>
  <c r="AE30" i="15"/>
  <c r="L262" i="15"/>
  <c r="L264" i="15" s="1"/>
  <c r="N262" i="11"/>
  <c r="N264" i="11" s="1"/>
  <c r="L30" i="11"/>
  <c r="J262" i="11"/>
  <c r="J264" i="11" s="1"/>
  <c r="Q30" i="11"/>
  <c r="K262" i="11"/>
  <c r="K264" i="11" s="1"/>
  <c r="L262" i="11"/>
  <c r="L264" i="11" s="1"/>
  <c r="M262" i="11"/>
  <c r="M264" i="11" s="1"/>
  <c r="S262" i="10"/>
  <c r="S264" i="10" s="1"/>
  <c r="AF30" i="10"/>
  <c r="K262" i="10"/>
  <c r="K264" i="10" s="1"/>
  <c r="L262" i="10"/>
  <c r="L264" i="10" s="1"/>
  <c r="AH30" i="10"/>
  <c r="M262" i="10"/>
  <c r="M264" i="10" s="1"/>
  <c r="N262" i="10"/>
  <c r="N264" i="10" s="1"/>
  <c r="AB30" i="10"/>
  <c r="K30" i="10"/>
  <c r="J262" i="10"/>
  <c r="J264" i="10" s="1"/>
  <c r="O30" i="9"/>
  <c r="N262" i="9"/>
  <c r="N264" i="9" s="1"/>
  <c r="J262" i="9"/>
  <c r="J264" i="9" s="1"/>
  <c r="K262" i="9"/>
  <c r="K264" i="9" s="1"/>
  <c r="V30" i="9"/>
  <c r="J30" i="9"/>
  <c r="L262" i="9"/>
  <c r="L264" i="9" s="1"/>
  <c r="AP30" i="3"/>
  <c r="O262" i="9"/>
  <c r="O264" i="9" s="1"/>
  <c r="S262" i="3"/>
  <c r="S264" i="3" s="1"/>
  <c r="R262" i="3"/>
  <c r="R264" i="3" s="1"/>
  <c r="BE30" i="10"/>
  <c r="V262" i="16"/>
  <c r="V264" i="16" s="1"/>
  <c r="P262" i="9"/>
  <c r="P264" i="9" s="1"/>
  <c r="O262" i="3"/>
  <c r="O264" i="3" s="1"/>
  <c r="Q262" i="10"/>
  <c r="Q264" i="10" s="1"/>
  <c r="AF30" i="15"/>
  <c r="O262" i="16"/>
  <c r="O264" i="16" s="1"/>
  <c r="R262" i="10"/>
  <c r="R264" i="10" s="1"/>
  <c r="P262" i="17"/>
  <c r="P264" i="17" s="1"/>
  <c r="R262" i="15"/>
  <c r="R264" i="15" s="1"/>
  <c r="R262" i="11"/>
  <c r="R264" i="11" s="1"/>
  <c r="P30" i="10"/>
  <c r="O262" i="10"/>
  <c r="O264" i="10" s="1"/>
  <c r="V30" i="16"/>
  <c r="Q262" i="3"/>
  <c r="Q264" i="3" s="1"/>
  <c r="R262" i="16"/>
  <c r="R264" i="16" s="1"/>
  <c r="S262" i="15"/>
  <c r="S264" i="15" s="1"/>
  <c r="P262" i="10"/>
  <c r="P264" i="10" s="1"/>
  <c r="S262" i="16"/>
  <c r="S264" i="16" s="1"/>
  <c r="O262" i="11"/>
  <c r="O264" i="11" s="1"/>
  <c r="Z30" i="9"/>
  <c r="AB30" i="3"/>
  <c r="Z30" i="10"/>
  <c r="W30" i="9"/>
  <c r="V30" i="17"/>
  <c r="S30" i="9"/>
  <c r="R30" i="3"/>
  <c r="Q30" i="17"/>
  <c r="S262" i="17"/>
  <c r="S264" i="17" s="1"/>
  <c r="R30" i="15"/>
  <c r="P262" i="15"/>
  <c r="P264" i="15" s="1"/>
  <c r="O262" i="15"/>
  <c r="O264" i="15" s="1"/>
  <c r="P262" i="11"/>
  <c r="P264" i="11" s="1"/>
  <c r="S30" i="10"/>
  <c r="AA30" i="10"/>
  <c r="X30" i="9"/>
  <c r="S30" i="15"/>
  <c r="AG30" i="3"/>
  <c r="AE30" i="10"/>
  <c r="U30" i="15"/>
  <c r="S30" i="16"/>
  <c r="Q262" i="16"/>
  <c r="Q264" i="16" s="1"/>
  <c r="P262" i="16"/>
  <c r="P264" i="16" s="1"/>
  <c r="Y30" i="15"/>
  <c r="R262" i="9"/>
  <c r="R264" i="9" s="1"/>
  <c r="Q262" i="9"/>
  <c r="Q264" i="9" s="1"/>
  <c r="P262" i="3"/>
  <c r="P264" i="3" s="1"/>
  <c r="AL30" i="3"/>
  <c r="AG30" i="10"/>
  <c r="Z30" i="15"/>
  <c r="U30" i="16"/>
  <c r="S262" i="9"/>
  <c r="S264" i="9" s="1"/>
  <c r="R262" i="17"/>
  <c r="R264" i="17" s="1"/>
  <c r="Q262" i="17"/>
  <c r="Q264" i="17" s="1"/>
  <c r="Q30" i="15"/>
  <c r="Z262" i="10"/>
  <c r="Z264" i="10" s="1"/>
  <c r="Y262" i="10"/>
  <c r="Y264" i="10" s="1"/>
  <c r="W262" i="3"/>
  <c r="W264" i="3" s="1"/>
  <c r="T262" i="15"/>
  <c r="T264" i="15" s="1"/>
  <c r="X262" i="15"/>
  <c r="X264" i="15" s="1"/>
  <c r="U262" i="10"/>
  <c r="U264" i="10" s="1"/>
  <c r="AM30" i="3"/>
  <c r="AG262" i="15"/>
  <c r="AG264" i="15" s="1"/>
  <c r="AC30" i="9"/>
  <c r="X262" i="9"/>
  <c r="X264" i="9" s="1"/>
  <c r="X262" i="3"/>
  <c r="X264" i="3" s="1"/>
  <c r="V262" i="10"/>
  <c r="V264" i="10" s="1"/>
  <c r="U262" i="16"/>
  <c r="U264" i="16" s="1"/>
  <c r="W262" i="10"/>
  <c r="W264" i="10" s="1"/>
  <c r="T262" i="17"/>
  <c r="T264" i="17" s="1"/>
  <c r="X262" i="10"/>
  <c r="X264" i="10" s="1"/>
  <c r="Z30" i="16"/>
  <c r="T262" i="9"/>
  <c r="T264" i="9" s="1"/>
  <c r="T262" i="3"/>
  <c r="T264" i="3" s="1"/>
  <c r="U262" i="17"/>
  <c r="U264" i="17" s="1"/>
  <c r="V262" i="15"/>
  <c r="V264" i="15" s="1"/>
  <c r="U30" i="10"/>
  <c r="T262" i="10"/>
  <c r="T264" i="10" s="1"/>
  <c r="AU30" i="10"/>
  <c r="Y30" i="17"/>
  <c r="AA30" i="16"/>
  <c r="U262" i="9"/>
  <c r="U264" i="9" s="1"/>
  <c r="U262" i="3"/>
  <c r="U264" i="3" s="1"/>
  <c r="T30" i="16"/>
  <c r="W262" i="15"/>
  <c r="W264" i="15" s="1"/>
  <c r="V30" i="10"/>
  <c r="Z30" i="17"/>
  <c r="V262" i="9"/>
  <c r="V264" i="9" s="1"/>
  <c r="T30" i="3"/>
  <c r="T30" i="17"/>
  <c r="W262" i="17"/>
  <c r="W264" i="17" s="1"/>
  <c r="W262" i="16"/>
  <c r="W264" i="16" s="1"/>
  <c r="W30" i="10"/>
  <c r="Y30" i="3"/>
  <c r="AA30" i="17"/>
  <c r="W262" i="9"/>
  <c r="W264" i="9" s="1"/>
  <c r="U30" i="3"/>
  <c r="U30" i="17"/>
  <c r="X262" i="17"/>
  <c r="X264" i="17" s="1"/>
  <c r="X262" i="16"/>
  <c r="X264" i="16" s="1"/>
  <c r="V30" i="15"/>
  <c r="X30" i="10"/>
  <c r="Z30" i="3"/>
  <c r="AB30" i="17"/>
  <c r="T30" i="9"/>
  <c r="V30" i="3"/>
  <c r="W30" i="16"/>
  <c r="T262" i="16"/>
  <c r="T264" i="16" s="1"/>
  <c r="W30" i="15"/>
  <c r="U262" i="15"/>
  <c r="U264" i="15" s="1"/>
  <c r="AK30" i="17"/>
  <c r="AE30" i="3"/>
  <c r="Y30" i="9"/>
  <c r="AA30" i="3"/>
  <c r="U30" i="9"/>
  <c r="X30" i="16"/>
  <c r="X30" i="15"/>
  <c r="V262" i="3"/>
  <c r="V264" i="3" s="1"/>
  <c r="AO30" i="3"/>
  <c r="AM30" i="17"/>
  <c r="AD30" i="3"/>
  <c r="AH262" i="3"/>
  <c r="AH264" i="3" s="1"/>
  <c r="AF30" i="17"/>
  <c r="AE262" i="17"/>
  <c r="AE264" i="17" s="1"/>
  <c r="AE262" i="10"/>
  <c r="AE264" i="10" s="1"/>
  <c r="Z262" i="9"/>
  <c r="Z264" i="9" s="1"/>
  <c r="AB262" i="9"/>
  <c r="AB264" i="9" s="1"/>
  <c r="Y262" i="3"/>
  <c r="Y264" i="3" s="1"/>
  <c r="AA262" i="3"/>
  <c r="AA264" i="3" s="1"/>
  <c r="Z262" i="17"/>
  <c r="Z264" i="17" s="1"/>
  <c r="Y262" i="16"/>
  <c r="Y264" i="16" s="1"/>
  <c r="AS30" i="3"/>
  <c r="AF262" i="10"/>
  <c r="AF264" i="10" s="1"/>
  <c r="AH262" i="10"/>
  <c r="AH264" i="10" s="1"/>
  <c r="AA262" i="9"/>
  <c r="AA264" i="9" s="1"/>
  <c r="Z262" i="3"/>
  <c r="Z264" i="3" s="1"/>
  <c r="Y262" i="17"/>
  <c r="Y264" i="17" s="1"/>
  <c r="AE262" i="3"/>
  <c r="AE264" i="3" s="1"/>
  <c r="AD262" i="3"/>
  <c r="AD264" i="3" s="1"/>
  <c r="AD262" i="15"/>
  <c r="AD264" i="15" s="1"/>
  <c r="AG262" i="10"/>
  <c r="AG264" i="10" s="1"/>
  <c r="AB262" i="10"/>
  <c r="AB264" i="10" s="1"/>
  <c r="AR30" i="3"/>
  <c r="AF262" i="3"/>
  <c r="AF264" i="3" s="1"/>
  <c r="AE262" i="15"/>
  <c r="AE264" i="15" s="1"/>
  <c r="AC262" i="10"/>
  <c r="AC264" i="10" s="1"/>
  <c r="AU30" i="3"/>
  <c r="AV30" i="3"/>
  <c r="AT30" i="10"/>
  <c r="AF262" i="15"/>
  <c r="AF264" i="15" s="1"/>
  <c r="AC262" i="3"/>
  <c r="AC264" i="3" s="1"/>
  <c r="AB262" i="17"/>
  <c r="AB264" i="17" s="1"/>
  <c r="AA262" i="16"/>
  <c r="AA264" i="16" s="1"/>
  <c r="AM30" i="10"/>
  <c r="AG30" i="17"/>
  <c r="AD30" i="15"/>
  <c r="AH262" i="15"/>
  <c r="AH264" i="15" s="1"/>
  <c r="AC30" i="17"/>
  <c r="AA30" i="15"/>
  <c r="AA262" i="10"/>
  <c r="AA264" i="10" s="1"/>
  <c r="AB30" i="15"/>
  <c r="AC30" i="10"/>
  <c r="AF262" i="17"/>
  <c r="AF264" i="17" s="1"/>
  <c r="Z262" i="15"/>
  <c r="Z264" i="15" s="1"/>
  <c r="AI30" i="3"/>
  <c r="AJ30" i="17"/>
  <c r="AD262" i="9"/>
  <c r="AD264" i="9" s="1"/>
  <c r="AH30" i="3"/>
  <c r="AG262" i="17"/>
  <c r="AG264" i="17" s="1"/>
  <c r="AG30" i="15"/>
  <c r="AD30" i="17"/>
  <c r="AH262" i="17"/>
  <c r="AH264" i="17" s="1"/>
  <c r="AH30" i="15"/>
  <c r="AB262" i="15"/>
  <c r="AB264" i="15" s="1"/>
  <c r="Y262" i="15"/>
  <c r="Y264" i="15" s="1"/>
  <c r="AA262" i="15"/>
  <c r="AA264" i="15" s="1"/>
  <c r="AK30" i="3"/>
  <c r="AL30" i="17"/>
  <c r="AI30" i="15"/>
  <c r="AG262" i="3"/>
  <c r="AG264" i="3" s="1"/>
  <c r="AE30" i="17"/>
  <c r="AD262" i="17"/>
  <c r="AD264" i="17" s="1"/>
  <c r="AD262" i="10"/>
  <c r="AD264" i="10" s="1"/>
  <c r="Y262" i="9"/>
  <c r="Y264" i="9" s="1"/>
  <c r="AC262" i="9"/>
  <c r="AC264" i="9" s="1"/>
  <c r="AB262" i="3"/>
  <c r="AB264" i="3" s="1"/>
  <c r="AA262" i="17"/>
  <c r="AA264" i="17" s="1"/>
  <c r="AC262" i="17"/>
  <c r="AC264" i="17" s="1"/>
  <c r="Z262" i="16"/>
  <c r="Z264" i="16" s="1"/>
  <c r="AC262" i="15"/>
  <c r="AC264" i="15" s="1"/>
  <c r="AM262" i="17"/>
  <c r="AM264" i="17" s="1"/>
  <c r="AI262" i="15"/>
  <c r="AI264" i="15" s="1"/>
  <c r="AL262" i="17"/>
  <c r="AL264" i="17" s="1"/>
  <c r="AK262" i="17"/>
  <c r="AK264" i="17" s="1"/>
  <c r="AJ262" i="10"/>
  <c r="AJ264" i="10" s="1"/>
  <c r="AV30" i="10"/>
  <c r="AM262" i="3"/>
  <c r="AM264" i="3" s="1"/>
  <c r="AL262" i="3"/>
  <c r="AL264" i="3" s="1"/>
  <c r="AK262" i="10"/>
  <c r="AK264" i="10" s="1"/>
  <c r="AW30" i="10"/>
  <c r="AL262" i="10"/>
  <c r="AL264" i="10" s="1"/>
  <c r="BD30" i="3"/>
  <c r="AT262" i="3"/>
  <c r="AT264" i="3" s="1"/>
  <c r="AI30" i="10"/>
  <c r="AM262" i="10"/>
  <c r="AM264" i="10" s="1"/>
  <c r="AW30" i="3"/>
  <c r="AN30" i="17"/>
  <c r="AI262" i="3"/>
  <c r="AI264" i="3" s="1"/>
  <c r="AI262" i="17"/>
  <c r="AI264" i="17" s="1"/>
  <c r="AJ30" i="10"/>
  <c r="AI262" i="10"/>
  <c r="AI264" i="10" s="1"/>
  <c r="BB30" i="3"/>
  <c r="AO30" i="17"/>
  <c r="AO262" i="10"/>
  <c r="AO264" i="10" s="1"/>
  <c r="AJ262" i="3"/>
  <c r="AJ264" i="3" s="1"/>
  <c r="AJ262" i="17"/>
  <c r="AJ264" i="17" s="1"/>
  <c r="AK30" i="10"/>
  <c r="AN30" i="3"/>
  <c r="AJ30" i="3"/>
  <c r="AK262" i="3"/>
  <c r="AK264" i="3" s="1"/>
  <c r="AI30" i="17"/>
  <c r="AL30" i="10"/>
  <c r="AR262" i="3"/>
  <c r="AR264" i="3" s="1"/>
  <c r="AQ262" i="3"/>
  <c r="AQ264" i="3" s="1"/>
  <c r="AS262" i="3"/>
  <c r="AS264" i="3" s="1"/>
  <c r="BC30" i="10"/>
  <c r="AP262" i="10"/>
  <c r="AP264" i="10" s="1"/>
  <c r="BD30" i="10"/>
  <c r="AZ30" i="10"/>
  <c r="AX262" i="10"/>
  <c r="AX264" i="10" s="1"/>
  <c r="AS262" i="10"/>
  <c r="AS264" i="10" s="1"/>
  <c r="AQ262" i="10"/>
  <c r="AQ264" i="10" s="1"/>
  <c r="AY30" i="3"/>
  <c r="BA30" i="10"/>
  <c r="AT262" i="10"/>
  <c r="AT264" i="10" s="1"/>
  <c r="AN262" i="3"/>
  <c r="AN264" i="3" s="1"/>
  <c r="AN262" i="17"/>
  <c r="AN264" i="17" s="1"/>
  <c r="AN30" i="10"/>
  <c r="AR262" i="10"/>
  <c r="AR264" i="10" s="1"/>
  <c r="AS30" i="10"/>
  <c r="AU262" i="10"/>
  <c r="AU264" i="10" s="1"/>
  <c r="AO262" i="3"/>
  <c r="AO264" i="3" s="1"/>
  <c r="AO262" i="17"/>
  <c r="AO264" i="17" s="1"/>
  <c r="AO30" i="10"/>
  <c r="AN262" i="10"/>
  <c r="AN264" i="10" s="1"/>
  <c r="BE30" i="3"/>
  <c r="BG30" i="10"/>
  <c r="AV262" i="10"/>
  <c r="AV264" i="10" s="1"/>
  <c r="AP262" i="3"/>
  <c r="AP264" i="3" s="1"/>
  <c r="AP30" i="10"/>
  <c r="AQ30" i="10"/>
  <c r="AQ30" i="3"/>
  <c r="AR30" i="10"/>
  <c r="AW262" i="10"/>
  <c r="AW264" i="10" s="1"/>
  <c r="AV262" i="3"/>
  <c r="AV264" i="3" s="1"/>
  <c r="AU262" i="3"/>
  <c r="AU264" i="3" s="1"/>
  <c r="BC30" i="3"/>
  <c r="AT30" i="3"/>
  <c r="AZ30" i="3"/>
  <c r="AW262" i="3"/>
  <c r="AW264" i="3" s="1"/>
  <c r="BD262" i="3"/>
  <c r="BD264" i="3" s="1"/>
  <c r="BA30" i="3"/>
  <c r="BF262" i="3"/>
  <c r="BF264" i="3" s="1"/>
  <c r="AY262" i="10"/>
  <c r="AY264" i="10" s="1"/>
  <c r="BF30" i="10"/>
  <c r="AY262" i="3"/>
  <c r="AY264" i="3" s="1"/>
  <c r="AZ262" i="10"/>
  <c r="AZ264" i="10" s="1"/>
  <c r="AX262" i="3"/>
  <c r="AX264" i="3" s="1"/>
  <c r="BA262" i="10"/>
  <c r="BA264" i="10" s="1"/>
  <c r="AX30" i="3"/>
  <c r="BA262" i="3"/>
  <c r="BA264" i="3" s="1"/>
  <c r="AX30" i="10"/>
  <c r="BB262" i="10"/>
  <c r="BB264" i="10" s="1"/>
  <c r="BG30" i="3"/>
  <c r="AZ262" i="3"/>
  <c r="AZ264" i="3" s="1"/>
  <c r="AY30" i="10"/>
  <c r="BB262" i="3"/>
  <c r="BB264" i="3" s="1"/>
  <c r="BB30" i="10"/>
  <c r="BF262" i="10"/>
  <c r="BF264" i="10" s="1"/>
  <c r="BC262" i="3"/>
  <c r="BC264" i="3" s="1"/>
  <c r="BE262" i="10"/>
  <c r="BE264" i="10" s="1"/>
  <c r="BE262" i="3"/>
  <c r="BE264" i="3" s="1"/>
  <c r="BG262" i="10"/>
  <c r="BG264" i="10" s="1"/>
  <c r="BC262" i="10"/>
  <c r="BC264" i="10" s="1"/>
  <c r="BF30" i="3"/>
  <c r="BD262" i="10"/>
  <c r="BD264" i="10" s="1"/>
  <c r="BG262" i="3"/>
  <c r="BG264" i="3" s="1"/>
  <c r="AP263" i="17"/>
  <c r="AP252" i="17"/>
  <c r="AP251" i="17"/>
  <c r="AP250" i="17"/>
  <c r="AP249" i="17"/>
  <c r="AP246" i="17"/>
  <c r="AP245" i="17"/>
  <c r="AP244" i="17"/>
  <c r="AP243" i="17"/>
  <c r="AP242" i="17"/>
  <c r="AP241" i="17"/>
  <c r="AP240" i="17"/>
  <c r="AP239" i="17"/>
  <c r="AP238" i="17"/>
  <c r="AP237" i="17"/>
  <c r="AP229" i="17"/>
  <c r="AP228" i="17"/>
  <c r="AP227" i="17"/>
  <c r="AP226" i="17"/>
  <c r="AP225" i="17"/>
  <c r="AP216" i="17"/>
  <c r="AP215" i="17"/>
  <c r="AP214" i="17"/>
  <c r="AP213" i="17"/>
  <c r="AP210" i="17"/>
  <c r="AP209" i="17"/>
  <c r="AP208" i="17"/>
  <c r="AP207" i="17"/>
  <c r="AP206" i="17"/>
  <c r="AP205" i="17"/>
  <c r="AP204" i="17"/>
  <c r="AP203" i="17"/>
  <c r="AP202" i="17"/>
  <c r="AP201" i="17"/>
  <c r="AP198" i="17"/>
  <c r="AP197" i="17"/>
  <c r="AP196" i="17"/>
  <c r="AP195" i="17"/>
  <c r="AP194" i="17"/>
  <c r="AP193" i="17"/>
  <c r="AP192" i="17"/>
  <c r="AP191" i="17"/>
  <c r="AP190" i="17"/>
  <c r="AP189" i="17"/>
  <c r="AP186" i="17"/>
  <c r="AP185" i="17"/>
  <c r="AP184" i="17"/>
  <c r="AP183" i="17"/>
  <c r="AP182" i="17"/>
  <c r="AP181" i="17"/>
  <c r="AP180" i="17"/>
  <c r="AP179" i="17"/>
  <c r="AP178" i="17"/>
  <c r="AP177" i="17"/>
  <c r="AP166" i="17"/>
  <c r="AP165" i="17"/>
  <c r="AP144" i="17"/>
  <c r="AP143" i="17"/>
  <c r="AP142" i="17"/>
  <c r="AP141" i="17"/>
  <c r="AP138" i="17"/>
  <c r="AP137" i="17"/>
  <c r="AP136" i="17"/>
  <c r="AP135" i="17"/>
  <c r="AP134" i="17"/>
  <c r="AP133" i="17"/>
  <c r="AP132" i="17"/>
  <c r="AP131" i="17"/>
  <c r="AP130" i="17"/>
  <c r="AP129" i="17"/>
  <c r="AP122" i="17"/>
  <c r="AP121" i="17"/>
  <c r="AP120" i="17"/>
  <c r="AP119" i="17"/>
  <c r="AP118" i="17"/>
  <c r="AP117" i="17"/>
  <c r="AP107" i="17"/>
  <c r="AP106" i="17"/>
  <c r="AP105" i="17"/>
  <c r="AP102" i="17"/>
  <c r="AP101" i="17"/>
  <c r="AP100" i="17"/>
  <c r="AP99" i="17"/>
  <c r="AP98" i="17"/>
  <c r="AP97" i="17"/>
  <c r="AP96" i="17"/>
  <c r="AP95" i="17"/>
  <c r="AP94" i="17"/>
  <c r="AP93" i="17"/>
  <c r="AP90" i="17"/>
  <c r="AP89" i="17"/>
  <c r="AP88" i="17"/>
  <c r="AP87" i="17"/>
  <c r="AP86" i="17"/>
  <c r="AP85" i="17"/>
  <c r="AP84" i="17"/>
  <c r="AP83" i="17"/>
  <c r="AP82" i="17"/>
  <c r="AP81" i="17"/>
  <c r="AP78" i="17"/>
  <c r="AP77" i="17"/>
  <c r="AP76" i="17"/>
  <c r="AP75" i="17"/>
  <c r="AP74" i="17"/>
  <c r="AP73" i="17"/>
  <c r="AP72" i="17"/>
  <c r="AP71" i="17"/>
  <c r="AP70" i="17"/>
  <c r="AP69" i="17"/>
  <c r="AP66" i="17"/>
  <c r="AP65" i="17"/>
  <c r="AP64" i="17"/>
  <c r="AP63" i="17"/>
  <c r="AP62" i="17"/>
  <c r="AP61" i="17"/>
  <c r="AP60" i="17"/>
  <c r="AP59" i="17"/>
  <c r="AP58" i="17"/>
  <c r="AP57" i="17"/>
  <c r="AP54" i="17"/>
  <c r="AP53" i="17"/>
  <c r="AP52" i="17"/>
  <c r="AP51" i="17"/>
  <c r="AP50" i="17"/>
  <c r="AP49" i="17"/>
  <c r="AP48" i="17"/>
  <c r="AP47" i="17"/>
  <c r="AP46" i="17"/>
  <c r="AP45" i="17"/>
  <c r="I41" i="17"/>
  <c r="H41" i="17"/>
  <c r="G41" i="17"/>
  <c r="F41" i="17"/>
  <c r="E41" i="17"/>
  <c r="AP40" i="17"/>
  <c r="AP39" i="17"/>
  <c r="I36" i="17"/>
  <c r="H36" i="17"/>
  <c r="G36" i="17"/>
  <c r="F36" i="17"/>
  <c r="E36" i="17"/>
  <c r="AP35" i="17"/>
  <c r="AP34" i="17"/>
  <c r="AP33" i="17"/>
  <c r="I29" i="17"/>
  <c r="H29" i="17"/>
  <c r="G29" i="17"/>
  <c r="F29" i="17"/>
  <c r="E29" i="17"/>
  <c r="I28" i="17"/>
  <c r="H28" i="17"/>
  <c r="G28" i="17"/>
  <c r="F28" i="17"/>
  <c r="E28" i="17"/>
  <c r="I27" i="17"/>
  <c r="H27" i="17"/>
  <c r="G27" i="17"/>
  <c r="F27" i="17"/>
  <c r="E27" i="17"/>
  <c r="AP26" i="17"/>
  <c r="AP25" i="17"/>
  <c r="I24" i="17"/>
  <c r="H24" i="17"/>
  <c r="G24" i="17"/>
  <c r="F24" i="17"/>
  <c r="E24" i="17"/>
  <c r="AP23" i="17"/>
  <c r="AP22" i="17"/>
  <c r="I21" i="17"/>
  <c r="H21" i="17"/>
  <c r="G21" i="17"/>
  <c r="F21" i="17"/>
  <c r="E21" i="17"/>
  <c r="AP20" i="17"/>
  <c r="AP19" i="17"/>
  <c r="I16" i="17"/>
  <c r="H16" i="17"/>
  <c r="G16" i="17"/>
  <c r="F16" i="17"/>
  <c r="E16" i="17"/>
  <c r="AP15" i="17"/>
  <c r="AP14" i="17"/>
  <c r="AB263" i="16"/>
  <c r="AB252" i="16"/>
  <c r="AB251" i="16"/>
  <c r="AB250" i="16"/>
  <c r="AB249" i="16"/>
  <c r="AB259" i="16" s="1"/>
  <c r="AB246" i="16"/>
  <c r="AB245" i="16"/>
  <c r="AB244" i="16"/>
  <c r="AB243" i="16"/>
  <c r="AB242" i="16"/>
  <c r="AB241" i="16"/>
  <c r="AB240" i="16"/>
  <c r="AB239" i="16"/>
  <c r="AB238" i="16"/>
  <c r="AB237" i="16"/>
  <c r="AB229" i="16"/>
  <c r="AB228" i="16"/>
  <c r="AB227" i="16"/>
  <c r="AB226" i="16"/>
  <c r="AB225" i="16"/>
  <c r="AB216" i="16"/>
  <c r="AB215" i="16"/>
  <c r="AB214" i="16"/>
  <c r="AB213" i="16"/>
  <c r="AB210" i="16"/>
  <c r="AB209" i="16"/>
  <c r="AB208" i="16"/>
  <c r="AB207" i="16"/>
  <c r="AB206" i="16"/>
  <c r="AB205" i="16"/>
  <c r="AB204" i="16"/>
  <c r="AB203" i="16"/>
  <c r="AB202" i="16"/>
  <c r="AB201" i="16"/>
  <c r="AB198" i="16"/>
  <c r="AB197" i="16"/>
  <c r="AB196" i="16"/>
  <c r="AB195" i="16"/>
  <c r="AB194" i="16"/>
  <c r="AB193" i="16"/>
  <c r="AB192" i="16"/>
  <c r="AB191" i="16"/>
  <c r="AB190" i="16"/>
  <c r="AB189" i="16"/>
  <c r="AB186" i="16"/>
  <c r="AB185" i="16"/>
  <c r="AB184" i="16"/>
  <c r="AB183" i="16"/>
  <c r="AB182" i="16"/>
  <c r="AB181" i="16"/>
  <c r="AB180" i="16"/>
  <c r="AB179" i="16"/>
  <c r="AB178" i="16"/>
  <c r="AB177" i="16"/>
  <c r="AB166" i="16"/>
  <c r="AB165" i="16"/>
  <c r="AB144" i="16"/>
  <c r="AB143" i="16"/>
  <c r="AB142" i="16"/>
  <c r="AB141" i="16"/>
  <c r="AB138" i="16"/>
  <c r="AB137" i="16"/>
  <c r="AB136" i="16"/>
  <c r="AB135" i="16"/>
  <c r="AB134" i="16"/>
  <c r="AB133" i="16"/>
  <c r="AB132" i="16"/>
  <c r="AB131" i="16"/>
  <c r="AB130" i="16"/>
  <c r="AB129" i="16"/>
  <c r="AB122" i="16"/>
  <c r="AB121" i="16"/>
  <c r="AB120" i="16"/>
  <c r="AB119" i="16"/>
  <c r="AB118" i="16"/>
  <c r="AB117" i="16"/>
  <c r="AB107" i="16"/>
  <c r="AB106" i="16"/>
  <c r="AB105" i="16"/>
  <c r="AB115" i="16" s="1"/>
  <c r="AB102" i="16"/>
  <c r="AB101" i="16"/>
  <c r="AB100" i="16"/>
  <c r="AB99" i="16"/>
  <c r="AB98" i="16"/>
  <c r="AB97" i="16"/>
  <c r="AB96" i="16"/>
  <c r="AB95" i="16"/>
  <c r="AB94" i="16"/>
  <c r="AB93" i="16"/>
  <c r="AB103" i="16" s="1"/>
  <c r="AB90" i="16"/>
  <c r="AB89" i="16"/>
  <c r="AB88" i="16"/>
  <c r="AB87" i="16"/>
  <c r="AB86" i="16"/>
  <c r="AB85" i="16"/>
  <c r="AB84" i="16"/>
  <c r="AB83" i="16"/>
  <c r="AB82" i="16"/>
  <c r="AB81" i="16"/>
  <c r="AB78" i="16"/>
  <c r="AB77" i="16"/>
  <c r="AB76" i="16"/>
  <c r="AB75" i="16"/>
  <c r="AB74" i="16"/>
  <c r="AB73" i="16"/>
  <c r="AB72" i="16"/>
  <c r="AB71" i="16"/>
  <c r="AB70" i="16"/>
  <c r="AB69" i="16"/>
  <c r="AB79" i="16" s="1"/>
  <c r="AB66" i="16"/>
  <c r="AB65" i="16"/>
  <c r="AB64" i="16"/>
  <c r="AB63" i="16"/>
  <c r="AB62" i="16"/>
  <c r="AB61" i="16"/>
  <c r="AB60" i="16"/>
  <c r="AB59" i="16"/>
  <c r="AB58" i="16"/>
  <c r="AB57" i="16"/>
  <c r="AB54" i="16"/>
  <c r="AB53" i="16"/>
  <c r="AB52" i="16"/>
  <c r="AB51" i="16"/>
  <c r="AB50" i="16"/>
  <c r="AB49" i="16"/>
  <c r="AB48" i="16"/>
  <c r="AB47" i="16"/>
  <c r="AB46" i="16"/>
  <c r="AB45" i="16"/>
  <c r="I41" i="16"/>
  <c r="H41" i="16"/>
  <c r="G41" i="16"/>
  <c r="F41" i="16"/>
  <c r="E41" i="16"/>
  <c r="AB40" i="16"/>
  <c r="AB39" i="16"/>
  <c r="I36" i="16"/>
  <c r="H36" i="16"/>
  <c r="G36" i="16"/>
  <c r="F36" i="16"/>
  <c r="E36" i="16"/>
  <c r="AB35" i="16"/>
  <c r="AB34" i="16"/>
  <c r="AB33" i="16"/>
  <c r="I29" i="16"/>
  <c r="H29" i="16"/>
  <c r="G29" i="16"/>
  <c r="F29" i="16"/>
  <c r="E29" i="16"/>
  <c r="I28" i="16"/>
  <c r="H28" i="16"/>
  <c r="G28" i="16"/>
  <c r="F28" i="16"/>
  <c r="E28" i="16"/>
  <c r="I27" i="16"/>
  <c r="H27" i="16"/>
  <c r="G27" i="16"/>
  <c r="F27" i="16"/>
  <c r="E27" i="16"/>
  <c r="AB26" i="16"/>
  <c r="AB25" i="16"/>
  <c r="I24" i="16"/>
  <c r="H24" i="16"/>
  <c r="G24" i="16"/>
  <c r="F24" i="16"/>
  <c r="E24" i="16"/>
  <c r="AB23" i="16"/>
  <c r="AB22" i="16"/>
  <c r="I21" i="16"/>
  <c r="H21" i="16"/>
  <c r="G21" i="16"/>
  <c r="F21" i="16"/>
  <c r="E21" i="16"/>
  <c r="AB20" i="16"/>
  <c r="AB19" i="16"/>
  <c r="I16" i="16"/>
  <c r="H16" i="16"/>
  <c r="G16" i="16"/>
  <c r="F16" i="16"/>
  <c r="E16" i="16"/>
  <c r="AB15" i="16"/>
  <c r="AB14" i="16"/>
  <c r="AJ263" i="15"/>
  <c r="AJ252" i="15"/>
  <c r="AJ251" i="15"/>
  <c r="AJ250" i="15"/>
  <c r="AJ249" i="15"/>
  <c r="AJ259" i="15" s="1"/>
  <c r="AJ229" i="15"/>
  <c r="AJ228" i="15"/>
  <c r="AJ227" i="15"/>
  <c r="AJ226" i="15"/>
  <c r="AJ225" i="15"/>
  <c r="AJ235" i="15" s="1"/>
  <c r="AJ216" i="15"/>
  <c r="AJ215" i="15"/>
  <c r="AJ214" i="15"/>
  <c r="AJ213" i="15"/>
  <c r="AJ223" i="15" s="1"/>
  <c r="AJ198" i="15"/>
  <c r="AJ197" i="15"/>
  <c r="AJ196" i="15"/>
  <c r="AJ195" i="15"/>
  <c r="AJ194" i="15"/>
  <c r="AJ193" i="15"/>
  <c r="AJ192" i="15"/>
  <c r="AJ191" i="15"/>
  <c r="AJ190" i="15"/>
  <c r="AJ189" i="15"/>
  <c r="AJ186" i="15"/>
  <c r="AJ185" i="15"/>
  <c r="AJ184" i="15"/>
  <c r="AJ183" i="15"/>
  <c r="AJ182" i="15"/>
  <c r="AJ181" i="15"/>
  <c r="AJ180" i="15"/>
  <c r="AJ179" i="15"/>
  <c r="AJ178" i="15"/>
  <c r="AJ177" i="15"/>
  <c r="AJ166" i="15"/>
  <c r="AJ165" i="15"/>
  <c r="AJ144" i="15"/>
  <c r="AJ143" i="15"/>
  <c r="AJ142" i="15"/>
  <c r="AJ141" i="15"/>
  <c r="AJ138" i="15"/>
  <c r="AJ137" i="15"/>
  <c r="AJ136" i="15"/>
  <c r="AJ135" i="15"/>
  <c r="AJ134" i="15"/>
  <c r="AJ133" i="15"/>
  <c r="AJ132" i="15"/>
  <c r="AJ131" i="15"/>
  <c r="AJ130" i="15"/>
  <c r="AJ129" i="15"/>
  <c r="AJ122" i="15"/>
  <c r="AJ121" i="15"/>
  <c r="AJ120" i="15"/>
  <c r="AJ119" i="15"/>
  <c r="AJ118" i="15"/>
  <c r="AJ117" i="15"/>
  <c r="AJ107" i="15"/>
  <c r="AJ106" i="15"/>
  <c r="AJ105" i="15"/>
  <c r="AJ102" i="15"/>
  <c r="AJ101" i="15"/>
  <c r="AJ100" i="15"/>
  <c r="AJ99" i="15"/>
  <c r="AJ98" i="15"/>
  <c r="AJ97" i="15"/>
  <c r="AJ96" i="15"/>
  <c r="AJ95" i="15"/>
  <c r="AJ94" i="15"/>
  <c r="AJ93" i="15"/>
  <c r="AJ90" i="15"/>
  <c r="AJ89" i="15"/>
  <c r="AJ88" i="15"/>
  <c r="AJ87" i="15"/>
  <c r="AJ86" i="15"/>
  <c r="AJ85" i="15"/>
  <c r="AJ84" i="15"/>
  <c r="AJ83" i="15"/>
  <c r="AJ82" i="15"/>
  <c r="AJ81" i="15"/>
  <c r="AJ78" i="15"/>
  <c r="AJ77" i="15"/>
  <c r="AJ76" i="15"/>
  <c r="AJ75" i="15"/>
  <c r="AJ74" i="15"/>
  <c r="AJ73" i="15"/>
  <c r="AJ72" i="15"/>
  <c r="AJ71" i="15"/>
  <c r="AJ70" i="15"/>
  <c r="AJ69" i="15"/>
  <c r="AJ66" i="15"/>
  <c r="AJ65" i="15"/>
  <c r="AJ64" i="15"/>
  <c r="AJ63" i="15"/>
  <c r="AJ62" i="15"/>
  <c r="AJ61" i="15"/>
  <c r="AJ60" i="15"/>
  <c r="AJ59" i="15"/>
  <c r="AJ58" i="15"/>
  <c r="AJ57" i="15"/>
  <c r="AJ54" i="15"/>
  <c r="AJ53" i="15"/>
  <c r="AJ52" i="15"/>
  <c r="AJ51" i="15"/>
  <c r="AJ50" i="15"/>
  <c r="AJ49" i="15"/>
  <c r="AJ48" i="15"/>
  <c r="AJ47" i="15"/>
  <c r="AJ46" i="15"/>
  <c r="AJ45" i="15"/>
  <c r="I41" i="15"/>
  <c r="H41" i="15"/>
  <c r="G41" i="15"/>
  <c r="F41" i="15"/>
  <c r="E41" i="15"/>
  <c r="AJ40" i="15"/>
  <c r="AJ39" i="15"/>
  <c r="I36" i="15"/>
  <c r="H36" i="15"/>
  <c r="G36" i="15"/>
  <c r="F36" i="15"/>
  <c r="E36" i="15"/>
  <c r="AJ35" i="15"/>
  <c r="AJ34" i="15"/>
  <c r="AJ33" i="15"/>
  <c r="I29" i="15"/>
  <c r="H29" i="15"/>
  <c r="G29" i="15"/>
  <c r="F29" i="15"/>
  <c r="E29" i="15"/>
  <c r="I28" i="15"/>
  <c r="H28" i="15"/>
  <c r="G28" i="15"/>
  <c r="F28" i="15"/>
  <c r="E28" i="15"/>
  <c r="I27" i="15"/>
  <c r="H27" i="15"/>
  <c r="G27" i="15"/>
  <c r="F27" i="15"/>
  <c r="E27" i="15"/>
  <c r="AJ26" i="15"/>
  <c r="AJ25" i="15"/>
  <c r="I24" i="15"/>
  <c r="H24" i="15"/>
  <c r="G24" i="15"/>
  <c r="F24" i="15"/>
  <c r="E24" i="15"/>
  <c r="AJ23" i="15"/>
  <c r="AJ22" i="15"/>
  <c r="I21" i="15"/>
  <c r="H21" i="15"/>
  <c r="G21" i="15"/>
  <c r="F21" i="15"/>
  <c r="E21" i="15"/>
  <c r="AJ20" i="15"/>
  <c r="AJ19" i="15"/>
  <c r="I16" i="15"/>
  <c r="H16" i="15"/>
  <c r="G16" i="15"/>
  <c r="F16" i="15"/>
  <c r="E16" i="15"/>
  <c r="AJ15" i="15"/>
  <c r="AJ14" i="15"/>
  <c r="BL244" i="3"/>
  <c r="BL245" i="3"/>
  <c r="BL246" i="3"/>
  <c r="BL208" i="3"/>
  <c r="BL209" i="3"/>
  <c r="BL210" i="3"/>
  <c r="BL196" i="3"/>
  <c r="BL197" i="3"/>
  <c r="BL198" i="3"/>
  <c r="BL184" i="3"/>
  <c r="BL185" i="3"/>
  <c r="BL186" i="3"/>
  <c r="BL137" i="3"/>
  <c r="BL138" i="3"/>
  <c r="BL121" i="3"/>
  <c r="BL122" i="3"/>
  <c r="BL101" i="3"/>
  <c r="BL102" i="3"/>
  <c r="BL89" i="3"/>
  <c r="BL90" i="3"/>
  <c r="BL77" i="3"/>
  <c r="BL78" i="3"/>
  <c r="BL65" i="3"/>
  <c r="BL66" i="3"/>
  <c r="S245" i="11"/>
  <c r="S246" i="11"/>
  <c r="S208" i="11"/>
  <c r="S209" i="11"/>
  <c r="S210" i="11"/>
  <c r="S196" i="11"/>
  <c r="S197" i="11"/>
  <c r="S198" i="11"/>
  <c r="S185" i="11"/>
  <c r="S186" i="11"/>
  <c r="S89" i="11"/>
  <c r="S90" i="11"/>
  <c r="S77" i="11"/>
  <c r="S78" i="11"/>
  <c r="S64" i="11"/>
  <c r="S65" i="11"/>
  <c r="S66" i="11"/>
  <c r="S53" i="11"/>
  <c r="S54" i="11"/>
  <c r="BK245" i="10"/>
  <c r="BK246" i="10"/>
  <c r="BK210" i="10"/>
  <c r="BK209" i="10"/>
  <c r="BK197" i="10"/>
  <c r="BK198" i="10"/>
  <c r="BK186" i="10"/>
  <c r="BK185" i="10"/>
  <c r="BK138" i="10"/>
  <c r="BK137" i="10"/>
  <c r="BK121" i="10"/>
  <c r="BK122" i="10"/>
  <c r="BK102" i="10"/>
  <c r="BK101" i="10"/>
  <c r="BK90" i="10"/>
  <c r="BK89" i="10"/>
  <c r="BK78" i="10"/>
  <c r="BK77" i="10"/>
  <c r="BK66" i="10"/>
  <c r="BK65" i="10"/>
  <c r="BK54" i="10"/>
  <c r="BK53" i="10"/>
  <c r="AE245" i="9"/>
  <c r="AE246" i="9"/>
  <c r="AE209" i="9"/>
  <c r="AE210" i="9"/>
  <c r="AE197" i="9"/>
  <c r="AE198" i="9"/>
  <c r="AE185" i="9"/>
  <c r="AE186" i="9"/>
  <c r="AE137" i="9"/>
  <c r="AE138" i="9"/>
  <c r="AE121" i="9"/>
  <c r="AE122" i="9"/>
  <c r="AE102" i="9"/>
  <c r="AE90" i="9"/>
  <c r="AE101" i="9"/>
  <c r="AE89" i="9"/>
  <c r="AE77" i="9"/>
  <c r="AE78" i="9"/>
  <c r="AE65" i="9"/>
  <c r="AE66" i="9"/>
  <c r="AE53" i="9"/>
  <c r="AE54" i="9"/>
  <c r="AB247" i="16" l="1"/>
  <c r="AB235" i="16"/>
  <c r="AB223" i="16"/>
  <c r="AB211" i="16"/>
  <c r="AB199" i="16"/>
  <c r="AB175" i="16"/>
  <c r="AB187" i="16"/>
  <c r="AB151" i="16"/>
  <c r="AB127" i="16"/>
  <c r="AB139" i="16"/>
  <c r="AB91" i="16"/>
  <c r="AJ247" i="15"/>
  <c r="AJ199" i="15"/>
  <c r="AJ211" i="15"/>
  <c r="AJ187" i="15"/>
  <c r="AJ175" i="15"/>
  <c r="AJ151" i="15"/>
  <c r="AJ139" i="15"/>
  <c r="AJ127" i="15"/>
  <c r="AJ115" i="15"/>
  <c r="AJ103" i="15"/>
  <c r="AJ91" i="15"/>
  <c r="AJ79" i="15"/>
  <c r="AJ67" i="15"/>
  <c r="AJ55" i="15"/>
  <c r="G30" i="15"/>
  <c r="E89" i="1"/>
  <c r="H30" i="15"/>
  <c r="E30" i="15"/>
  <c r="AB21" i="16"/>
  <c r="E66" i="1"/>
  <c r="E101" i="1"/>
  <c r="E65" i="1"/>
  <c r="E102" i="1"/>
  <c r="E210" i="1"/>
  <c r="E137" i="1"/>
  <c r="G30" i="17"/>
  <c r="E90" i="1"/>
  <c r="E197" i="1"/>
  <c r="E198" i="1"/>
  <c r="E186" i="1"/>
  <c r="E53" i="1"/>
  <c r="E158" i="1"/>
  <c r="E122" i="1"/>
  <c r="E245" i="1"/>
  <c r="E30" i="16"/>
  <c r="E246" i="1"/>
  <c r="I30" i="15"/>
  <c r="E121" i="1"/>
  <c r="E54" i="1"/>
  <c r="E185" i="1"/>
  <c r="E159" i="1"/>
  <c r="F262" i="16"/>
  <c r="F264" i="16" s="1"/>
  <c r="E160" i="1"/>
  <c r="E78" i="1"/>
  <c r="E209" i="1"/>
  <c r="E138" i="1"/>
  <c r="E77" i="1"/>
  <c r="AB163" i="16"/>
  <c r="AB28" i="16"/>
  <c r="E262" i="16"/>
  <c r="E264" i="16" s="1"/>
  <c r="G262" i="16"/>
  <c r="G264" i="16" s="1"/>
  <c r="AB36" i="16"/>
  <c r="I262" i="16"/>
  <c r="I264" i="16" s="1"/>
  <c r="AB24" i="16"/>
  <c r="F30" i="16"/>
  <c r="F30" i="15"/>
  <c r="G30" i="16"/>
  <c r="F30" i="17"/>
  <c r="H262" i="16"/>
  <c r="H264" i="16" s="1"/>
  <c r="AB16" i="16"/>
  <c r="H30" i="16"/>
  <c r="I30" i="16"/>
  <c r="I30" i="17"/>
  <c r="AB41" i="16"/>
  <c r="AB27" i="16"/>
  <c r="H262" i="17"/>
  <c r="H264" i="17" s="1"/>
  <c r="AP24" i="17"/>
  <c r="AP175" i="17"/>
  <c r="I262" i="17"/>
  <c r="I264" i="17" s="1"/>
  <c r="E262" i="17"/>
  <c r="E264" i="17" s="1"/>
  <c r="AP79" i="17"/>
  <c r="AP103" i="17"/>
  <c r="H30" i="17"/>
  <c r="F262" i="17"/>
  <c r="F264" i="17" s="1"/>
  <c r="AP28" i="17"/>
  <c r="AP199" i="17"/>
  <c r="AP27" i="17"/>
  <c r="E30" i="17"/>
  <c r="AP115" i="17"/>
  <c r="AP139" i="17"/>
  <c r="AP187" i="17"/>
  <c r="AP211" i="17"/>
  <c r="AP247" i="17"/>
  <c r="AP235" i="17"/>
  <c r="AP36" i="17"/>
  <c r="AP151" i="17"/>
  <c r="AP41" i="17"/>
  <c r="AP67" i="17"/>
  <c r="AP127" i="17"/>
  <c r="AP223" i="17"/>
  <c r="AP259" i="17"/>
  <c r="AP21" i="17"/>
  <c r="AP91" i="17"/>
  <c r="AP16" i="17"/>
  <c r="G262" i="17"/>
  <c r="G264" i="17" s="1"/>
  <c r="AP29" i="17"/>
  <c r="AB29" i="16"/>
  <c r="F262" i="15"/>
  <c r="F264" i="15" s="1"/>
  <c r="G262" i="15"/>
  <c r="G264" i="15" s="1"/>
  <c r="H262" i="15"/>
  <c r="H264" i="15" s="1"/>
  <c r="I262" i="15"/>
  <c r="I264" i="15" s="1"/>
  <c r="AJ36" i="15"/>
  <c r="AJ163" i="15"/>
  <c r="AJ21" i="15"/>
  <c r="AJ41" i="15"/>
  <c r="AJ24" i="15"/>
  <c r="AJ29" i="15"/>
  <c r="AJ16" i="15"/>
  <c r="AJ27" i="15"/>
  <c r="E262" i="15"/>
  <c r="AJ28" i="15"/>
  <c r="AB262" i="16" l="1"/>
  <c r="AB30" i="16"/>
  <c r="AJ30" i="15"/>
  <c r="AP264" i="17"/>
  <c r="AP30" i="17"/>
  <c r="AB264" i="16"/>
  <c r="AP262" i="17"/>
  <c r="AJ262" i="15"/>
  <c r="E264" i="15"/>
  <c r="AJ264" i="15" s="1"/>
  <c r="S263" i="11" l="1"/>
  <c r="S244" i="11"/>
  <c r="S243" i="11"/>
  <c r="S242" i="11"/>
  <c r="S241" i="11"/>
  <c r="S240" i="11"/>
  <c r="S239" i="11"/>
  <c r="S238" i="11"/>
  <c r="S237" i="11"/>
  <c r="S247" i="11" s="1"/>
  <c r="S207" i="11"/>
  <c r="S206" i="11"/>
  <c r="S205" i="11"/>
  <c r="S204" i="11"/>
  <c r="S203" i="11"/>
  <c r="S202" i="11"/>
  <c r="S201" i="11"/>
  <c r="S195" i="11"/>
  <c r="S194" i="11"/>
  <c r="S193" i="11"/>
  <c r="S192" i="11"/>
  <c r="S191" i="11"/>
  <c r="S190" i="11"/>
  <c r="S189" i="11"/>
  <c r="S184" i="11"/>
  <c r="S183" i="11"/>
  <c r="S182" i="11"/>
  <c r="S181" i="11"/>
  <c r="S180" i="11"/>
  <c r="S179" i="11"/>
  <c r="S178" i="11"/>
  <c r="S177" i="11"/>
  <c r="S151" i="11"/>
  <c r="S139" i="11"/>
  <c r="S127" i="11"/>
  <c r="S115" i="11"/>
  <c r="S93" i="11"/>
  <c r="S103" i="11" s="1"/>
  <c r="S88" i="11"/>
  <c r="S87" i="11"/>
  <c r="S86" i="11"/>
  <c r="S85" i="11"/>
  <c r="S84" i="11"/>
  <c r="S83" i="11"/>
  <c r="S82" i="11"/>
  <c r="S81" i="11"/>
  <c r="S91" i="11" s="1"/>
  <c r="S76" i="11"/>
  <c r="S75" i="11"/>
  <c r="S74" i="11"/>
  <c r="S73" i="11"/>
  <c r="S72" i="11"/>
  <c r="S71" i="11"/>
  <c r="S70" i="11"/>
  <c r="S69" i="11"/>
  <c r="S63" i="11"/>
  <c r="S62" i="11"/>
  <c r="S61" i="11"/>
  <c r="S60" i="11"/>
  <c r="S59" i="11"/>
  <c r="S58" i="11"/>
  <c r="S57" i="11"/>
  <c r="S52" i="11"/>
  <c r="S51" i="11"/>
  <c r="S50" i="11"/>
  <c r="S49" i="11"/>
  <c r="S48" i="11"/>
  <c r="S47" i="11"/>
  <c r="S46" i="11"/>
  <c r="S45" i="11"/>
  <c r="I41" i="11"/>
  <c r="H41" i="11"/>
  <c r="G41" i="11"/>
  <c r="F41" i="11"/>
  <c r="E41" i="11"/>
  <c r="S40" i="11"/>
  <c r="S39" i="11"/>
  <c r="I36" i="11"/>
  <c r="H36" i="11"/>
  <c r="G36" i="11"/>
  <c r="F36" i="11"/>
  <c r="E36" i="11"/>
  <c r="S35" i="11"/>
  <c r="S34" i="11"/>
  <c r="S33" i="11"/>
  <c r="I29" i="11"/>
  <c r="H29" i="11"/>
  <c r="G29" i="11"/>
  <c r="F29" i="11"/>
  <c r="E29" i="11"/>
  <c r="I28" i="11"/>
  <c r="H28" i="11"/>
  <c r="G28" i="11"/>
  <c r="F28" i="11"/>
  <c r="E28" i="11"/>
  <c r="I27" i="11"/>
  <c r="H27" i="11"/>
  <c r="G27" i="11"/>
  <c r="F27" i="11"/>
  <c r="E27" i="11"/>
  <c r="S26" i="11"/>
  <c r="S25" i="11"/>
  <c r="I24" i="11"/>
  <c r="H24" i="11"/>
  <c r="G24" i="11"/>
  <c r="F24" i="11"/>
  <c r="E24" i="11"/>
  <c r="S23" i="11"/>
  <c r="S22" i="11"/>
  <c r="I21" i="11"/>
  <c r="H21" i="11"/>
  <c r="G21" i="11"/>
  <c r="F21" i="11"/>
  <c r="E21" i="11"/>
  <c r="S20" i="11"/>
  <c r="S19" i="11"/>
  <c r="I16" i="11"/>
  <c r="H16" i="11"/>
  <c r="G16" i="11"/>
  <c r="F16" i="11"/>
  <c r="E16" i="11"/>
  <c r="S15" i="11"/>
  <c r="S14" i="11"/>
  <c r="BK263" i="10"/>
  <c r="BK252" i="10"/>
  <c r="BK251" i="10"/>
  <c r="BK250" i="10"/>
  <c r="BK249" i="10"/>
  <c r="BK244" i="10"/>
  <c r="BK243" i="10"/>
  <c r="BK242" i="10"/>
  <c r="BK241" i="10"/>
  <c r="BK240" i="10"/>
  <c r="BK239" i="10"/>
  <c r="BK238" i="10"/>
  <c r="BK237" i="10"/>
  <c r="BK229" i="10"/>
  <c r="BK228" i="10"/>
  <c r="BK227" i="10"/>
  <c r="BK226" i="10"/>
  <c r="BK225" i="10"/>
  <c r="BK216" i="10"/>
  <c r="BK215" i="10"/>
  <c r="BK214" i="10"/>
  <c r="BK213" i="10"/>
  <c r="BK208" i="10"/>
  <c r="BK207" i="10"/>
  <c r="BK206" i="10"/>
  <c r="BK205" i="10"/>
  <c r="BK204" i="10"/>
  <c r="BK203" i="10"/>
  <c r="BK202" i="10"/>
  <c r="BK201" i="10"/>
  <c r="BK196" i="10"/>
  <c r="BK195" i="10"/>
  <c r="BK194" i="10"/>
  <c r="BK193" i="10"/>
  <c r="BK192" i="10"/>
  <c r="BK191" i="10"/>
  <c r="BK190" i="10"/>
  <c r="BK189" i="10"/>
  <c r="BK184" i="10"/>
  <c r="BK183" i="10"/>
  <c r="BK182" i="10"/>
  <c r="BK181" i="10"/>
  <c r="BK180" i="10"/>
  <c r="BK179" i="10"/>
  <c r="BK178" i="10"/>
  <c r="BK177" i="10"/>
  <c r="BK187" i="10" s="1"/>
  <c r="BK166" i="10"/>
  <c r="BK165" i="10"/>
  <c r="BK175" i="10" s="1"/>
  <c r="BK144" i="10"/>
  <c r="BK143" i="10"/>
  <c r="BK142" i="10"/>
  <c r="BK141" i="10"/>
  <c r="BK136" i="10"/>
  <c r="BK135" i="10"/>
  <c r="BK134" i="10"/>
  <c r="BK133" i="10"/>
  <c r="BK132" i="10"/>
  <c r="BK131" i="10"/>
  <c r="BK130" i="10"/>
  <c r="BK129" i="10"/>
  <c r="BK120" i="10"/>
  <c r="BK119" i="10"/>
  <c r="BK118" i="10"/>
  <c r="BK117" i="10"/>
  <c r="BK107" i="10"/>
  <c r="BK106" i="10"/>
  <c r="BK105" i="10"/>
  <c r="BK100" i="10"/>
  <c r="BK99" i="10"/>
  <c r="BK98" i="10"/>
  <c r="BK97" i="10"/>
  <c r="BK96" i="10"/>
  <c r="BK95" i="10"/>
  <c r="BK94" i="10"/>
  <c r="BK93" i="10"/>
  <c r="BK88" i="10"/>
  <c r="BK87" i="10"/>
  <c r="BK86" i="10"/>
  <c r="BK85" i="10"/>
  <c r="BK84" i="10"/>
  <c r="BK83" i="10"/>
  <c r="BK82" i="10"/>
  <c r="BK81" i="10"/>
  <c r="BK91" i="10" s="1"/>
  <c r="BK76" i="10"/>
  <c r="BK75" i="10"/>
  <c r="BK74" i="10"/>
  <c r="BK73" i="10"/>
  <c r="BK72" i="10"/>
  <c r="BK71" i="10"/>
  <c r="BK70" i="10"/>
  <c r="BK69" i="10"/>
  <c r="BK64" i="10"/>
  <c r="BK63" i="10"/>
  <c r="BK62" i="10"/>
  <c r="BK61" i="10"/>
  <c r="BK60" i="10"/>
  <c r="BK59" i="10"/>
  <c r="BK58" i="10"/>
  <c r="BK57" i="10"/>
  <c r="BK52" i="10"/>
  <c r="BK51" i="10"/>
  <c r="BK50" i="10"/>
  <c r="BK49" i="10"/>
  <c r="BK48" i="10"/>
  <c r="BK47" i="10"/>
  <c r="BK46" i="10"/>
  <c r="BK45" i="10"/>
  <c r="BJ41" i="10"/>
  <c r="BI41" i="10"/>
  <c r="BH41" i="10"/>
  <c r="I41" i="10"/>
  <c r="H41" i="10"/>
  <c r="G41" i="10"/>
  <c r="F41" i="10"/>
  <c r="E41" i="10"/>
  <c r="BK40" i="10"/>
  <c r="BK39" i="10"/>
  <c r="BJ36" i="10"/>
  <c r="BI36" i="10"/>
  <c r="BH36" i="10"/>
  <c r="I36" i="10"/>
  <c r="H36" i="10"/>
  <c r="G36" i="10"/>
  <c r="F36" i="10"/>
  <c r="E36" i="10"/>
  <c r="BK35" i="10"/>
  <c r="BK34" i="10"/>
  <c r="BK33" i="10"/>
  <c r="BJ29" i="10"/>
  <c r="BI29" i="10"/>
  <c r="BH29" i="10"/>
  <c r="I29" i="10"/>
  <c r="H29" i="10"/>
  <c r="G29" i="10"/>
  <c r="F29" i="10"/>
  <c r="E29" i="10"/>
  <c r="BJ28" i="10"/>
  <c r="BI28" i="10"/>
  <c r="BH28" i="10"/>
  <c r="I28" i="10"/>
  <c r="H28" i="10"/>
  <c r="G28" i="10"/>
  <c r="F28" i="10"/>
  <c r="E28" i="10"/>
  <c r="BJ27" i="10"/>
  <c r="BI27" i="10"/>
  <c r="BH27" i="10"/>
  <c r="I27" i="10"/>
  <c r="H27" i="10"/>
  <c r="G27" i="10"/>
  <c r="F27" i="10"/>
  <c r="E27" i="10"/>
  <c r="BK26" i="10"/>
  <c r="BK25" i="10"/>
  <c r="BJ24" i="10"/>
  <c r="BI24" i="10"/>
  <c r="BH24" i="10"/>
  <c r="I24" i="10"/>
  <c r="H24" i="10"/>
  <c r="G24" i="10"/>
  <c r="F24" i="10"/>
  <c r="E24" i="10"/>
  <c r="BK23" i="10"/>
  <c r="BK22" i="10"/>
  <c r="BJ21" i="10"/>
  <c r="BI21" i="10"/>
  <c r="BH21" i="10"/>
  <c r="I21" i="10"/>
  <c r="H21" i="10"/>
  <c r="G21" i="10"/>
  <c r="F21" i="10"/>
  <c r="E21" i="10"/>
  <c r="BK20" i="10"/>
  <c r="BK19" i="10"/>
  <c r="BJ16" i="10"/>
  <c r="BI16" i="10"/>
  <c r="BH16" i="10"/>
  <c r="I16" i="10"/>
  <c r="H16" i="10"/>
  <c r="G16" i="10"/>
  <c r="F16" i="10"/>
  <c r="E16" i="10"/>
  <c r="BK15" i="10"/>
  <c r="BK14" i="10"/>
  <c r="AE263" i="9"/>
  <c r="AE252" i="9"/>
  <c r="AE251" i="9"/>
  <c r="AE250" i="9"/>
  <c r="AE249" i="9"/>
  <c r="AE244" i="9"/>
  <c r="AE243" i="9"/>
  <c r="AE242" i="9"/>
  <c r="AE241" i="9"/>
  <c r="AE240" i="9"/>
  <c r="AE239" i="9"/>
  <c r="AE238" i="9"/>
  <c r="AE237" i="9"/>
  <c r="AE229" i="9"/>
  <c r="AE228" i="9"/>
  <c r="AE227" i="9"/>
  <c r="AE226" i="9"/>
  <c r="AE225" i="9"/>
  <c r="AE216" i="9"/>
  <c r="AE215" i="9"/>
  <c r="AE214" i="9"/>
  <c r="AE213" i="9"/>
  <c r="AE223" i="9" s="1"/>
  <c r="AE208" i="9"/>
  <c r="AE207" i="9"/>
  <c r="AE206" i="9"/>
  <c r="AE205" i="9"/>
  <c r="AE204" i="9"/>
  <c r="AE203" i="9"/>
  <c r="AE202" i="9"/>
  <c r="AE201" i="9"/>
  <c r="AE196" i="9"/>
  <c r="AE195" i="9"/>
  <c r="AE194" i="9"/>
  <c r="AE193" i="9"/>
  <c r="AE192" i="9"/>
  <c r="AE191" i="9"/>
  <c r="AE190" i="9"/>
  <c r="AE189" i="9"/>
  <c r="AE199" i="9" s="1"/>
  <c r="AE184" i="9"/>
  <c r="AE183" i="9"/>
  <c r="AE182" i="9"/>
  <c r="AE181" i="9"/>
  <c r="AE180" i="9"/>
  <c r="AE179" i="9"/>
  <c r="AE178" i="9"/>
  <c r="AE177" i="9"/>
  <c r="AE187" i="9" s="1"/>
  <c r="AE166" i="9"/>
  <c r="AE165" i="9"/>
  <c r="AE175" i="9" s="1"/>
  <c r="AE144" i="9"/>
  <c r="AE143" i="9"/>
  <c r="AE142" i="9"/>
  <c r="AE141" i="9"/>
  <c r="AE136" i="9"/>
  <c r="AE135" i="9"/>
  <c r="AE134" i="9"/>
  <c r="AE133" i="9"/>
  <c r="AE132" i="9"/>
  <c r="AE131" i="9"/>
  <c r="AE130" i="9"/>
  <c r="AE129" i="9"/>
  <c r="AE139" i="9" s="1"/>
  <c r="AE120" i="9"/>
  <c r="AE119" i="9"/>
  <c r="AE118" i="9"/>
  <c r="AE117" i="9"/>
  <c r="AE127" i="9" s="1"/>
  <c r="AE107" i="9"/>
  <c r="AE106" i="9"/>
  <c r="AE105" i="9"/>
  <c r="AE100" i="9"/>
  <c r="AE99" i="9"/>
  <c r="AE98" i="9"/>
  <c r="AE97" i="9"/>
  <c r="AE96" i="9"/>
  <c r="AE95" i="9"/>
  <c r="AE94" i="9"/>
  <c r="AE93" i="9"/>
  <c r="AE88" i="9"/>
  <c r="AE87" i="9"/>
  <c r="AE86" i="9"/>
  <c r="AE85" i="9"/>
  <c r="AE84" i="9"/>
  <c r="AE83" i="9"/>
  <c r="AE82" i="9"/>
  <c r="AE81" i="9"/>
  <c r="AE76" i="9"/>
  <c r="AE75" i="9"/>
  <c r="AE74" i="9"/>
  <c r="AE73" i="9"/>
  <c r="AE72" i="9"/>
  <c r="AE71" i="9"/>
  <c r="AE70" i="9"/>
  <c r="AE69" i="9"/>
  <c r="AE64" i="9"/>
  <c r="AE63" i="9"/>
  <c r="AE62" i="9"/>
  <c r="AE61" i="9"/>
  <c r="AE60" i="9"/>
  <c r="AE59" i="9"/>
  <c r="AE58" i="9"/>
  <c r="AE57" i="9"/>
  <c r="AE52" i="9"/>
  <c r="AE51" i="9"/>
  <c r="AE50" i="9"/>
  <c r="AE49" i="9"/>
  <c r="AE48" i="9"/>
  <c r="AE47" i="9"/>
  <c r="AE46" i="9"/>
  <c r="AE45" i="9"/>
  <c r="AE55" i="9" s="1"/>
  <c r="I41" i="9"/>
  <c r="H41" i="9"/>
  <c r="G41" i="9"/>
  <c r="F41" i="9"/>
  <c r="E41" i="9"/>
  <c r="AE40" i="9"/>
  <c r="AE39" i="9"/>
  <c r="I36" i="9"/>
  <c r="H36" i="9"/>
  <c r="G36" i="9"/>
  <c r="F36" i="9"/>
  <c r="E36" i="9"/>
  <c r="AE35" i="9"/>
  <c r="AE34" i="9"/>
  <c r="AE33" i="9"/>
  <c r="I29" i="9"/>
  <c r="H29" i="9"/>
  <c r="G29" i="9"/>
  <c r="F29" i="9"/>
  <c r="E29" i="9"/>
  <c r="I28" i="9"/>
  <c r="H28" i="9"/>
  <c r="G28" i="9"/>
  <c r="F28" i="9"/>
  <c r="E28" i="9"/>
  <c r="I27" i="9"/>
  <c r="H27" i="9"/>
  <c r="G27" i="9"/>
  <c r="F27" i="9"/>
  <c r="E27" i="9"/>
  <c r="AE26" i="9"/>
  <c r="AE25" i="9"/>
  <c r="I24" i="9"/>
  <c r="H24" i="9"/>
  <c r="G24" i="9"/>
  <c r="F24" i="9"/>
  <c r="E24" i="9"/>
  <c r="AE23" i="9"/>
  <c r="AE22" i="9"/>
  <c r="I21" i="9"/>
  <c r="H21" i="9"/>
  <c r="G21" i="9"/>
  <c r="F21" i="9"/>
  <c r="E21" i="9"/>
  <c r="AE20" i="9"/>
  <c r="AE19" i="9"/>
  <c r="I16" i="9"/>
  <c r="H16" i="9"/>
  <c r="G16" i="9"/>
  <c r="F16" i="9"/>
  <c r="E16" i="9"/>
  <c r="AE15" i="9"/>
  <c r="AE14" i="9"/>
  <c r="F41" i="3"/>
  <c r="G41" i="3"/>
  <c r="H41" i="3"/>
  <c r="I41" i="3"/>
  <c r="BH41" i="3"/>
  <c r="BI41" i="3"/>
  <c r="BJ41" i="3"/>
  <c r="BK41" i="3"/>
  <c r="F36" i="3"/>
  <c r="G36" i="3"/>
  <c r="H36" i="3"/>
  <c r="I36" i="3"/>
  <c r="BH36" i="3"/>
  <c r="BI36" i="3"/>
  <c r="BJ36" i="3"/>
  <c r="BK36" i="3"/>
  <c r="F27" i="3"/>
  <c r="G27" i="3"/>
  <c r="H27" i="3"/>
  <c r="I27" i="3"/>
  <c r="BH27" i="3"/>
  <c r="BI27" i="3"/>
  <c r="BJ27" i="3"/>
  <c r="BK27" i="3"/>
  <c r="F28" i="3"/>
  <c r="G28" i="3"/>
  <c r="H28" i="3"/>
  <c r="I28" i="3"/>
  <c r="BH28" i="3"/>
  <c r="BI28" i="3"/>
  <c r="BJ28" i="3"/>
  <c r="BK28" i="3"/>
  <c r="F29" i="3"/>
  <c r="G29" i="3"/>
  <c r="H29" i="3"/>
  <c r="I29" i="3"/>
  <c r="BH29" i="3"/>
  <c r="BI29" i="3"/>
  <c r="BJ29" i="3"/>
  <c r="BK29" i="3"/>
  <c r="F24" i="3"/>
  <c r="G24" i="3"/>
  <c r="H24" i="3"/>
  <c r="I24" i="3"/>
  <c r="BH24" i="3"/>
  <c r="BI24" i="3"/>
  <c r="BJ24" i="3"/>
  <c r="BK24" i="3"/>
  <c r="F21" i="3"/>
  <c r="G21" i="3"/>
  <c r="H21" i="3"/>
  <c r="I21" i="3"/>
  <c r="BH21" i="3"/>
  <c r="BI21" i="3"/>
  <c r="BJ21" i="3"/>
  <c r="BK21" i="3"/>
  <c r="F16" i="3"/>
  <c r="G16" i="3"/>
  <c r="H16" i="3"/>
  <c r="I16" i="3"/>
  <c r="BH16" i="3"/>
  <c r="BI16" i="3"/>
  <c r="BJ16" i="3"/>
  <c r="BK16" i="3"/>
  <c r="BL263" i="3"/>
  <c r="BL252" i="3"/>
  <c r="BL251" i="3"/>
  <c r="BL250" i="3"/>
  <c r="BL249" i="3"/>
  <c r="BL259" i="3" s="1"/>
  <c r="BL243" i="3"/>
  <c r="BL242" i="3"/>
  <c r="BL241" i="3"/>
  <c r="BL240" i="3"/>
  <c r="BL239" i="3"/>
  <c r="BL238" i="3"/>
  <c r="BL237" i="3"/>
  <c r="BL247" i="3" s="1"/>
  <c r="BL229" i="3"/>
  <c r="BL228" i="3"/>
  <c r="BL227" i="3"/>
  <c r="BL226" i="3"/>
  <c r="BL225" i="3"/>
  <c r="BL216" i="3"/>
  <c r="BL215" i="3"/>
  <c r="BL214" i="3"/>
  <c r="BL213" i="3"/>
  <c r="BL223" i="3" s="1"/>
  <c r="BL207" i="3"/>
  <c r="BL206" i="3"/>
  <c r="BL205" i="3"/>
  <c r="BL204" i="3"/>
  <c r="BL203" i="3"/>
  <c r="BL202" i="3"/>
  <c r="BL201" i="3"/>
  <c r="BL195" i="3"/>
  <c r="BL194" i="3"/>
  <c r="BL193" i="3"/>
  <c r="BL192" i="3"/>
  <c r="BL191" i="3"/>
  <c r="BL190" i="3"/>
  <c r="BL189" i="3"/>
  <c r="BL199" i="3" s="1"/>
  <c r="BL183" i="3"/>
  <c r="BL182" i="3"/>
  <c r="BL181" i="3"/>
  <c r="BL180" i="3"/>
  <c r="BL179" i="3"/>
  <c r="BL178" i="3"/>
  <c r="BL177" i="3"/>
  <c r="BL166" i="3"/>
  <c r="BL165" i="3"/>
  <c r="BL175" i="3" s="1"/>
  <c r="BL144" i="3"/>
  <c r="BL143" i="3"/>
  <c r="BL142" i="3"/>
  <c r="BL141" i="3"/>
  <c r="BL136" i="3"/>
  <c r="BL135" i="3"/>
  <c r="BL134" i="3"/>
  <c r="BL133" i="3"/>
  <c r="BL132" i="3"/>
  <c r="BL131" i="3"/>
  <c r="BL130" i="3"/>
  <c r="BL129" i="3"/>
  <c r="BL120" i="3"/>
  <c r="BL119" i="3"/>
  <c r="BL118" i="3"/>
  <c r="BL117" i="3"/>
  <c r="BL107" i="3"/>
  <c r="BL106" i="3"/>
  <c r="BL105" i="3"/>
  <c r="BL100" i="3"/>
  <c r="BL99" i="3"/>
  <c r="BL98" i="3"/>
  <c r="BL97" i="3"/>
  <c r="BL96" i="3"/>
  <c r="BL95" i="3"/>
  <c r="BL94" i="3"/>
  <c r="BL93" i="3"/>
  <c r="BL103" i="3" s="1"/>
  <c r="BL88" i="3"/>
  <c r="BL87" i="3"/>
  <c r="BL86" i="3"/>
  <c r="BL85" i="3"/>
  <c r="BL84" i="3"/>
  <c r="BL83" i="3"/>
  <c r="BL82" i="3"/>
  <c r="BL81" i="3"/>
  <c r="BL76" i="3"/>
  <c r="BL75" i="3"/>
  <c r="BL74" i="3"/>
  <c r="BL73" i="3"/>
  <c r="BL72" i="3"/>
  <c r="BL71" i="3"/>
  <c r="BL70" i="3"/>
  <c r="BL69" i="3"/>
  <c r="BL79" i="3" s="1"/>
  <c r="BL64" i="3"/>
  <c r="BL63" i="3"/>
  <c r="BL62" i="3"/>
  <c r="BL61" i="3"/>
  <c r="BL67" i="3" s="1"/>
  <c r="BL60" i="3"/>
  <c r="BL59" i="3"/>
  <c r="BL58" i="3"/>
  <c r="BL57" i="3"/>
  <c r="BL46" i="3"/>
  <c r="BL45" i="3"/>
  <c r="E41" i="3"/>
  <c r="BL40" i="3"/>
  <c r="BL39" i="3"/>
  <c r="E36" i="3"/>
  <c r="BL35" i="3"/>
  <c r="BL34" i="3"/>
  <c r="BL33" i="3"/>
  <c r="E29" i="3"/>
  <c r="E28" i="3"/>
  <c r="E27" i="3"/>
  <c r="BL26" i="3"/>
  <c r="BL25" i="3"/>
  <c r="E24" i="3"/>
  <c r="BL23" i="3"/>
  <c r="BL22" i="3"/>
  <c r="E21" i="3"/>
  <c r="BL20" i="3"/>
  <c r="BL19" i="3"/>
  <c r="E16" i="3"/>
  <c r="BL15" i="3"/>
  <c r="BL14" i="3"/>
  <c r="S211" i="11" l="1"/>
  <c r="S199" i="11"/>
  <c r="S187" i="11"/>
  <c r="S79" i="11"/>
  <c r="AE247" i="9"/>
  <c r="AE67" i="9"/>
  <c r="AE259" i="9"/>
  <c r="AE235" i="9"/>
  <c r="AE211" i="9"/>
  <c r="AE151" i="9"/>
  <c r="AE103" i="9"/>
  <c r="AE115" i="9"/>
  <c r="AE91" i="9"/>
  <c r="AE79" i="9"/>
  <c r="BL235" i="3"/>
  <c r="BL211" i="3"/>
  <c r="BL187" i="3"/>
  <c r="BL151" i="3"/>
  <c r="BL139" i="3"/>
  <c r="BL127" i="3"/>
  <c r="BL115" i="3"/>
  <c r="BL91" i="3"/>
  <c r="BK259" i="10"/>
  <c r="BK247" i="10"/>
  <c r="BK235" i="10"/>
  <c r="BK223" i="10"/>
  <c r="BK211" i="10"/>
  <c r="BK199" i="10"/>
  <c r="BK151" i="10"/>
  <c r="BK139" i="10"/>
  <c r="BK127" i="10"/>
  <c r="BK115" i="10"/>
  <c r="BK103" i="10"/>
  <c r="F30" i="11"/>
  <c r="G30" i="11"/>
  <c r="BH30" i="3"/>
  <c r="E30" i="11"/>
  <c r="E184" i="1"/>
  <c r="E196" i="1"/>
  <c r="E208" i="1"/>
  <c r="BK262" i="3"/>
  <c r="BK264" i="3" s="1"/>
  <c r="BI30" i="3"/>
  <c r="BK30" i="3"/>
  <c r="BJ262" i="3"/>
  <c r="BJ264" i="3" s="1"/>
  <c r="BI262" i="3"/>
  <c r="BI264" i="3" s="1"/>
  <c r="E39" i="1"/>
  <c r="E51" i="1"/>
  <c r="E63" i="1"/>
  <c r="E87" i="1"/>
  <c r="E99" i="1"/>
  <c r="E132" i="1"/>
  <c r="I30" i="11"/>
  <c r="E183" i="1"/>
  <c r="E195" i="1"/>
  <c r="BH262" i="3"/>
  <c r="BH264" i="3" s="1"/>
  <c r="I262" i="3"/>
  <c r="I264" i="3" s="1"/>
  <c r="E262" i="3"/>
  <c r="E264" i="3" s="1"/>
  <c r="BJ30" i="3"/>
  <c r="H262" i="3"/>
  <c r="H264" i="3" s="1"/>
  <c r="E20" i="1"/>
  <c r="E26" i="1"/>
  <c r="H30" i="9"/>
  <c r="F262" i="3"/>
  <c r="F264" i="3" s="1"/>
  <c r="G30" i="3"/>
  <c r="E244" i="1"/>
  <c r="BI30" i="10"/>
  <c r="F30" i="3"/>
  <c r="G262" i="3"/>
  <c r="G264" i="3" s="1"/>
  <c r="F30" i="9"/>
  <c r="E49" i="1"/>
  <c r="E61" i="1"/>
  <c r="E73" i="1"/>
  <c r="E85" i="1"/>
  <c r="E97" i="1"/>
  <c r="E130" i="1"/>
  <c r="E142" i="1"/>
  <c r="E179" i="1"/>
  <c r="E191" i="1"/>
  <c r="E203" i="1"/>
  <c r="E215" i="1"/>
  <c r="E19" i="1"/>
  <c r="E25" i="1"/>
  <c r="G30" i="9"/>
  <c r="E50" i="1"/>
  <c r="E62" i="1"/>
  <c r="E74" i="1"/>
  <c r="E86" i="1"/>
  <c r="E98" i="1"/>
  <c r="E131" i="1"/>
  <c r="E143" i="1"/>
  <c r="E180" i="1"/>
  <c r="E192" i="1"/>
  <c r="E204" i="1"/>
  <c r="E216" i="1"/>
  <c r="I30" i="10"/>
  <c r="E144" i="1"/>
  <c r="E181" i="1"/>
  <c r="E193" i="1"/>
  <c r="E205" i="1"/>
  <c r="F262" i="10"/>
  <c r="F264" i="10" s="1"/>
  <c r="E75" i="1"/>
  <c r="I30" i="3"/>
  <c r="E40" i="1"/>
  <c r="E52" i="1"/>
  <c r="E64" i="1"/>
  <c r="E76" i="1"/>
  <c r="E88" i="1"/>
  <c r="E100" i="1"/>
  <c r="E117" i="1"/>
  <c r="E133" i="1"/>
  <c r="E182" i="1"/>
  <c r="E194" i="1"/>
  <c r="E206" i="1"/>
  <c r="E237" i="1"/>
  <c r="E249" i="1"/>
  <c r="E134" i="1"/>
  <c r="E165" i="1"/>
  <c r="E207" i="1"/>
  <c r="E238" i="1"/>
  <c r="E250" i="1"/>
  <c r="F262" i="9"/>
  <c r="F264" i="9" s="1"/>
  <c r="E119" i="1"/>
  <c r="E135" i="1"/>
  <c r="E166" i="1"/>
  <c r="E239" i="1"/>
  <c r="E251" i="1"/>
  <c r="E118" i="1"/>
  <c r="E120" i="1"/>
  <c r="E136" i="1"/>
  <c r="E225" i="1"/>
  <c r="E240" i="1"/>
  <c r="E252" i="1"/>
  <c r="I262" i="11"/>
  <c r="I264" i="11" s="1"/>
  <c r="E14" i="1"/>
  <c r="E22" i="1"/>
  <c r="E30" i="9"/>
  <c r="E33" i="1"/>
  <c r="E153" i="1"/>
  <c r="E226" i="1"/>
  <c r="E241" i="1"/>
  <c r="E15" i="1"/>
  <c r="E23" i="1"/>
  <c r="E34" i="1"/>
  <c r="E45" i="1"/>
  <c r="E57" i="1"/>
  <c r="E69" i="1"/>
  <c r="E81" i="1"/>
  <c r="E93" i="1"/>
  <c r="E105" i="1"/>
  <c r="E154" i="1"/>
  <c r="E227" i="1"/>
  <c r="E242" i="1"/>
  <c r="H30" i="3"/>
  <c r="E35" i="1"/>
  <c r="E46" i="1"/>
  <c r="E58" i="1"/>
  <c r="E70" i="1"/>
  <c r="E82" i="1"/>
  <c r="E94" i="1"/>
  <c r="E106" i="1"/>
  <c r="E155" i="1"/>
  <c r="E228" i="1"/>
  <c r="E243" i="1"/>
  <c r="BH30" i="10"/>
  <c r="E30" i="10"/>
  <c r="E47" i="1"/>
  <c r="E59" i="1"/>
  <c r="E71" i="1"/>
  <c r="E83" i="1"/>
  <c r="E95" i="1"/>
  <c r="E107" i="1"/>
  <c r="E156" i="1"/>
  <c r="E177" i="1"/>
  <c r="E189" i="1"/>
  <c r="E201" i="1"/>
  <c r="E213" i="1"/>
  <c r="E229" i="1"/>
  <c r="F30" i="10"/>
  <c r="AE21" i="9"/>
  <c r="E48" i="1"/>
  <c r="E60" i="1"/>
  <c r="E72" i="1"/>
  <c r="E84" i="1"/>
  <c r="E96" i="1"/>
  <c r="E129" i="1"/>
  <c r="E141" i="1"/>
  <c r="E178" i="1"/>
  <c r="E190" i="1"/>
  <c r="E202" i="1"/>
  <c r="E214" i="1"/>
  <c r="E263" i="1"/>
  <c r="BJ30" i="10"/>
  <c r="H30" i="11"/>
  <c r="H262" i="11"/>
  <c r="H264" i="11" s="1"/>
  <c r="S21" i="11"/>
  <c r="S24" i="11"/>
  <c r="S28" i="11"/>
  <c r="E262" i="11"/>
  <c r="E264" i="11" s="1"/>
  <c r="S16" i="11"/>
  <c r="S29" i="11"/>
  <c r="S36" i="11"/>
  <c r="S41" i="11"/>
  <c r="S27" i="11"/>
  <c r="G262" i="11"/>
  <c r="G264" i="11" s="1"/>
  <c r="S163" i="11"/>
  <c r="F262" i="11"/>
  <c r="F264" i="11" s="1"/>
  <c r="I262" i="10"/>
  <c r="I264" i="10" s="1"/>
  <c r="H262" i="10"/>
  <c r="H264" i="10" s="1"/>
  <c r="BK28" i="10"/>
  <c r="G262" i="10"/>
  <c r="G264" i="10" s="1"/>
  <c r="BK27" i="10"/>
  <c r="BK29" i="10"/>
  <c r="BH262" i="10"/>
  <c r="BH264" i="10" s="1"/>
  <c r="BK163" i="10"/>
  <c r="BK36" i="10"/>
  <c r="BJ262" i="10"/>
  <c r="BJ264" i="10" s="1"/>
  <c r="BK16" i="10"/>
  <c r="G30" i="10"/>
  <c r="BK21" i="10"/>
  <c r="BI262" i="10"/>
  <c r="BI264" i="10" s="1"/>
  <c r="BK24" i="10"/>
  <c r="BK41" i="10"/>
  <c r="H30" i="10"/>
  <c r="E262" i="10"/>
  <c r="AE36" i="9"/>
  <c r="G262" i="9"/>
  <c r="G264" i="9" s="1"/>
  <c r="AE29" i="9"/>
  <c r="AE24" i="9"/>
  <c r="I262" i="9"/>
  <c r="I264" i="9" s="1"/>
  <c r="AE41" i="9"/>
  <c r="I30" i="9"/>
  <c r="H262" i="9"/>
  <c r="H264" i="9" s="1"/>
  <c r="AE27" i="9"/>
  <c r="AE16" i="9"/>
  <c r="AE163" i="9"/>
  <c r="E262" i="9"/>
  <c r="AE28" i="9"/>
  <c r="E30" i="3"/>
  <c r="BL21" i="3"/>
  <c r="BL27" i="3"/>
  <c r="BL24" i="3"/>
  <c r="BL41" i="3"/>
  <c r="BL16" i="3"/>
  <c r="BL36" i="3"/>
  <c r="BL29" i="3"/>
  <c r="BL163" i="3"/>
  <c r="BL28" i="3"/>
  <c r="E151" i="1" l="1"/>
  <c r="BL264" i="3"/>
  <c r="BL262" i="3"/>
  <c r="E199" i="1"/>
  <c r="E235" i="1"/>
  <c r="E259" i="1"/>
  <c r="E175" i="1"/>
  <c r="E187" i="1"/>
  <c r="E127" i="1"/>
  <c r="E103" i="1"/>
  <c r="E91" i="1"/>
  <c r="E157" i="1"/>
  <c r="E163" i="1" s="1"/>
  <c r="E79" i="1"/>
  <c r="E223" i="1"/>
  <c r="E67" i="1"/>
  <c r="E139" i="1"/>
  <c r="E211" i="1"/>
  <c r="E55" i="1"/>
  <c r="E247" i="1"/>
  <c r="AE30" i="9"/>
  <c r="E115" i="1"/>
  <c r="S30" i="11"/>
  <c r="S262" i="11"/>
  <c r="S264" i="11"/>
  <c r="BK30" i="10"/>
  <c r="BK262" i="10"/>
  <c r="E264" i="10"/>
  <c r="BK264" i="10" s="1"/>
  <c r="AE262" i="9"/>
  <c r="E264" i="9"/>
  <c r="AE264" i="9" s="1"/>
  <c r="BL30" i="3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<sst xmlns="http://schemas.openxmlformats.org/spreadsheetml/2006/main" count="2550" uniqueCount="265">
  <si>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</si>
  <si>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</si>
  <si>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</si>
  <si>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</si>
  <si>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</si>
  <si>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</si>
  <si>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</si>
  <si>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</si>
  <si>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</si>
  <si>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</si>
  <si>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</si>
  <si>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</si>
  <si>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</si>
  <si>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</si>
  <si>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</si>
  <si>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</si>
  <si>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</si>
  <si>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</si>
  <si>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</si>
  <si>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</si>
  <si>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</si>
  <si>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</si>
  <si>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</si>
  <si>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</si>
  <si>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</si>
  <si>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</si>
  <si>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</si>
  <si>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</si>
  <si>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</si>
  <si>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</si>
  <si>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</si>
  <si>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</si>
  <si>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</si>
  <si>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</si>
  <si>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</si>
  <si>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</si>
  <si>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</si>
  <si>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</si>
  <si>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</si>
  <si>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</si>
  <si>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</si>
  <si>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</si>
  <si>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</si>
  <si>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</si>
  <si>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</si>
  <si>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</si>
  <si>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</si>
  <si>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</si>
  <si>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</si>
  <si>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</si>
  <si>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</si>
  <si>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</si>
  <si>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</si>
  <si>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</si>
  <si>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</si>
  <si>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</si>
  <si>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</si>
  <si>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</si>
  <si>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</si>
  <si>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</si>
  <si>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</si>
  <si>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</si>
  <si>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</si>
  <si>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</si>
  <si>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</si>
  <si>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</si>
  <si>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</si>
  <si>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</si>
  <si>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</si>
  <si>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</si>
  <si>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</si>
  <si>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</si>
  <si>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</si>
  <si>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</si>
  <si>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</si>
  <si>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</si>
  <si>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</si>
  <si>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</si>
  <si>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</si>
  <si>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</si>
  <si>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</si>
  <si>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</si>
  <si>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</si>
  <si>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</si>
  <si>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</si>
  <si>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</si>
  <si>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</si>
  <si>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</si>
  <si>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</si>
  <si>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</si>
  <si>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</si>
  <si>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</si>
  <si>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</si>
  <si>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</si>
  <si>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</si>
  <si>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</si>
  <si>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</si>
  <si>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</si>
  <si>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</si>
  <si>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</si>
  <si>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</si>
  <si>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</si>
  <si>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</si>
  <si>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</si>
  <si>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</si>
  <si>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</si>
  <si>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</si>
  <si>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</si>
  <si>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</si>
  <si>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</si>
  <si>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</si>
  <si>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</si>
  <si>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</si>
  <si>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</si>
  <si>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</si>
  <si>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</si>
  <si>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</si>
  <si>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</si>
  <si>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</si>
  <si>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</si>
  <si>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</si>
  <si>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</si>
  <si>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</si>
  <si>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</si>
  <si>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</si>
  <si>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</si>
  <si>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</si>
  <si>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</si>
  <si>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</si>
  <si>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</si>
  <si>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</si>
  <si>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</si>
  <si>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</si>
  <si>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</si>
  <si>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</si>
  <si>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</si>
  <si>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</si>
  <si>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</si>
  <si>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</si>
  <si>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</si>
  <si>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</si>
  <si>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</si>
  <si>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</si>
  <si>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</si>
  <si>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</si>
  <si>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</si>
  <si>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</si>
  <si>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</si>
  <si>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</si>
  <si>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</si>
  <si>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</si>
  <si>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</si>
  <si>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</si>
  <si>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</si>
  <si>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</si>
  <si>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</si>
  <si>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</si>
  <si>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</si>
  <si>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</si>
  <si>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</si>
  <si>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</si>
  <si>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</si>
  <si>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</si>
  <si>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</si>
  <si>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</si>
  <si>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</si>
  <si>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</si>
  <si>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1. AGUS SUPRIYADI</t>
  </si>
  <si>
    <t>2. ENI HARIATI</t>
  </si>
  <si>
    <t>1. MIRZA MUHROSNI AROMA</t>
  </si>
  <si>
    <t>2. ACHMAD BAGUS SUGIARTO</t>
  </si>
  <si>
    <t>3. ELOK FITRIYA NINGSIH</t>
  </si>
  <si>
    <t>4. MADI</t>
  </si>
  <si>
    <t>5. LUKY PERMANASARI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</si>
  <si>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</si>
  <si>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</si>
  <si>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</si>
  <si>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</si>
  <si>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</si>
  <si>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</si>
  <si>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</si>
  <si>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</si>
  <si>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</si>
  <si>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1. AHMAD WAHYUDI</t>
  </si>
  <si>
    <t>2. TONY ARIF SETIAWAN</t>
  </si>
  <si>
    <t>3. HENI DUWI PUSPITASARI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</si>
  <si>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</si>
  <si>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</si>
  <si>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</si>
  <si>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</si>
  <si>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</si>
  <si>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</si>
  <si>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</si>
  <si>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1. LISTA ARIYANI, S.H.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</si>
  <si>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</si>
  <si>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</si>
  <si>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</si>
  <si>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</si>
  <si>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</si>
  <si>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</si>
  <si>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</si>
  <si>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</si>
  <si>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</si>
  <si>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</si>
  <si>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</si>
  <si>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</si>
  <si>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</si>
  <si>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</si>
  <si>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</si>
  <si>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</si>
  <si>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</si>
  <si>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</si>
  <si>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</si>
  <si>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</si>
  <si>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</si>
  <si>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</si>
  <si>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</si>
  <si>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</si>
  <si>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</si>
  <si>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</si>
  <si>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</si>
  <si>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1. Zainul Musabbikhin</t>
  </si>
  <si>
    <t>2. Veni Putri Nurfazila</t>
  </si>
  <si>
    <t>3. DWI WAHYULIANTO</t>
  </si>
  <si>
    <t>1. ADIBAH HAKAM, S.H.</t>
  </si>
  <si>
    <t>2. BUDI TEGUH SARTONO</t>
  </si>
  <si>
    <t>3. ILHAM AKBAR, S.E.</t>
  </si>
  <si>
    <t>4. FERA DWI HELMINA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</si>
  <si>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</si>
  <si>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</si>
  <si>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</si>
  <si>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</si>
  <si>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</si>
  <si>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</si>
  <si>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</si>
  <si>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</si>
  <si>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</si>
  <si>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1. SAIFUL HADI</t>
  </si>
  <si>
    <t>2. Drs. WITONO, M.Pd.</t>
  </si>
  <si>
    <t>3. KHOLIKAH, S.T.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</si>
  <si>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</si>
  <si>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</si>
  <si>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</si>
  <si>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</si>
  <si>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</si>
  <si>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</si>
  <si>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</si>
  <si>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</si>
  <si>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</si>
  <si>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</si>
  <si>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</si>
  <si>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</si>
  <si>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</si>
  <si>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</si>
  <si>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</si>
  <si>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</si>
  <si>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</si>
  <si>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GLENMORE</t>
  </si>
  <si>
    <t>BUMIHARJO</t>
  </si>
  <si>
    <t>KARANGHARJO</t>
  </si>
  <si>
    <t>MARGOMULYO</t>
  </si>
  <si>
    <t>SEPANJANG</t>
  </si>
  <si>
    <t>SUMBERGONDO</t>
  </si>
  <si>
    <t>TEGALHARJO</t>
  </si>
  <si>
    <t>TULUNGREJO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</si>
</sst>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3" fillId="0" borderId="23" xfId="0" applyFont="1" applyBorder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4" xfId="0" applyFont="1" applyBorder="1" applyAlignment="1">
      <alignment vertical="center" wrapText="1"/>
    </xf>
    <xf numFmtId="0" fontId="3" fillId="0" borderId="9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3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4" fillId="0" borderId="14" xfId="0" applyFont="1" applyBorder="1" applyAlignment="1">
      <alignment horizontal="left" vertical="center" wrapText="1"/>
    </xf>
    <xf numFmtId="0" fontId="3" fillId="0" borderId="14" xfId="0" applyFont="1" applyBorder="1"/>
    <xf numFmtId="0" fontId="0" fillId="0" borderId="0" xfId="0"/>
    <xf numFmtId="0" fontId="3" fillId="0" borderId="10" xfId="0" applyFont="1" applyBorder="1"/>
    <xf numFmtId="0" fontId="3" fillId="0" borderId="12" xfId="0" applyFont="1" applyBorder="1"/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/>
    <xf numFmtId="0" fontId="3" fillId="0" borderId="11" xfId="0" applyFont="1" applyBorder="1"/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202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zoomScaleNormal="100" workbookViewId="0">
      <selection activeCell="E14" sqref="E14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116</v>
      </c>
      <c r="D8" s="43" t="s">
        <v>257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117</v>
      </c>
      <c r="D9" s="43" t="s">
        <v>118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119</v>
      </c>
      <c r="D10" s="43" t="s">
        <v>120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75" t="s">
        <v>1</v>
      </c>
      <c r="C12" s="83"/>
      <c r="D12" s="74"/>
      <c r="E12" s="107" t="s">
        <v>115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93" t="s">
        <v>3</v>
      </c>
      <c r="C13" s="83"/>
      <c r="D13" s="74"/>
      <c r="E13" s="106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104" t="s">
        <v>22</v>
      </c>
      <c r="C14" s="79"/>
      <c r="D14" s="6" t="s">
        <v>23</v>
      </c>
      <c r="E14" s="9">
        <f>BUMIHARJO!AE14+KARANGHARJO!BK14+MARGOMULYO!S14+SEPANJANG!AJ14+SUMBERGONDO!AB14+TEGALHARJO!AP14+TULUNGREJO!BL14</f>
        <v>29418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105"/>
      <c r="C15" s="89"/>
      <c r="D15" s="6" t="s">
        <v>24</v>
      </c>
      <c r="E15" s="9">
        <f>BUMIHARJO!AE15+KARANGHARJO!BK15+MARGOMULYO!S15+SEPANJANG!AJ15+SUMBERGONDO!AB15+TEGALHARJO!AP15+TULUNGREJO!BL15</f>
        <v>30287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106"/>
      <c r="C16" s="90"/>
      <c r="D16" s="5" t="s">
        <v>25</v>
      </c>
      <c r="E16" s="25">
        <f t="shared" ref="E16" si="0">SUM(E14:E15)</f>
        <v>59705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70"/>
      <c r="B17" s="83"/>
      <c r="C17" s="83"/>
      <c r="D17" s="74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93" t="s">
        <v>27</v>
      </c>
      <c r="C18" s="83"/>
      <c r="D18" s="74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94" t="s">
        <v>28</v>
      </c>
      <c r="C19" s="95" t="s">
        <v>29</v>
      </c>
      <c r="D19" s="6" t="s">
        <v>23</v>
      </c>
      <c r="E19" s="9">
        <f>BUMIHARJO!AE19+KARANGHARJO!BK19+MARGOMULYO!S19+SEPANJANG!AJ19+SUMBERGONDO!AB19+TEGALHARJO!AP19+TULUNGREJO!BL19</f>
        <v>21583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89"/>
      <c r="C20" s="96"/>
      <c r="D20" s="6" t="s">
        <v>24</v>
      </c>
      <c r="E20" s="9">
        <f>BUMIHARJO!AE20+KARANGHARJO!BK20+MARGOMULYO!S20+SEPANJANG!AJ20+SUMBERGONDO!AB20+TEGALHARJO!AP20+TULUNGREJO!BL20</f>
        <v>23929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90"/>
      <c r="C21" s="97"/>
      <c r="D21" s="5" t="s">
        <v>25</v>
      </c>
      <c r="E21" s="25">
        <f t="shared" ref="E21" si="1">SUM(E19:E20)</f>
        <v>45512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94" t="s">
        <v>30</v>
      </c>
      <c r="C22" s="95" t="s">
        <v>31</v>
      </c>
      <c r="D22" s="6" t="s">
        <v>23</v>
      </c>
      <c r="E22" s="9">
        <f>BUMIHARJO!AE22+KARANGHARJO!BK22+MARGOMULYO!S22+SEPANJANG!AJ22+SUMBERGONDO!AB22+TEGALHARJO!AP22+TULUNGREJO!BL22</f>
        <v>77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89"/>
      <c r="C23" s="96"/>
      <c r="D23" s="6" t="s">
        <v>24</v>
      </c>
      <c r="E23" s="9">
        <f>BUMIHARJO!AE23+KARANGHARJO!BK23+MARGOMULYO!S23+SEPANJANG!AJ23+SUMBERGONDO!AB23+TEGALHARJO!AP23+TULUNGREJO!BL23</f>
        <v>57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90"/>
      <c r="C24" s="97"/>
      <c r="D24" s="5" t="s">
        <v>25</v>
      </c>
      <c r="E24" s="25">
        <f t="shared" ref="E24" si="2">SUM(E22:E23)</f>
        <v>134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94" t="s">
        <v>32</v>
      </c>
      <c r="C25" s="95" t="s">
        <v>33</v>
      </c>
      <c r="D25" s="6" t="s">
        <v>23</v>
      </c>
      <c r="E25" s="9">
        <f>BUMIHARJO!AE25+KARANGHARJO!BK25+MARGOMULYO!S25+SEPANJANG!AJ25+SUMBERGONDO!AB25+TEGALHARJO!AP25+TULUNGREJO!BL25</f>
        <v>144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89"/>
      <c r="C26" s="96"/>
      <c r="D26" s="6" t="s">
        <v>24</v>
      </c>
      <c r="E26" s="9">
        <f>BUMIHARJO!AE26+KARANGHARJO!BK26+MARGOMULYO!S26+SEPANJANG!AJ26+SUMBERGONDO!AB26+TEGALHARJO!AP26+TULUNGREJO!BL26</f>
        <v>198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90"/>
      <c r="C27" s="97"/>
      <c r="D27" s="5" t="s">
        <v>25</v>
      </c>
      <c r="E27" s="25">
        <f t="shared" ref="E27" si="3">SUM(E25:E26)</f>
        <v>342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98" t="s">
        <v>34</v>
      </c>
      <c r="C28" s="99" t="s">
        <v>35</v>
      </c>
      <c r="D28" s="5" t="s">
        <v>23</v>
      </c>
      <c r="E28" s="25">
        <f t="shared" ref="E28:E29" si="4">E19+E22+E25</f>
        <v>21804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89"/>
      <c r="C29" s="96"/>
      <c r="D29" s="5" t="s">
        <v>24</v>
      </c>
      <c r="E29" s="25">
        <f t="shared" si="4"/>
        <v>24184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90"/>
      <c r="C30" s="97"/>
      <c r="D30" s="5" t="s">
        <v>25</v>
      </c>
      <c r="E30" s="25">
        <f t="shared" ref="E30" si="5">SUM(E28:E29)</f>
        <v>45988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70"/>
      <c r="B31" s="83"/>
      <c r="C31" s="83"/>
      <c r="D31" s="74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75" t="s">
        <v>37</v>
      </c>
      <c r="C32" s="83"/>
      <c r="D32" s="74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93" t="s">
        <v>38</v>
      </c>
      <c r="C33" s="83"/>
      <c r="D33" s="74"/>
      <c r="E33" s="9">
        <f>BUMIHARJO!AE33+KARANGHARJO!BK33+MARGOMULYO!S33+SEPANJANG!AJ33+SUMBERGONDO!AB33+TEGALHARJO!AP33+TULUNGREJO!BL33</f>
        <v>61173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93" t="s">
        <v>39</v>
      </c>
      <c r="C34" s="83"/>
      <c r="D34" s="74"/>
      <c r="E34" s="9">
        <f>BUMIHARJO!AE34+KARANGHARJO!BK34+MARGOMULYO!S34+SEPANJANG!AJ34+SUMBERGONDO!AB34+TEGALHARJO!AP34+TULUNGREJO!BL34</f>
        <v>45988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93" t="s">
        <v>40</v>
      </c>
      <c r="C35" s="83"/>
      <c r="D35" s="74"/>
      <c r="E35" s="9">
        <f>BUMIHARJO!AE35+KARANGHARJO!BK35+MARGOMULYO!S35+SEPANJANG!AJ35+SUMBERGONDO!AB35+TEGALHARJO!AP35+TULUNGREJO!BL35</f>
        <v>90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93" t="s">
        <v>41</v>
      </c>
      <c r="C36" s="83"/>
      <c r="D36" s="74"/>
      <c r="E36" s="25">
        <f t="shared" ref="E36" si="6">E33-(E34+E35)</f>
        <v>15095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70"/>
      <c r="B37" s="83"/>
      <c r="C37" s="83"/>
      <c r="D37" s="83"/>
      <c r="E37" s="83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75" t="s">
        <v>43</v>
      </c>
      <c r="C38" s="83"/>
      <c r="D38" s="74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86" t="s">
        <v>44</v>
      </c>
      <c r="C39" s="79"/>
      <c r="D39" s="6" t="s">
        <v>23</v>
      </c>
      <c r="E39" s="9">
        <f>BUMIHARJO!AE39+KARANGHARJO!BK39+MARGOMULYO!S39+SEPANJANG!AJ39+SUMBERGONDO!AB39+TEGALHARJO!AP39+TULUNGREJO!BL39</f>
        <v>38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88"/>
      <c r="C40" s="89"/>
      <c r="D40" s="6" t="s">
        <v>24</v>
      </c>
      <c r="E40" s="9">
        <f>BUMIHARJO!AE40+KARANGHARJO!BK40+MARGOMULYO!S40+SEPANJANG!AJ40+SUMBERGONDO!AB40+TEGALHARJO!AP40+TULUNGREJO!BL40</f>
        <v>65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85"/>
      <c r="C41" s="90"/>
      <c r="D41" s="5" t="s">
        <v>25</v>
      </c>
      <c r="E41" s="25">
        <f t="shared" ref="E41" si="7">SUM(E39:E40)</f>
        <v>103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84"/>
      <c r="B42" s="85"/>
      <c r="C42" s="85"/>
      <c r="D42" s="90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75" t="s">
        <v>46</v>
      </c>
      <c r="C43" s="83"/>
      <c r="D43" s="74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86" t="s">
        <v>47</v>
      </c>
      <c r="B44" s="87"/>
      <c r="C44" s="87"/>
      <c r="D44" s="79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73" t="s">
        <v>49</v>
      </c>
      <c r="D45" s="74"/>
      <c r="E45" s="9">
        <f>BUMIHARJO!AE45+KARANGHARJO!BK45+MARGOMULYO!S45+SEPANJANG!AJ45+SUMBERGONDO!AB45+TEGALHARJO!AP45+TULUNGREJO!BL45</f>
        <v>1304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51"/>
      <c r="C46" s="24" t="s">
        <v>122</v>
      </c>
      <c r="D46" s="24"/>
      <c r="E46" s="9">
        <f>BUMIHARJO!AE46+KARANGHARJO!BK46+MARGOMULYO!S46+SEPANJANG!AJ46+SUMBERGONDO!AB46+TEGALHARJO!AP46+TULUNGREJO!BL46</f>
        <v>2669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52"/>
      <c r="C47" s="24" t="s">
        <v>123</v>
      </c>
      <c r="D47" s="24"/>
      <c r="E47" s="9">
        <f>BUMIHARJO!AE47+KARANGHARJO!BK47+MARGOMULYO!S47+SEPANJANG!AJ47+SUMBERGONDO!AB47+TEGALHARJO!AP47+TULUNGREJO!BL47</f>
        <v>1660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52"/>
      <c r="C48" s="24" t="s">
        <v>124</v>
      </c>
      <c r="D48" s="24"/>
      <c r="E48" s="9">
        <f>BUMIHARJO!AE48+KARANGHARJO!BK48+MARGOMULYO!S48+SEPANJANG!AJ48+SUMBERGONDO!AB48+TEGALHARJO!AP48+TULUNGREJO!BL48</f>
        <v>272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52"/>
      <c r="C49" s="24" t="s">
        <v>125</v>
      </c>
      <c r="D49" s="24"/>
      <c r="E49" s="9">
        <f>BUMIHARJO!AE49+KARANGHARJO!BK49+MARGOMULYO!S49+SEPANJANG!AJ49+SUMBERGONDO!AB49+TEGALHARJO!AP49+TULUNGREJO!BL49</f>
        <v>324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52"/>
      <c r="C50" s="24" t="s">
        <v>126</v>
      </c>
      <c r="D50" s="24"/>
      <c r="E50" s="9">
        <f>BUMIHARJO!AE50+KARANGHARJO!BK50+MARGOMULYO!S50+SEPANJANG!AJ50+SUMBERGONDO!AB50+TEGALHARJO!AP50+TULUNGREJO!BL50</f>
        <v>112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52"/>
      <c r="C51" s="24" t="s">
        <v>127</v>
      </c>
      <c r="D51" s="24"/>
      <c r="E51" s="9">
        <f>BUMIHARJO!AE51+KARANGHARJO!BK51+MARGOMULYO!S51+SEPANJANG!AJ51+SUMBERGONDO!AB51+TEGALHARJO!AP51+TULUNGREJO!BL51</f>
        <v>81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7"/>
      <c r="B52" s="52"/>
      <c r="C52" s="24" t="s">
        <v>128</v>
      </c>
      <c r="D52" s="24"/>
      <c r="E52" s="9">
        <f>BUMIHARJO!AE52+KARANGHARJO!BK52+MARGOMULYO!S52+SEPANJANG!AJ52+SUMBERGONDO!AB52+TEGALHARJO!AP52+TULUNGREJO!BL52</f>
        <v>100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"/>
      <c r="B53" s="52"/>
      <c r="C53" s="24" t="s">
        <v>129</v>
      </c>
      <c r="D53" s="24"/>
      <c r="E53" s="9">
        <f>BUMIHARJO!AE53+KARANGHARJO!BK53+MARGOMULYO!S53+SEPANJANG!AJ53+SUMBERGONDO!AB53+TEGALHARJO!AP53+TULUNGREJO!BL53</f>
        <v>30</v>
      </c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7"/>
      <c r="B54" s="52"/>
      <c r="C54" s="24" t="s">
        <v>130</v>
      </c>
      <c r="D54" s="24"/>
      <c r="E54" s="9">
        <f>BUMIHARJO!AE54+KARANGHARJO!BK54+MARGOMULYO!S54+SEPANJANG!AJ54+SUMBERGONDO!AB54+TEGALHARJO!AP54+TULUNGREJO!BL54</f>
        <v>56</v>
      </c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4">
      <c r="A55" s="6" t="s">
        <v>26</v>
      </c>
      <c r="B55" s="67" t="s">
        <v>51</v>
      </c>
      <c r="C55" s="83"/>
      <c r="D55" s="74"/>
      <c r="E55" s="5">
        <f>SUM(E45:E52)</f>
        <v>6522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4">
      <c r="A56" s="84"/>
      <c r="B56" s="85"/>
      <c r="C56" s="85"/>
      <c r="D56" s="85"/>
      <c r="E56" s="85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11" t="s">
        <v>48</v>
      </c>
      <c r="B57" s="17" t="s">
        <v>30</v>
      </c>
      <c r="C57" s="73" t="s">
        <v>52</v>
      </c>
      <c r="D57" s="74"/>
      <c r="E57" s="9">
        <f>BUMIHARJO!AE57+KARANGHARJO!BK57+MARGOMULYO!S57+SEPANJANG!AJ57+SUMBERGONDO!AB57+TEGALHARJO!AP57+TULUNGREJO!BL57</f>
        <v>1919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4">
      <c r="A58" s="11" t="s">
        <v>50</v>
      </c>
      <c r="B58" s="52"/>
      <c r="C58" s="24" t="s">
        <v>131</v>
      </c>
      <c r="D58" s="53"/>
      <c r="E58" s="9">
        <f>BUMIHARJO!AE58+KARANGHARJO!BK58+MARGOMULYO!S58+SEPANJANG!AJ58+SUMBERGONDO!AB58+TEGALHARJO!AP58+TULUNGREJO!BL58</f>
        <v>2671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4">
      <c r="A59" s="7"/>
      <c r="B59" s="52"/>
      <c r="C59" s="24" t="s">
        <v>132</v>
      </c>
      <c r="D59" s="53"/>
      <c r="E59" s="9">
        <f>BUMIHARJO!AE59+KARANGHARJO!BK59+MARGOMULYO!S59+SEPANJANG!AJ59+SUMBERGONDO!AB59+TEGALHARJO!AP59+TULUNGREJO!BL59</f>
        <v>1107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52"/>
      <c r="C60" s="24" t="s">
        <v>133</v>
      </c>
      <c r="D60" s="53"/>
      <c r="E60" s="9">
        <f>BUMIHARJO!AE60+KARANGHARJO!BK60+MARGOMULYO!S60+SEPANJANG!AJ60+SUMBERGONDO!AB60+TEGALHARJO!AP60+TULUNGREJO!BL60</f>
        <v>461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7"/>
      <c r="B61" s="52"/>
      <c r="C61" s="24" t="s">
        <v>134</v>
      </c>
      <c r="D61" s="53"/>
      <c r="E61" s="9">
        <f>BUMIHARJO!AE61+KARANGHARJO!BK61+MARGOMULYO!S61+SEPANJANG!AJ61+SUMBERGONDO!AB61+TEGALHARJO!AP61+TULUNGREJO!BL61</f>
        <v>792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"/>
      <c r="B62" s="52"/>
      <c r="C62" s="24" t="s">
        <v>135</v>
      </c>
      <c r="D62" s="53"/>
      <c r="E62" s="9">
        <f>BUMIHARJO!AE62+KARANGHARJO!BK62+MARGOMULYO!S62+SEPANJANG!AJ62+SUMBERGONDO!AB62+TEGALHARJO!AP62+TULUNGREJO!BL62</f>
        <v>234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7"/>
      <c r="B63" s="52"/>
      <c r="C63" s="24" t="s">
        <v>136</v>
      </c>
      <c r="D63" s="50"/>
      <c r="E63" s="9">
        <f>BUMIHARJO!AE63+KARANGHARJO!BK63+MARGOMULYO!S63+SEPANJANG!AJ63+SUMBERGONDO!AB63+TEGALHARJO!AP63+TULUNGREJO!BL63</f>
        <v>103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4">
      <c r="A64" s="7"/>
      <c r="B64" s="52"/>
      <c r="C64" s="24" t="s">
        <v>137</v>
      </c>
      <c r="D64" s="53"/>
      <c r="E64" s="9">
        <f>BUMIHARJO!AE64+KARANGHARJO!BK64+MARGOMULYO!S64+SEPANJANG!AJ64+SUMBERGONDO!AB64+TEGALHARJO!AP64+TULUNGREJO!BL64</f>
        <v>117</v>
      </c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4">
      <c r="A65" s="7"/>
      <c r="B65" s="52"/>
      <c r="C65" s="24" t="s">
        <v>138</v>
      </c>
      <c r="D65" s="53"/>
      <c r="E65" s="9">
        <f>BUMIHARJO!AE65+KARANGHARJO!BK65+MARGOMULYO!S65+SEPANJANG!AJ65+SUMBERGONDO!AB65+TEGALHARJO!AP65+TULUNGREJO!BL65</f>
        <v>50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52"/>
      <c r="C66" s="24" t="s">
        <v>139</v>
      </c>
      <c r="D66" s="53"/>
      <c r="E66" s="9">
        <f>BUMIHARJO!AE66+KARANGHARJO!BK66+MARGOMULYO!S66+SEPANJANG!AJ66+SUMBERGONDO!AB66+TEGALHARJO!AP66+TULUNGREJO!BL66</f>
        <v>74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6" t="s">
        <v>26</v>
      </c>
      <c r="B67" s="67" t="s">
        <v>51</v>
      </c>
      <c r="C67" s="83"/>
      <c r="D67" s="74"/>
      <c r="E67" s="5">
        <f>SUM(E57:E64)</f>
        <v>7404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84"/>
      <c r="B68" s="85"/>
      <c r="C68" s="85"/>
      <c r="D68" s="85"/>
      <c r="E68" s="85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11" t="s">
        <v>48</v>
      </c>
      <c r="B69" s="17" t="s">
        <v>32</v>
      </c>
      <c r="C69" s="73" t="s">
        <v>53</v>
      </c>
      <c r="D69" s="74"/>
      <c r="E69" s="9">
        <f>BUMIHARJO!AE69+KARANGHARJO!BK69+MARGOMULYO!S69+SEPANJANG!AJ69+SUMBERGONDO!AB69+TEGALHARJO!AP69+TULUNGREJO!BL69</f>
        <v>1537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4">
      <c r="A70" s="11" t="s">
        <v>50</v>
      </c>
      <c r="B70" s="52"/>
      <c r="C70" s="24" t="s">
        <v>140</v>
      </c>
      <c r="D70" s="50"/>
      <c r="E70" s="9">
        <f>BUMIHARJO!AE70+KARANGHARJO!BK70+MARGOMULYO!S70+SEPANJANG!AJ70+SUMBERGONDO!AB70+TEGALHARJO!AP70+TULUNGREJO!BL70</f>
        <v>1328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4">
      <c r="A71" s="7"/>
      <c r="B71" s="52"/>
      <c r="C71" s="24" t="s">
        <v>141</v>
      </c>
      <c r="D71" s="50"/>
      <c r="E71" s="9">
        <f>BUMIHARJO!AE71+KARANGHARJO!BK71+MARGOMULYO!S71+SEPANJANG!AJ71+SUMBERGONDO!AB71+TEGALHARJO!AP71+TULUNGREJO!BL71</f>
        <v>625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7"/>
      <c r="B72" s="52"/>
      <c r="C72" s="24" t="s">
        <v>142</v>
      </c>
      <c r="D72" s="50"/>
      <c r="E72" s="9">
        <f>BUMIHARJO!AE72+KARANGHARJO!BK72+MARGOMULYO!S72+SEPANJANG!AJ72+SUMBERGONDO!AB72+TEGALHARJO!AP72+TULUNGREJO!BL72</f>
        <v>479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4">
      <c r="A73" s="7"/>
      <c r="B73" s="52"/>
      <c r="C73" s="24" t="s">
        <v>143</v>
      </c>
      <c r="D73" s="50"/>
      <c r="E73" s="9">
        <f>BUMIHARJO!AE73+KARANGHARJO!BK73+MARGOMULYO!S73+SEPANJANG!AJ73+SUMBERGONDO!AB73+TEGALHARJO!AP73+TULUNGREJO!BL73</f>
        <v>944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4">
      <c r="A74" s="7"/>
      <c r="B74" s="52"/>
      <c r="C74" s="24" t="s">
        <v>144</v>
      </c>
      <c r="D74" s="50"/>
      <c r="E74" s="9">
        <f>BUMIHARJO!AE74+KARANGHARJO!BK74+MARGOMULYO!S74+SEPANJANG!AJ74+SUMBERGONDO!AB74+TEGALHARJO!AP74+TULUNGREJO!BL74</f>
        <v>145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52"/>
      <c r="C75" s="24" t="s">
        <v>145</v>
      </c>
      <c r="D75" s="50"/>
      <c r="E75" s="9">
        <f>BUMIHARJO!AE75+KARANGHARJO!BK75+MARGOMULYO!S75+SEPANJANG!AJ75+SUMBERGONDO!AB75+TEGALHARJO!AP75+TULUNGREJO!BL75</f>
        <v>149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52"/>
      <c r="C76" s="24" t="s">
        <v>146</v>
      </c>
      <c r="D76" s="50"/>
      <c r="E76" s="9">
        <f>BUMIHARJO!AE76+KARANGHARJO!BK76+MARGOMULYO!S76+SEPANJANG!AJ76+SUMBERGONDO!AB76+TEGALHARJO!AP76+TULUNGREJO!BL76</f>
        <v>46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52"/>
      <c r="C77" s="24" t="s">
        <v>147</v>
      </c>
      <c r="D77" s="50"/>
      <c r="E77" s="9">
        <f>BUMIHARJO!AE77+KARANGHARJO!BK77+MARGOMULYO!S77+SEPANJANG!AJ77+SUMBERGONDO!AB77+TEGALHARJO!AP77+TULUNGREJO!BL77</f>
        <v>64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52"/>
      <c r="C78" s="24" t="s">
        <v>148</v>
      </c>
      <c r="D78" s="50"/>
      <c r="E78" s="9">
        <f>BUMIHARJO!AE78+KARANGHARJO!BK78+MARGOMULYO!S78+SEPANJANG!AJ78+SUMBERGONDO!AB78+TEGALHARJO!AP78+TULUNGREJO!BL78</f>
        <v>130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67" t="s">
        <v>51</v>
      </c>
      <c r="C79" s="83"/>
      <c r="D79" s="74"/>
      <c r="E79" s="5">
        <f>SUM(E69:E76)</f>
        <v>5253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84"/>
      <c r="B80" s="85"/>
      <c r="C80" s="85"/>
      <c r="D80" s="85"/>
      <c r="E80" s="85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34</v>
      </c>
      <c r="C81" s="73" t="s">
        <v>54</v>
      </c>
      <c r="D81" s="74"/>
      <c r="E81" s="9">
        <f>BUMIHARJO!AE81+KARANGHARJO!BK81+MARGOMULYO!S81+SEPANJANG!AJ81+SUMBERGONDO!AB81+TEGALHARJO!AP81+TULUNGREJO!BL81</f>
        <v>1585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52"/>
      <c r="C82" s="24" t="s">
        <v>149</v>
      </c>
      <c r="D82" s="50"/>
      <c r="E82" s="9">
        <f>BUMIHARJO!AE82+KARANGHARJO!BK82+MARGOMULYO!S82+SEPANJANG!AJ82+SUMBERGONDO!AB82+TEGALHARJO!AP82+TULUNGREJO!BL82</f>
        <v>4251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52"/>
      <c r="C83" s="24" t="s">
        <v>150</v>
      </c>
      <c r="D83" s="50"/>
      <c r="E83" s="9">
        <f>BUMIHARJO!AE83+KARANGHARJO!BK83+MARGOMULYO!S83+SEPANJANG!AJ83+SUMBERGONDO!AB83+TEGALHARJO!AP83+TULUNGREJO!BL83</f>
        <v>360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52"/>
      <c r="C84" s="24" t="s">
        <v>151</v>
      </c>
      <c r="D84" s="50"/>
      <c r="E84" s="9">
        <f>BUMIHARJO!AE84+KARANGHARJO!BK84+MARGOMULYO!S84+SEPANJANG!AJ84+SUMBERGONDO!AB84+TEGALHARJO!AP84+TULUNGREJO!BL84</f>
        <v>212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52"/>
      <c r="C85" s="24" t="s">
        <v>152</v>
      </c>
      <c r="D85" s="50"/>
      <c r="E85" s="9">
        <f>BUMIHARJO!AE85+KARANGHARJO!BK85+MARGOMULYO!S85+SEPANJANG!AJ85+SUMBERGONDO!AB85+TEGALHARJO!AP85+TULUNGREJO!BL85</f>
        <v>397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52"/>
      <c r="C86" s="24" t="s">
        <v>153</v>
      </c>
      <c r="D86" s="50"/>
      <c r="E86" s="9">
        <f>BUMIHARJO!AE86+KARANGHARJO!BK86+MARGOMULYO!S86+SEPANJANG!AJ86+SUMBERGONDO!AB86+TEGALHARJO!AP86+TULUNGREJO!BL86</f>
        <v>235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52"/>
      <c r="C87" s="24" t="s">
        <v>154</v>
      </c>
      <c r="D87" s="50"/>
      <c r="E87" s="9">
        <f>BUMIHARJO!AE87+KARANGHARJO!BK87+MARGOMULYO!S87+SEPANJANG!AJ87+SUMBERGONDO!AB87+TEGALHARJO!AP87+TULUNGREJO!BL87</f>
        <v>61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7"/>
      <c r="B88" s="52"/>
      <c r="C88" s="24" t="s">
        <v>155</v>
      </c>
      <c r="D88" s="50"/>
      <c r="E88" s="9">
        <f>BUMIHARJO!AE88+KARANGHARJO!BK88+MARGOMULYO!S88+SEPANJANG!AJ88+SUMBERGONDO!AB88+TEGALHARJO!AP88+TULUNGREJO!BL88</f>
        <v>43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"/>
      <c r="B89" s="52"/>
      <c r="C89" s="24" t="s">
        <v>156</v>
      </c>
      <c r="D89" s="50"/>
      <c r="E89" s="9">
        <f>BUMIHARJO!AE89+KARANGHARJO!BK89+MARGOMULYO!S89+SEPANJANG!AJ89+SUMBERGONDO!AB89+TEGALHARJO!AP89+TULUNGREJO!BL89</f>
        <v>16</v>
      </c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7"/>
      <c r="B90" s="52"/>
      <c r="C90" s="24" t="s">
        <v>157</v>
      </c>
      <c r="D90" s="50"/>
      <c r="E90" s="9">
        <f>BUMIHARJO!AE90+KARANGHARJO!BK90+MARGOMULYO!S90+SEPANJANG!AJ90+SUMBERGONDO!AB90+TEGALHARJO!AP90+TULUNGREJO!BL90</f>
        <v>69</v>
      </c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4">
      <c r="A91" s="6" t="s">
        <v>26</v>
      </c>
      <c r="B91" s="67" t="s">
        <v>51</v>
      </c>
      <c r="C91" s="83"/>
      <c r="D91" s="74"/>
      <c r="E91" s="5">
        <f>SUM(E81:E88)</f>
        <v>7144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4">
      <c r="A92" s="84"/>
      <c r="B92" s="85"/>
      <c r="C92" s="85"/>
      <c r="D92" s="85"/>
      <c r="E92" s="85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48</v>
      </c>
      <c r="B93" s="17" t="s">
        <v>55</v>
      </c>
      <c r="C93" s="73" t="s">
        <v>56</v>
      </c>
      <c r="D93" s="74"/>
      <c r="E93" s="9">
        <f>BUMIHARJO!AE93+KARANGHARJO!BK93+MARGOMULYO!S93+SEPANJANG!AJ93+SUMBERGONDO!AB93+TEGALHARJO!AP93+TULUNGREJO!BL93</f>
        <v>294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4">
      <c r="A94" s="11" t="s">
        <v>50</v>
      </c>
      <c r="B94" s="52"/>
      <c r="C94" s="24" t="s">
        <v>158</v>
      </c>
      <c r="D94" s="50"/>
      <c r="E94" s="9">
        <f>BUMIHARJO!AE94+KARANGHARJO!BK94+MARGOMULYO!S94+SEPANJANG!AJ94+SUMBERGONDO!AB94+TEGALHARJO!AP94+TULUNGREJO!BL94</f>
        <v>465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4">
      <c r="A95" s="7"/>
      <c r="B95" s="52"/>
      <c r="C95" s="24" t="s">
        <v>159</v>
      </c>
      <c r="D95" s="50"/>
      <c r="E95" s="9">
        <f>BUMIHARJO!AE95+KARANGHARJO!BK95+MARGOMULYO!S95+SEPANJANG!AJ95+SUMBERGONDO!AB95+TEGALHARJO!AP95+TULUNGREJO!BL95</f>
        <v>131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52"/>
      <c r="C96" s="24" t="s">
        <v>160</v>
      </c>
      <c r="D96" s="50"/>
      <c r="E96" s="9">
        <f>BUMIHARJO!AE96+KARANGHARJO!BK96+MARGOMULYO!S96+SEPANJANG!AJ96+SUMBERGONDO!AB96+TEGALHARJO!AP96+TULUNGREJO!BL96</f>
        <v>68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52"/>
      <c r="C97" s="24" t="s">
        <v>161</v>
      </c>
      <c r="D97" s="50"/>
      <c r="E97" s="9">
        <f>BUMIHARJO!AE97+KARANGHARJO!BK97+MARGOMULYO!S97+SEPANJANG!AJ97+SUMBERGONDO!AB97+TEGALHARJO!AP97+TULUNGREJO!BL97</f>
        <v>140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7"/>
      <c r="B98" s="52"/>
      <c r="C98" s="24" t="s">
        <v>162</v>
      </c>
      <c r="D98" s="50"/>
      <c r="E98" s="9">
        <f>BUMIHARJO!AE98+KARANGHARJO!BK98+MARGOMULYO!S98+SEPANJANG!AJ98+SUMBERGONDO!AB98+TEGALHARJO!AP98+TULUNGREJO!BL98</f>
        <v>76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7"/>
      <c r="B99" s="52"/>
      <c r="C99" s="24" t="s">
        <v>163</v>
      </c>
      <c r="D99" s="50"/>
      <c r="E99" s="9">
        <f>BUMIHARJO!AE99+KARANGHARJO!BK99+MARGOMULYO!S99+SEPANJANG!AJ99+SUMBERGONDO!AB99+TEGALHARJO!AP99+TULUNGREJO!BL99</f>
        <v>26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7"/>
      <c r="B100" s="52"/>
      <c r="C100" s="24" t="s">
        <v>164</v>
      </c>
      <c r="D100" s="50"/>
      <c r="E100" s="9">
        <f>BUMIHARJO!AE100+KARANGHARJO!BK100+MARGOMULYO!S100+SEPANJANG!AJ100+SUMBERGONDO!AB100+TEGALHARJO!AP100+TULUNGREJO!BL100</f>
        <v>67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4">
      <c r="A101" s="7"/>
      <c r="B101" s="52"/>
      <c r="C101" s="24" t="s">
        <v>165</v>
      </c>
      <c r="D101" s="50"/>
      <c r="E101" s="9">
        <f>BUMIHARJO!AE101+KARANGHARJO!BK101+MARGOMULYO!S101+SEPANJANG!AJ101+SUMBERGONDO!AB101+TEGALHARJO!AP101+TULUNGREJO!BL101</f>
        <v>25</v>
      </c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7"/>
      <c r="B102" s="52"/>
      <c r="C102" s="24" t="s">
        <v>166</v>
      </c>
      <c r="D102" s="50"/>
      <c r="E102" s="9">
        <f>BUMIHARJO!AE102+KARANGHARJO!BK102+MARGOMULYO!S102+SEPANJANG!AJ102+SUMBERGONDO!AB102+TEGALHARJO!AP102+TULUNGREJO!BL102</f>
        <v>23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6" t="s">
        <v>26</v>
      </c>
      <c r="B103" s="67" t="s">
        <v>51</v>
      </c>
      <c r="C103" s="83"/>
      <c r="D103" s="74"/>
      <c r="E103" s="5">
        <f>SUM(E93:E100)</f>
        <v>1267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84"/>
      <c r="B104" s="85"/>
      <c r="C104" s="85"/>
      <c r="D104" s="85"/>
      <c r="E104" s="85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11" t="s">
        <v>48</v>
      </c>
      <c r="B105" s="17" t="s">
        <v>57</v>
      </c>
      <c r="C105" s="73" t="s">
        <v>58</v>
      </c>
      <c r="D105" s="74"/>
      <c r="E105" s="9">
        <f>BUMIHARJO!AE105+KARANGHARJO!BK105+MARGOMULYO!S105+SEPANJANG!AJ105+SUMBERGONDO!AB105+TEGALHARJO!AP105+TULUNGREJO!BL105</f>
        <v>52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4">
      <c r="A106" s="11" t="s">
        <v>50</v>
      </c>
      <c r="B106" s="52"/>
      <c r="C106" s="24" t="s">
        <v>167</v>
      </c>
      <c r="D106" s="50"/>
      <c r="E106" s="9">
        <f>BUMIHARJO!AE106+KARANGHARJO!BK106+MARGOMULYO!S106+SEPANJANG!AJ106+SUMBERGONDO!AB106+TEGALHARJO!AP106+TULUNGREJO!BL106</f>
        <v>53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4">
      <c r="A107" s="7"/>
      <c r="B107" s="52"/>
      <c r="C107" s="24" t="s">
        <v>168</v>
      </c>
      <c r="D107" s="50"/>
      <c r="E107" s="9">
        <f>BUMIHARJO!AE107+KARANGHARJO!BK107+MARGOMULYO!S107+SEPANJANG!AJ107+SUMBERGONDO!AB107+TEGALHARJO!AP107+TULUNGREJO!BL107</f>
        <v>28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7"/>
      <c r="B108" s="45"/>
      <c r="C108" s="46"/>
      <c r="D108" s="48"/>
      <c r="E108" s="58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4">
      <c r="A109" s="7"/>
      <c r="B109" s="45"/>
      <c r="C109" s="46"/>
      <c r="D109" s="48"/>
      <c r="E109" s="58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4">
      <c r="A110" s="7"/>
      <c r="B110" s="45"/>
      <c r="C110" s="46"/>
      <c r="D110" s="48"/>
      <c r="E110" s="58"/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7"/>
      <c r="B111" s="45"/>
      <c r="C111" s="46"/>
      <c r="D111" s="48"/>
      <c r="E111" s="58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5"/>
      <c r="C112" s="46"/>
      <c r="D112" s="48"/>
      <c r="E112" s="58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 x14ac:dyDescent="0.4">
      <c r="A113" s="7"/>
      <c r="B113" s="45"/>
      <c r="C113" s="46"/>
      <c r="D113" s="48"/>
      <c r="E113" s="58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34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</row>
    <row r="114" spans="1:216" ht="15.75" customHeight="1" x14ac:dyDescent="0.4">
      <c r="A114" s="7"/>
      <c r="B114" s="45"/>
      <c r="C114" s="46"/>
      <c r="D114" s="48"/>
      <c r="E114" s="58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4">
      <c r="A115" s="6" t="s">
        <v>26</v>
      </c>
      <c r="B115" s="67" t="s">
        <v>51</v>
      </c>
      <c r="C115" s="68"/>
      <c r="D115" s="69"/>
      <c r="E115" s="5">
        <f>SUM(E105:E112)</f>
        <v>133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4">
      <c r="A116" s="70"/>
      <c r="B116" s="71"/>
      <c r="C116" s="71"/>
      <c r="D116" s="71"/>
      <c r="E116" s="72"/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11" t="s">
        <v>48</v>
      </c>
      <c r="B117" s="17" t="s">
        <v>59</v>
      </c>
      <c r="C117" s="73" t="s">
        <v>60</v>
      </c>
      <c r="D117" s="74"/>
      <c r="E117" s="9">
        <f>BUMIHARJO!AE117+KARANGHARJO!BK117+MARGOMULYO!S117+SEPANJANG!AJ117+SUMBERGONDO!AB117+TEGALHARJO!AP117+TULUNGREJO!BL117</f>
        <v>250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11" t="s">
        <v>50</v>
      </c>
      <c r="B118" s="52"/>
      <c r="C118" s="24" t="s">
        <v>169</v>
      </c>
      <c r="D118" s="50"/>
      <c r="E118" s="9">
        <f>BUMIHARJO!AE118+KARANGHARJO!BK118+MARGOMULYO!S118+SEPANJANG!AJ118+SUMBERGONDO!AB118+TEGALHARJO!AP118+TULUNGREJO!BL118</f>
        <v>90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7"/>
      <c r="B119" s="52"/>
      <c r="C119" s="24" t="s">
        <v>170</v>
      </c>
      <c r="D119" s="50"/>
      <c r="E119" s="9">
        <f>BUMIHARJO!AE119+KARANGHARJO!BK119+MARGOMULYO!S119+SEPANJANG!AJ119+SUMBERGONDO!AB119+TEGALHARJO!AP119+TULUNGREJO!BL119</f>
        <v>41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7"/>
      <c r="B120" s="52"/>
      <c r="C120" s="24" t="s">
        <v>171</v>
      </c>
      <c r="D120" s="50"/>
      <c r="E120" s="9">
        <f>BUMIHARJO!AE120+KARANGHARJO!BK120+MARGOMULYO!S120+SEPANJANG!AJ120+SUMBERGONDO!AB120+TEGALHARJO!AP120+TULUNGREJO!BL120</f>
        <v>23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52"/>
      <c r="C121" s="24" t="s">
        <v>172</v>
      </c>
      <c r="D121" s="50"/>
      <c r="E121" s="9">
        <f>BUMIHARJO!AE121+KARANGHARJO!BK121+MARGOMULYO!S121+SEPANJANG!AJ121+SUMBERGONDO!AB121+TEGALHARJO!AP121+TULUNGREJO!BL121</f>
        <v>15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7"/>
      <c r="B122" s="52"/>
      <c r="C122" s="24" t="s">
        <v>173</v>
      </c>
      <c r="D122" s="50"/>
      <c r="E122" s="9">
        <f>BUMIHARJO!AE122+KARANGHARJO!BK122+MARGOMULYO!S122+SEPANJANG!AJ122+SUMBERGONDO!AB122+TEGALHARJO!AP122+TULUNGREJO!BL122</f>
        <v>12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7"/>
      <c r="B123" s="45"/>
      <c r="C123" s="46"/>
      <c r="D123" s="48"/>
      <c r="E123" s="60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7"/>
      <c r="B124" s="45"/>
      <c r="C124" s="46"/>
      <c r="D124" s="48"/>
      <c r="E124" s="60"/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4">
      <c r="A125" s="7"/>
      <c r="B125" s="45"/>
      <c r="C125" s="46"/>
      <c r="D125" s="48"/>
      <c r="E125" s="60"/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7"/>
      <c r="B126" s="45"/>
      <c r="C126" s="46"/>
      <c r="D126" s="48"/>
      <c r="E126" s="60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6" t="s">
        <v>26</v>
      </c>
      <c r="B127" s="67" t="s">
        <v>51</v>
      </c>
      <c r="C127" s="68"/>
      <c r="D127" s="69"/>
      <c r="E127" s="26">
        <f>SUM(E117:E120)</f>
        <v>404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70"/>
      <c r="B128" s="71"/>
      <c r="C128" s="71"/>
      <c r="D128" s="71"/>
      <c r="E128" s="72"/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11" t="s">
        <v>48</v>
      </c>
      <c r="B129" s="17" t="s">
        <v>61</v>
      </c>
      <c r="C129" s="73" t="s">
        <v>62</v>
      </c>
      <c r="D129" s="74"/>
      <c r="E129" s="9">
        <f>BUMIHARJO!AE129+KARANGHARJO!BK129+MARGOMULYO!S129+SEPANJANG!AJ129+SUMBERGONDO!AB129+TEGALHARJO!AP129+TULUNGREJO!BL129</f>
        <v>303</v>
      </c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34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</row>
    <row r="130" spans="1:216" ht="15.75" customHeight="1" x14ac:dyDescent="0.4">
      <c r="A130" s="11" t="s">
        <v>50</v>
      </c>
      <c r="B130" s="52"/>
      <c r="C130" s="24" t="s">
        <v>174</v>
      </c>
      <c r="D130" s="53"/>
      <c r="E130" s="9">
        <f>BUMIHARJO!AE130+KARANGHARJO!BK130+MARGOMULYO!S130+SEPANJANG!AJ130+SUMBERGONDO!AB130+TEGALHARJO!AP130+TULUNGREJO!BL130</f>
        <v>679</v>
      </c>
      <c r="F130" s="42"/>
      <c r="G130" s="27"/>
      <c r="H130" s="27"/>
      <c r="I130" s="27"/>
      <c r="J130" s="27"/>
      <c r="K130" s="27"/>
      <c r="L130" s="27"/>
      <c r="M130" s="27"/>
      <c r="N130" s="27"/>
      <c r="O130" s="27"/>
      <c r="P130" s="37"/>
      <c r="Q130" s="30"/>
      <c r="R130" s="30"/>
      <c r="S130" s="30"/>
      <c r="T130" s="30"/>
      <c r="U130" s="30"/>
      <c r="V130" s="30"/>
      <c r="W130" s="38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0"/>
      <c r="BM130" s="30"/>
      <c r="BN130" s="30"/>
      <c r="BO130" s="30"/>
      <c r="BP130" s="30"/>
      <c r="BQ130" s="30"/>
      <c r="BR130" s="38"/>
      <c r="BS130" s="30"/>
      <c r="BT130" s="30"/>
      <c r="BU130" s="30"/>
      <c r="BV130" s="30"/>
      <c r="BW130" s="30"/>
      <c r="BX130" s="30"/>
      <c r="BY130" s="30"/>
      <c r="BZ130" s="30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8"/>
      <c r="EZ130" s="38"/>
      <c r="FA130" s="38"/>
      <c r="FB130" s="38"/>
      <c r="FC130" s="38"/>
      <c r="FD130" s="38"/>
      <c r="FE130" s="38"/>
      <c r="FF130" s="30"/>
      <c r="FG130" s="30"/>
      <c r="FH130" s="30"/>
      <c r="FI130" s="30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</row>
    <row r="131" spans="1:216" ht="15.75" customHeight="1" x14ac:dyDescent="0.4">
      <c r="A131" s="7"/>
      <c r="B131" s="52"/>
      <c r="C131" s="24" t="s">
        <v>175</v>
      </c>
      <c r="D131" s="53"/>
      <c r="E131" s="9">
        <f>BUMIHARJO!AE131+KARANGHARJO!BK131+MARGOMULYO!S131+SEPANJANG!AJ131+SUMBERGONDO!AB131+TEGALHARJO!AP131+TULUNGREJO!BL131</f>
        <v>54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4">
      <c r="A132" s="7"/>
      <c r="B132" s="52"/>
      <c r="C132" s="24" t="s">
        <v>176</v>
      </c>
      <c r="D132" s="53"/>
      <c r="E132" s="9">
        <f>BUMIHARJO!AE132+KARANGHARJO!BK132+MARGOMULYO!S132+SEPANJANG!AJ132+SUMBERGONDO!AB132+TEGALHARJO!AP132+TULUNGREJO!BL132</f>
        <v>40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52"/>
      <c r="C133" s="24" t="s">
        <v>177</v>
      </c>
      <c r="D133" s="53"/>
      <c r="E133" s="9">
        <f>BUMIHARJO!AE133+KARANGHARJO!BK133+MARGOMULYO!S133+SEPANJANG!AJ133+SUMBERGONDO!AB133+TEGALHARJO!AP133+TULUNGREJO!BL133</f>
        <v>28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7"/>
      <c r="B134" s="52"/>
      <c r="C134" s="24" t="s">
        <v>178</v>
      </c>
      <c r="D134" s="53"/>
      <c r="E134" s="9">
        <f>BUMIHARJO!AE134+KARANGHARJO!BK134+MARGOMULYO!S134+SEPANJANG!AJ134+SUMBERGONDO!AB134+TEGALHARJO!AP134+TULUNGREJO!BL134</f>
        <v>42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7"/>
      <c r="B135" s="52"/>
      <c r="C135" s="24" t="s">
        <v>179</v>
      </c>
      <c r="D135" s="50"/>
      <c r="E135" s="9">
        <f>BUMIHARJO!AE135+KARANGHARJO!BK135+MARGOMULYO!S135+SEPANJANG!AJ135+SUMBERGONDO!AB135+TEGALHARJO!AP135+TULUNGREJO!BL135</f>
        <v>25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7"/>
      <c r="B136" s="52"/>
      <c r="C136" s="24" t="s">
        <v>180</v>
      </c>
      <c r="D136" s="53"/>
      <c r="E136" s="9">
        <f>BUMIHARJO!AE136+KARANGHARJO!BK136+MARGOMULYO!S136+SEPANJANG!AJ136+SUMBERGONDO!AB136+TEGALHARJO!AP136+TULUNGREJO!BL136</f>
        <v>20</v>
      </c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4">
      <c r="A137" s="7"/>
      <c r="B137" s="52"/>
      <c r="C137" s="24" t="s">
        <v>181</v>
      </c>
      <c r="D137" s="53"/>
      <c r="E137" s="9">
        <f>BUMIHARJO!AE137+KARANGHARJO!BK137+MARGOMULYO!S137+SEPANJANG!AJ137+SUMBERGONDO!AB137+TEGALHARJO!AP137+TULUNGREJO!BL137</f>
        <v>36</v>
      </c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7"/>
      <c r="B138" s="52"/>
      <c r="C138" s="24" t="s">
        <v>182</v>
      </c>
      <c r="D138" s="53"/>
      <c r="E138" s="9">
        <f>BUMIHARJO!AE138+KARANGHARJO!BK138+MARGOMULYO!S138+SEPANJANG!AJ138+SUMBERGONDO!AB138+TEGALHARJO!AP138+TULUNGREJO!BL138</f>
        <v>16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6" t="s">
        <v>26</v>
      </c>
      <c r="B139" s="67" t="s">
        <v>51</v>
      </c>
      <c r="C139" s="68"/>
      <c r="D139" s="69"/>
      <c r="E139" s="5">
        <f>SUM(E129:E136)</f>
        <v>1191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70"/>
      <c r="B140" s="71"/>
      <c r="C140" s="71"/>
      <c r="D140" s="71"/>
      <c r="E140" s="72"/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11" t="s">
        <v>48</v>
      </c>
      <c r="B141" s="17" t="s">
        <v>63</v>
      </c>
      <c r="C141" s="73" t="s">
        <v>64</v>
      </c>
      <c r="D141" s="74"/>
      <c r="E141" s="9">
        <f>BUMIHARJO!AE141+KARANGHARJO!BK141+MARGOMULYO!S141+SEPANJANG!AJ141+SUMBERGONDO!AB141+TEGALHARJO!AP141+TULUNGREJO!BL141</f>
        <v>11</v>
      </c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34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</row>
    <row r="142" spans="1:216" ht="15.75" customHeight="1" x14ac:dyDescent="0.4">
      <c r="A142" s="11" t="s">
        <v>50</v>
      </c>
      <c r="B142" s="52"/>
      <c r="C142" s="24" t="s">
        <v>183</v>
      </c>
      <c r="D142" s="50"/>
      <c r="E142" s="9">
        <f>BUMIHARJO!AE142+KARANGHARJO!BK142+MARGOMULYO!S142+SEPANJANG!AJ142+SUMBERGONDO!AB142+TEGALHARJO!AP142+TULUNGREJO!BL142</f>
        <v>8</v>
      </c>
      <c r="F142" s="42"/>
      <c r="G142" s="27"/>
      <c r="H142" s="27"/>
      <c r="I142" s="27"/>
      <c r="J142" s="27"/>
      <c r="K142" s="27"/>
      <c r="L142" s="27"/>
      <c r="M142" s="27"/>
      <c r="N142" s="27"/>
      <c r="O142" s="27"/>
      <c r="P142" s="37"/>
      <c r="Q142" s="30"/>
      <c r="R142" s="30"/>
      <c r="S142" s="30"/>
      <c r="T142" s="30"/>
      <c r="U142" s="30"/>
      <c r="V142" s="30"/>
      <c r="W142" s="38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0"/>
      <c r="BM142" s="30"/>
      <c r="BN142" s="30"/>
      <c r="BO142" s="30"/>
      <c r="BP142" s="30"/>
      <c r="BQ142" s="30"/>
      <c r="BR142" s="38"/>
      <c r="BS142" s="30"/>
      <c r="BT142" s="30"/>
      <c r="BU142" s="30"/>
      <c r="BV142" s="30"/>
      <c r="BW142" s="30"/>
      <c r="BX142" s="30"/>
      <c r="BY142" s="30"/>
      <c r="BZ142" s="30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8"/>
      <c r="EZ142" s="38"/>
      <c r="FA142" s="38"/>
      <c r="FB142" s="38"/>
      <c r="FC142" s="38"/>
      <c r="FD142" s="38"/>
      <c r="FE142" s="38"/>
      <c r="FF142" s="30"/>
      <c r="FG142" s="30"/>
      <c r="FH142" s="30"/>
      <c r="FI142" s="30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</row>
    <row r="143" spans="1:216" ht="15.75" customHeight="1" x14ac:dyDescent="0.4">
      <c r="A143" s="7"/>
      <c r="B143" s="52"/>
      <c r="C143" s="24" t="s">
        <v>184</v>
      </c>
      <c r="D143" s="50"/>
      <c r="E143" s="9">
        <f>BUMIHARJO!AE143+KARANGHARJO!BK143+MARGOMULYO!S143+SEPANJANG!AJ143+SUMBERGONDO!AB143+TEGALHARJO!AP143+TULUNGREJO!BL143</f>
        <v>9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7"/>
      <c r="B144" s="52"/>
      <c r="C144" s="24" t="s">
        <v>185</v>
      </c>
      <c r="D144" s="50"/>
      <c r="E144" s="9">
        <f>BUMIHARJO!AE144+KARANGHARJO!BK144+MARGOMULYO!S144+SEPANJANG!AJ144+SUMBERGONDO!AB144+TEGALHARJO!AP144+TULUNGREJO!BL144</f>
        <v>2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7"/>
      <c r="B145" s="45"/>
      <c r="C145" s="46"/>
      <c r="D145" s="48"/>
      <c r="E145" s="58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7"/>
      <c r="B146" s="45"/>
      <c r="C146" s="46"/>
      <c r="D146" s="48"/>
      <c r="E146" s="58"/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7"/>
      <c r="B147" s="45"/>
      <c r="C147" s="46"/>
      <c r="D147" s="48"/>
      <c r="E147" s="58"/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7"/>
      <c r="B148" s="45"/>
      <c r="C148" s="46"/>
      <c r="D148" s="48"/>
      <c r="E148" s="58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7"/>
      <c r="B149" s="45"/>
      <c r="C149" s="46"/>
      <c r="D149" s="48"/>
      <c r="E149" s="58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7"/>
      <c r="B150" s="45"/>
      <c r="C150" s="46"/>
      <c r="D150" s="48"/>
      <c r="E150" s="58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4">
      <c r="A151" s="6" t="s">
        <v>26</v>
      </c>
      <c r="B151" s="67" t="s">
        <v>51</v>
      </c>
      <c r="C151" s="68"/>
      <c r="D151" s="69"/>
      <c r="E151" s="5">
        <f>SUM(E141:E148)</f>
        <v>30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4">
      <c r="A152" s="70"/>
      <c r="B152" s="71"/>
      <c r="C152" s="71"/>
      <c r="D152" s="71"/>
      <c r="E152" s="72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34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</row>
    <row r="153" spans="1:216" ht="15.75" customHeight="1" x14ac:dyDescent="0.4">
      <c r="A153" s="11" t="s">
        <v>48</v>
      </c>
      <c r="B153" s="44" t="s">
        <v>65</v>
      </c>
      <c r="C153" s="78" t="s">
        <v>66</v>
      </c>
      <c r="D153" s="79"/>
      <c r="E153" s="9">
        <f>BUMIHARJO!AE153+KARANGHARJO!BK153+MARGOMULYO!S153+SEPANJANG!AJ153+SUMBERGONDO!AB153+TEGALHARJO!AP153+TULUNGREJO!BL153</f>
        <v>97</v>
      </c>
      <c r="F153" s="42"/>
      <c r="G153" s="27"/>
      <c r="H153" s="27"/>
      <c r="I153" s="27"/>
      <c r="J153" s="27"/>
      <c r="K153" s="27"/>
      <c r="L153" s="27"/>
      <c r="M153" s="27"/>
      <c r="N153" s="27"/>
      <c r="O153" s="27"/>
      <c r="P153" s="37"/>
      <c r="Q153" s="30"/>
      <c r="R153" s="30"/>
      <c r="S153" s="30"/>
      <c r="T153" s="30"/>
      <c r="U153" s="30"/>
      <c r="V153" s="30"/>
      <c r="W153" s="38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0"/>
      <c r="BM153" s="30"/>
      <c r="BN153" s="30"/>
      <c r="BO153" s="30"/>
      <c r="BP153" s="30"/>
      <c r="BQ153" s="30"/>
      <c r="BR153" s="38"/>
      <c r="BS153" s="30"/>
      <c r="BT153" s="30"/>
      <c r="BU153" s="30"/>
      <c r="BV153" s="30"/>
      <c r="BW153" s="30"/>
      <c r="BX153" s="30"/>
      <c r="BY153" s="30"/>
      <c r="BZ153" s="30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8"/>
      <c r="EZ153" s="38"/>
      <c r="FA153" s="38"/>
      <c r="FB153" s="38"/>
      <c r="FC153" s="38"/>
      <c r="FD153" s="38"/>
      <c r="FE153" s="38"/>
      <c r="FF153" s="30"/>
      <c r="FG153" s="30"/>
      <c r="FH153" s="30"/>
      <c r="FI153" s="30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</row>
    <row r="154" spans="1:216" ht="15.75" customHeight="1" x14ac:dyDescent="0.4">
      <c r="A154" s="54" t="s">
        <v>50</v>
      </c>
      <c r="B154" s="56"/>
      <c r="C154" s="24" t="s">
        <v>186</v>
      </c>
      <c r="D154" s="57"/>
      <c r="E154" s="9">
        <f>BUMIHARJO!AE154+KARANGHARJO!BK154+MARGOMULYO!S154+SEPANJANG!AJ154+SUMBERGONDO!AB154+TEGALHARJO!AP154+TULUNGREJO!BL154</f>
        <v>80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4">
      <c r="A155" s="7"/>
      <c r="B155" s="56"/>
      <c r="C155" s="24" t="s">
        <v>187</v>
      </c>
      <c r="D155" s="57"/>
      <c r="E155" s="9">
        <f>BUMIHARJO!AE155+KARANGHARJO!BK155+MARGOMULYO!S155+SEPANJANG!AJ155+SUMBERGONDO!AB155+TEGALHARJO!AP155+TULUNGREJO!BL155</f>
        <v>44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56"/>
      <c r="C156" s="24" t="s">
        <v>188</v>
      </c>
      <c r="D156" s="57"/>
      <c r="E156" s="9">
        <f>BUMIHARJO!AE156+KARANGHARJO!BK156+MARGOMULYO!S156+SEPANJANG!AJ156+SUMBERGONDO!AB156+TEGALHARJO!AP156+TULUNGREJO!BL156</f>
        <v>23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7"/>
      <c r="B157" s="56"/>
      <c r="C157" s="24" t="s">
        <v>189</v>
      </c>
      <c r="D157" s="57"/>
      <c r="E157" s="9">
        <f>BUMIHARJO!AE157+KARANGHARJO!BK157+MARGOMULYO!S157+SEPANJANG!AJ157+SUMBERGONDO!AB157+TEGALHARJO!AP157+TULUNGREJO!BL157</f>
        <v>18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7"/>
      <c r="B158" s="56"/>
      <c r="C158" s="24" t="s">
        <v>190</v>
      </c>
      <c r="D158" s="57"/>
      <c r="E158" s="9">
        <f>BUMIHARJO!AE158+KARANGHARJO!BK158+MARGOMULYO!S158+SEPANJANG!AJ158+SUMBERGONDO!AB158+TEGALHARJO!AP158+TULUNGREJO!BL158</f>
        <v>10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7"/>
      <c r="B159" s="56"/>
      <c r="C159" s="24" t="s">
        <v>191</v>
      </c>
      <c r="D159" s="57"/>
      <c r="E159" s="9">
        <f>BUMIHARJO!AE159+KARANGHARJO!BK159+MARGOMULYO!S159+SEPANJANG!AJ159+SUMBERGONDO!AB159+TEGALHARJO!AP159+TULUNGREJO!BL159</f>
        <v>7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4">
      <c r="A160" s="7"/>
      <c r="B160" s="56"/>
      <c r="C160" s="24" t="s">
        <v>192</v>
      </c>
      <c r="D160" s="57"/>
      <c r="E160" s="9">
        <f>BUMIHARJO!AE160+KARANGHARJO!BK160+MARGOMULYO!S160+SEPANJANG!AJ160+SUMBERGONDO!AB160+TEGALHARJO!AP160+TULUNGREJO!BL160</f>
        <v>39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7"/>
      <c r="B161" s="61"/>
      <c r="C161" s="62"/>
      <c r="D161" s="63"/>
      <c r="E161" s="60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7"/>
      <c r="B162" s="61"/>
      <c r="C162" s="62"/>
      <c r="D162" s="63"/>
      <c r="E162" s="60"/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6" t="s">
        <v>26</v>
      </c>
      <c r="B163" s="80" t="s">
        <v>51</v>
      </c>
      <c r="C163" s="81"/>
      <c r="D163" s="82"/>
      <c r="E163" s="5">
        <f>SUM(E153:E157)</f>
        <v>262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70"/>
      <c r="B164" s="71"/>
      <c r="C164" s="71"/>
      <c r="D164" s="71"/>
      <c r="E164" s="72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11" t="s">
        <v>48</v>
      </c>
      <c r="B165" s="17" t="s">
        <v>67</v>
      </c>
      <c r="C165" s="73" t="s">
        <v>68</v>
      </c>
      <c r="D165" s="74"/>
      <c r="E165" s="9">
        <f>BUMIHARJO!AE165+KARANGHARJO!BK165+MARGOMULYO!S165+SEPANJANG!AJ165+SUMBERGONDO!AB165+TEGALHARJO!AP165+TULUNGREJO!BL165</f>
        <v>47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 x14ac:dyDescent="0.4">
      <c r="A166" s="11" t="s">
        <v>50</v>
      </c>
      <c r="B166" s="52"/>
      <c r="C166" s="24" t="s">
        <v>193</v>
      </c>
      <c r="D166" s="50"/>
      <c r="E166" s="9">
        <f>BUMIHARJO!AE166+KARANGHARJO!BK166+MARGOMULYO!S166+SEPANJANG!AJ166+SUMBERGONDO!AB166+TEGALHARJO!AP166+TULUNGREJO!BL166</f>
        <v>74</v>
      </c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 x14ac:dyDescent="0.4">
      <c r="A167" s="7"/>
      <c r="B167" s="45"/>
      <c r="C167" s="46"/>
      <c r="D167" s="48"/>
      <c r="E167" s="58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5"/>
      <c r="C168" s="46"/>
      <c r="D168" s="48"/>
      <c r="E168" s="58"/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5"/>
      <c r="C169" s="46"/>
      <c r="D169" s="48"/>
      <c r="E169" s="58"/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5"/>
      <c r="C170" s="46"/>
      <c r="D170" s="48"/>
      <c r="E170" s="58"/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7"/>
      <c r="B171" s="45"/>
      <c r="C171" s="46"/>
      <c r="D171" s="48"/>
      <c r="E171" s="58"/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7"/>
      <c r="B172" s="45"/>
      <c r="C172" s="46"/>
      <c r="D172" s="48"/>
      <c r="E172" s="58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7"/>
      <c r="B173" s="45"/>
      <c r="C173" s="46"/>
      <c r="D173" s="48"/>
      <c r="E173" s="58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4">
      <c r="A174" s="7"/>
      <c r="B174" s="45"/>
      <c r="C174" s="46"/>
      <c r="D174" s="48"/>
      <c r="E174" s="58"/>
      <c r="F174" s="39"/>
      <c r="G174" s="20"/>
      <c r="H174" s="20"/>
      <c r="I174" s="20"/>
      <c r="J174" s="20"/>
      <c r="K174" s="20"/>
      <c r="L174" s="20"/>
      <c r="M174" s="20"/>
      <c r="N174" s="20"/>
      <c r="O174" s="20"/>
      <c r="P174" s="32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</row>
    <row r="175" spans="1:216" ht="15.75" customHeight="1" x14ac:dyDescent="0.4">
      <c r="A175" s="6" t="s">
        <v>26</v>
      </c>
      <c r="B175" s="67" t="s">
        <v>51</v>
      </c>
      <c r="C175" s="68"/>
      <c r="D175" s="69"/>
      <c r="E175" s="5">
        <f>SUM(E165:E172)</f>
        <v>121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0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</row>
    <row r="176" spans="1:216" ht="15.75" customHeight="1" x14ac:dyDescent="0.4">
      <c r="A176" s="70"/>
      <c r="B176" s="71"/>
      <c r="C176" s="71"/>
      <c r="D176" s="71"/>
      <c r="E176" s="72"/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4">
      <c r="A177" s="11" t="s">
        <v>48</v>
      </c>
      <c r="B177" s="17" t="s">
        <v>69</v>
      </c>
      <c r="C177" s="73" t="s">
        <v>70</v>
      </c>
      <c r="D177" s="74"/>
      <c r="E177" s="9">
        <f>BUMIHARJO!AE177+KARANGHARJO!BK177+MARGOMULYO!S177+SEPANJANG!AJ177+SUMBERGONDO!AB177+TEGALHARJO!AP177+TULUNGREJO!BL177</f>
        <v>153</v>
      </c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34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</row>
    <row r="178" spans="1:216" ht="15.75" customHeight="1" x14ac:dyDescent="0.4">
      <c r="A178" s="11" t="s">
        <v>50</v>
      </c>
      <c r="B178" s="52"/>
      <c r="C178" s="24" t="s">
        <v>194</v>
      </c>
      <c r="D178" s="50"/>
      <c r="E178" s="9">
        <f>BUMIHARJO!AE178+KARANGHARJO!BK178+MARGOMULYO!S178+SEPANJANG!AJ178+SUMBERGONDO!AB178+TEGALHARJO!AP178+TULUNGREJO!BL178</f>
        <v>312</v>
      </c>
      <c r="F178" s="42"/>
      <c r="G178" s="27"/>
      <c r="H178" s="27"/>
      <c r="I178" s="27"/>
      <c r="J178" s="27"/>
      <c r="K178" s="27"/>
      <c r="L178" s="27"/>
      <c r="M178" s="27"/>
      <c r="N178" s="27"/>
      <c r="O178" s="27"/>
      <c r="P178" s="37"/>
      <c r="Q178" s="30"/>
      <c r="R178" s="30"/>
      <c r="S178" s="30"/>
      <c r="T178" s="30"/>
      <c r="U178" s="30"/>
      <c r="V178" s="30"/>
      <c r="W178" s="38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0"/>
      <c r="BM178" s="30"/>
      <c r="BN178" s="30"/>
      <c r="BO178" s="30"/>
      <c r="BP178" s="30"/>
      <c r="BQ178" s="30"/>
      <c r="BR178" s="38"/>
      <c r="BS178" s="30"/>
      <c r="BT178" s="30"/>
      <c r="BU178" s="30"/>
      <c r="BV178" s="30"/>
      <c r="BW178" s="30"/>
      <c r="BX178" s="30"/>
      <c r="BY178" s="30"/>
      <c r="BZ178" s="30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8"/>
      <c r="EZ178" s="38"/>
      <c r="FA178" s="38"/>
      <c r="FB178" s="38"/>
      <c r="FC178" s="38"/>
      <c r="FD178" s="38"/>
      <c r="FE178" s="38"/>
      <c r="FF178" s="30"/>
      <c r="FG178" s="30"/>
      <c r="FH178" s="30"/>
      <c r="FI178" s="30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</row>
    <row r="179" spans="1:216" ht="15.75" customHeight="1" x14ac:dyDescent="0.4">
      <c r="A179" s="7"/>
      <c r="B179" s="52"/>
      <c r="C179" s="24" t="s">
        <v>195</v>
      </c>
      <c r="D179" s="50"/>
      <c r="E179" s="9">
        <f>BUMIHARJO!AE179+KARANGHARJO!BK179+MARGOMULYO!S179+SEPANJANG!AJ179+SUMBERGONDO!AB179+TEGALHARJO!AP179+TULUNGREJO!BL179</f>
        <v>29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4">
      <c r="A180" s="7"/>
      <c r="B180" s="52"/>
      <c r="C180" s="24" t="s">
        <v>196</v>
      </c>
      <c r="D180" s="50"/>
      <c r="E180" s="9">
        <f>BUMIHARJO!AE180+KARANGHARJO!BK180+MARGOMULYO!S180+SEPANJANG!AJ180+SUMBERGONDO!AB180+TEGALHARJO!AP180+TULUNGREJO!BL180</f>
        <v>95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4">
      <c r="A181" s="7"/>
      <c r="B181" s="52"/>
      <c r="C181" s="24" t="s">
        <v>197</v>
      </c>
      <c r="D181" s="50"/>
      <c r="E181" s="9">
        <f>BUMIHARJO!AE181+KARANGHARJO!BK181+MARGOMULYO!S181+SEPANJANG!AJ181+SUMBERGONDO!AB181+TEGALHARJO!AP181+TULUNGREJO!BL181</f>
        <v>29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4">
      <c r="A182" s="7"/>
      <c r="B182" s="52"/>
      <c r="C182" s="24" t="s">
        <v>198</v>
      </c>
      <c r="D182" s="50"/>
      <c r="E182" s="9">
        <f>BUMIHARJO!AE182+KARANGHARJO!BK182+MARGOMULYO!S182+SEPANJANG!AJ182+SUMBERGONDO!AB182+TEGALHARJO!AP182+TULUNGREJO!BL182</f>
        <v>25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4">
      <c r="A183" s="7"/>
      <c r="B183" s="52"/>
      <c r="C183" s="24" t="s">
        <v>199</v>
      </c>
      <c r="D183" s="50"/>
      <c r="E183" s="9">
        <f>BUMIHARJO!AE183+KARANGHARJO!BK183+MARGOMULYO!S183+SEPANJANG!AJ183+SUMBERGONDO!AB183+TEGALHARJO!AP183+TULUNGREJO!BL183</f>
        <v>14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4">
      <c r="A184" s="7"/>
      <c r="B184" s="52"/>
      <c r="C184" s="24" t="s">
        <v>200</v>
      </c>
      <c r="D184" s="50"/>
      <c r="E184" s="9">
        <f>BUMIHARJO!AE184+KARANGHARJO!BK184+MARGOMULYO!S184+SEPANJANG!AJ184+SUMBERGONDO!AB184+TEGALHARJO!AP184+TULUNGREJO!BL184</f>
        <v>12</v>
      </c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4">
      <c r="A185" s="7"/>
      <c r="B185" s="52"/>
      <c r="C185" s="24" t="s">
        <v>201</v>
      </c>
      <c r="D185" s="50"/>
      <c r="E185" s="9">
        <f>BUMIHARJO!AE185+KARANGHARJO!BK185+MARGOMULYO!S185+SEPANJANG!AJ185+SUMBERGONDO!AB185+TEGALHARJO!AP185+TULUNGREJO!BL185</f>
        <v>17</v>
      </c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4">
      <c r="A186" s="7"/>
      <c r="B186" s="52"/>
      <c r="C186" s="24" t="s">
        <v>202</v>
      </c>
      <c r="D186" s="50"/>
      <c r="E186" s="9">
        <f>BUMIHARJO!AE186+KARANGHARJO!BK186+MARGOMULYO!S186+SEPANJANG!AJ186+SUMBERGONDO!AB186+TEGALHARJO!AP186+TULUNGREJO!BL186</f>
        <v>12</v>
      </c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32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</row>
    <row r="187" spans="1:216" ht="15.75" customHeight="1" x14ac:dyDescent="0.4">
      <c r="A187" s="6" t="s">
        <v>26</v>
      </c>
      <c r="B187" s="67" t="s">
        <v>51</v>
      </c>
      <c r="C187" s="68"/>
      <c r="D187" s="69"/>
      <c r="E187" s="5">
        <f>SUM(E177:E184)</f>
        <v>669</v>
      </c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</row>
    <row r="188" spans="1:216" ht="15.75" customHeight="1" x14ac:dyDescent="0.4">
      <c r="A188" s="70"/>
      <c r="B188" s="71"/>
      <c r="C188" s="71"/>
      <c r="D188" s="71"/>
      <c r="E188" s="72"/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4">
      <c r="A189" s="11" t="s">
        <v>48</v>
      </c>
      <c r="B189" s="17" t="s">
        <v>71</v>
      </c>
      <c r="C189" s="73" t="s">
        <v>72</v>
      </c>
      <c r="D189" s="74"/>
      <c r="E189" s="9">
        <f>BUMIHARJO!AE189+KARANGHARJO!BK189+MARGOMULYO!S189+SEPANJANG!AJ189+SUMBERGONDO!AB189+TEGALHARJO!AP189+TULUNGREJO!BL189</f>
        <v>15</v>
      </c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34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</row>
    <row r="190" spans="1:216" ht="15.75" customHeight="1" x14ac:dyDescent="0.4">
      <c r="A190" s="11" t="s">
        <v>50</v>
      </c>
      <c r="B190" s="52"/>
      <c r="C190" s="24" t="s">
        <v>203</v>
      </c>
      <c r="D190" s="50"/>
      <c r="E190" s="9">
        <f>BUMIHARJO!AE190+KARANGHARJO!BK190+MARGOMULYO!S190+SEPANJANG!AJ190+SUMBERGONDO!AB190+TEGALHARJO!AP190+TULUNGREJO!BL190</f>
        <v>19</v>
      </c>
      <c r="F190" s="42"/>
      <c r="G190" s="27"/>
      <c r="H190" s="27"/>
      <c r="I190" s="27"/>
      <c r="J190" s="27"/>
      <c r="K190" s="27"/>
      <c r="L190" s="27"/>
      <c r="M190" s="27"/>
      <c r="N190" s="27"/>
      <c r="O190" s="27"/>
      <c r="P190" s="37"/>
      <c r="Q190" s="30"/>
      <c r="R190" s="30"/>
      <c r="S190" s="30"/>
      <c r="T190" s="30"/>
      <c r="U190" s="30"/>
      <c r="V190" s="30"/>
      <c r="W190" s="38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0"/>
      <c r="BM190" s="30"/>
      <c r="BN190" s="30"/>
      <c r="BO190" s="30"/>
      <c r="BP190" s="30"/>
      <c r="BQ190" s="30"/>
      <c r="BR190" s="38"/>
      <c r="BS190" s="30"/>
      <c r="BT190" s="30"/>
      <c r="BU190" s="30"/>
      <c r="BV190" s="30"/>
      <c r="BW190" s="30"/>
      <c r="BX190" s="30"/>
      <c r="BY190" s="30"/>
      <c r="BZ190" s="30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8"/>
      <c r="EZ190" s="38"/>
      <c r="FA190" s="38"/>
      <c r="FB190" s="38"/>
      <c r="FC190" s="38"/>
      <c r="FD190" s="38"/>
      <c r="FE190" s="38"/>
      <c r="FF190" s="30"/>
      <c r="FG190" s="30"/>
      <c r="FH190" s="30"/>
      <c r="FI190" s="30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</row>
    <row r="191" spans="1:216" ht="15.75" customHeight="1" x14ac:dyDescent="0.4">
      <c r="A191" s="7"/>
      <c r="B191" s="52"/>
      <c r="C191" s="24" t="s">
        <v>204</v>
      </c>
      <c r="D191" s="50"/>
      <c r="E191" s="9">
        <f>BUMIHARJO!AE191+KARANGHARJO!BK191+MARGOMULYO!S191+SEPANJANG!AJ191+SUMBERGONDO!AB191+TEGALHARJO!AP191+TULUNGREJO!BL191</f>
        <v>26</v>
      </c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4">
      <c r="A192" s="7"/>
      <c r="B192" s="52"/>
      <c r="C192" s="24" t="s">
        <v>205</v>
      </c>
      <c r="D192" s="50"/>
      <c r="E192" s="9">
        <f>BUMIHARJO!AE192+KARANGHARJO!BK192+MARGOMULYO!S192+SEPANJANG!AJ192+SUMBERGONDO!AB192+TEGALHARJO!AP192+TULUNGREJO!BL192</f>
        <v>3</v>
      </c>
      <c r="F192" s="39"/>
      <c r="G192" s="20"/>
      <c r="H192" s="20"/>
      <c r="I192" s="20"/>
      <c r="J192" s="20"/>
      <c r="K192" s="20"/>
      <c r="L192" s="20"/>
      <c r="M192" s="20"/>
      <c r="N192" s="20"/>
      <c r="O192" s="20"/>
      <c r="P192" s="32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</row>
    <row r="193" spans="1:216" ht="15.75" customHeight="1" x14ac:dyDescent="0.4">
      <c r="A193" s="7"/>
      <c r="B193" s="52"/>
      <c r="C193" s="24" t="s">
        <v>206</v>
      </c>
      <c r="D193" s="50"/>
      <c r="E193" s="9">
        <f>BUMIHARJO!AE193+KARANGHARJO!BK193+MARGOMULYO!S193+SEPANJANG!AJ193+SUMBERGONDO!AB193+TEGALHARJO!AP193+TULUNGREJO!BL193</f>
        <v>8</v>
      </c>
      <c r="F193" s="39"/>
      <c r="G193" s="20"/>
      <c r="H193" s="20"/>
      <c r="I193" s="20"/>
      <c r="J193" s="20"/>
      <c r="K193" s="20"/>
      <c r="L193" s="20"/>
      <c r="M193" s="20"/>
      <c r="N193" s="20"/>
      <c r="O193" s="20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</row>
    <row r="194" spans="1:216" ht="15.75" customHeight="1" x14ac:dyDescent="0.4">
      <c r="A194" s="7"/>
      <c r="B194" s="52"/>
      <c r="C194" s="24" t="s">
        <v>207</v>
      </c>
      <c r="D194" s="50"/>
      <c r="E194" s="9">
        <f>BUMIHARJO!AE194+KARANGHARJO!BK194+MARGOMULYO!S194+SEPANJANG!AJ194+SUMBERGONDO!AB194+TEGALHARJO!AP194+TULUNGREJO!BL194</f>
        <v>5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4">
      <c r="A195" s="7"/>
      <c r="B195" s="52"/>
      <c r="C195" s="24" t="s">
        <v>208</v>
      </c>
      <c r="D195" s="50"/>
      <c r="E195" s="9">
        <f>BUMIHARJO!AE195+KARANGHARJO!BK195+MARGOMULYO!S195+SEPANJANG!AJ195+SUMBERGONDO!AB195+TEGALHARJO!AP195+TULUNGREJO!BL195</f>
        <v>4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4">
      <c r="A196" s="7"/>
      <c r="B196" s="52"/>
      <c r="C196" s="24" t="s">
        <v>209</v>
      </c>
      <c r="D196" s="50"/>
      <c r="E196" s="9">
        <f>BUMIHARJO!AE196+KARANGHARJO!BK196+MARGOMULYO!S196+SEPANJANG!AJ196+SUMBERGONDO!AB196+TEGALHARJO!AP196+TULUNGREJO!BL196</f>
        <v>8</v>
      </c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4">
      <c r="A197" s="7"/>
      <c r="B197" s="52"/>
      <c r="C197" s="24" t="s">
        <v>210</v>
      </c>
      <c r="D197" s="50"/>
      <c r="E197" s="9">
        <f>BUMIHARJO!AE197+KARANGHARJO!BK197+MARGOMULYO!S197+SEPANJANG!AJ197+SUMBERGONDO!AB197+TEGALHARJO!AP197+TULUNGREJO!BL197</f>
        <v>2</v>
      </c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4">
      <c r="A198" s="7"/>
      <c r="B198" s="52"/>
      <c r="C198" s="24" t="s">
        <v>211</v>
      </c>
      <c r="D198" s="50"/>
      <c r="E198" s="9">
        <f>BUMIHARJO!AE198+KARANGHARJO!BK198+MARGOMULYO!S198+SEPANJANG!AJ198+SUMBERGONDO!AB198+TEGALHARJO!AP198+TULUNGREJO!BL198</f>
        <v>1</v>
      </c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4">
      <c r="A199" s="6" t="s">
        <v>26</v>
      </c>
      <c r="B199" s="67" t="s">
        <v>51</v>
      </c>
      <c r="C199" s="68"/>
      <c r="D199" s="69"/>
      <c r="E199" s="5">
        <f>SUM(E189:E196)</f>
        <v>88</v>
      </c>
      <c r="F199" s="39"/>
      <c r="G199" s="20"/>
      <c r="H199" s="20"/>
      <c r="I199" s="20"/>
      <c r="J199" s="20"/>
      <c r="K199" s="20"/>
      <c r="L199" s="20"/>
      <c r="M199" s="20"/>
      <c r="N199" s="20"/>
      <c r="O199" s="20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</row>
    <row r="200" spans="1:216" ht="15.75" customHeight="1" x14ac:dyDescent="0.4">
      <c r="A200" s="70"/>
      <c r="B200" s="71"/>
      <c r="C200" s="71"/>
      <c r="D200" s="71"/>
      <c r="E200" s="72"/>
      <c r="F200" s="39"/>
      <c r="G200" s="20"/>
      <c r="H200" s="20"/>
      <c r="I200" s="20"/>
      <c r="J200" s="20"/>
      <c r="K200" s="20"/>
      <c r="L200" s="20"/>
      <c r="M200" s="20"/>
      <c r="N200" s="20"/>
      <c r="O200" s="20"/>
      <c r="P200" s="32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</row>
    <row r="201" spans="1:216" ht="15.75" customHeight="1" x14ac:dyDescent="0.4">
      <c r="A201" s="11" t="s">
        <v>48</v>
      </c>
      <c r="B201" s="17" t="s">
        <v>73</v>
      </c>
      <c r="C201" s="73" t="s">
        <v>74</v>
      </c>
      <c r="D201" s="74"/>
      <c r="E201" s="9">
        <f>BUMIHARJO!AE201+KARANGHARJO!BK201+MARGOMULYO!S201+SEPANJANG!AJ201+SUMBERGONDO!AB201+TEGALHARJO!AP201+TULUNGREJO!BL201</f>
        <v>1102</v>
      </c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34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</row>
    <row r="202" spans="1:216" ht="15.75" customHeight="1" x14ac:dyDescent="0.4">
      <c r="A202" s="11" t="s">
        <v>50</v>
      </c>
      <c r="B202" s="52"/>
      <c r="C202" s="24" t="s">
        <v>212</v>
      </c>
      <c r="D202" s="50"/>
      <c r="E202" s="9">
        <f>BUMIHARJO!AE202+KARANGHARJO!BK202+MARGOMULYO!S202+SEPANJANG!AJ202+SUMBERGONDO!AB202+TEGALHARJO!AP202+TULUNGREJO!BL202</f>
        <v>3602</v>
      </c>
      <c r="F202" s="42"/>
      <c r="G202" s="27"/>
      <c r="H202" s="27"/>
      <c r="I202" s="27"/>
      <c r="J202" s="27"/>
      <c r="K202" s="27"/>
      <c r="L202" s="27"/>
      <c r="M202" s="27"/>
      <c r="N202" s="27"/>
      <c r="O202" s="27"/>
      <c r="P202" s="37"/>
      <c r="Q202" s="30"/>
      <c r="R202" s="30"/>
      <c r="S202" s="30"/>
      <c r="T202" s="30"/>
      <c r="U202" s="30"/>
      <c r="V202" s="30"/>
      <c r="W202" s="38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0"/>
      <c r="BM202" s="30"/>
      <c r="BN202" s="30"/>
      <c r="BO202" s="30"/>
      <c r="BP202" s="30"/>
      <c r="BQ202" s="30"/>
      <c r="BR202" s="38"/>
      <c r="BS202" s="30"/>
      <c r="BT202" s="30"/>
      <c r="BU202" s="30"/>
      <c r="BV202" s="30"/>
      <c r="BW202" s="30"/>
      <c r="BX202" s="30"/>
      <c r="BY202" s="30"/>
      <c r="BZ202" s="30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8"/>
      <c r="EZ202" s="38"/>
      <c r="FA202" s="38"/>
      <c r="FB202" s="38"/>
      <c r="FC202" s="38"/>
      <c r="FD202" s="38"/>
      <c r="FE202" s="38"/>
      <c r="FF202" s="30"/>
      <c r="FG202" s="30"/>
      <c r="FH202" s="30"/>
      <c r="FI202" s="30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</row>
    <row r="203" spans="1:216" ht="15.75" customHeight="1" x14ac:dyDescent="0.4">
      <c r="A203" s="7"/>
      <c r="B203" s="52"/>
      <c r="C203" s="24" t="s">
        <v>213</v>
      </c>
      <c r="D203" s="50"/>
      <c r="E203" s="9">
        <f>BUMIHARJO!AE203+KARANGHARJO!BK203+MARGOMULYO!S203+SEPANJANG!AJ203+SUMBERGONDO!AB203+TEGALHARJO!AP203+TULUNGREJO!BL203</f>
        <v>606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4">
      <c r="A204" s="7"/>
      <c r="B204" s="52"/>
      <c r="C204" s="24" t="s">
        <v>214</v>
      </c>
      <c r="D204" s="50"/>
      <c r="E204" s="9">
        <f>BUMIHARJO!AE204+KARANGHARJO!BK204+MARGOMULYO!S204+SEPANJANG!AJ204+SUMBERGONDO!AB204+TEGALHARJO!AP204+TULUNGREJO!BL204</f>
        <v>103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4">
      <c r="A205" s="7"/>
      <c r="B205" s="52"/>
      <c r="C205" s="24" t="s">
        <v>215</v>
      </c>
      <c r="D205" s="50"/>
      <c r="E205" s="9">
        <f>BUMIHARJO!AE205+KARANGHARJO!BK205+MARGOMULYO!S205+SEPANJANG!AJ205+SUMBERGONDO!AB205+TEGALHARJO!AP205+TULUNGREJO!BL205</f>
        <v>74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4">
      <c r="A206" s="7"/>
      <c r="B206" s="52"/>
      <c r="C206" s="24" t="s">
        <v>216</v>
      </c>
      <c r="D206" s="50"/>
      <c r="E206" s="9">
        <f>BUMIHARJO!AE206+KARANGHARJO!BK206+MARGOMULYO!S206+SEPANJANG!AJ206+SUMBERGONDO!AB206+TEGALHARJO!AP206+TULUNGREJO!BL206</f>
        <v>35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4">
      <c r="A207" s="7"/>
      <c r="B207" s="52"/>
      <c r="C207" s="24" t="s">
        <v>217</v>
      </c>
      <c r="D207" s="50"/>
      <c r="E207" s="9">
        <f>BUMIHARJO!AE207+KARANGHARJO!BK207+MARGOMULYO!S207+SEPANJANG!AJ207+SUMBERGONDO!AB207+TEGALHARJO!AP207+TULUNGREJO!BL207</f>
        <v>39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4">
      <c r="A208" s="7"/>
      <c r="B208" s="52"/>
      <c r="C208" s="24" t="s">
        <v>218</v>
      </c>
      <c r="D208" s="50"/>
      <c r="E208" s="9">
        <f>BUMIHARJO!AE208+KARANGHARJO!BK208+MARGOMULYO!S208+SEPANJANG!AJ208+SUMBERGONDO!AB208+TEGALHARJO!AP208+TULUNGREJO!BL208</f>
        <v>72</v>
      </c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4">
      <c r="A209" s="7"/>
      <c r="B209" s="52"/>
      <c r="C209" s="24" t="s">
        <v>219</v>
      </c>
      <c r="D209" s="50"/>
      <c r="E209" s="9">
        <f>BUMIHARJO!AE209+KARANGHARJO!BK209+MARGOMULYO!S209+SEPANJANG!AJ209+SUMBERGONDO!AB209+TEGALHARJO!AP209+TULUNGREJO!BL209</f>
        <v>6</v>
      </c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4">
      <c r="A210" s="7"/>
      <c r="B210" s="52"/>
      <c r="C210" s="24" t="s">
        <v>220</v>
      </c>
      <c r="D210" s="50"/>
      <c r="E210" s="9">
        <f>BUMIHARJO!AE210+KARANGHARJO!BK210+MARGOMULYO!S210+SEPANJANG!AJ210+SUMBERGONDO!AB210+TEGALHARJO!AP210+TULUNGREJO!BL210</f>
        <v>27</v>
      </c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4">
      <c r="A211" s="6" t="s">
        <v>26</v>
      </c>
      <c r="B211" s="67" t="s">
        <v>51</v>
      </c>
      <c r="C211" s="68"/>
      <c r="D211" s="69"/>
      <c r="E211" s="5">
        <f>SUM(E201:E208)</f>
        <v>5633</v>
      </c>
      <c r="F211" s="39"/>
      <c r="G211" s="20"/>
      <c r="H211" s="20"/>
      <c r="I211" s="20"/>
      <c r="J211" s="20"/>
      <c r="K211" s="20"/>
      <c r="L211" s="20"/>
      <c r="M211" s="20"/>
      <c r="N211" s="20"/>
      <c r="O211" s="20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</row>
    <row r="212" spans="1:216" ht="15.75" customHeight="1" x14ac:dyDescent="0.4">
      <c r="A212" s="70"/>
      <c r="B212" s="71"/>
      <c r="C212" s="71"/>
      <c r="D212" s="71"/>
      <c r="E212" s="72"/>
      <c r="F212" s="39"/>
      <c r="G212" s="20"/>
      <c r="H212" s="20"/>
      <c r="I212" s="20"/>
      <c r="J212" s="20"/>
      <c r="K212" s="20"/>
      <c r="L212" s="20"/>
      <c r="M212" s="20"/>
      <c r="N212" s="20"/>
      <c r="O212" s="20"/>
      <c r="P212" s="32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</row>
    <row r="213" spans="1:216" ht="15.75" customHeight="1" x14ac:dyDescent="0.4">
      <c r="A213" s="11" t="s">
        <v>48</v>
      </c>
      <c r="B213" s="17" t="s">
        <v>75</v>
      </c>
      <c r="C213" s="73" t="s">
        <v>76</v>
      </c>
      <c r="D213" s="74"/>
      <c r="E213" s="9">
        <f>BUMIHARJO!AE213+KARANGHARJO!BK213+MARGOMULYO!S213+SEPANJANG!AJ213+SUMBERGONDO!AB213+TEGALHARJO!AP213+TULUNGREJO!BL213</f>
        <v>260</v>
      </c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34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</row>
    <row r="214" spans="1:216" ht="15.75" customHeight="1" x14ac:dyDescent="0.4">
      <c r="A214" s="11" t="s">
        <v>50</v>
      </c>
      <c r="B214" s="52"/>
      <c r="C214" s="24" t="s">
        <v>221</v>
      </c>
      <c r="D214" s="53"/>
      <c r="E214" s="9">
        <f>BUMIHARJO!AE214+KARANGHARJO!BK214+MARGOMULYO!S214+SEPANJANG!AJ214+SUMBERGONDO!AB214+TEGALHARJO!AP214+TULUNGREJO!BL214</f>
        <v>181</v>
      </c>
      <c r="F214" s="42"/>
      <c r="G214" s="27"/>
      <c r="H214" s="27"/>
      <c r="I214" s="27"/>
      <c r="J214" s="27"/>
      <c r="K214" s="27"/>
      <c r="L214" s="27"/>
      <c r="M214" s="27"/>
      <c r="N214" s="27"/>
      <c r="O214" s="27"/>
      <c r="P214" s="37"/>
      <c r="Q214" s="30"/>
      <c r="R214" s="30"/>
      <c r="S214" s="30"/>
      <c r="T214" s="30"/>
      <c r="U214" s="30"/>
      <c r="V214" s="30"/>
      <c r="W214" s="38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0"/>
      <c r="BM214" s="30"/>
      <c r="BN214" s="30"/>
      <c r="BO214" s="30"/>
      <c r="BP214" s="30"/>
      <c r="BQ214" s="30"/>
      <c r="BR214" s="38"/>
      <c r="BS214" s="30"/>
      <c r="BT214" s="30"/>
      <c r="BU214" s="30"/>
      <c r="BV214" s="30"/>
      <c r="BW214" s="30"/>
      <c r="BX214" s="30"/>
      <c r="BY214" s="30"/>
      <c r="BZ214" s="30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8"/>
      <c r="EZ214" s="38"/>
      <c r="FA214" s="38"/>
      <c r="FB214" s="38"/>
      <c r="FC214" s="38"/>
      <c r="FD214" s="38"/>
      <c r="FE214" s="38"/>
      <c r="FF214" s="30"/>
      <c r="FG214" s="30"/>
      <c r="FH214" s="30"/>
      <c r="FI214" s="30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</row>
    <row r="215" spans="1:216" ht="15.75" customHeight="1" x14ac:dyDescent="0.4">
      <c r="A215" s="7"/>
      <c r="B215" s="52"/>
      <c r="C215" s="24" t="s">
        <v>222</v>
      </c>
      <c r="D215" s="53"/>
      <c r="E215" s="9">
        <f>BUMIHARJO!AE215+KARANGHARJO!BK215+MARGOMULYO!S215+SEPANJANG!AJ215+SUMBERGONDO!AB215+TEGALHARJO!AP215+TULUNGREJO!BL215</f>
        <v>141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</row>
    <row r="216" spans="1:216" ht="15.75" customHeight="1" x14ac:dyDescent="0.4">
      <c r="A216" s="7"/>
      <c r="B216" s="52"/>
      <c r="C216" s="24" t="s">
        <v>223</v>
      </c>
      <c r="E216" s="9">
        <f>BUMIHARJO!AE216+KARANGHARJO!BK216+MARGOMULYO!S216+SEPANJANG!AJ216+SUMBERGONDO!AB216+TEGALHARJO!AP216+TULUNGREJO!BL216</f>
        <v>34</v>
      </c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32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</row>
    <row r="217" spans="1:216" ht="15.75" customHeight="1" x14ac:dyDescent="0.4">
      <c r="A217" s="7"/>
      <c r="B217" s="45"/>
      <c r="C217" s="46"/>
      <c r="D217" s="47"/>
      <c r="E217" s="58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</row>
    <row r="218" spans="1:216" ht="15.75" customHeight="1" x14ac:dyDescent="0.4">
      <c r="A218" s="7"/>
      <c r="B218" s="45"/>
      <c r="C218" s="46"/>
      <c r="D218" s="47"/>
      <c r="E218" s="58"/>
      <c r="F218" s="39"/>
      <c r="G218" s="20"/>
      <c r="H218" s="20"/>
      <c r="I218" s="20"/>
      <c r="J218" s="20"/>
      <c r="K218" s="20"/>
      <c r="L218" s="20"/>
      <c r="M218" s="20"/>
      <c r="N218" s="20"/>
      <c r="O218" s="20"/>
      <c r="P218" s="32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</row>
    <row r="219" spans="1:216" ht="15.75" customHeight="1" x14ac:dyDescent="0.4">
      <c r="A219" s="7"/>
      <c r="B219" s="45"/>
      <c r="C219" s="46"/>
      <c r="D219" s="47"/>
      <c r="E219" s="58"/>
      <c r="F219" s="39"/>
      <c r="G219" s="20"/>
      <c r="H219" s="20"/>
      <c r="I219" s="20"/>
      <c r="J219" s="20"/>
      <c r="K219" s="20"/>
      <c r="L219" s="20"/>
      <c r="M219" s="20"/>
      <c r="N219" s="20"/>
      <c r="O219" s="20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</row>
    <row r="220" spans="1:216" ht="15.75" customHeight="1" x14ac:dyDescent="0.4">
      <c r="A220" s="7"/>
      <c r="B220" s="45"/>
      <c r="C220" s="46"/>
      <c r="D220" s="47"/>
      <c r="E220" s="58"/>
      <c r="F220" s="39"/>
      <c r="G220" s="20"/>
      <c r="H220" s="20"/>
      <c r="I220" s="20"/>
      <c r="J220" s="20"/>
      <c r="K220" s="20"/>
      <c r="L220" s="20"/>
      <c r="M220" s="20"/>
      <c r="N220" s="20"/>
      <c r="O220" s="20"/>
      <c r="P220" s="32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</row>
    <row r="221" spans="1:216" ht="15.75" customHeight="1" x14ac:dyDescent="0.4">
      <c r="A221" s="7"/>
      <c r="B221" s="45"/>
      <c r="C221" s="46"/>
      <c r="D221" s="47"/>
      <c r="E221" s="58"/>
      <c r="F221" s="39"/>
      <c r="G221" s="20"/>
      <c r="H221" s="20"/>
      <c r="I221" s="20"/>
      <c r="J221" s="20"/>
      <c r="K221" s="20"/>
      <c r="L221" s="20"/>
      <c r="M221" s="20"/>
      <c r="N221" s="20"/>
      <c r="O221" s="20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</row>
    <row r="222" spans="1:216" ht="15.75" customHeight="1" x14ac:dyDescent="0.4">
      <c r="A222" s="7"/>
      <c r="B222" s="45"/>
      <c r="C222" s="46"/>
      <c r="D222" s="47"/>
      <c r="E222" s="58"/>
      <c r="F222" s="39"/>
      <c r="G222" s="20"/>
      <c r="H222" s="20"/>
      <c r="I222" s="20"/>
      <c r="J222" s="20"/>
      <c r="K222" s="20"/>
      <c r="L222" s="20"/>
      <c r="M222" s="20"/>
      <c r="N222" s="20"/>
      <c r="O222" s="20"/>
      <c r="P222" s="32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</row>
    <row r="223" spans="1:216" ht="15.75" customHeight="1" x14ac:dyDescent="0.4">
      <c r="A223" s="6" t="s">
        <v>26</v>
      </c>
      <c r="B223" s="67" t="s">
        <v>51</v>
      </c>
      <c r="C223" s="68"/>
      <c r="D223" s="69"/>
      <c r="E223" s="5">
        <f>SUM(E213:E220)</f>
        <v>616</v>
      </c>
      <c r="F223" s="39"/>
      <c r="G223" s="20"/>
      <c r="H223" s="20"/>
      <c r="I223" s="20"/>
      <c r="J223" s="20"/>
      <c r="K223" s="20"/>
      <c r="L223" s="20"/>
      <c r="M223" s="20"/>
      <c r="N223" s="20"/>
      <c r="O223" s="20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</row>
    <row r="224" spans="1:216" ht="15.75" customHeight="1" x14ac:dyDescent="0.4">
      <c r="A224" s="70"/>
      <c r="B224" s="71"/>
      <c r="C224" s="71"/>
      <c r="D224" s="71"/>
      <c r="E224" s="72"/>
      <c r="F224" s="39"/>
      <c r="G224" s="20"/>
      <c r="H224" s="20"/>
      <c r="I224" s="20"/>
      <c r="J224" s="20"/>
      <c r="K224" s="20"/>
      <c r="L224" s="20"/>
      <c r="M224" s="20"/>
      <c r="N224" s="20"/>
      <c r="O224" s="20"/>
      <c r="P224" s="32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</row>
    <row r="225" spans="1:216" ht="15.75" customHeight="1" x14ac:dyDescent="0.4">
      <c r="A225" s="11" t="s">
        <v>48</v>
      </c>
      <c r="B225" s="17" t="s">
        <v>77</v>
      </c>
      <c r="C225" s="73" t="s">
        <v>78</v>
      </c>
      <c r="D225" s="74"/>
      <c r="E225" s="9">
        <f>BUMIHARJO!AE225+KARANGHARJO!BK225+MARGOMULYO!S225+SEPANJANG!AJ225+SUMBERGONDO!AB225+TEGALHARJO!AP225+TULUNGREJO!BL225</f>
        <v>93</v>
      </c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34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</row>
    <row r="226" spans="1:216" ht="15.75" customHeight="1" x14ac:dyDescent="0.4">
      <c r="A226" s="11" t="s">
        <v>50</v>
      </c>
      <c r="B226" s="52"/>
      <c r="C226" s="24" t="s">
        <v>224</v>
      </c>
      <c r="D226" s="50"/>
      <c r="E226" s="9">
        <f>BUMIHARJO!AE226+KARANGHARJO!BK226+MARGOMULYO!S226+SEPANJANG!AJ226+SUMBERGONDO!AB226+TEGALHARJO!AP226+TULUNGREJO!BL226</f>
        <v>321</v>
      </c>
      <c r="F226" s="42"/>
      <c r="G226" s="27"/>
      <c r="H226" s="27"/>
      <c r="I226" s="27"/>
      <c r="J226" s="27"/>
      <c r="K226" s="27"/>
      <c r="L226" s="27"/>
      <c r="M226" s="27"/>
      <c r="N226" s="27"/>
      <c r="O226" s="27"/>
      <c r="P226" s="37"/>
      <c r="Q226" s="30"/>
      <c r="R226" s="30"/>
      <c r="S226" s="30"/>
      <c r="T226" s="30"/>
      <c r="U226" s="30"/>
      <c r="V226" s="30"/>
      <c r="W226" s="38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0"/>
      <c r="BM226" s="30"/>
      <c r="BN226" s="30"/>
      <c r="BO226" s="30"/>
      <c r="BP226" s="30"/>
      <c r="BQ226" s="30"/>
      <c r="BR226" s="38"/>
      <c r="BS226" s="30"/>
      <c r="BT226" s="30"/>
      <c r="BU226" s="30"/>
      <c r="BV226" s="30"/>
      <c r="BW226" s="30"/>
      <c r="BX226" s="30"/>
      <c r="BY226" s="30"/>
      <c r="BZ226" s="30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8"/>
      <c r="EZ226" s="38"/>
      <c r="FA226" s="38"/>
      <c r="FB226" s="38"/>
      <c r="FC226" s="38"/>
      <c r="FD226" s="38"/>
      <c r="FE226" s="38"/>
      <c r="FF226" s="30"/>
      <c r="FG226" s="30"/>
      <c r="FH226" s="30"/>
      <c r="FI226" s="30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</row>
    <row r="227" spans="1:216" ht="15.75" customHeight="1" x14ac:dyDescent="0.4">
      <c r="A227" s="7"/>
      <c r="B227" s="52"/>
      <c r="C227" s="24" t="s">
        <v>225</v>
      </c>
      <c r="D227" s="50"/>
      <c r="E227" s="9">
        <f>BUMIHARJO!AE227+KARANGHARJO!BK227+MARGOMULYO!S227+SEPANJANG!AJ227+SUMBERGONDO!AB227+TEGALHARJO!AP227+TULUNGREJO!BL227</f>
        <v>24</v>
      </c>
      <c r="F227" s="39"/>
      <c r="G227" s="20"/>
      <c r="H227" s="20"/>
      <c r="I227" s="20"/>
      <c r="J227" s="20"/>
      <c r="K227" s="20"/>
      <c r="L227" s="20"/>
      <c r="M227" s="20"/>
      <c r="N227" s="20"/>
      <c r="O227" s="20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</row>
    <row r="228" spans="1:216" ht="15.75" customHeight="1" x14ac:dyDescent="0.4">
      <c r="A228" s="7"/>
      <c r="B228" s="52"/>
      <c r="C228" s="24" t="s">
        <v>226</v>
      </c>
      <c r="D228" s="50"/>
      <c r="E228" s="9">
        <f>BUMIHARJO!AE228+KARANGHARJO!BK228+MARGOMULYO!S228+SEPANJANG!AJ228+SUMBERGONDO!AB228+TEGALHARJO!AP228+TULUNGREJO!BL228</f>
        <v>12</v>
      </c>
      <c r="F228" s="39"/>
      <c r="G228" s="20"/>
      <c r="H228" s="20"/>
      <c r="I228" s="20"/>
      <c r="J228" s="20"/>
      <c r="K228" s="20"/>
      <c r="L228" s="20"/>
      <c r="M228" s="20"/>
      <c r="N228" s="20"/>
      <c r="O228" s="20"/>
      <c r="P228" s="32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</row>
    <row r="229" spans="1:216" ht="15.75" customHeight="1" x14ac:dyDescent="0.4">
      <c r="A229" s="7"/>
      <c r="B229" s="52"/>
      <c r="C229" s="24" t="s">
        <v>227</v>
      </c>
      <c r="D229" s="50"/>
      <c r="E229" s="9">
        <f>BUMIHARJO!AE229+KARANGHARJO!BK229+MARGOMULYO!S229+SEPANJANG!AJ229+SUMBERGONDO!AB229+TEGALHARJO!AP229+TULUNGREJO!BL229</f>
        <v>17</v>
      </c>
      <c r="F229" s="39"/>
      <c r="G229" s="20"/>
      <c r="H229" s="20"/>
      <c r="I229" s="20"/>
      <c r="J229" s="20"/>
      <c r="K229" s="20"/>
      <c r="L229" s="20"/>
      <c r="M229" s="20"/>
      <c r="N229" s="20"/>
      <c r="O229" s="20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</row>
    <row r="230" spans="1:216" ht="15.75" customHeight="1" x14ac:dyDescent="0.4">
      <c r="A230" s="7"/>
      <c r="B230" s="45"/>
      <c r="C230" s="46"/>
      <c r="D230" s="48"/>
      <c r="E230" s="58"/>
      <c r="F230" s="39"/>
      <c r="G230" s="20"/>
      <c r="H230" s="20"/>
      <c r="I230" s="20"/>
      <c r="J230" s="20"/>
      <c r="K230" s="20"/>
      <c r="L230" s="20"/>
      <c r="M230" s="20"/>
      <c r="N230" s="20"/>
      <c r="O230" s="20"/>
      <c r="P230" s="32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</row>
    <row r="231" spans="1:216" ht="15.75" customHeight="1" x14ac:dyDescent="0.4">
      <c r="A231" s="7"/>
      <c r="B231" s="45"/>
      <c r="C231" s="46"/>
      <c r="D231" s="48"/>
      <c r="E231" s="58"/>
      <c r="F231" s="39"/>
      <c r="G231" s="20"/>
      <c r="H231" s="20"/>
      <c r="I231" s="20"/>
      <c r="J231" s="20"/>
      <c r="K231" s="20"/>
      <c r="L231" s="20"/>
      <c r="M231" s="20"/>
      <c r="N231" s="20"/>
      <c r="O231" s="20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</row>
    <row r="232" spans="1:216" ht="15.75" customHeight="1" x14ac:dyDescent="0.4">
      <c r="A232" s="7"/>
      <c r="B232" s="45"/>
      <c r="C232" s="46"/>
      <c r="D232" s="48"/>
      <c r="E232" s="58"/>
      <c r="F232" s="39"/>
      <c r="G232" s="20"/>
      <c r="H232" s="20"/>
      <c r="I232" s="20"/>
      <c r="J232" s="20"/>
      <c r="K232" s="20"/>
      <c r="L232" s="20"/>
      <c r="M232" s="20"/>
      <c r="N232" s="20"/>
      <c r="O232" s="20"/>
      <c r="P232" s="32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</row>
    <row r="233" spans="1:216" ht="15.75" customHeight="1" x14ac:dyDescent="0.4">
      <c r="A233" s="7"/>
      <c r="B233" s="45"/>
      <c r="C233" s="46"/>
      <c r="D233" s="48"/>
      <c r="E233" s="58"/>
      <c r="F233" s="39"/>
      <c r="G233" s="20"/>
      <c r="H233" s="20"/>
      <c r="I233" s="20"/>
      <c r="J233" s="20"/>
      <c r="K233" s="20"/>
      <c r="L233" s="20"/>
      <c r="M233" s="20"/>
      <c r="N233" s="20"/>
      <c r="O233" s="20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</row>
    <row r="234" spans="1:216" ht="15.75" customHeight="1" x14ac:dyDescent="0.4">
      <c r="A234" s="7"/>
      <c r="B234" s="45"/>
      <c r="C234" s="46"/>
      <c r="D234" s="48"/>
      <c r="E234" s="58"/>
      <c r="F234" s="39"/>
      <c r="G234" s="20"/>
      <c r="H234" s="20"/>
      <c r="I234" s="20"/>
      <c r="J234" s="20"/>
      <c r="K234" s="20"/>
      <c r="L234" s="20"/>
      <c r="M234" s="20"/>
      <c r="N234" s="20"/>
      <c r="O234" s="20"/>
      <c r="P234" s="32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</row>
    <row r="235" spans="1:216" ht="15.75" customHeight="1" x14ac:dyDescent="0.4">
      <c r="A235" s="6" t="s">
        <v>26</v>
      </c>
      <c r="B235" s="67" t="s">
        <v>51</v>
      </c>
      <c r="C235" s="68"/>
      <c r="D235" s="69"/>
      <c r="E235" s="5">
        <f>SUM(E225:E232)</f>
        <v>467</v>
      </c>
      <c r="F235" s="39"/>
      <c r="G235" s="20"/>
      <c r="H235" s="20"/>
      <c r="I235" s="20"/>
      <c r="J235" s="20"/>
      <c r="K235" s="20"/>
      <c r="L235" s="20"/>
      <c r="M235" s="20"/>
      <c r="N235" s="20"/>
      <c r="O235" s="20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</row>
    <row r="236" spans="1:216" ht="15.75" customHeight="1" x14ac:dyDescent="0.4">
      <c r="A236" s="70"/>
      <c r="B236" s="71"/>
      <c r="C236" s="71"/>
      <c r="D236" s="71"/>
      <c r="E236" s="72"/>
      <c r="F236" s="39"/>
      <c r="G236" s="20"/>
      <c r="H236" s="20"/>
      <c r="I236" s="20"/>
      <c r="J236" s="20"/>
      <c r="K236" s="20"/>
      <c r="L236" s="20"/>
      <c r="M236" s="20"/>
      <c r="N236" s="20"/>
      <c r="O236" s="20"/>
      <c r="P236" s="32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</row>
    <row r="237" spans="1:216" ht="15.75" customHeight="1" x14ac:dyDescent="0.4">
      <c r="A237" s="11" t="s">
        <v>48</v>
      </c>
      <c r="B237" s="17" t="s">
        <v>79</v>
      </c>
      <c r="C237" s="73" t="s">
        <v>80</v>
      </c>
      <c r="D237" s="74"/>
      <c r="E237" s="9">
        <f>BUMIHARJO!AE237+KARANGHARJO!BK237+MARGOMULYO!S237+SEPANJANG!AJ237+SUMBERGONDO!AB237+TEGALHARJO!AP237+TULUNGREJO!BL237</f>
        <v>291</v>
      </c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34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</row>
    <row r="238" spans="1:216" ht="15.75" customHeight="1" x14ac:dyDescent="0.4">
      <c r="A238" s="11" t="s">
        <v>50</v>
      </c>
      <c r="B238" s="52"/>
      <c r="C238" s="24" t="s">
        <v>228</v>
      </c>
      <c r="D238" s="50"/>
      <c r="E238" s="9">
        <f>BUMIHARJO!AE238+KARANGHARJO!BK238+MARGOMULYO!S238+SEPANJANG!AJ238+SUMBERGONDO!AB238+TEGALHARJO!AP238+TULUNGREJO!BL238</f>
        <v>800</v>
      </c>
      <c r="F238" s="42"/>
      <c r="G238" s="27"/>
      <c r="H238" s="27"/>
      <c r="I238" s="27"/>
      <c r="J238" s="27"/>
      <c r="K238" s="27"/>
      <c r="L238" s="27"/>
      <c r="M238" s="27"/>
      <c r="N238" s="27"/>
      <c r="O238" s="27"/>
      <c r="P238" s="37"/>
      <c r="Q238" s="30"/>
      <c r="R238" s="30"/>
      <c r="S238" s="30"/>
      <c r="T238" s="30"/>
      <c r="U238" s="30"/>
      <c r="V238" s="30"/>
      <c r="W238" s="3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0"/>
      <c r="BM238" s="30"/>
      <c r="BN238" s="30"/>
      <c r="BO238" s="30"/>
      <c r="BP238" s="30"/>
      <c r="BQ238" s="30"/>
      <c r="BR238" s="38"/>
      <c r="BS238" s="30"/>
      <c r="BT238" s="30"/>
      <c r="BU238" s="30"/>
      <c r="BV238" s="30"/>
      <c r="BW238" s="30"/>
      <c r="BX238" s="30"/>
      <c r="BY238" s="30"/>
      <c r="BZ238" s="30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8"/>
      <c r="EZ238" s="38"/>
      <c r="FA238" s="38"/>
      <c r="FB238" s="38"/>
      <c r="FC238" s="38"/>
      <c r="FD238" s="38"/>
      <c r="FE238" s="38"/>
      <c r="FF238" s="30"/>
      <c r="FG238" s="30"/>
      <c r="FH238" s="30"/>
      <c r="FI238" s="30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</row>
    <row r="239" spans="1:216" ht="15.75" customHeight="1" x14ac:dyDescent="0.4">
      <c r="A239" s="7"/>
      <c r="B239" s="52"/>
      <c r="C239" s="24" t="s">
        <v>229</v>
      </c>
      <c r="D239" s="50"/>
      <c r="E239" s="9">
        <f>BUMIHARJO!AE239+KARANGHARJO!BK239+MARGOMULYO!S239+SEPANJANG!AJ239+SUMBERGONDO!AB239+TEGALHARJO!AP239+TULUNGREJO!BL239</f>
        <v>155</v>
      </c>
      <c r="F239" s="39"/>
      <c r="G239" s="20"/>
      <c r="H239" s="20"/>
      <c r="I239" s="20"/>
      <c r="J239" s="20"/>
      <c r="K239" s="20"/>
      <c r="L239" s="20"/>
      <c r="M239" s="20"/>
      <c r="N239" s="20"/>
      <c r="O239" s="20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</row>
    <row r="240" spans="1:216" ht="15.75" customHeight="1" x14ac:dyDescent="0.4">
      <c r="A240" s="7"/>
      <c r="B240" s="52"/>
      <c r="C240" s="24" t="s">
        <v>230</v>
      </c>
      <c r="D240" s="50"/>
      <c r="E240" s="9">
        <f>BUMIHARJO!AE240+KARANGHARJO!BK240+MARGOMULYO!S240+SEPANJANG!AJ240+SUMBERGONDO!AB240+TEGALHARJO!AP240+TULUNGREJO!BL240</f>
        <v>17</v>
      </c>
      <c r="F240" s="39"/>
      <c r="G240" s="20"/>
      <c r="H240" s="20"/>
      <c r="I240" s="20"/>
      <c r="J240" s="20"/>
      <c r="K240" s="20"/>
      <c r="L240" s="20"/>
      <c r="M240" s="20"/>
      <c r="N240" s="20"/>
      <c r="O240" s="20"/>
      <c r="P240" s="32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</row>
    <row r="241" spans="1:216" ht="15.75" customHeight="1" x14ac:dyDescent="0.4">
      <c r="A241" s="7"/>
      <c r="B241" s="52"/>
      <c r="C241" s="24" t="s">
        <v>231</v>
      </c>
      <c r="D241" s="50"/>
      <c r="E241" s="9">
        <f>BUMIHARJO!AE241+KARANGHARJO!BK241+MARGOMULYO!S241+SEPANJANG!AJ241+SUMBERGONDO!AB241+TEGALHARJO!AP241+TULUNGREJO!BL241</f>
        <v>47</v>
      </c>
      <c r="F241" s="39"/>
      <c r="G241" s="20"/>
      <c r="H241" s="20"/>
      <c r="I241" s="20"/>
      <c r="J241" s="20"/>
      <c r="K241" s="20"/>
      <c r="L241" s="20"/>
      <c r="M241" s="20"/>
      <c r="N241" s="20"/>
      <c r="O241" s="20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</row>
    <row r="242" spans="1:216" ht="15.75" customHeight="1" x14ac:dyDescent="0.4">
      <c r="A242" s="7"/>
      <c r="B242" s="52"/>
      <c r="C242" s="24" t="s">
        <v>232</v>
      </c>
      <c r="D242" s="50"/>
      <c r="E242" s="9">
        <f>BUMIHARJO!AE242+KARANGHARJO!BK242+MARGOMULYO!S242+SEPANJANG!AJ242+SUMBERGONDO!AB242+TEGALHARJO!AP242+TULUNGREJO!BL242</f>
        <v>917</v>
      </c>
      <c r="F242" s="39"/>
      <c r="G242" s="20"/>
      <c r="H242" s="20"/>
      <c r="I242" s="20"/>
      <c r="J242" s="20"/>
      <c r="K242" s="20"/>
      <c r="L242" s="20"/>
      <c r="M242" s="20"/>
      <c r="N242" s="20"/>
      <c r="O242" s="20"/>
      <c r="P242" s="32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</row>
    <row r="243" spans="1:216" ht="15.75" customHeight="1" x14ac:dyDescent="0.4">
      <c r="A243" s="7"/>
      <c r="B243" s="52"/>
      <c r="C243" s="24" t="s">
        <v>233</v>
      </c>
      <c r="D243" s="50"/>
      <c r="E243" s="9">
        <f>BUMIHARJO!AE243+KARANGHARJO!BK243+MARGOMULYO!S243+SEPANJANG!AJ243+SUMBERGONDO!AB243+TEGALHARJO!AP243+TULUNGREJO!BL243</f>
        <v>15</v>
      </c>
      <c r="F243" s="39"/>
      <c r="G243" s="20"/>
      <c r="H243" s="20"/>
      <c r="I243" s="20"/>
      <c r="J243" s="20"/>
      <c r="K243" s="20"/>
      <c r="L243" s="20"/>
      <c r="M243" s="20"/>
      <c r="N243" s="20"/>
      <c r="O243" s="20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</row>
    <row r="244" spans="1:216" ht="15.75" customHeight="1" x14ac:dyDescent="0.4">
      <c r="A244" s="7"/>
      <c r="B244" s="52"/>
      <c r="C244" s="24" t="s">
        <v>234</v>
      </c>
      <c r="D244" s="50"/>
      <c r="E244" s="9">
        <f>BUMIHARJO!AE244+KARANGHARJO!BK244+MARGOMULYO!S244+SEPANJANG!AJ244+SUMBERGONDO!AB244+TEGALHARJO!AP244+TULUNGREJO!BL244</f>
        <v>19</v>
      </c>
      <c r="F244" s="39"/>
      <c r="G244" s="20"/>
      <c r="H244" s="20"/>
      <c r="I244" s="20"/>
      <c r="J244" s="20"/>
      <c r="K244" s="20"/>
      <c r="L244" s="20"/>
      <c r="M244" s="20"/>
      <c r="N244" s="20"/>
      <c r="O244" s="20"/>
      <c r="P244" s="32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</row>
    <row r="245" spans="1:216" ht="15.75" customHeight="1" x14ac:dyDescent="0.4">
      <c r="A245" s="7"/>
      <c r="B245" s="52"/>
      <c r="C245" s="24" t="s">
        <v>235</v>
      </c>
      <c r="D245" s="50"/>
      <c r="E245" s="9">
        <f>BUMIHARJO!AE245+KARANGHARJO!BK245+MARGOMULYO!S245+SEPANJANG!AJ245+SUMBERGONDO!AB245+TEGALHARJO!AP245+TULUNGREJO!BL245</f>
        <v>7</v>
      </c>
      <c r="F245" s="39"/>
      <c r="G245" s="20"/>
      <c r="H245" s="20"/>
      <c r="I245" s="20"/>
      <c r="J245" s="20"/>
      <c r="K245" s="20"/>
      <c r="L245" s="20"/>
      <c r="M245" s="20"/>
      <c r="N245" s="20"/>
      <c r="O245" s="20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</row>
    <row r="246" spans="1:216" ht="15.75" customHeight="1" x14ac:dyDescent="0.4">
      <c r="A246" s="7"/>
      <c r="B246" s="52"/>
      <c r="C246" s="24" t="s">
        <v>236</v>
      </c>
      <c r="D246" s="50"/>
      <c r="E246" s="9">
        <f>BUMIHARJO!AE246+KARANGHARJO!BK246+MARGOMULYO!S246+SEPANJANG!AJ246+SUMBERGONDO!AB246+TEGALHARJO!AP246+TULUNGREJO!BL246</f>
        <v>32</v>
      </c>
      <c r="F246" s="39"/>
      <c r="G246" s="20"/>
      <c r="H246" s="20"/>
      <c r="I246" s="20"/>
      <c r="J246" s="20"/>
      <c r="K246" s="20"/>
      <c r="L246" s="20"/>
      <c r="M246" s="20"/>
      <c r="N246" s="20"/>
      <c r="O246" s="20"/>
      <c r="P246" s="32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</row>
    <row r="247" spans="1:216" ht="15.75" customHeight="1" x14ac:dyDescent="0.4">
      <c r="A247" s="6" t="s">
        <v>26</v>
      </c>
      <c r="B247" s="67" t="s">
        <v>51</v>
      </c>
      <c r="C247" s="68"/>
      <c r="D247" s="69"/>
      <c r="E247" s="5">
        <f>SUM(E237:E244)</f>
        <v>2261</v>
      </c>
      <c r="F247" s="39"/>
      <c r="G247" s="20"/>
      <c r="H247" s="20"/>
      <c r="I247" s="20"/>
      <c r="J247" s="20"/>
      <c r="K247" s="20"/>
      <c r="L247" s="20"/>
      <c r="M247" s="20"/>
      <c r="N247" s="20"/>
      <c r="O247" s="20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</row>
    <row r="248" spans="1:216" ht="15.75" customHeight="1" x14ac:dyDescent="0.4">
      <c r="A248" s="70"/>
      <c r="B248" s="71"/>
      <c r="C248" s="71"/>
      <c r="D248" s="71"/>
      <c r="E248" s="72"/>
      <c r="F248" s="39"/>
      <c r="G248" s="20"/>
      <c r="H248" s="20"/>
      <c r="I248" s="20"/>
      <c r="J248" s="20"/>
      <c r="K248" s="20"/>
      <c r="L248" s="20"/>
      <c r="M248" s="20"/>
      <c r="N248" s="20"/>
      <c r="O248" s="20"/>
      <c r="P248" s="32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</row>
    <row r="249" spans="1:216" ht="15.75" customHeight="1" x14ac:dyDescent="0.4">
      <c r="A249" s="11" t="s">
        <v>48</v>
      </c>
      <c r="B249" s="17" t="s">
        <v>81</v>
      </c>
      <c r="C249" s="73" t="s">
        <v>82</v>
      </c>
      <c r="D249" s="74"/>
      <c r="E249" s="9">
        <f>BUMIHARJO!AE249+KARANGHARJO!BK249+MARGOMULYO!S249+SEPANJANG!AJ249+SUMBERGONDO!AB249+TEGALHARJO!AP249+TULUNGREJO!BL249</f>
        <v>33</v>
      </c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34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</row>
    <row r="250" spans="1:216" ht="15.75" customHeight="1" x14ac:dyDescent="0.4">
      <c r="A250" s="11" t="s">
        <v>50</v>
      </c>
      <c r="B250" s="52"/>
      <c r="C250" s="24" t="s">
        <v>237</v>
      </c>
      <c r="D250" s="50"/>
      <c r="E250" s="9">
        <f>BUMIHARJO!AE250+KARANGHARJO!BK250+MARGOMULYO!S250+SEPANJANG!AJ250+SUMBERGONDO!AB250+TEGALHARJO!AP250+TULUNGREJO!BL250</f>
        <v>47</v>
      </c>
      <c r="F250" s="39"/>
      <c r="G250" s="20"/>
      <c r="H250" s="20"/>
      <c r="I250" s="20"/>
      <c r="J250" s="20"/>
      <c r="K250" s="20"/>
      <c r="L250" s="20"/>
      <c r="M250" s="20"/>
      <c r="N250" s="20"/>
      <c r="O250" s="23"/>
      <c r="P250" s="3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4">
      <c r="A251" s="7"/>
      <c r="B251" s="52"/>
      <c r="C251" s="24" t="s">
        <v>238</v>
      </c>
      <c r="D251" s="50"/>
      <c r="E251" s="9">
        <f>BUMIHARJO!AE251+KARANGHARJO!BK251+MARGOMULYO!S251+SEPANJANG!AJ251+SUMBERGONDO!AB251+TEGALHARJO!AP251+TULUNGREJO!BL251</f>
        <v>8</v>
      </c>
      <c r="F251" s="40"/>
      <c r="G251" s="1"/>
      <c r="H251" s="1"/>
      <c r="I251" s="1"/>
      <c r="J251" s="1"/>
      <c r="K251" s="1"/>
      <c r="L251" s="1"/>
      <c r="M251" s="1"/>
      <c r="N251" s="1"/>
      <c r="O251" s="3"/>
      <c r="P251" s="3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4">
      <c r="A252" s="7"/>
      <c r="B252" s="52"/>
      <c r="C252" s="24" t="s">
        <v>239</v>
      </c>
      <c r="D252" s="50"/>
      <c r="E252" s="9">
        <f>BUMIHARJO!AE252+KARANGHARJO!BK252+MARGOMULYO!S252+SEPANJANG!AJ252+SUMBERGONDO!AB252+TEGALHARJO!AP252+TULUNGREJO!BL252</f>
        <v>11</v>
      </c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34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</row>
    <row r="253" spans="1:216" ht="15.75" customHeight="1" x14ac:dyDescent="0.4">
      <c r="A253" s="7"/>
      <c r="B253" s="45"/>
      <c r="C253" s="64"/>
      <c r="D253" s="48"/>
      <c r="E253" s="58"/>
      <c r="F253" s="39"/>
      <c r="G253" s="20"/>
      <c r="H253" s="20"/>
      <c r="I253" s="20"/>
      <c r="J253" s="20"/>
      <c r="K253" s="20"/>
      <c r="L253" s="20"/>
      <c r="M253" s="20"/>
      <c r="N253" s="20"/>
      <c r="O253" s="20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</row>
    <row r="254" spans="1:216" ht="15.75" customHeight="1" x14ac:dyDescent="0.4">
      <c r="A254" s="7"/>
      <c r="B254" s="45"/>
      <c r="C254" s="64"/>
      <c r="D254" s="48"/>
      <c r="E254" s="58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34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</row>
    <row r="255" spans="1:216" ht="15.75" customHeight="1" x14ac:dyDescent="0.4">
      <c r="A255" s="7"/>
      <c r="B255" s="45"/>
      <c r="C255" s="64"/>
      <c r="D255" s="48"/>
      <c r="E255" s="58"/>
      <c r="F255" s="39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4">
      <c r="A256" s="7"/>
      <c r="B256" s="45"/>
      <c r="C256" s="64"/>
      <c r="D256" s="48"/>
      <c r="E256" s="58"/>
      <c r="F256" s="39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4">
      <c r="A257" s="7"/>
      <c r="B257" s="45"/>
      <c r="C257" s="64"/>
      <c r="D257" s="48"/>
      <c r="E257" s="58"/>
      <c r="F257" s="39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4">
      <c r="A258" s="7"/>
      <c r="B258" s="45"/>
      <c r="C258" s="64"/>
      <c r="D258" s="48"/>
      <c r="E258" s="58"/>
      <c r="F258" s="39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4">
      <c r="A259" s="6" t="s">
        <v>26</v>
      </c>
      <c r="B259" s="67" t="s">
        <v>51</v>
      </c>
      <c r="C259" s="68"/>
      <c r="D259" s="69"/>
      <c r="E259" s="5">
        <f>SUM(E249:E255)</f>
        <v>99</v>
      </c>
      <c r="F259" s="39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4">
      <c r="F260" s="39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4">
      <c r="A261" s="16" t="s">
        <v>83</v>
      </c>
      <c r="B261" s="75" t="s">
        <v>84</v>
      </c>
      <c r="C261" s="76"/>
      <c r="D261" s="77"/>
      <c r="E261" s="5"/>
      <c r="F261" s="39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4">
      <c r="A262" s="16"/>
      <c r="B262" s="19" t="s">
        <v>85</v>
      </c>
      <c r="C262" s="65" t="s">
        <v>86</v>
      </c>
      <c r="D262" s="66"/>
      <c r="E262" s="9">
        <f>BUMIHARJO!AE262+KARANGHARJO!BK262+MARGOMULYO!S262+SEPANJANG!AJ262+SUMBERGONDO!AB262+TEGALHARJO!AP262+TULUNGREJO!BL262</f>
        <v>40340</v>
      </c>
      <c r="F262" s="39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4">
      <c r="A263" s="13"/>
      <c r="B263" s="19" t="s">
        <v>87</v>
      </c>
      <c r="C263" s="65" t="s">
        <v>88</v>
      </c>
      <c r="D263" s="66"/>
      <c r="E263" s="9">
        <f>BUMIHARJO!AE263+KARANGHARJO!BK263+MARGOMULYO!S263+SEPANJANG!AJ263+SUMBERGONDO!AB263+TEGALHARJO!AP263+TULUNGREJO!BL263</f>
        <v>5648</v>
      </c>
      <c r="F263" s="39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4">
      <c r="A264" s="14"/>
      <c r="B264" s="19" t="s">
        <v>89</v>
      </c>
      <c r="C264" s="65" t="s">
        <v>90</v>
      </c>
      <c r="D264" s="66"/>
      <c r="E264" s="5">
        <f t="shared" ref="E264" si="8">SUM(E262:E263)</f>
        <v>45988</v>
      </c>
      <c r="F264" s="39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4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4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4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4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4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4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4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4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4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4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4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4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4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4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4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4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4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4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4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4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4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4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4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4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4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4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4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4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4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4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4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4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4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4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4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4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4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4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4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4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4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4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4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4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4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4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4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4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4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4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4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4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4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4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4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4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4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4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4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4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4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4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4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4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4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4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4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4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4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4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4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4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4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4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4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4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4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4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4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4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4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4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4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4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4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4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4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4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4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4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4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4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4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4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4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4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4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4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4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4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4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4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4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4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4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4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4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4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4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4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4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4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4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4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4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4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4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4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4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4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4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4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4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4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4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4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4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4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4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4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4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4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4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4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4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4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4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4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4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4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4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4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4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4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4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4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4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4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4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4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4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3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5:D55"/>
    <mergeCell ref="B43:D43"/>
    <mergeCell ref="A44:D44"/>
    <mergeCell ref="C45:D45"/>
    <mergeCell ref="B67:D67"/>
    <mergeCell ref="A68:E68"/>
    <mergeCell ref="C57:D57"/>
    <mergeCell ref="A56:E56"/>
    <mergeCell ref="C69:D69"/>
    <mergeCell ref="C93:D93"/>
    <mergeCell ref="B91:D91"/>
    <mergeCell ref="A92:E92"/>
    <mergeCell ref="B79:D79"/>
    <mergeCell ref="A80:E80"/>
    <mergeCell ref="C81:D81"/>
    <mergeCell ref="B115:D115"/>
    <mergeCell ref="A116:E116"/>
    <mergeCell ref="C117:D117"/>
    <mergeCell ref="B103:D103"/>
    <mergeCell ref="C105:D105"/>
    <mergeCell ref="A104:E104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C177:D177"/>
    <mergeCell ref="B175:D175"/>
    <mergeCell ref="A176:E176"/>
    <mergeCell ref="B163:D163"/>
    <mergeCell ref="A164:E164"/>
    <mergeCell ref="C165:D165"/>
    <mergeCell ref="B199:D199"/>
    <mergeCell ref="A200:E200"/>
    <mergeCell ref="C201:D201"/>
    <mergeCell ref="B187:D187"/>
    <mergeCell ref="C189:D189"/>
    <mergeCell ref="A188:E188"/>
    <mergeCell ref="B223:D223"/>
    <mergeCell ref="C225:D225"/>
    <mergeCell ref="A224:E224"/>
    <mergeCell ref="C213:D213"/>
    <mergeCell ref="B211:D211"/>
    <mergeCell ref="A212:E212"/>
    <mergeCell ref="C249:D249"/>
    <mergeCell ref="B247:D247"/>
    <mergeCell ref="A248:E248"/>
    <mergeCell ref="B235:D235"/>
    <mergeCell ref="A236:E236"/>
    <mergeCell ref="C237:D237"/>
    <mergeCell ref="C262:D262"/>
    <mergeCell ref="C263:D263"/>
    <mergeCell ref="C264:D264"/>
    <mergeCell ref="B259:D259"/>
    <mergeCell ref="B261:D261"/>
  </mergeCells>
  <conditionalFormatting sqref="E30">
    <cfRule type="expression" dxfId="201" priority="50">
      <formula>E30&lt;&gt;E264</formula>
    </cfRule>
    <cfRule type="expression" dxfId="200" priority="51">
      <formula>E30&lt;&gt;E34</formula>
    </cfRule>
  </conditionalFormatting>
  <conditionalFormatting sqref="E259">
    <cfRule type="containsBlanks" dxfId="199" priority="8">
      <formula>LEN(TRIM(E259))=0</formula>
    </cfRule>
  </conditionalFormatting>
  <conditionalFormatting sqref="F259:O261">
    <cfRule type="cellIs" dxfId="198" priority="32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92D050"/>
  </sheetPr>
  <dimension ref="A2:AG264"/>
  <sheetViews>
    <sheetView topLeftCell="H13" zoomScale="85" zoomScaleNormal="85" workbookViewId="0">
      <pane ySplit="1" topLeftCell="A250" activePane="bottomLeft" state="frozen"/>
      <selection activeCell="A13" sqref="A13"/>
      <selection pane="bottomLeft" activeCell="T255" sqref="T255"/>
    </sheetView>
  </sheetViews>
  <sheetFormatPr defaultRowHeight="13.15" x14ac:dyDescent="0.4"/>
  <cols>
    <col min="3" max="3" width="67.140625" bestFit="1" customWidth="1"/>
    <col min="4" max="4" width="5.85546875" bestFit="1" customWidth="1"/>
    <col min="31" max="31" width="13.28515625" customWidth="1"/>
  </cols>
  <sheetData>
    <row r="2" spans="1:31" x14ac:dyDescent="0.4">
      <c r="C2" s="43" t="s">
        <v>116</v>
      </c>
      <c r="D2" s="43" t="s">
        <v>257</v>
      </c>
    </row>
    <row r="3" spans="1:31" x14ac:dyDescent="0.4">
      <c r="C3" s="43" t="s">
        <v>117</v>
      </c>
      <c r="D3" s="43" t="s">
        <v>118</v>
      </c>
    </row>
    <row r="4" spans="1:31" x14ac:dyDescent="0.4">
      <c r="C4" s="43" t="s">
        <v>119</v>
      </c>
      <c r="D4" s="43" t="s">
        <v>120</v>
      </c>
    </row>
    <row r="5" spans="1:31" x14ac:dyDescent="0.4">
      <c r="C5" s="43"/>
      <c r="D5" s="43"/>
    </row>
    <row r="6" spans="1:31" x14ac:dyDescent="0.4">
      <c r="C6" s="43"/>
      <c r="D6" s="43"/>
    </row>
    <row r="7" spans="1:31" x14ac:dyDescent="0.4">
      <c r="C7" s="43"/>
      <c r="D7" s="43"/>
    </row>
    <row r="8" spans="1:31" x14ac:dyDescent="0.4">
      <c r="C8" s="43"/>
      <c r="D8" s="43"/>
    </row>
    <row r="9" spans="1:31" x14ac:dyDescent="0.4">
      <c r="C9" s="43" t="s">
        <v>121</v>
      </c>
      <c r="D9" s="43" t="s">
        <v>258</v>
      </c>
    </row>
    <row r="11" spans="1:31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</row>
    <row r="12" spans="1:31" x14ac:dyDescent="0.4">
      <c r="A12" s="5" t="s">
        <v>0</v>
      </c>
      <c r="B12" s="75" t="s">
        <v>1</v>
      </c>
      <c r="C12" s="83"/>
      <c r="D12" s="74"/>
      <c r="E12" s="100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2" t="s">
        <v>115</v>
      </c>
    </row>
    <row r="13" spans="1:31" x14ac:dyDescent="0.4">
      <c r="A13" s="6" t="s">
        <v>2</v>
      </c>
      <c r="B13" s="93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103"/>
    </row>
    <row r="14" spans="1:31" x14ac:dyDescent="0.4">
      <c r="A14" s="7"/>
      <c r="B14" s="104" t="s">
        <v>22</v>
      </c>
      <c r="C14" s="79"/>
      <c r="D14" s="6" t="s">
        <v>23</v>
      </c>
      <c r="E14" s="6">
        <v>132</v>
      </c>
      <c r="F14" s="6">
        <v>118</v>
      </c>
      <c r="G14" s="6">
        <v>130</v>
      </c>
      <c r="H14" s="6">
        <v>112</v>
      </c>
      <c r="I14" s="6">
        <v>147</v>
      </c>
      <c r="J14" s="6">
        <v>159</v>
      </c>
      <c r="K14" s="6">
        <v>144</v>
      </c>
      <c r="L14" s="6">
        <v>151</v>
      </c>
      <c r="M14" s="6">
        <v>141</v>
      </c>
      <c r="N14" s="6">
        <v>144</v>
      </c>
      <c r="O14" s="6">
        <v>122</v>
      </c>
      <c r="P14" s="6">
        <v>124</v>
      </c>
      <c r="Q14" s="6">
        <v>123</v>
      </c>
      <c r="R14" s="6">
        <v>92</v>
      </c>
      <c r="S14" s="6">
        <v>142</v>
      </c>
      <c r="T14" s="6">
        <v>126</v>
      </c>
      <c r="U14" s="6">
        <v>127</v>
      </c>
      <c r="V14" s="6">
        <v>116</v>
      </c>
      <c r="W14" s="6">
        <v>145</v>
      </c>
      <c r="X14" s="6">
        <v>142</v>
      </c>
      <c r="Y14" s="6">
        <v>119</v>
      </c>
      <c r="Z14" s="6">
        <v>140</v>
      </c>
      <c r="AA14" s="6">
        <v>108</v>
      </c>
      <c r="AB14" s="6">
        <v>103</v>
      </c>
      <c r="AC14" s="6">
        <v>123</v>
      </c>
      <c r="AD14" s="6">
        <v>138</v>
      </c>
      <c r="AE14" s="5">
        <f>SUM(E14:AD14)</f>
        <v>3368</v>
      </c>
    </row>
    <row r="15" spans="1:31" x14ac:dyDescent="0.4">
      <c r="A15" s="7"/>
      <c r="B15" s="105"/>
      <c r="C15" s="89"/>
      <c r="D15" s="6" t="s">
        <v>24</v>
      </c>
      <c r="E15" s="6">
        <v>127</v>
      </c>
      <c r="F15" s="6">
        <v>126</v>
      </c>
      <c r="G15" s="6">
        <v>123</v>
      </c>
      <c r="H15" s="6">
        <v>114</v>
      </c>
      <c r="I15" s="6">
        <v>142</v>
      </c>
      <c r="J15" s="6">
        <v>141</v>
      </c>
      <c r="K15" s="6">
        <v>149</v>
      </c>
      <c r="L15" s="6">
        <v>145</v>
      </c>
      <c r="M15" s="6">
        <v>147</v>
      </c>
      <c r="N15" s="6">
        <v>153</v>
      </c>
      <c r="O15" s="6">
        <v>116</v>
      </c>
      <c r="P15" s="6">
        <v>128</v>
      </c>
      <c r="Q15" s="6">
        <v>116</v>
      </c>
      <c r="R15" s="6">
        <v>106</v>
      </c>
      <c r="S15" s="6">
        <v>126</v>
      </c>
      <c r="T15" s="6">
        <v>124</v>
      </c>
      <c r="U15" s="6">
        <v>145</v>
      </c>
      <c r="V15" s="6">
        <v>97</v>
      </c>
      <c r="W15" s="6">
        <v>134</v>
      </c>
      <c r="X15" s="6">
        <v>137</v>
      </c>
      <c r="Y15" s="6">
        <v>126</v>
      </c>
      <c r="Z15" s="6">
        <v>151</v>
      </c>
      <c r="AA15" s="6">
        <v>115</v>
      </c>
      <c r="AB15" s="6">
        <v>118</v>
      </c>
      <c r="AC15" s="6">
        <v>132</v>
      </c>
      <c r="AD15" s="6">
        <v>149</v>
      </c>
      <c r="AE15" s="5">
        <f>SUM(E15:AD15)</f>
        <v>3387</v>
      </c>
    </row>
    <row r="16" spans="1:31" x14ac:dyDescent="0.4">
      <c r="A16" s="8"/>
      <c r="B16" s="106"/>
      <c r="C16" s="90"/>
      <c r="D16" s="5" t="s">
        <v>25</v>
      </c>
      <c r="E16" s="5">
        <f t="shared" ref="E16:AD16" si="0">SUM(E14:E15)</f>
        <v>259</v>
      </c>
      <c r="F16" s="5">
        <f t="shared" si="0"/>
        <v>244</v>
      </c>
      <c r="G16" s="5">
        <f t="shared" si="0"/>
        <v>253</v>
      </c>
      <c r="H16" s="5">
        <f t="shared" si="0"/>
        <v>226</v>
      </c>
      <c r="I16" s="5">
        <f t="shared" si="0"/>
        <v>289</v>
      </c>
      <c r="J16" s="5">
        <f t="shared" si="0"/>
        <v>300</v>
      </c>
      <c r="K16" s="5">
        <f t="shared" si="0"/>
        <v>293</v>
      </c>
      <c r="L16" s="5">
        <f t="shared" si="0"/>
        <v>296</v>
      </c>
      <c r="M16" s="5">
        <f t="shared" si="0"/>
        <v>288</v>
      </c>
      <c r="N16" s="5">
        <f t="shared" si="0"/>
        <v>297</v>
      </c>
      <c r="O16" s="5">
        <f t="shared" ref="O16:S16" si="1">SUM(O14:O15)</f>
        <v>238</v>
      </c>
      <c r="P16" s="5">
        <f t="shared" si="1"/>
        <v>252</v>
      </c>
      <c r="Q16" s="5">
        <f t="shared" si="1"/>
        <v>239</v>
      </c>
      <c r="R16" s="5">
        <f t="shared" si="1"/>
        <v>198</v>
      </c>
      <c r="S16" s="5">
        <f t="shared" si="1"/>
        <v>268</v>
      </c>
      <c r="T16" s="5">
        <f t="shared" si="0"/>
        <v>250</v>
      </c>
      <c r="U16" s="5">
        <f t="shared" si="0"/>
        <v>272</v>
      </c>
      <c r="V16" s="5">
        <f t="shared" si="0"/>
        <v>213</v>
      </c>
      <c r="W16" s="5">
        <f t="shared" si="0"/>
        <v>279</v>
      </c>
      <c r="X16" s="5">
        <f t="shared" si="0"/>
        <v>279</v>
      </c>
      <c r="Y16" s="5">
        <f t="shared" ref="Y16:AC16" si="2">SUM(Y14:Y15)</f>
        <v>245</v>
      </c>
      <c r="Z16" s="5">
        <f t="shared" si="2"/>
        <v>291</v>
      </c>
      <c r="AA16" s="5">
        <f t="shared" si="2"/>
        <v>223</v>
      </c>
      <c r="AB16" s="5">
        <f t="shared" si="2"/>
        <v>221</v>
      </c>
      <c r="AC16" s="5">
        <f t="shared" si="2"/>
        <v>255</v>
      </c>
      <c r="AD16" s="5">
        <f t="shared" si="0"/>
        <v>287</v>
      </c>
      <c r="AE16" s="5">
        <f>SUM(E16:AD16)</f>
        <v>6755</v>
      </c>
    </row>
    <row r="17" spans="1:31" x14ac:dyDescent="0.4">
      <c r="A17" s="70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28"/>
    </row>
    <row r="18" spans="1:31" x14ac:dyDescent="0.4">
      <c r="A18" s="11" t="s">
        <v>26</v>
      </c>
      <c r="B18" s="93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28"/>
    </row>
    <row r="19" spans="1:31" x14ac:dyDescent="0.4">
      <c r="A19" s="11"/>
      <c r="B19" s="94" t="s">
        <v>28</v>
      </c>
      <c r="C19" s="95" t="s">
        <v>29</v>
      </c>
      <c r="D19" s="6" t="s">
        <v>23</v>
      </c>
      <c r="E19" s="6">
        <v>105</v>
      </c>
      <c r="F19" s="6">
        <v>100</v>
      </c>
      <c r="G19" s="6">
        <v>94</v>
      </c>
      <c r="H19" s="6">
        <v>91</v>
      </c>
      <c r="I19" s="6">
        <v>104</v>
      </c>
      <c r="J19" s="6">
        <v>118</v>
      </c>
      <c r="K19" s="6">
        <v>109</v>
      </c>
      <c r="L19" s="6">
        <v>115</v>
      </c>
      <c r="M19" s="6">
        <v>105</v>
      </c>
      <c r="N19" s="6">
        <v>107</v>
      </c>
      <c r="O19" s="6">
        <v>87</v>
      </c>
      <c r="P19" s="6">
        <v>97</v>
      </c>
      <c r="Q19" s="6">
        <v>90</v>
      </c>
      <c r="R19" s="6">
        <v>68</v>
      </c>
      <c r="S19" s="6">
        <v>113</v>
      </c>
      <c r="T19" s="6">
        <v>89</v>
      </c>
      <c r="U19" s="6">
        <v>87</v>
      </c>
      <c r="V19" s="6">
        <v>95</v>
      </c>
      <c r="W19" s="6">
        <v>113</v>
      </c>
      <c r="X19" s="6">
        <v>101</v>
      </c>
      <c r="Y19" s="6">
        <v>87</v>
      </c>
      <c r="Z19" s="6">
        <v>96</v>
      </c>
      <c r="AA19" s="6">
        <v>77</v>
      </c>
      <c r="AB19" s="6">
        <v>76</v>
      </c>
      <c r="AC19" s="6">
        <v>80</v>
      </c>
      <c r="AD19" s="6">
        <v>95</v>
      </c>
      <c r="AE19" s="5">
        <f t="shared" ref="AE19:AE30" si="3">SUM(E19:AD19)</f>
        <v>2499</v>
      </c>
    </row>
    <row r="20" spans="1:31" x14ac:dyDescent="0.4">
      <c r="A20" s="12"/>
      <c r="B20" s="89"/>
      <c r="C20" s="96"/>
      <c r="D20" s="6" t="s">
        <v>24</v>
      </c>
      <c r="E20" s="6">
        <v>101</v>
      </c>
      <c r="F20" s="6">
        <v>100</v>
      </c>
      <c r="G20" s="6">
        <v>107</v>
      </c>
      <c r="H20" s="6">
        <v>93</v>
      </c>
      <c r="I20" s="6">
        <v>104</v>
      </c>
      <c r="J20" s="6">
        <v>112</v>
      </c>
      <c r="K20" s="6">
        <v>115</v>
      </c>
      <c r="L20" s="6">
        <v>114</v>
      </c>
      <c r="M20" s="6">
        <v>118</v>
      </c>
      <c r="N20" s="6">
        <v>119</v>
      </c>
      <c r="O20" s="6">
        <v>89</v>
      </c>
      <c r="P20" s="6">
        <v>116</v>
      </c>
      <c r="Q20" s="6">
        <v>93</v>
      </c>
      <c r="R20" s="6">
        <v>86</v>
      </c>
      <c r="S20" s="6">
        <v>107</v>
      </c>
      <c r="T20" s="6">
        <v>105</v>
      </c>
      <c r="U20" s="6">
        <v>112</v>
      </c>
      <c r="V20" s="6">
        <v>86</v>
      </c>
      <c r="W20" s="6">
        <v>110</v>
      </c>
      <c r="X20" s="6">
        <v>105</v>
      </c>
      <c r="Y20" s="6">
        <v>104</v>
      </c>
      <c r="Z20" s="6">
        <v>126</v>
      </c>
      <c r="AA20" s="6">
        <v>100</v>
      </c>
      <c r="AB20" s="6">
        <v>78</v>
      </c>
      <c r="AC20" s="6">
        <v>92</v>
      </c>
      <c r="AD20" s="6">
        <v>112</v>
      </c>
      <c r="AE20" s="5">
        <f t="shared" si="3"/>
        <v>2704</v>
      </c>
    </row>
    <row r="21" spans="1:31" x14ac:dyDescent="0.4">
      <c r="A21" s="13"/>
      <c r="B21" s="90"/>
      <c r="C21" s="97"/>
      <c r="D21" s="5" t="s">
        <v>25</v>
      </c>
      <c r="E21" s="5">
        <f t="shared" ref="E21:AD21" si="4">SUM(E19:E20)</f>
        <v>206</v>
      </c>
      <c r="F21" s="5">
        <f t="shared" si="4"/>
        <v>200</v>
      </c>
      <c r="G21" s="5">
        <f t="shared" si="4"/>
        <v>201</v>
      </c>
      <c r="H21" s="5">
        <f t="shared" si="4"/>
        <v>184</v>
      </c>
      <c r="I21" s="5">
        <f t="shared" si="4"/>
        <v>208</v>
      </c>
      <c r="J21" s="5">
        <f t="shared" si="4"/>
        <v>230</v>
      </c>
      <c r="K21" s="5">
        <f t="shared" si="4"/>
        <v>224</v>
      </c>
      <c r="L21" s="5">
        <f t="shared" si="4"/>
        <v>229</v>
      </c>
      <c r="M21" s="5">
        <f t="shared" si="4"/>
        <v>223</v>
      </c>
      <c r="N21" s="5">
        <f t="shared" si="4"/>
        <v>226</v>
      </c>
      <c r="O21" s="5">
        <f t="shared" ref="O21:S21" si="5">SUM(O19:O20)</f>
        <v>176</v>
      </c>
      <c r="P21" s="5">
        <f t="shared" si="5"/>
        <v>213</v>
      </c>
      <c r="Q21" s="5">
        <f t="shared" si="5"/>
        <v>183</v>
      </c>
      <c r="R21" s="5">
        <f t="shared" si="5"/>
        <v>154</v>
      </c>
      <c r="S21" s="5">
        <f t="shared" si="5"/>
        <v>220</v>
      </c>
      <c r="T21" s="5">
        <f t="shared" si="4"/>
        <v>194</v>
      </c>
      <c r="U21" s="5">
        <f t="shared" si="4"/>
        <v>199</v>
      </c>
      <c r="V21" s="5">
        <f t="shared" si="4"/>
        <v>181</v>
      </c>
      <c r="W21" s="5">
        <f t="shared" si="4"/>
        <v>223</v>
      </c>
      <c r="X21" s="5">
        <f t="shared" si="4"/>
        <v>206</v>
      </c>
      <c r="Y21" s="5">
        <f t="shared" ref="Y21:AC21" si="6">SUM(Y19:Y20)</f>
        <v>191</v>
      </c>
      <c r="Z21" s="5">
        <f t="shared" si="6"/>
        <v>222</v>
      </c>
      <c r="AA21" s="5">
        <f t="shared" si="6"/>
        <v>177</v>
      </c>
      <c r="AB21" s="5">
        <f t="shared" si="6"/>
        <v>154</v>
      </c>
      <c r="AC21" s="5">
        <f t="shared" si="6"/>
        <v>172</v>
      </c>
      <c r="AD21" s="5">
        <f t="shared" si="4"/>
        <v>207</v>
      </c>
      <c r="AE21" s="5">
        <f t="shared" si="3"/>
        <v>5203</v>
      </c>
    </row>
    <row r="22" spans="1:31" x14ac:dyDescent="0.4">
      <c r="A22" s="12"/>
      <c r="B22" s="94" t="s">
        <v>30</v>
      </c>
      <c r="C22" s="95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>
        <v>2</v>
      </c>
      <c r="O22" s="6"/>
      <c r="P22" s="6">
        <v>1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5">
        <f t="shared" si="3"/>
        <v>3</v>
      </c>
    </row>
    <row r="23" spans="1:31" x14ac:dyDescent="0.4">
      <c r="A23" s="12"/>
      <c r="B23" s="89"/>
      <c r="C23" s="96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>
        <v>1</v>
      </c>
      <c r="O23" s="6">
        <v>1</v>
      </c>
      <c r="P23" s="6"/>
      <c r="Q23" s="6"/>
      <c r="R23" s="6"/>
      <c r="S23" s="6">
        <v>1</v>
      </c>
      <c r="T23" s="6"/>
      <c r="U23" s="6"/>
      <c r="V23" s="6">
        <v>1</v>
      </c>
      <c r="W23" s="6"/>
      <c r="X23" s="6"/>
      <c r="Y23" s="6"/>
      <c r="Z23" s="6"/>
      <c r="AA23" s="6"/>
      <c r="AB23" s="6"/>
      <c r="AC23" s="6"/>
      <c r="AD23" s="6"/>
      <c r="AE23" s="5">
        <f t="shared" si="3"/>
        <v>4</v>
      </c>
    </row>
    <row r="24" spans="1:31" x14ac:dyDescent="0.4">
      <c r="A24" s="13"/>
      <c r="B24" s="90"/>
      <c r="C24" s="97"/>
      <c r="D24" s="5" t="s">
        <v>25</v>
      </c>
      <c r="E24" s="5">
        <f t="shared" ref="E24:AD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si="7"/>
        <v>0</v>
      </c>
      <c r="M24" s="5">
        <f t="shared" si="7"/>
        <v>0</v>
      </c>
      <c r="N24" s="5">
        <f t="shared" si="7"/>
        <v>3</v>
      </c>
      <c r="O24" s="5">
        <f t="shared" ref="O24:S24" si="8">SUM(O22:O23)</f>
        <v>1</v>
      </c>
      <c r="P24" s="5">
        <f t="shared" si="8"/>
        <v>1</v>
      </c>
      <c r="Q24" s="5">
        <f t="shared" si="8"/>
        <v>0</v>
      </c>
      <c r="R24" s="5">
        <f t="shared" si="8"/>
        <v>0</v>
      </c>
      <c r="S24" s="5">
        <f t="shared" si="8"/>
        <v>1</v>
      </c>
      <c r="T24" s="5">
        <f t="shared" si="7"/>
        <v>0</v>
      </c>
      <c r="U24" s="5">
        <f t="shared" si="7"/>
        <v>0</v>
      </c>
      <c r="V24" s="5">
        <f t="shared" si="7"/>
        <v>1</v>
      </c>
      <c r="W24" s="5">
        <f t="shared" si="7"/>
        <v>0</v>
      </c>
      <c r="X24" s="5">
        <f t="shared" si="7"/>
        <v>0</v>
      </c>
      <c r="Y24" s="5">
        <f t="shared" ref="Y24:AC24" si="9">SUM(Y22:Y23)</f>
        <v>0</v>
      </c>
      <c r="Z24" s="5">
        <f t="shared" si="9"/>
        <v>0</v>
      </c>
      <c r="AA24" s="5">
        <f t="shared" si="9"/>
        <v>0</v>
      </c>
      <c r="AB24" s="5">
        <f t="shared" si="9"/>
        <v>0</v>
      </c>
      <c r="AC24" s="5">
        <f t="shared" si="9"/>
        <v>0</v>
      </c>
      <c r="AD24" s="5">
        <f t="shared" si="7"/>
        <v>0</v>
      </c>
      <c r="AE24" s="5">
        <f t="shared" si="3"/>
        <v>7</v>
      </c>
    </row>
    <row r="25" spans="1:31" x14ac:dyDescent="0.4">
      <c r="A25" s="12"/>
      <c r="B25" s="94" t="s">
        <v>32</v>
      </c>
      <c r="C25" s="95" t="s">
        <v>33</v>
      </c>
      <c r="D25" s="6" t="s">
        <v>23</v>
      </c>
      <c r="E25" s="6">
        <v>1</v>
      </c>
      <c r="F25" s="6"/>
      <c r="G25" s="6"/>
      <c r="H25" s="6"/>
      <c r="I25" s="6">
        <v>2</v>
      </c>
      <c r="J25" s="6"/>
      <c r="K25" s="6"/>
      <c r="L25" s="6"/>
      <c r="M25" s="6"/>
      <c r="N25" s="6"/>
      <c r="O25" s="6"/>
      <c r="P25" s="6"/>
      <c r="Q25" s="6"/>
      <c r="R25" s="6">
        <v>1</v>
      </c>
      <c r="S25" s="6"/>
      <c r="T25" s="6"/>
      <c r="U25" s="6"/>
      <c r="V25" s="6">
        <v>2</v>
      </c>
      <c r="W25" s="6">
        <v>1</v>
      </c>
      <c r="X25" s="6"/>
      <c r="Y25" s="6"/>
      <c r="Z25" s="6"/>
      <c r="AA25" s="6"/>
      <c r="AB25" s="6"/>
      <c r="AC25" s="6"/>
      <c r="AD25" s="6"/>
      <c r="AE25" s="5">
        <f t="shared" si="3"/>
        <v>7</v>
      </c>
    </row>
    <row r="26" spans="1:31" x14ac:dyDescent="0.4">
      <c r="A26" s="12"/>
      <c r="B26" s="89"/>
      <c r="C26" s="96"/>
      <c r="D26" s="6" t="s">
        <v>24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</v>
      </c>
      <c r="Q26" s="6"/>
      <c r="R26" s="6"/>
      <c r="S26" s="6"/>
      <c r="T26" s="6"/>
      <c r="U26" s="6"/>
      <c r="V26" s="6">
        <v>1</v>
      </c>
      <c r="W26" s="6">
        <v>1</v>
      </c>
      <c r="X26" s="6">
        <v>4</v>
      </c>
      <c r="Y26" s="6"/>
      <c r="Z26" s="6"/>
      <c r="AA26" s="6"/>
      <c r="AB26" s="6"/>
      <c r="AC26" s="6"/>
      <c r="AD26" s="6"/>
      <c r="AE26" s="5">
        <f t="shared" si="3"/>
        <v>7</v>
      </c>
    </row>
    <row r="27" spans="1:31" x14ac:dyDescent="0.4">
      <c r="A27" s="13"/>
      <c r="B27" s="90"/>
      <c r="C27" s="97"/>
      <c r="D27" s="5" t="s">
        <v>25</v>
      </c>
      <c r="E27" s="5">
        <f t="shared" ref="E27:AD27" si="10">SUM(E25:E26)</f>
        <v>1</v>
      </c>
      <c r="F27" s="5">
        <f t="shared" si="10"/>
        <v>0</v>
      </c>
      <c r="G27" s="5">
        <f t="shared" si="10"/>
        <v>0</v>
      </c>
      <c r="H27" s="5">
        <f t="shared" si="10"/>
        <v>0</v>
      </c>
      <c r="I27" s="5">
        <f t="shared" si="10"/>
        <v>2</v>
      </c>
      <c r="J27" s="5">
        <f t="shared" si="10"/>
        <v>0</v>
      </c>
      <c r="K27" s="5">
        <f t="shared" si="10"/>
        <v>0</v>
      </c>
      <c r="L27" s="5">
        <f t="shared" si="10"/>
        <v>0</v>
      </c>
      <c r="M27" s="5">
        <f t="shared" si="10"/>
        <v>0</v>
      </c>
      <c r="N27" s="5">
        <f t="shared" si="10"/>
        <v>0</v>
      </c>
      <c r="O27" s="5">
        <f t="shared" ref="O27:S27" si="11">SUM(O25:O26)</f>
        <v>0</v>
      </c>
      <c r="P27" s="5">
        <f t="shared" si="11"/>
        <v>1</v>
      </c>
      <c r="Q27" s="5">
        <f t="shared" si="11"/>
        <v>0</v>
      </c>
      <c r="R27" s="5">
        <f t="shared" si="11"/>
        <v>1</v>
      </c>
      <c r="S27" s="5">
        <f t="shared" si="11"/>
        <v>0</v>
      </c>
      <c r="T27" s="5">
        <f t="shared" si="10"/>
        <v>0</v>
      </c>
      <c r="U27" s="5">
        <f t="shared" si="10"/>
        <v>0</v>
      </c>
      <c r="V27" s="5">
        <f t="shared" si="10"/>
        <v>3</v>
      </c>
      <c r="W27" s="5">
        <f t="shared" si="10"/>
        <v>2</v>
      </c>
      <c r="X27" s="5">
        <f t="shared" si="10"/>
        <v>4</v>
      </c>
      <c r="Y27" s="5">
        <f t="shared" ref="Y27:AC27" si="12">SUM(Y25:Y26)</f>
        <v>0</v>
      </c>
      <c r="Z27" s="5">
        <f t="shared" si="12"/>
        <v>0</v>
      </c>
      <c r="AA27" s="5">
        <f t="shared" si="12"/>
        <v>0</v>
      </c>
      <c r="AB27" s="5">
        <f t="shared" si="12"/>
        <v>0</v>
      </c>
      <c r="AC27" s="5">
        <f t="shared" si="12"/>
        <v>0</v>
      </c>
      <c r="AD27" s="5">
        <f t="shared" si="10"/>
        <v>0</v>
      </c>
      <c r="AE27" s="5">
        <f t="shared" si="3"/>
        <v>14</v>
      </c>
    </row>
    <row r="28" spans="1:31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106</v>
      </c>
      <c r="F28" s="5">
        <f t="shared" ref="F28:AD29" si="13">SUM(F19,F22,F25)</f>
        <v>100</v>
      </c>
      <c r="G28" s="5">
        <f t="shared" si="13"/>
        <v>94</v>
      </c>
      <c r="H28" s="5">
        <f t="shared" si="13"/>
        <v>91</v>
      </c>
      <c r="I28" s="5">
        <f t="shared" si="13"/>
        <v>106</v>
      </c>
      <c r="J28" s="5">
        <f t="shared" si="13"/>
        <v>118</v>
      </c>
      <c r="K28" s="5">
        <f t="shared" si="13"/>
        <v>109</v>
      </c>
      <c r="L28" s="5">
        <f t="shared" si="13"/>
        <v>115</v>
      </c>
      <c r="M28" s="5">
        <f t="shared" si="13"/>
        <v>105</v>
      </c>
      <c r="N28" s="5">
        <f t="shared" si="13"/>
        <v>109</v>
      </c>
      <c r="O28" s="5">
        <f t="shared" ref="O28:S28" si="14">SUM(O19,O22,O25)</f>
        <v>87</v>
      </c>
      <c r="P28" s="5">
        <f t="shared" si="14"/>
        <v>98</v>
      </c>
      <c r="Q28" s="5">
        <f t="shared" si="14"/>
        <v>90</v>
      </c>
      <c r="R28" s="5">
        <f t="shared" si="14"/>
        <v>69</v>
      </c>
      <c r="S28" s="5">
        <f t="shared" si="14"/>
        <v>113</v>
      </c>
      <c r="T28" s="5">
        <f t="shared" si="13"/>
        <v>89</v>
      </c>
      <c r="U28" s="5">
        <f t="shared" si="13"/>
        <v>87</v>
      </c>
      <c r="V28" s="5">
        <f t="shared" si="13"/>
        <v>97</v>
      </c>
      <c r="W28" s="5">
        <f t="shared" si="13"/>
        <v>114</v>
      </c>
      <c r="X28" s="5">
        <f t="shared" si="13"/>
        <v>101</v>
      </c>
      <c r="Y28" s="5">
        <f t="shared" ref="Y28:AC28" si="15">SUM(Y19,Y22,Y25)</f>
        <v>87</v>
      </c>
      <c r="Z28" s="5">
        <f t="shared" si="15"/>
        <v>96</v>
      </c>
      <c r="AA28" s="5">
        <f t="shared" si="15"/>
        <v>77</v>
      </c>
      <c r="AB28" s="5">
        <f t="shared" si="15"/>
        <v>76</v>
      </c>
      <c r="AC28" s="5">
        <f t="shared" si="15"/>
        <v>80</v>
      </c>
      <c r="AD28" s="5">
        <f t="shared" si="13"/>
        <v>95</v>
      </c>
      <c r="AE28" s="5">
        <f t="shared" si="3"/>
        <v>2509</v>
      </c>
    </row>
    <row r="29" spans="1:31" x14ac:dyDescent="0.4">
      <c r="A29" s="13"/>
      <c r="B29" s="89"/>
      <c r="C29" s="96"/>
      <c r="D29" s="5" t="s">
        <v>24</v>
      </c>
      <c r="E29" s="5">
        <f>SUM(E20,E23,E26)</f>
        <v>101</v>
      </c>
      <c r="F29" s="5">
        <f t="shared" si="13"/>
        <v>100</v>
      </c>
      <c r="G29" s="5">
        <f t="shared" si="13"/>
        <v>107</v>
      </c>
      <c r="H29" s="5">
        <f t="shared" si="13"/>
        <v>93</v>
      </c>
      <c r="I29" s="5">
        <f t="shared" si="13"/>
        <v>104</v>
      </c>
      <c r="J29" s="5">
        <f t="shared" si="13"/>
        <v>112</v>
      </c>
      <c r="K29" s="5">
        <f t="shared" si="13"/>
        <v>115</v>
      </c>
      <c r="L29" s="5">
        <f t="shared" si="13"/>
        <v>114</v>
      </c>
      <c r="M29" s="5">
        <f t="shared" si="13"/>
        <v>118</v>
      </c>
      <c r="N29" s="5">
        <f t="shared" si="13"/>
        <v>120</v>
      </c>
      <c r="O29" s="5">
        <f t="shared" ref="O29:S29" si="16">SUM(O20,O23,O26)</f>
        <v>90</v>
      </c>
      <c r="P29" s="5">
        <f t="shared" si="16"/>
        <v>117</v>
      </c>
      <c r="Q29" s="5">
        <f t="shared" si="16"/>
        <v>93</v>
      </c>
      <c r="R29" s="5">
        <f t="shared" si="16"/>
        <v>86</v>
      </c>
      <c r="S29" s="5">
        <f t="shared" si="16"/>
        <v>108</v>
      </c>
      <c r="T29" s="5">
        <f t="shared" si="13"/>
        <v>105</v>
      </c>
      <c r="U29" s="5">
        <f t="shared" si="13"/>
        <v>112</v>
      </c>
      <c r="V29" s="5">
        <f t="shared" si="13"/>
        <v>88</v>
      </c>
      <c r="W29" s="5">
        <f t="shared" si="13"/>
        <v>111</v>
      </c>
      <c r="X29" s="5">
        <f t="shared" si="13"/>
        <v>109</v>
      </c>
      <c r="Y29" s="5">
        <f t="shared" ref="Y29:AC29" si="17">SUM(Y20,Y23,Y26)</f>
        <v>104</v>
      </c>
      <c r="Z29" s="5">
        <f t="shared" si="17"/>
        <v>126</v>
      </c>
      <c r="AA29" s="5">
        <f t="shared" si="17"/>
        <v>100</v>
      </c>
      <c r="AB29" s="5">
        <f t="shared" si="17"/>
        <v>78</v>
      </c>
      <c r="AC29" s="5">
        <f t="shared" si="17"/>
        <v>92</v>
      </c>
      <c r="AD29" s="5">
        <f t="shared" si="13"/>
        <v>112</v>
      </c>
      <c r="AE29" s="5">
        <f t="shared" si="3"/>
        <v>2715</v>
      </c>
    </row>
    <row r="30" spans="1:31" x14ac:dyDescent="0.4">
      <c r="A30" s="13"/>
      <c r="B30" s="90"/>
      <c r="C30" s="97"/>
      <c r="D30" s="5" t="s">
        <v>25</v>
      </c>
      <c r="E30" s="5">
        <f t="shared" ref="E30:AD30" si="18">SUM(E28:E29)</f>
        <v>207</v>
      </c>
      <c r="F30" s="5">
        <f t="shared" si="18"/>
        <v>200</v>
      </c>
      <c r="G30" s="5">
        <f t="shared" si="18"/>
        <v>201</v>
      </c>
      <c r="H30" s="5">
        <f t="shared" si="18"/>
        <v>184</v>
      </c>
      <c r="I30" s="5">
        <f t="shared" si="18"/>
        <v>210</v>
      </c>
      <c r="J30" s="5">
        <f t="shared" si="18"/>
        <v>230</v>
      </c>
      <c r="K30" s="5">
        <f t="shared" si="18"/>
        <v>224</v>
      </c>
      <c r="L30" s="5">
        <f t="shared" si="18"/>
        <v>229</v>
      </c>
      <c r="M30" s="5">
        <f t="shared" si="18"/>
        <v>223</v>
      </c>
      <c r="N30" s="5">
        <f t="shared" si="18"/>
        <v>229</v>
      </c>
      <c r="O30" s="5">
        <f t="shared" ref="O30:S30" si="19">SUM(O28:O29)</f>
        <v>177</v>
      </c>
      <c r="P30" s="5">
        <f t="shared" si="19"/>
        <v>215</v>
      </c>
      <c r="Q30" s="5">
        <f t="shared" si="19"/>
        <v>183</v>
      </c>
      <c r="R30" s="5">
        <f t="shared" si="19"/>
        <v>155</v>
      </c>
      <c r="S30" s="5">
        <f t="shared" si="19"/>
        <v>221</v>
      </c>
      <c r="T30" s="5">
        <f t="shared" si="18"/>
        <v>194</v>
      </c>
      <c r="U30" s="5">
        <f t="shared" si="18"/>
        <v>199</v>
      </c>
      <c r="V30" s="5">
        <f t="shared" si="18"/>
        <v>185</v>
      </c>
      <c r="W30" s="5">
        <f t="shared" si="18"/>
        <v>225</v>
      </c>
      <c r="X30" s="5">
        <f t="shared" si="18"/>
        <v>210</v>
      </c>
      <c r="Y30" s="5">
        <f t="shared" ref="Y30:AC30" si="20">SUM(Y28:Y29)</f>
        <v>191</v>
      </c>
      <c r="Z30" s="5">
        <f t="shared" si="20"/>
        <v>222</v>
      </c>
      <c r="AA30" s="5">
        <f t="shared" si="20"/>
        <v>177</v>
      </c>
      <c r="AB30" s="5">
        <f t="shared" si="20"/>
        <v>154</v>
      </c>
      <c r="AC30" s="5">
        <f t="shared" si="20"/>
        <v>172</v>
      </c>
      <c r="AD30" s="5">
        <f t="shared" si="18"/>
        <v>207</v>
      </c>
      <c r="AE30" s="5">
        <f t="shared" si="3"/>
        <v>5224</v>
      </c>
    </row>
    <row r="31" spans="1:31" x14ac:dyDescent="0.4">
      <c r="A31" s="70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28"/>
    </row>
    <row r="32" spans="1:31" x14ac:dyDescent="0.4">
      <c r="A32" s="14" t="s">
        <v>36</v>
      </c>
      <c r="B32" s="75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28"/>
    </row>
    <row r="33" spans="1:31" x14ac:dyDescent="0.4">
      <c r="A33" s="6">
        <v>1</v>
      </c>
      <c r="B33" s="93" t="s">
        <v>38</v>
      </c>
      <c r="C33" s="83"/>
      <c r="D33" s="74"/>
      <c r="E33" s="6">
        <v>265</v>
      </c>
      <c r="F33" s="6">
        <v>249</v>
      </c>
      <c r="G33" s="6">
        <v>259</v>
      </c>
      <c r="H33" s="6">
        <v>231</v>
      </c>
      <c r="I33" s="6">
        <v>295</v>
      </c>
      <c r="J33" s="6">
        <v>306</v>
      </c>
      <c r="K33" s="6">
        <v>299</v>
      </c>
      <c r="L33" s="6">
        <v>302</v>
      </c>
      <c r="M33" s="6">
        <v>294</v>
      </c>
      <c r="N33" s="6">
        <v>303</v>
      </c>
      <c r="O33" s="6">
        <v>243</v>
      </c>
      <c r="P33" s="6">
        <v>258</v>
      </c>
      <c r="Q33" s="6">
        <v>244</v>
      </c>
      <c r="R33" s="6">
        <v>202</v>
      </c>
      <c r="S33" s="6">
        <v>274</v>
      </c>
      <c r="T33" s="6">
        <v>255</v>
      </c>
      <c r="U33" s="6">
        <v>278</v>
      </c>
      <c r="V33" s="6">
        <v>218</v>
      </c>
      <c r="W33" s="6">
        <v>285</v>
      </c>
      <c r="X33" s="6">
        <v>285</v>
      </c>
      <c r="Y33" s="6">
        <v>250</v>
      </c>
      <c r="Z33" s="6">
        <v>297</v>
      </c>
      <c r="AA33" s="6">
        <v>228</v>
      </c>
      <c r="AB33" s="6">
        <v>226</v>
      </c>
      <c r="AC33" s="6">
        <v>261</v>
      </c>
      <c r="AD33" s="6">
        <v>293</v>
      </c>
      <c r="AE33" s="5">
        <f>SUM(E33:AD33)</f>
        <v>6900</v>
      </c>
    </row>
    <row r="34" spans="1:31" x14ac:dyDescent="0.4">
      <c r="A34" s="6">
        <v>2</v>
      </c>
      <c r="B34" s="93" t="s">
        <v>39</v>
      </c>
      <c r="C34" s="83"/>
      <c r="D34" s="74"/>
      <c r="E34" s="5">
        <v>207</v>
      </c>
      <c r="F34" s="5">
        <v>200</v>
      </c>
      <c r="G34" s="5">
        <v>201</v>
      </c>
      <c r="H34" s="5">
        <v>184</v>
      </c>
      <c r="I34" s="5">
        <v>210</v>
      </c>
      <c r="J34" s="5">
        <v>230</v>
      </c>
      <c r="K34" s="5">
        <v>224</v>
      </c>
      <c r="L34" s="5">
        <v>229</v>
      </c>
      <c r="M34" s="5">
        <v>223</v>
      </c>
      <c r="N34" s="5">
        <v>229</v>
      </c>
      <c r="O34" s="5">
        <v>177</v>
      </c>
      <c r="P34" s="5">
        <v>215</v>
      </c>
      <c r="Q34" s="5">
        <v>183</v>
      </c>
      <c r="R34" s="5">
        <v>155</v>
      </c>
      <c r="S34" s="5">
        <v>221</v>
      </c>
      <c r="T34" s="5">
        <v>194</v>
      </c>
      <c r="U34" s="5">
        <v>199</v>
      </c>
      <c r="V34" s="5">
        <v>185</v>
      </c>
      <c r="W34" s="5">
        <v>225</v>
      </c>
      <c r="X34" s="5">
        <v>210</v>
      </c>
      <c r="Y34" s="5">
        <v>191</v>
      </c>
      <c r="Z34" s="5">
        <v>222</v>
      </c>
      <c r="AA34" s="5">
        <v>177</v>
      </c>
      <c r="AB34" s="5">
        <v>154</v>
      </c>
      <c r="AC34" s="5">
        <v>172</v>
      </c>
      <c r="AD34" s="5">
        <v>207</v>
      </c>
      <c r="AE34" s="5">
        <f>SUM(E34:AD34)</f>
        <v>5224</v>
      </c>
    </row>
    <row r="35" spans="1:31" x14ac:dyDescent="0.4">
      <c r="A35" s="6">
        <v>3</v>
      </c>
      <c r="B35" s="93" t="s">
        <v>40</v>
      </c>
      <c r="C35" s="83"/>
      <c r="D35" s="7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</v>
      </c>
      <c r="Q35" s="6"/>
      <c r="R35" s="6">
        <v>1</v>
      </c>
      <c r="S35" s="6">
        <v>1</v>
      </c>
      <c r="T35" s="6"/>
      <c r="U35" s="6"/>
      <c r="V35" s="6"/>
      <c r="W35" s="6"/>
      <c r="X35" s="6"/>
      <c r="Y35" s="6"/>
      <c r="Z35" s="6">
        <v>3</v>
      </c>
      <c r="AA35" s="6"/>
      <c r="AB35" s="6"/>
      <c r="AC35" s="6"/>
      <c r="AD35" s="6"/>
      <c r="AE35" s="5">
        <f>SUM(E35:AD35)</f>
        <v>6</v>
      </c>
    </row>
    <row r="36" spans="1:31" x14ac:dyDescent="0.4">
      <c r="A36" s="6">
        <v>4</v>
      </c>
      <c r="B36" s="93" t="s">
        <v>41</v>
      </c>
      <c r="C36" s="83"/>
      <c r="D36" s="74"/>
      <c r="E36" s="5">
        <f t="shared" ref="E36:AD36" si="21">E33-(E34+E35)</f>
        <v>58</v>
      </c>
      <c r="F36" s="5">
        <f t="shared" si="21"/>
        <v>49</v>
      </c>
      <c r="G36" s="5">
        <f t="shared" si="21"/>
        <v>58</v>
      </c>
      <c r="H36" s="5">
        <f t="shared" si="21"/>
        <v>47</v>
      </c>
      <c r="I36" s="5">
        <f t="shared" si="21"/>
        <v>85</v>
      </c>
      <c r="J36" s="5">
        <f t="shared" si="21"/>
        <v>76</v>
      </c>
      <c r="K36" s="5">
        <f t="shared" si="21"/>
        <v>75</v>
      </c>
      <c r="L36" s="5">
        <f t="shared" si="21"/>
        <v>73</v>
      </c>
      <c r="M36" s="5">
        <f t="shared" si="21"/>
        <v>71</v>
      </c>
      <c r="N36" s="5">
        <f t="shared" si="21"/>
        <v>74</v>
      </c>
      <c r="O36" s="5">
        <f t="shared" ref="O36:S36" si="22">O33-(O34+O35)</f>
        <v>66</v>
      </c>
      <c r="P36" s="5">
        <f t="shared" si="22"/>
        <v>42</v>
      </c>
      <c r="Q36" s="5">
        <f t="shared" si="22"/>
        <v>61</v>
      </c>
      <c r="R36" s="5">
        <f t="shared" si="22"/>
        <v>46</v>
      </c>
      <c r="S36" s="5">
        <f t="shared" si="22"/>
        <v>52</v>
      </c>
      <c r="T36" s="5">
        <f t="shared" si="21"/>
        <v>61</v>
      </c>
      <c r="U36" s="5">
        <f t="shared" si="21"/>
        <v>79</v>
      </c>
      <c r="V36" s="5">
        <f t="shared" si="21"/>
        <v>33</v>
      </c>
      <c r="W36" s="5">
        <f t="shared" si="21"/>
        <v>60</v>
      </c>
      <c r="X36" s="5">
        <f t="shared" si="21"/>
        <v>75</v>
      </c>
      <c r="Y36" s="5">
        <f t="shared" ref="Y36:AC36" si="23">Y33-(Y34+Y35)</f>
        <v>59</v>
      </c>
      <c r="Z36" s="5">
        <f t="shared" si="23"/>
        <v>72</v>
      </c>
      <c r="AA36" s="5">
        <f t="shared" si="23"/>
        <v>51</v>
      </c>
      <c r="AB36" s="5">
        <f t="shared" si="23"/>
        <v>72</v>
      </c>
      <c r="AC36" s="5">
        <f t="shared" si="23"/>
        <v>89</v>
      </c>
      <c r="AD36" s="5">
        <f t="shared" si="21"/>
        <v>86</v>
      </c>
      <c r="AE36" s="5">
        <f>SUM(E36:AD36)</f>
        <v>1670</v>
      </c>
    </row>
    <row r="37" spans="1:31" x14ac:dyDescent="0.4">
      <c r="A37" s="70"/>
      <c r="B37" s="83"/>
      <c r="C37" s="83"/>
      <c r="D37" s="83"/>
      <c r="E37" s="70"/>
      <c r="F37" s="91"/>
      <c r="G37" s="91"/>
      <c r="H37" s="91"/>
      <c r="I37" s="92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28"/>
    </row>
    <row r="38" spans="1:31" x14ac:dyDescent="0.4">
      <c r="A38" s="16" t="s">
        <v>42</v>
      </c>
      <c r="B38" s="75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28"/>
    </row>
    <row r="39" spans="1:31" x14ac:dyDescent="0.4">
      <c r="A39" s="11"/>
      <c r="B39" s="86" t="s">
        <v>44</v>
      </c>
      <c r="C39" s="79"/>
      <c r="D39" s="6" t="s">
        <v>23</v>
      </c>
      <c r="E39" s="6">
        <v>2</v>
      </c>
      <c r="F39" s="6"/>
      <c r="G39" s="6"/>
      <c r="H39" s="6"/>
      <c r="I39" s="6"/>
      <c r="J39" s="6">
        <v>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</v>
      </c>
      <c r="V39" s="6">
        <v>1</v>
      </c>
      <c r="W39" s="6"/>
      <c r="X39" s="6"/>
      <c r="Y39" s="6">
        <v>1</v>
      </c>
      <c r="Z39" s="6"/>
      <c r="AA39" s="6">
        <v>3</v>
      </c>
      <c r="AB39" s="6">
        <v>1</v>
      </c>
      <c r="AC39" s="6"/>
      <c r="AD39" s="6"/>
      <c r="AE39" s="5">
        <f>SUM(E39:AD39)</f>
        <v>10</v>
      </c>
    </row>
    <row r="40" spans="1:31" x14ac:dyDescent="0.4">
      <c r="A40" s="12"/>
      <c r="B40" s="88"/>
      <c r="C40" s="89"/>
      <c r="D40" s="6" t="s">
        <v>24</v>
      </c>
      <c r="E40" s="6">
        <v>2</v>
      </c>
      <c r="F40" s="6"/>
      <c r="G40" s="6"/>
      <c r="H40" s="6"/>
      <c r="I40" s="6">
        <v>1</v>
      </c>
      <c r="J40" s="6"/>
      <c r="K40" s="6"/>
      <c r="L40" s="6"/>
      <c r="M40" s="6"/>
      <c r="N40" s="6"/>
      <c r="O40" s="6"/>
      <c r="P40" s="6"/>
      <c r="Q40" s="6"/>
      <c r="R40" s="6">
        <v>2</v>
      </c>
      <c r="S40" s="6"/>
      <c r="T40" s="6"/>
      <c r="U40" s="6"/>
      <c r="V40" s="6"/>
      <c r="W40" s="6">
        <v>2</v>
      </c>
      <c r="X40" s="6"/>
      <c r="Y40" s="6">
        <v>1</v>
      </c>
      <c r="Z40" s="6">
        <v>1</v>
      </c>
      <c r="AA40" s="6">
        <v>2</v>
      </c>
      <c r="AB40" s="6">
        <v>3</v>
      </c>
      <c r="AC40" s="6"/>
      <c r="AD40" s="6"/>
      <c r="AE40" s="5">
        <f>SUM(E40:AD40)</f>
        <v>14</v>
      </c>
    </row>
    <row r="41" spans="1:31" x14ac:dyDescent="0.4">
      <c r="A41" s="14"/>
      <c r="B41" s="85"/>
      <c r="C41" s="90"/>
      <c r="D41" s="5" t="s">
        <v>25</v>
      </c>
      <c r="E41" s="5">
        <f t="shared" ref="E41:AD41" si="24">SUM(E39:E40)</f>
        <v>4</v>
      </c>
      <c r="F41" s="5">
        <f t="shared" si="24"/>
        <v>0</v>
      </c>
      <c r="G41" s="5">
        <f t="shared" si="24"/>
        <v>0</v>
      </c>
      <c r="H41" s="5">
        <f t="shared" si="24"/>
        <v>0</v>
      </c>
      <c r="I41" s="5">
        <f t="shared" si="24"/>
        <v>1</v>
      </c>
      <c r="J41" s="5">
        <f t="shared" si="24"/>
        <v>1</v>
      </c>
      <c r="K41" s="5">
        <f t="shared" si="24"/>
        <v>0</v>
      </c>
      <c r="L41" s="5">
        <f t="shared" si="24"/>
        <v>0</v>
      </c>
      <c r="M41" s="5">
        <f t="shared" si="24"/>
        <v>0</v>
      </c>
      <c r="N41" s="5">
        <f t="shared" si="24"/>
        <v>0</v>
      </c>
      <c r="O41" s="5">
        <f t="shared" ref="O41:S41" si="25">SUM(O39:O40)</f>
        <v>0</v>
      </c>
      <c r="P41" s="5">
        <f t="shared" si="25"/>
        <v>0</v>
      </c>
      <c r="Q41" s="5">
        <f t="shared" si="25"/>
        <v>0</v>
      </c>
      <c r="R41" s="5">
        <f t="shared" si="25"/>
        <v>2</v>
      </c>
      <c r="S41" s="5">
        <f t="shared" si="25"/>
        <v>0</v>
      </c>
      <c r="T41" s="5">
        <f t="shared" si="24"/>
        <v>0</v>
      </c>
      <c r="U41" s="5">
        <f t="shared" si="24"/>
        <v>1</v>
      </c>
      <c r="V41" s="5">
        <f t="shared" si="24"/>
        <v>1</v>
      </c>
      <c r="W41" s="5">
        <f t="shared" si="24"/>
        <v>2</v>
      </c>
      <c r="X41" s="5">
        <f t="shared" si="24"/>
        <v>0</v>
      </c>
      <c r="Y41" s="5">
        <f t="shared" ref="Y41:AC41" si="26">SUM(Y39:Y40)</f>
        <v>2</v>
      </c>
      <c r="Z41" s="5">
        <f t="shared" si="26"/>
        <v>1</v>
      </c>
      <c r="AA41" s="5">
        <f t="shared" si="26"/>
        <v>5</v>
      </c>
      <c r="AB41" s="5">
        <f t="shared" si="26"/>
        <v>4</v>
      </c>
      <c r="AC41" s="5">
        <f t="shared" si="26"/>
        <v>0</v>
      </c>
      <c r="AD41" s="5">
        <f t="shared" si="24"/>
        <v>0</v>
      </c>
      <c r="AE41" s="5">
        <f>SUM(E41:AD41)</f>
        <v>24</v>
      </c>
    </row>
    <row r="42" spans="1:31" x14ac:dyDescent="0.4">
      <c r="A42" s="84"/>
      <c r="B42" s="85"/>
      <c r="C42" s="85"/>
      <c r="D42" s="90"/>
      <c r="E42" s="70"/>
      <c r="F42" s="83"/>
      <c r="G42" s="83"/>
      <c r="H42" s="83"/>
      <c r="I42" s="74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5"/>
    </row>
    <row r="43" spans="1:31" ht="13.15" customHeight="1" x14ac:dyDescent="0.4">
      <c r="A43" s="16" t="s">
        <v>45</v>
      </c>
      <c r="B43" s="75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</row>
    <row r="44" spans="1:31" ht="13.15" customHeight="1" x14ac:dyDescent="0.4">
      <c r="A44" s="86" t="s">
        <v>47</v>
      </c>
      <c r="B44" s="87"/>
      <c r="C44" s="87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5"/>
    </row>
    <row r="45" spans="1:31" x14ac:dyDescent="0.4">
      <c r="A45" s="11" t="s">
        <v>48</v>
      </c>
      <c r="B45" s="17" t="s">
        <v>28</v>
      </c>
      <c r="C45" s="73" t="s">
        <v>49</v>
      </c>
      <c r="D45" s="74"/>
      <c r="E45" s="6">
        <v>4</v>
      </c>
      <c r="F45" s="6">
        <v>5</v>
      </c>
      <c r="G45" s="6">
        <v>5</v>
      </c>
      <c r="H45" s="6">
        <v>4</v>
      </c>
      <c r="I45" s="6">
        <v>9</v>
      </c>
      <c r="J45" s="6">
        <v>11</v>
      </c>
      <c r="K45" s="6">
        <v>4</v>
      </c>
      <c r="L45" s="6">
        <v>4</v>
      </c>
      <c r="M45" s="6">
        <v>7</v>
      </c>
      <c r="N45" s="6">
        <v>5</v>
      </c>
      <c r="O45" s="6">
        <v>4</v>
      </c>
      <c r="P45" s="6">
        <v>6</v>
      </c>
      <c r="Q45" s="6">
        <v>4</v>
      </c>
      <c r="R45" s="6">
        <v>2</v>
      </c>
      <c r="S45" s="6">
        <v>8</v>
      </c>
      <c r="T45" s="6">
        <v>6</v>
      </c>
      <c r="U45" s="6">
        <v>4</v>
      </c>
      <c r="V45" s="6">
        <v>1</v>
      </c>
      <c r="W45" s="6">
        <v>7</v>
      </c>
      <c r="X45" s="6">
        <v>6</v>
      </c>
      <c r="Y45" s="6">
        <v>10</v>
      </c>
      <c r="Z45" s="6">
        <v>2</v>
      </c>
      <c r="AA45" s="6">
        <v>10</v>
      </c>
      <c r="AB45" s="6">
        <v>2</v>
      </c>
      <c r="AC45" s="6">
        <v>3</v>
      </c>
      <c r="AD45" s="6">
        <v>5</v>
      </c>
      <c r="AE45" s="5">
        <f t="shared" ref="AE45:AE54" si="27">SUM(E45:AD45)</f>
        <v>138</v>
      </c>
    </row>
    <row r="46" spans="1:31" x14ac:dyDescent="0.4">
      <c r="A46" s="11" t="s">
        <v>50</v>
      </c>
      <c r="B46" s="51"/>
      <c r="C46" s="24" t="s">
        <v>122</v>
      </c>
      <c r="D46" s="24"/>
      <c r="E46" s="6">
        <v>7</v>
      </c>
      <c r="F46" s="6">
        <v>15</v>
      </c>
      <c r="G46" s="6">
        <v>31</v>
      </c>
      <c r="H46" s="6">
        <v>5</v>
      </c>
      <c r="I46" s="6">
        <v>16</v>
      </c>
      <c r="J46" s="6">
        <v>5</v>
      </c>
      <c r="K46" s="6">
        <v>7</v>
      </c>
      <c r="L46" s="6">
        <v>17</v>
      </c>
      <c r="M46" s="6">
        <v>20</v>
      </c>
      <c r="N46" s="6">
        <v>24</v>
      </c>
      <c r="O46" s="6">
        <v>7</v>
      </c>
      <c r="P46" s="6">
        <v>14</v>
      </c>
      <c r="Q46" s="6">
        <v>9</v>
      </c>
      <c r="R46" s="6">
        <v>6</v>
      </c>
      <c r="S46" s="6">
        <v>16</v>
      </c>
      <c r="T46" s="6">
        <v>11</v>
      </c>
      <c r="U46" s="6">
        <v>7</v>
      </c>
      <c r="V46" s="6">
        <v>2</v>
      </c>
      <c r="W46" s="6">
        <v>15</v>
      </c>
      <c r="X46" s="6">
        <v>7</v>
      </c>
      <c r="Y46" s="6">
        <v>10</v>
      </c>
      <c r="Z46" s="6">
        <v>7</v>
      </c>
      <c r="AA46" s="6">
        <v>6</v>
      </c>
      <c r="AB46" s="6">
        <v>6</v>
      </c>
      <c r="AC46" s="6">
        <v>2</v>
      </c>
      <c r="AD46" s="6">
        <v>16</v>
      </c>
      <c r="AE46" s="5">
        <f t="shared" si="27"/>
        <v>288</v>
      </c>
    </row>
    <row r="47" spans="1:31" x14ac:dyDescent="0.4">
      <c r="A47" s="7"/>
      <c r="B47" s="52"/>
      <c r="C47" s="24" t="s">
        <v>123</v>
      </c>
      <c r="D47" s="24"/>
      <c r="E47" s="6">
        <v>1</v>
      </c>
      <c r="F47" s="6">
        <v>2</v>
      </c>
      <c r="G47" s="6">
        <v>4</v>
      </c>
      <c r="H47" s="6">
        <v>2</v>
      </c>
      <c r="I47" s="6">
        <v>3</v>
      </c>
      <c r="J47" s="6">
        <v>3</v>
      </c>
      <c r="K47" s="6">
        <v>0</v>
      </c>
      <c r="L47" s="6">
        <v>4</v>
      </c>
      <c r="M47" s="6">
        <v>6</v>
      </c>
      <c r="N47" s="6">
        <v>4</v>
      </c>
      <c r="O47" s="6">
        <v>0</v>
      </c>
      <c r="P47" s="6">
        <v>2</v>
      </c>
      <c r="Q47" s="6">
        <v>2</v>
      </c>
      <c r="R47" s="6">
        <v>1</v>
      </c>
      <c r="S47" s="6">
        <v>3</v>
      </c>
      <c r="T47" s="6">
        <v>1</v>
      </c>
      <c r="U47" s="6">
        <v>2</v>
      </c>
      <c r="V47" s="6">
        <v>2</v>
      </c>
      <c r="W47" s="6">
        <v>2</v>
      </c>
      <c r="X47" s="6">
        <v>4</v>
      </c>
      <c r="Y47" s="6">
        <v>1</v>
      </c>
      <c r="Z47" s="6">
        <v>4</v>
      </c>
      <c r="AA47" s="6">
        <v>0</v>
      </c>
      <c r="AB47" s="6">
        <v>0</v>
      </c>
      <c r="AC47" s="6">
        <v>1</v>
      </c>
      <c r="AD47" s="6">
        <v>5</v>
      </c>
      <c r="AE47" s="5">
        <f t="shared" si="27"/>
        <v>59</v>
      </c>
    </row>
    <row r="48" spans="1:31" x14ac:dyDescent="0.4">
      <c r="A48" s="7"/>
      <c r="B48" s="52"/>
      <c r="C48" s="24" t="s">
        <v>124</v>
      </c>
      <c r="D48" s="24"/>
      <c r="E48" s="6">
        <v>2</v>
      </c>
      <c r="F48" s="6">
        <v>0</v>
      </c>
      <c r="G48" s="6">
        <v>2</v>
      </c>
      <c r="H48" s="6">
        <v>1</v>
      </c>
      <c r="I48" s="6">
        <v>0</v>
      </c>
      <c r="J48" s="6">
        <v>0</v>
      </c>
      <c r="K48" s="6">
        <v>1</v>
      </c>
      <c r="L48" s="6">
        <v>0</v>
      </c>
      <c r="M48" s="6">
        <v>1</v>
      </c>
      <c r="N48" s="6">
        <v>2</v>
      </c>
      <c r="O48" s="6">
        <v>1</v>
      </c>
      <c r="P48" s="6">
        <v>0</v>
      </c>
      <c r="Q48" s="6">
        <v>2</v>
      </c>
      <c r="R48" s="6">
        <v>0</v>
      </c>
      <c r="S48" s="6">
        <v>0</v>
      </c>
      <c r="T48" s="6">
        <v>0</v>
      </c>
      <c r="U48" s="6">
        <v>1</v>
      </c>
      <c r="V48" s="6">
        <v>0</v>
      </c>
      <c r="W48" s="6">
        <v>3</v>
      </c>
      <c r="X48" s="6">
        <v>1</v>
      </c>
      <c r="Y48" s="6">
        <v>0</v>
      </c>
      <c r="Z48" s="6">
        <v>2</v>
      </c>
      <c r="AA48" s="6">
        <v>0</v>
      </c>
      <c r="AB48" s="6">
        <v>1</v>
      </c>
      <c r="AC48" s="6">
        <v>0</v>
      </c>
      <c r="AD48" s="6">
        <v>2</v>
      </c>
      <c r="AE48" s="5">
        <f t="shared" si="27"/>
        <v>22</v>
      </c>
    </row>
    <row r="49" spans="1:31" x14ac:dyDescent="0.4">
      <c r="A49" s="7"/>
      <c r="B49" s="52"/>
      <c r="C49" s="24" t="s">
        <v>125</v>
      </c>
      <c r="D49" s="24"/>
      <c r="E49" s="6">
        <v>0</v>
      </c>
      <c r="F49" s="6">
        <v>2</v>
      </c>
      <c r="G49" s="6">
        <v>5</v>
      </c>
      <c r="H49" s="6">
        <v>11</v>
      </c>
      <c r="I49" s="6">
        <v>3</v>
      </c>
      <c r="J49" s="6">
        <v>1</v>
      </c>
      <c r="K49" s="6">
        <v>0</v>
      </c>
      <c r="L49" s="6">
        <v>0</v>
      </c>
      <c r="M49" s="6">
        <v>2</v>
      </c>
      <c r="N49" s="6">
        <v>1</v>
      </c>
      <c r="O49" s="6">
        <v>1</v>
      </c>
      <c r="P49" s="6">
        <v>2</v>
      </c>
      <c r="Q49" s="6">
        <v>3</v>
      </c>
      <c r="R49" s="6">
        <v>0</v>
      </c>
      <c r="S49" s="6">
        <v>1</v>
      </c>
      <c r="T49" s="6">
        <v>3</v>
      </c>
      <c r="U49" s="6">
        <v>1</v>
      </c>
      <c r="V49" s="6">
        <v>0</v>
      </c>
      <c r="W49" s="6">
        <v>2</v>
      </c>
      <c r="X49" s="6">
        <v>0</v>
      </c>
      <c r="Y49" s="6">
        <v>2</v>
      </c>
      <c r="Z49" s="6">
        <v>3</v>
      </c>
      <c r="AA49" s="6">
        <v>1</v>
      </c>
      <c r="AB49" s="6">
        <v>0</v>
      </c>
      <c r="AC49" s="6">
        <v>3</v>
      </c>
      <c r="AD49" s="6">
        <v>1</v>
      </c>
      <c r="AE49" s="5">
        <f t="shared" si="27"/>
        <v>48</v>
      </c>
    </row>
    <row r="50" spans="1:31" x14ac:dyDescent="0.4">
      <c r="A50" s="7"/>
      <c r="B50" s="52"/>
      <c r="C50" s="24" t="s">
        <v>126</v>
      </c>
      <c r="D50" s="24"/>
      <c r="E50" s="6">
        <v>0</v>
      </c>
      <c r="F50" s="6">
        <v>1</v>
      </c>
      <c r="G50" s="6">
        <v>1</v>
      </c>
      <c r="H50" s="6">
        <v>0</v>
      </c>
      <c r="I50" s="6">
        <v>0</v>
      </c>
      <c r="J50" s="6">
        <v>1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6">
        <v>3</v>
      </c>
      <c r="X50" s="6">
        <v>1</v>
      </c>
      <c r="Y50" s="6">
        <v>1</v>
      </c>
      <c r="Z50" s="6">
        <v>0</v>
      </c>
      <c r="AA50" s="6">
        <v>0</v>
      </c>
      <c r="AB50" s="6">
        <v>1</v>
      </c>
      <c r="AC50" s="6">
        <v>0</v>
      </c>
      <c r="AD50" s="6">
        <v>1</v>
      </c>
      <c r="AE50" s="5">
        <f t="shared" si="27"/>
        <v>12</v>
      </c>
    </row>
    <row r="51" spans="1:31" x14ac:dyDescent="0.4">
      <c r="A51" s="7"/>
      <c r="B51" s="52"/>
      <c r="C51" s="24" t="s">
        <v>127</v>
      </c>
      <c r="D51" s="24"/>
      <c r="E51" s="6">
        <v>2</v>
      </c>
      <c r="F51" s="6">
        <v>1</v>
      </c>
      <c r="G51" s="6">
        <v>1</v>
      </c>
      <c r="H51" s="6">
        <v>0</v>
      </c>
      <c r="I51" s="6">
        <v>0</v>
      </c>
      <c r="J51" s="6">
        <v>3</v>
      </c>
      <c r="K51" s="6">
        <v>0</v>
      </c>
      <c r="L51" s="6">
        <v>0</v>
      </c>
      <c r="M51" s="6">
        <v>1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0</v>
      </c>
      <c r="W51" s="6">
        <v>0</v>
      </c>
      <c r="X51" s="6">
        <v>1</v>
      </c>
      <c r="Y51" s="6">
        <v>0</v>
      </c>
      <c r="Z51" s="6">
        <v>1</v>
      </c>
      <c r="AA51" s="6">
        <v>0</v>
      </c>
      <c r="AB51" s="6">
        <v>0</v>
      </c>
      <c r="AC51" s="6">
        <v>0</v>
      </c>
      <c r="AD51" s="6">
        <v>0</v>
      </c>
      <c r="AE51" s="5">
        <f t="shared" si="27"/>
        <v>13</v>
      </c>
    </row>
    <row r="52" spans="1:31" ht="13.15" customHeight="1" x14ac:dyDescent="0.4">
      <c r="A52" s="7"/>
      <c r="B52" s="52"/>
      <c r="C52" s="24" t="s">
        <v>128</v>
      </c>
      <c r="D52" s="24"/>
      <c r="E52" s="6">
        <v>1</v>
      </c>
      <c r="F52" s="6">
        <v>1</v>
      </c>
      <c r="G52" s="6">
        <v>0</v>
      </c>
      <c r="H52" s="6">
        <v>0</v>
      </c>
      <c r="I52" s="6">
        <v>2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1</v>
      </c>
      <c r="V52" s="6">
        <v>0</v>
      </c>
      <c r="W52" s="6">
        <v>1</v>
      </c>
      <c r="X52" s="6">
        <v>3</v>
      </c>
      <c r="Y52" s="6">
        <v>0</v>
      </c>
      <c r="Z52" s="6">
        <v>0</v>
      </c>
      <c r="AA52" s="6">
        <v>1</v>
      </c>
      <c r="AB52" s="6">
        <v>0</v>
      </c>
      <c r="AC52" s="6">
        <v>1</v>
      </c>
      <c r="AD52" s="6">
        <v>4</v>
      </c>
      <c r="AE52" s="5">
        <f t="shared" si="27"/>
        <v>15</v>
      </c>
    </row>
    <row r="53" spans="1:31" ht="13.15" customHeight="1" x14ac:dyDescent="0.4">
      <c r="A53" s="7"/>
      <c r="B53" s="52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5">
        <f t="shared" si="27"/>
        <v>2</v>
      </c>
    </row>
    <row r="54" spans="1:31" ht="13.15" customHeight="1" x14ac:dyDescent="0.4">
      <c r="A54" s="7"/>
      <c r="B54" s="52"/>
      <c r="C54" s="24" t="s">
        <v>130</v>
      </c>
      <c r="D54" s="24"/>
      <c r="E54" s="6">
        <v>0</v>
      </c>
      <c r="F54" s="6">
        <v>1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2</v>
      </c>
      <c r="M54" s="6">
        <v>0</v>
      </c>
      <c r="N54" s="6">
        <v>2</v>
      </c>
      <c r="O54" s="6">
        <v>0</v>
      </c>
      <c r="P54" s="6">
        <v>0</v>
      </c>
      <c r="Q54" s="6">
        <v>1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2</v>
      </c>
      <c r="AC54" s="6">
        <v>0</v>
      </c>
      <c r="AD54" s="6">
        <v>2</v>
      </c>
      <c r="AE54" s="5">
        <f t="shared" si="27"/>
        <v>11</v>
      </c>
    </row>
    <row r="55" spans="1:31" x14ac:dyDescent="0.4">
      <c r="A55" s="6" t="s">
        <v>26</v>
      </c>
      <c r="B55" s="67" t="s">
        <v>51</v>
      </c>
      <c r="C55" s="83"/>
      <c r="D55" s="74"/>
      <c r="E55" s="5">
        <f>SUM(E45:E54)</f>
        <v>17</v>
      </c>
      <c r="F55" s="5">
        <f t="shared" ref="F55:AE55" si="28">SUM(F45:F54)</f>
        <v>28</v>
      </c>
      <c r="G55" s="5">
        <f t="shared" si="28"/>
        <v>50</v>
      </c>
      <c r="H55" s="5">
        <f t="shared" si="28"/>
        <v>23</v>
      </c>
      <c r="I55" s="5">
        <f t="shared" si="28"/>
        <v>33</v>
      </c>
      <c r="J55" s="5">
        <f t="shared" si="28"/>
        <v>24</v>
      </c>
      <c r="K55" s="5">
        <f t="shared" si="28"/>
        <v>12</v>
      </c>
      <c r="L55" s="5">
        <f t="shared" si="28"/>
        <v>27</v>
      </c>
      <c r="M55" s="5">
        <f t="shared" si="28"/>
        <v>37</v>
      </c>
      <c r="N55" s="5">
        <f t="shared" si="28"/>
        <v>39</v>
      </c>
      <c r="O55" s="5">
        <f t="shared" si="28"/>
        <v>15</v>
      </c>
      <c r="P55" s="5">
        <f t="shared" si="28"/>
        <v>24</v>
      </c>
      <c r="Q55" s="5">
        <f t="shared" si="28"/>
        <v>21</v>
      </c>
      <c r="R55" s="5">
        <f t="shared" si="28"/>
        <v>9</v>
      </c>
      <c r="S55" s="5">
        <f t="shared" si="28"/>
        <v>29</v>
      </c>
      <c r="T55" s="5">
        <f t="shared" si="28"/>
        <v>22</v>
      </c>
      <c r="U55" s="5">
        <f t="shared" si="28"/>
        <v>17</v>
      </c>
      <c r="V55" s="5">
        <f t="shared" si="28"/>
        <v>5</v>
      </c>
      <c r="W55" s="5">
        <f t="shared" si="28"/>
        <v>33</v>
      </c>
      <c r="X55" s="5">
        <f t="shared" si="28"/>
        <v>24</v>
      </c>
      <c r="Y55" s="5">
        <f t="shared" si="28"/>
        <v>24</v>
      </c>
      <c r="Z55" s="5">
        <f t="shared" si="28"/>
        <v>19</v>
      </c>
      <c r="AA55" s="5">
        <f t="shared" si="28"/>
        <v>18</v>
      </c>
      <c r="AB55" s="5">
        <f t="shared" si="28"/>
        <v>12</v>
      </c>
      <c r="AC55" s="5">
        <f t="shared" si="28"/>
        <v>10</v>
      </c>
      <c r="AD55" s="5">
        <f t="shared" si="28"/>
        <v>36</v>
      </c>
      <c r="AE55" s="5">
        <f t="shared" si="28"/>
        <v>608</v>
      </c>
    </row>
    <row r="56" spans="1:31" x14ac:dyDescent="0.4">
      <c r="A56" s="84"/>
      <c r="B56" s="85"/>
      <c r="C56" s="85"/>
      <c r="D56" s="85"/>
      <c r="E56" s="85"/>
      <c r="AE56" s="5"/>
    </row>
    <row r="57" spans="1:31" x14ac:dyDescent="0.4">
      <c r="A57" s="11" t="s">
        <v>48</v>
      </c>
      <c r="B57" s="17" t="s">
        <v>30</v>
      </c>
      <c r="C57" s="73" t="s">
        <v>52</v>
      </c>
      <c r="D57" s="74"/>
      <c r="E57" s="6">
        <v>9</v>
      </c>
      <c r="F57" s="6">
        <v>6</v>
      </c>
      <c r="G57" s="6">
        <v>9</v>
      </c>
      <c r="H57" s="6">
        <v>9</v>
      </c>
      <c r="I57" s="6">
        <v>8</v>
      </c>
      <c r="J57" s="6">
        <v>15</v>
      </c>
      <c r="K57" s="6">
        <v>14</v>
      </c>
      <c r="L57" s="6">
        <v>9</v>
      </c>
      <c r="M57" s="6">
        <v>6</v>
      </c>
      <c r="N57" s="6">
        <v>11</v>
      </c>
      <c r="O57" s="6">
        <v>12</v>
      </c>
      <c r="P57" s="6">
        <v>4</v>
      </c>
      <c r="Q57" s="6">
        <v>5</v>
      </c>
      <c r="R57" s="6">
        <v>1</v>
      </c>
      <c r="S57" s="6">
        <v>6</v>
      </c>
      <c r="T57" s="6">
        <v>8</v>
      </c>
      <c r="U57" s="6">
        <v>10</v>
      </c>
      <c r="V57" s="6">
        <v>5</v>
      </c>
      <c r="W57" s="6">
        <v>4</v>
      </c>
      <c r="X57" s="6">
        <v>7</v>
      </c>
      <c r="Y57" s="6">
        <v>6</v>
      </c>
      <c r="Z57" s="6">
        <v>11</v>
      </c>
      <c r="AA57" s="6">
        <v>4</v>
      </c>
      <c r="AB57" s="6">
        <v>7</v>
      </c>
      <c r="AC57" s="6">
        <v>11</v>
      </c>
      <c r="AD57" s="6">
        <v>10</v>
      </c>
      <c r="AE57" s="5">
        <f t="shared" ref="AE57:AE66" si="29">SUM(E57:AD57)</f>
        <v>207</v>
      </c>
    </row>
    <row r="58" spans="1:31" x14ac:dyDescent="0.4">
      <c r="A58" s="11" t="s">
        <v>50</v>
      </c>
      <c r="B58" s="52"/>
      <c r="C58" s="24" t="s">
        <v>131</v>
      </c>
      <c r="D58" s="53"/>
      <c r="E58" s="6">
        <v>7</v>
      </c>
      <c r="F58" s="6">
        <v>3</v>
      </c>
      <c r="G58" s="6">
        <v>24</v>
      </c>
      <c r="H58" s="6">
        <v>7</v>
      </c>
      <c r="I58" s="6">
        <v>11</v>
      </c>
      <c r="J58" s="6">
        <v>3</v>
      </c>
      <c r="K58" s="6">
        <v>8</v>
      </c>
      <c r="L58" s="6">
        <v>31</v>
      </c>
      <c r="M58" s="6">
        <v>35</v>
      </c>
      <c r="N58" s="6">
        <v>8</v>
      </c>
      <c r="O58" s="6">
        <v>42</v>
      </c>
      <c r="P58" s="6">
        <v>2</v>
      </c>
      <c r="Q58" s="6">
        <v>36</v>
      </c>
      <c r="R58" s="6">
        <v>9</v>
      </c>
      <c r="S58" s="6">
        <v>81</v>
      </c>
      <c r="T58" s="6">
        <v>69</v>
      </c>
      <c r="U58" s="6">
        <v>30</v>
      </c>
      <c r="V58" s="6">
        <v>27</v>
      </c>
      <c r="W58" s="6">
        <v>19</v>
      </c>
      <c r="X58" s="6">
        <v>19</v>
      </c>
      <c r="Y58" s="6">
        <v>6</v>
      </c>
      <c r="Z58" s="6">
        <v>7</v>
      </c>
      <c r="AA58" s="6">
        <v>7</v>
      </c>
      <c r="AB58" s="6">
        <v>2</v>
      </c>
      <c r="AC58" s="6">
        <v>28</v>
      </c>
      <c r="AD58" s="6">
        <v>14</v>
      </c>
      <c r="AE58" s="5">
        <f t="shared" si="29"/>
        <v>535</v>
      </c>
    </row>
    <row r="59" spans="1:31" x14ac:dyDescent="0.4">
      <c r="A59" s="7"/>
      <c r="B59" s="52"/>
      <c r="C59" s="24" t="s">
        <v>132</v>
      </c>
      <c r="D59" s="53"/>
      <c r="E59" s="6">
        <v>3</v>
      </c>
      <c r="F59" s="6">
        <v>0</v>
      </c>
      <c r="G59" s="6">
        <v>2</v>
      </c>
      <c r="H59" s="6">
        <v>2</v>
      </c>
      <c r="I59" s="6">
        <v>2</v>
      </c>
      <c r="J59" s="6">
        <v>5</v>
      </c>
      <c r="K59" s="6">
        <v>3</v>
      </c>
      <c r="L59" s="6">
        <v>4</v>
      </c>
      <c r="M59" s="6">
        <v>6</v>
      </c>
      <c r="N59" s="6">
        <v>5</v>
      </c>
      <c r="O59" s="6">
        <v>4</v>
      </c>
      <c r="P59" s="6">
        <v>0</v>
      </c>
      <c r="Q59" s="6">
        <v>0</v>
      </c>
      <c r="R59" s="6">
        <v>0</v>
      </c>
      <c r="S59" s="6">
        <v>1</v>
      </c>
      <c r="T59" s="6">
        <v>3</v>
      </c>
      <c r="U59" s="6">
        <v>2</v>
      </c>
      <c r="V59" s="6">
        <v>3</v>
      </c>
      <c r="W59" s="6">
        <v>3</v>
      </c>
      <c r="X59" s="6">
        <v>7</v>
      </c>
      <c r="Y59" s="6">
        <v>0</v>
      </c>
      <c r="Z59" s="6">
        <v>2</v>
      </c>
      <c r="AA59" s="6">
        <v>2</v>
      </c>
      <c r="AB59" s="6">
        <v>2</v>
      </c>
      <c r="AC59" s="6">
        <v>7</v>
      </c>
      <c r="AD59" s="6">
        <v>6</v>
      </c>
      <c r="AE59" s="5">
        <f t="shared" si="29"/>
        <v>74</v>
      </c>
    </row>
    <row r="60" spans="1:31" x14ac:dyDescent="0.4">
      <c r="A60" s="7"/>
      <c r="B60" s="52"/>
      <c r="C60" s="24" t="s">
        <v>133</v>
      </c>
      <c r="D60" s="53"/>
      <c r="E60" s="6">
        <v>2</v>
      </c>
      <c r="F60" s="6">
        <v>0</v>
      </c>
      <c r="G60" s="6">
        <v>1</v>
      </c>
      <c r="H60" s="6">
        <v>3</v>
      </c>
      <c r="I60" s="6">
        <v>3</v>
      </c>
      <c r="J60" s="6">
        <v>4</v>
      </c>
      <c r="K60" s="6">
        <v>0</v>
      </c>
      <c r="L60" s="6">
        <v>0</v>
      </c>
      <c r="M60" s="6">
        <v>1</v>
      </c>
      <c r="N60" s="6">
        <v>3</v>
      </c>
      <c r="O60" s="6">
        <v>2</v>
      </c>
      <c r="P60" s="6">
        <v>0</v>
      </c>
      <c r="Q60" s="6">
        <v>0</v>
      </c>
      <c r="R60" s="6">
        <v>2</v>
      </c>
      <c r="S60" s="6">
        <v>1</v>
      </c>
      <c r="T60" s="6">
        <v>2</v>
      </c>
      <c r="U60" s="6">
        <v>1</v>
      </c>
      <c r="V60" s="6">
        <v>0</v>
      </c>
      <c r="W60" s="6">
        <v>0</v>
      </c>
      <c r="X60" s="6">
        <v>0</v>
      </c>
      <c r="Y60" s="6">
        <v>3</v>
      </c>
      <c r="Z60" s="6">
        <v>1</v>
      </c>
      <c r="AA60" s="6">
        <v>0</v>
      </c>
      <c r="AB60" s="6">
        <v>1</v>
      </c>
      <c r="AC60" s="6">
        <v>3</v>
      </c>
      <c r="AD60" s="6">
        <v>1</v>
      </c>
      <c r="AE60" s="5">
        <f t="shared" si="29"/>
        <v>34</v>
      </c>
    </row>
    <row r="61" spans="1:31" x14ac:dyDescent="0.4">
      <c r="A61" s="7"/>
      <c r="B61" s="52"/>
      <c r="C61" s="24" t="s">
        <v>134</v>
      </c>
      <c r="D61" s="53"/>
      <c r="E61" s="6">
        <v>0</v>
      </c>
      <c r="F61" s="6">
        <v>3</v>
      </c>
      <c r="G61" s="6">
        <v>2</v>
      </c>
      <c r="H61" s="6">
        <v>0</v>
      </c>
      <c r="I61" s="6">
        <v>7</v>
      </c>
      <c r="J61" s="6">
        <v>1</v>
      </c>
      <c r="K61" s="6">
        <v>3</v>
      </c>
      <c r="L61" s="6">
        <v>0</v>
      </c>
      <c r="M61" s="6">
        <v>0</v>
      </c>
      <c r="N61" s="6">
        <v>4</v>
      </c>
      <c r="O61" s="6">
        <v>2</v>
      </c>
      <c r="P61" s="6">
        <v>22</v>
      </c>
      <c r="Q61" s="6">
        <v>4</v>
      </c>
      <c r="R61" s="6">
        <v>8</v>
      </c>
      <c r="S61" s="6">
        <v>1</v>
      </c>
      <c r="T61" s="6">
        <v>0</v>
      </c>
      <c r="U61" s="6">
        <v>26</v>
      </c>
      <c r="V61" s="6">
        <v>1</v>
      </c>
      <c r="W61" s="6">
        <v>2</v>
      </c>
      <c r="X61" s="6">
        <v>19</v>
      </c>
      <c r="Y61" s="6">
        <v>0</v>
      </c>
      <c r="Z61" s="6">
        <v>0</v>
      </c>
      <c r="AA61" s="6">
        <v>2</v>
      </c>
      <c r="AB61" s="6">
        <v>0</v>
      </c>
      <c r="AC61" s="6">
        <v>2</v>
      </c>
      <c r="AD61" s="6">
        <v>2</v>
      </c>
      <c r="AE61" s="5">
        <f t="shared" si="29"/>
        <v>111</v>
      </c>
    </row>
    <row r="62" spans="1:31" x14ac:dyDescent="0.4">
      <c r="A62" s="7"/>
      <c r="B62" s="52"/>
      <c r="C62" s="24" t="s">
        <v>135</v>
      </c>
      <c r="D62" s="53"/>
      <c r="E62" s="6">
        <v>1</v>
      </c>
      <c r="F62" s="6">
        <v>0</v>
      </c>
      <c r="G62" s="6">
        <v>1</v>
      </c>
      <c r="H62" s="6">
        <v>0</v>
      </c>
      <c r="I62" s="6">
        <v>1</v>
      </c>
      <c r="J62" s="6">
        <v>2</v>
      </c>
      <c r="K62" s="6">
        <v>0</v>
      </c>
      <c r="L62" s="6">
        <v>1</v>
      </c>
      <c r="M62" s="6">
        <v>1</v>
      </c>
      <c r="N62" s="6">
        <v>1</v>
      </c>
      <c r="O62" s="6">
        <v>2</v>
      </c>
      <c r="P62" s="6">
        <v>2</v>
      </c>
      <c r="Q62" s="6">
        <v>0</v>
      </c>
      <c r="R62" s="6">
        <v>1</v>
      </c>
      <c r="S62" s="6">
        <v>0</v>
      </c>
      <c r="T62" s="6">
        <v>0</v>
      </c>
      <c r="U62" s="6">
        <v>1</v>
      </c>
      <c r="V62" s="6">
        <v>0</v>
      </c>
      <c r="W62" s="6">
        <v>1</v>
      </c>
      <c r="X62" s="6">
        <v>2</v>
      </c>
      <c r="Y62" s="6">
        <v>0</v>
      </c>
      <c r="Z62" s="6">
        <v>0</v>
      </c>
      <c r="AA62" s="6">
        <v>0</v>
      </c>
      <c r="AB62" s="6">
        <v>0</v>
      </c>
      <c r="AC62" s="6">
        <v>1</v>
      </c>
      <c r="AD62" s="6">
        <v>0</v>
      </c>
      <c r="AE62" s="5">
        <f t="shared" si="29"/>
        <v>18</v>
      </c>
    </row>
    <row r="63" spans="1:31" ht="13.15" customHeight="1" x14ac:dyDescent="0.4">
      <c r="A63" s="7"/>
      <c r="B63" s="52"/>
      <c r="C63" s="24" t="s">
        <v>136</v>
      </c>
      <c r="D63" s="50"/>
      <c r="E63" s="6">
        <v>0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1</v>
      </c>
      <c r="M63" s="6">
        <v>2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1</v>
      </c>
      <c r="AC63" s="6">
        <v>0</v>
      </c>
      <c r="AD63" s="6">
        <v>1</v>
      </c>
      <c r="AE63" s="5">
        <f t="shared" si="29"/>
        <v>8</v>
      </c>
    </row>
    <row r="64" spans="1:31" x14ac:dyDescent="0.4">
      <c r="A64" s="7"/>
      <c r="B64" s="52"/>
      <c r="C64" s="24" t="s">
        <v>137</v>
      </c>
      <c r="D64" s="53"/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2</v>
      </c>
      <c r="K64" s="6">
        <v>1</v>
      </c>
      <c r="L64" s="6">
        <v>0</v>
      </c>
      <c r="M64" s="6">
        <v>0</v>
      </c>
      <c r="N64" s="6">
        <v>1</v>
      </c>
      <c r="O64" s="6">
        <v>2</v>
      </c>
      <c r="P64" s="6">
        <v>1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1</v>
      </c>
      <c r="AA64" s="6">
        <v>0</v>
      </c>
      <c r="AB64" s="6">
        <v>1</v>
      </c>
      <c r="AC64" s="6">
        <v>1</v>
      </c>
      <c r="AD64" s="6">
        <v>0</v>
      </c>
      <c r="AE64" s="5">
        <f t="shared" si="29"/>
        <v>11</v>
      </c>
    </row>
    <row r="65" spans="1:31" x14ac:dyDescent="0.4">
      <c r="A65" s="7"/>
      <c r="B65" s="52"/>
      <c r="C65" s="24" t="s">
        <v>138</v>
      </c>
      <c r="D65" s="53"/>
      <c r="E65" s="6">
        <v>0</v>
      </c>
      <c r="F65" s="6">
        <v>0</v>
      </c>
      <c r="G65" s="6">
        <v>1</v>
      </c>
      <c r="H65" s="6">
        <v>0</v>
      </c>
      <c r="I65" s="6">
        <v>1</v>
      </c>
      <c r="J65" s="6">
        <v>2</v>
      </c>
      <c r="K65" s="6">
        <v>0</v>
      </c>
      <c r="L65" s="6">
        <v>0</v>
      </c>
      <c r="M65" s="6">
        <v>1</v>
      </c>
      <c r="N65" s="6">
        <v>0</v>
      </c>
      <c r="O65" s="6">
        <v>1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2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5">
        <f t="shared" si="29"/>
        <v>8</v>
      </c>
    </row>
    <row r="66" spans="1:31" x14ac:dyDescent="0.4">
      <c r="A66" s="7"/>
      <c r="B66" s="52"/>
      <c r="C66" s="24" t="s">
        <v>139</v>
      </c>
      <c r="D66" s="53"/>
      <c r="E66" s="6">
        <v>0</v>
      </c>
      <c r="F66" s="6">
        <v>0</v>
      </c>
      <c r="G66" s="6">
        <v>0</v>
      </c>
      <c r="H66" s="6">
        <v>0</v>
      </c>
      <c r="I66" s="6">
        <v>2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1</v>
      </c>
      <c r="X66" s="6">
        <v>0</v>
      </c>
      <c r="Y66" s="6">
        <v>0</v>
      </c>
      <c r="Z66" s="6">
        <v>0</v>
      </c>
      <c r="AA66" s="6">
        <v>0</v>
      </c>
      <c r="AB66" s="6">
        <v>1</v>
      </c>
      <c r="AC66" s="6">
        <v>0</v>
      </c>
      <c r="AD66" s="6">
        <v>0</v>
      </c>
      <c r="AE66" s="5">
        <f t="shared" si="29"/>
        <v>5</v>
      </c>
    </row>
    <row r="67" spans="1:31" x14ac:dyDescent="0.4">
      <c r="A67" s="6" t="s">
        <v>26</v>
      </c>
      <c r="B67" s="67" t="s">
        <v>51</v>
      </c>
      <c r="C67" s="83"/>
      <c r="D67" s="74"/>
      <c r="E67" s="5">
        <f t="shared" ref="E67:AE67" si="30">SUM(E57:E66)</f>
        <v>23</v>
      </c>
      <c r="F67" s="5">
        <f t="shared" si="30"/>
        <v>13</v>
      </c>
      <c r="G67" s="5">
        <f t="shared" si="30"/>
        <v>40</v>
      </c>
      <c r="H67" s="5">
        <f t="shared" si="30"/>
        <v>21</v>
      </c>
      <c r="I67" s="5">
        <f t="shared" si="30"/>
        <v>35</v>
      </c>
      <c r="J67" s="5">
        <f t="shared" si="30"/>
        <v>34</v>
      </c>
      <c r="K67" s="5">
        <f t="shared" si="30"/>
        <v>31</v>
      </c>
      <c r="L67" s="5">
        <f t="shared" si="30"/>
        <v>46</v>
      </c>
      <c r="M67" s="5">
        <f t="shared" si="30"/>
        <v>52</v>
      </c>
      <c r="N67" s="5">
        <f t="shared" si="30"/>
        <v>33</v>
      </c>
      <c r="O67" s="5">
        <f t="shared" si="30"/>
        <v>67</v>
      </c>
      <c r="P67" s="5">
        <f t="shared" si="30"/>
        <v>31</v>
      </c>
      <c r="Q67" s="5">
        <f t="shared" si="30"/>
        <v>45</v>
      </c>
      <c r="R67" s="5">
        <f t="shared" si="30"/>
        <v>21</v>
      </c>
      <c r="S67" s="5">
        <f t="shared" si="30"/>
        <v>91</v>
      </c>
      <c r="T67" s="5">
        <f t="shared" si="30"/>
        <v>82</v>
      </c>
      <c r="U67" s="5">
        <f t="shared" si="30"/>
        <v>72</v>
      </c>
      <c r="V67" s="5">
        <f t="shared" si="30"/>
        <v>36</v>
      </c>
      <c r="W67" s="5">
        <f t="shared" si="30"/>
        <v>30</v>
      </c>
      <c r="X67" s="5">
        <f t="shared" si="30"/>
        <v>54</v>
      </c>
      <c r="Y67" s="5">
        <f t="shared" si="30"/>
        <v>15</v>
      </c>
      <c r="Z67" s="5">
        <f t="shared" si="30"/>
        <v>22</v>
      </c>
      <c r="AA67" s="5">
        <f t="shared" si="30"/>
        <v>15</v>
      </c>
      <c r="AB67" s="5">
        <f t="shared" si="30"/>
        <v>15</v>
      </c>
      <c r="AC67" s="5">
        <f t="shared" si="30"/>
        <v>53</v>
      </c>
      <c r="AD67" s="5">
        <f t="shared" si="30"/>
        <v>34</v>
      </c>
      <c r="AE67" s="5">
        <f t="shared" si="30"/>
        <v>1011</v>
      </c>
    </row>
    <row r="68" spans="1:31" x14ac:dyDescent="0.4">
      <c r="A68" s="84"/>
      <c r="B68" s="85"/>
      <c r="C68" s="85"/>
      <c r="D68" s="85"/>
      <c r="E68" s="85"/>
    </row>
    <row r="69" spans="1:31" x14ac:dyDescent="0.4">
      <c r="A69" s="11" t="s">
        <v>48</v>
      </c>
      <c r="B69" s="17" t="s">
        <v>32</v>
      </c>
      <c r="C69" s="73" t="s">
        <v>53</v>
      </c>
      <c r="D69" s="74"/>
      <c r="E69" s="6">
        <v>24</v>
      </c>
      <c r="F69" s="6">
        <v>7</v>
      </c>
      <c r="G69" s="6">
        <v>6</v>
      </c>
      <c r="H69" s="6">
        <v>16</v>
      </c>
      <c r="I69" s="6">
        <v>9</v>
      </c>
      <c r="J69" s="6">
        <v>22</v>
      </c>
      <c r="K69" s="6">
        <v>11</v>
      </c>
      <c r="L69" s="6">
        <v>14</v>
      </c>
      <c r="M69" s="6">
        <v>7</v>
      </c>
      <c r="N69" s="6">
        <v>21</v>
      </c>
      <c r="O69" s="6">
        <v>5</v>
      </c>
      <c r="P69" s="6">
        <v>7</v>
      </c>
      <c r="Q69" s="6">
        <v>6</v>
      </c>
      <c r="R69" s="6">
        <v>8</v>
      </c>
      <c r="S69" s="6">
        <v>7</v>
      </c>
      <c r="T69" s="6">
        <v>7</v>
      </c>
      <c r="U69" s="6">
        <v>11</v>
      </c>
      <c r="V69" s="6">
        <v>34</v>
      </c>
      <c r="W69" s="6">
        <v>20</v>
      </c>
      <c r="X69" s="6">
        <v>15</v>
      </c>
      <c r="Y69" s="6">
        <v>3</v>
      </c>
      <c r="Z69" s="6">
        <v>20</v>
      </c>
      <c r="AA69" s="6">
        <v>21</v>
      </c>
      <c r="AB69" s="6">
        <v>11</v>
      </c>
      <c r="AC69" s="6">
        <v>5</v>
      </c>
      <c r="AD69" s="6">
        <v>8</v>
      </c>
      <c r="AE69" s="5">
        <f t="shared" ref="AE69:AE78" si="31">SUM(E69:AD69)</f>
        <v>325</v>
      </c>
    </row>
    <row r="70" spans="1:31" x14ac:dyDescent="0.4">
      <c r="A70" s="11" t="s">
        <v>50</v>
      </c>
      <c r="B70" s="52"/>
      <c r="C70" s="24" t="s">
        <v>140</v>
      </c>
      <c r="D70" s="50"/>
      <c r="E70" s="6">
        <v>8</v>
      </c>
      <c r="F70" s="6">
        <v>12</v>
      </c>
      <c r="G70" s="6">
        <v>7</v>
      </c>
      <c r="H70" s="6">
        <v>3</v>
      </c>
      <c r="I70" s="6">
        <v>8</v>
      </c>
      <c r="J70" s="6">
        <v>6</v>
      </c>
      <c r="K70" s="6">
        <v>13</v>
      </c>
      <c r="L70" s="6">
        <v>12</v>
      </c>
      <c r="M70" s="6">
        <v>8</v>
      </c>
      <c r="N70" s="6">
        <v>6</v>
      </c>
      <c r="O70" s="6">
        <v>4</v>
      </c>
      <c r="P70" s="6">
        <v>4</v>
      </c>
      <c r="Q70" s="6">
        <v>2</v>
      </c>
      <c r="R70" s="6">
        <v>4</v>
      </c>
      <c r="S70" s="6">
        <v>4</v>
      </c>
      <c r="T70" s="6">
        <v>3</v>
      </c>
      <c r="U70" s="6">
        <v>3</v>
      </c>
      <c r="V70" s="6">
        <v>21</v>
      </c>
      <c r="W70" s="6">
        <v>15</v>
      </c>
      <c r="X70" s="6">
        <v>10</v>
      </c>
      <c r="Y70" s="6">
        <v>3</v>
      </c>
      <c r="Z70" s="6">
        <v>7</v>
      </c>
      <c r="AA70" s="6">
        <v>8</v>
      </c>
      <c r="AB70" s="6">
        <v>7</v>
      </c>
      <c r="AC70" s="6">
        <v>3</v>
      </c>
      <c r="AD70" s="6">
        <v>0</v>
      </c>
      <c r="AE70" s="5">
        <f t="shared" si="31"/>
        <v>181</v>
      </c>
    </row>
    <row r="71" spans="1:31" x14ac:dyDescent="0.4">
      <c r="A71" s="7"/>
      <c r="B71" s="52"/>
      <c r="C71" s="24" t="s">
        <v>141</v>
      </c>
      <c r="D71" s="50"/>
      <c r="E71" s="6">
        <v>2</v>
      </c>
      <c r="F71" s="6">
        <v>1</v>
      </c>
      <c r="G71" s="6">
        <v>5</v>
      </c>
      <c r="H71" s="6">
        <v>4</v>
      </c>
      <c r="I71" s="6">
        <v>5</v>
      </c>
      <c r="J71" s="6">
        <v>27</v>
      </c>
      <c r="K71" s="6">
        <v>26</v>
      </c>
      <c r="L71" s="6">
        <v>2</v>
      </c>
      <c r="M71" s="6">
        <v>3</v>
      </c>
      <c r="N71" s="6">
        <v>3</v>
      </c>
      <c r="O71" s="6">
        <v>14</v>
      </c>
      <c r="P71" s="6">
        <v>8</v>
      </c>
      <c r="Q71" s="6">
        <v>21</v>
      </c>
      <c r="R71" s="6">
        <v>2</v>
      </c>
      <c r="S71" s="6">
        <v>2</v>
      </c>
      <c r="T71" s="6">
        <v>1</v>
      </c>
      <c r="U71" s="6">
        <v>5</v>
      </c>
      <c r="V71" s="6">
        <v>5</v>
      </c>
      <c r="W71" s="6">
        <v>6</v>
      </c>
      <c r="X71" s="6">
        <v>1</v>
      </c>
      <c r="Y71" s="6">
        <v>2</v>
      </c>
      <c r="Z71" s="6">
        <v>3</v>
      </c>
      <c r="AA71" s="6">
        <v>5</v>
      </c>
      <c r="AB71" s="6">
        <v>33</v>
      </c>
      <c r="AC71" s="6">
        <v>2</v>
      </c>
      <c r="AD71" s="6">
        <v>24</v>
      </c>
      <c r="AE71" s="5">
        <f t="shared" si="31"/>
        <v>212</v>
      </c>
    </row>
    <row r="72" spans="1:31" x14ac:dyDescent="0.4">
      <c r="A72" s="7"/>
      <c r="B72" s="52"/>
      <c r="C72" s="24" t="s">
        <v>142</v>
      </c>
      <c r="D72" s="50"/>
      <c r="E72" s="6">
        <v>4</v>
      </c>
      <c r="F72" s="6">
        <v>4</v>
      </c>
      <c r="G72" s="6">
        <v>4</v>
      </c>
      <c r="H72" s="6">
        <v>4</v>
      </c>
      <c r="I72" s="6">
        <v>3</v>
      </c>
      <c r="J72" s="6">
        <v>3</v>
      </c>
      <c r="K72" s="6">
        <v>7</v>
      </c>
      <c r="L72" s="6">
        <v>6</v>
      </c>
      <c r="M72" s="6">
        <v>2</v>
      </c>
      <c r="N72" s="6">
        <v>3</v>
      </c>
      <c r="O72" s="6">
        <v>1</v>
      </c>
      <c r="P72" s="6">
        <v>3</v>
      </c>
      <c r="Q72" s="6">
        <v>3</v>
      </c>
      <c r="R72" s="6">
        <v>0</v>
      </c>
      <c r="S72" s="6">
        <v>0</v>
      </c>
      <c r="T72" s="6">
        <v>1</v>
      </c>
      <c r="U72" s="6">
        <v>4</v>
      </c>
      <c r="V72" s="6">
        <v>0</v>
      </c>
      <c r="W72" s="6">
        <v>4</v>
      </c>
      <c r="X72" s="6">
        <v>3</v>
      </c>
      <c r="Y72" s="6">
        <v>1</v>
      </c>
      <c r="Z72" s="6">
        <v>3</v>
      </c>
      <c r="AA72" s="6">
        <v>3</v>
      </c>
      <c r="AB72" s="6">
        <v>1</v>
      </c>
      <c r="AC72" s="6">
        <v>2</v>
      </c>
      <c r="AD72" s="6">
        <v>7</v>
      </c>
      <c r="AE72" s="5">
        <f t="shared" si="31"/>
        <v>76</v>
      </c>
    </row>
    <row r="73" spans="1:31" x14ac:dyDescent="0.4">
      <c r="A73" s="7"/>
      <c r="B73" s="52"/>
      <c r="C73" s="24" t="s">
        <v>143</v>
      </c>
      <c r="D73" s="50"/>
      <c r="E73" s="6">
        <v>6</v>
      </c>
      <c r="F73" s="6">
        <v>7</v>
      </c>
      <c r="G73" s="6">
        <v>0</v>
      </c>
      <c r="H73" s="6">
        <v>6</v>
      </c>
      <c r="I73" s="6">
        <v>4</v>
      </c>
      <c r="J73" s="6">
        <v>1</v>
      </c>
      <c r="K73" s="6">
        <v>8</v>
      </c>
      <c r="L73" s="6">
        <v>4</v>
      </c>
      <c r="M73" s="6">
        <v>2</v>
      </c>
      <c r="N73" s="6">
        <v>2</v>
      </c>
      <c r="O73" s="6">
        <v>1</v>
      </c>
      <c r="P73" s="6">
        <v>3</v>
      </c>
      <c r="Q73" s="6">
        <v>2</v>
      </c>
      <c r="R73" s="6">
        <v>8</v>
      </c>
      <c r="S73" s="6">
        <v>11</v>
      </c>
      <c r="T73" s="6">
        <v>0</v>
      </c>
      <c r="U73" s="6">
        <v>2</v>
      </c>
      <c r="V73" s="6">
        <v>3</v>
      </c>
      <c r="W73" s="6">
        <v>5</v>
      </c>
      <c r="X73" s="6">
        <v>4</v>
      </c>
      <c r="Y73" s="6">
        <v>0</v>
      </c>
      <c r="Z73" s="6">
        <v>2</v>
      </c>
      <c r="AA73" s="6">
        <v>7</v>
      </c>
      <c r="AB73" s="6">
        <v>2</v>
      </c>
      <c r="AC73" s="6">
        <v>4</v>
      </c>
      <c r="AD73" s="6">
        <v>1</v>
      </c>
      <c r="AE73" s="5">
        <f t="shared" si="31"/>
        <v>95</v>
      </c>
    </row>
    <row r="74" spans="1:31" ht="13.15" customHeight="1" x14ac:dyDescent="0.4">
      <c r="A74" s="7"/>
      <c r="B74" s="52"/>
      <c r="C74" s="24" t="s">
        <v>144</v>
      </c>
      <c r="D74" s="50"/>
      <c r="E74" s="6">
        <v>2</v>
      </c>
      <c r="F74" s="6">
        <v>1</v>
      </c>
      <c r="G74" s="6">
        <v>0</v>
      </c>
      <c r="H74" s="6">
        <v>0</v>
      </c>
      <c r="I74" s="6">
        <v>0</v>
      </c>
      <c r="J74" s="6">
        <v>0</v>
      </c>
      <c r="K74" s="6">
        <v>1</v>
      </c>
      <c r="L74" s="6">
        <v>2</v>
      </c>
      <c r="M74" s="6">
        <v>1</v>
      </c>
      <c r="N74" s="6">
        <v>0</v>
      </c>
      <c r="O74" s="6">
        <v>0</v>
      </c>
      <c r="P74" s="6">
        <v>1</v>
      </c>
      <c r="Q74" s="6">
        <v>1</v>
      </c>
      <c r="R74" s="6">
        <v>1</v>
      </c>
      <c r="S74" s="6">
        <v>0</v>
      </c>
      <c r="T74" s="6">
        <v>1</v>
      </c>
      <c r="U74" s="6">
        <v>1</v>
      </c>
      <c r="V74" s="6">
        <v>1</v>
      </c>
      <c r="W74" s="6">
        <v>0</v>
      </c>
      <c r="X74" s="6">
        <v>2</v>
      </c>
      <c r="Y74" s="6">
        <v>0</v>
      </c>
      <c r="Z74" s="6">
        <v>0</v>
      </c>
      <c r="AA74" s="6">
        <v>1</v>
      </c>
      <c r="AB74" s="6">
        <v>0</v>
      </c>
      <c r="AC74" s="6">
        <v>2</v>
      </c>
      <c r="AD74" s="6">
        <v>1</v>
      </c>
      <c r="AE74" s="5">
        <f t="shared" si="31"/>
        <v>19</v>
      </c>
    </row>
    <row r="75" spans="1:31" x14ac:dyDescent="0.4">
      <c r="A75" s="7"/>
      <c r="B75" s="52"/>
      <c r="C75" s="24" t="s">
        <v>145</v>
      </c>
      <c r="D75" s="50"/>
      <c r="E75" s="6">
        <v>0</v>
      </c>
      <c r="F75" s="6">
        <v>0</v>
      </c>
      <c r="G75" s="6">
        <v>1</v>
      </c>
      <c r="H75" s="6">
        <v>1</v>
      </c>
      <c r="I75" s="6">
        <v>2</v>
      </c>
      <c r="J75" s="6">
        <v>0</v>
      </c>
      <c r="K75" s="6">
        <v>1</v>
      </c>
      <c r="L75" s="6">
        <v>0</v>
      </c>
      <c r="M75" s="6">
        <v>0</v>
      </c>
      <c r="N75" s="6">
        <v>1</v>
      </c>
      <c r="O75" s="6">
        <v>0</v>
      </c>
      <c r="P75" s="6">
        <v>1</v>
      </c>
      <c r="Q75" s="6">
        <v>0</v>
      </c>
      <c r="R75" s="6">
        <v>1</v>
      </c>
      <c r="S75" s="6">
        <v>0</v>
      </c>
      <c r="T75" s="6">
        <v>0</v>
      </c>
      <c r="U75" s="6">
        <v>2</v>
      </c>
      <c r="V75" s="6">
        <v>3</v>
      </c>
      <c r="W75" s="6">
        <v>1</v>
      </c>
      <c r="X75" s="6">
        <v>4</v>
      </c>
      <c r="Y75" s="6">
        <v>3</v>
      </c>
      <c r="Z75" s="6">
        <v>1</v>
      </c>
      <c r="AA75" s="6">
        <v>1</v>
      </c>
      <c r="AB75" s="6">
        <v>0</v>
      </c>
      <c r="AC75" s="6">
        <v>0</v>
      </c>
      <c r="AD75" s="6">
        <v>0</v>
      </c>
      <c r="AE75" s="5">
        <f t="shared" si="31"/>
        <v>23</v>
      </c>
    </row>
    <row r="76" spans="1:31" x14ac:dyDescent="0.4">
      <c r="A76" s="7"/>
      <c r="B76" s="52"/>
      <c r="C76" s="24" t="s">
        <v>146</v>
      </c>
      <c r="D76" s="50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1</v>
      </c>
      <c r="N76" s="6">
        <v>2</v>
      </c>
      <c r="O76" s="6">
        <v>0</v>
      </c>
      <c r="P76" s="6">
        <v>1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1</v>
      </c>
      <c r="Y76" s="6">
        <v>0</v>
      </c>
      <c r="Z76" s="6">
        <v>1</v>
      </c>
      <c r="AA76" s="6">
        <v>0</v>
      </c>
      <c r="AB76" s="6">
        <v>1</v>
      </c>
      <c r="AC76" s="6">
        <v>0</v>
      </c>
      <c r="AD76" s="6">
        <v>2</v>
      </c>
      <c r="AE76" s="5">
        <f t="shared" si="31"/>
        <v>10</v>
      </c>
    </row>
    <row r="77" spans="1:31" x14ac:dyDescent="0.4">
      <c r="A77" s="7"/>
      <c r="B77" s="52"/>
      <c r="C77" s="24" t="s">
        <v>147</v>
      </c>
      <c r="D77" s="50"/>
      <c r="E77" s="6">
        <v>0</v>
      </c>
      <c r="F77" s="6">
        <v>0</v>
      </c>
      <c r="G77" s="6">
        <v>1</v>
      </c>
      <c r="H77" s="6">
        <v>2</v>
      </c>
      <c r="I77" s="6">
        <v>2</v>
      </c>
      <c r="J77" s="6">
        <v>0</v>
      </c>
      <c r="K77" s="6">
        <v>0</v>
      </c>
      <c r="L77" s="6">
        <v>0</v>
      </c>
      <c r="M77" s="6">
        <v>4</v>
      </c>
      <c r="N77" s="6">
        <v>2</v>
      </c>
      <c r="O77" s="6">
        <v>0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1</v>
      </c>
      <c r="V77" s="6">
        <v>1</v>
      </c>
      <c r="W77" s="6">
        <v>0</v>
      </c>
      <c r="X77" s="6">
        <v>0</v>
      </c>
      <c r="Y77" s="6">
        <v>0</v>
      </c>
      <c r="Z77" s="6">
        <v>1</v>
      </c>
      <c r="AA77" s="6">
        <v>0</v>
      </c>
      <c r="AB77" s="6">
        <v>1</v>
      </c>
      <c r="AC77" s="6">
        <v>1</v>
      </c>
      <c r="AD77" s="6">
        <v>1</v>
      </c>
      <c r="AE77" s="5">
        <f t="shared" si="31"/>
        <v>18</v>
      </c>
    </row>
    <row r="78" spans="1:31" x14ac:dyDescent="0.4">
      <c r="A78" s="7"/>
      <c r="B78" s="52"/>
      <c r="C78" s="24" t="s">
        <v>148</v>
      </c>
      <c r="D78" s="50"/>
      <c r="E78" s="6">
        <v>0</v>
      </c>
      <c r="F78" s="6">
        <v>1</v>
      </c>
      <c r="G78" s="6">
        <v>0</v>
      </c>
      <c r="H78" s="6">
        <v>3</v>
      </c>
      <c r="I78" s="6">
        <v>0</v>
      </c>
      <c r="J78" s="6">
        <v>0</v>
      </c>
      <c r="K78" s="6">
        <v>2</v>
      </c>
      <c r="L78" s="6">
        <v>1</v>
      </c>
      <c r="M78" s="6">
        <v>1</v>
      </c>
      <c r="N78" s="6">
        <v>3</v>
      </c>
      <c r="O78" s="6">
        <v>0</v>
      </c>
      <c r="P78" s="6">
        <v>0</v>
      </c>
      <c r="Q78" s="6">
        <v>1</v>
      </c>
      <c r="R78" s="6">
        <v>0</v>
      </c>
      <c r="S78" s="6">
        <v>0</v>
      </c>
      <c r="T78" s="6">
        <v>0</v>
      </c>
      <c r="U78" s="6">
        <v>1</v>
      </c>
      <c r="V78" s="6">
        <v>1</v>
      </c>
      <c r="W78" s="6">
        <v>0</v>
      </c>
      <c r="X78" s="6">
        <v>1</v>
      </c>
      <c r="Y78" s="6">
        <v>0</v>
      </c>
      <c r="Z78" s="6">
        <v>1</v>
      </c>
      <c r="AA78" s="6">
        <v>3</v>
      </c>
      <c r="AB78" s="6">
        <v>4</v>
      </c>
      <c r="AC78" s="6">
        <v>1</v>
      </c>
      <c r="AD78" s="6">
        <v>1</v>
      </c>
      <c r="AE78" s="5">
        <f t="shared" si="31"/>
        <v>25</v>
      </c>
    </row>
    <row r="79" spans="1:31" x14ac:dyDescent="0.4">
      <c r="A79" s="6" t="s">
        <v>26</v>
      </c>
      <c r="B79" s="67" t="s">
        <v>51</v>
      </c>
      <c r="C79" s="83"/>
      <c r="D79" s="74"/>
      <c r="E79" s="5">
        <f t="shared" ref="E79:AE79" si="32">SUM(E69:E78)</f>
        <v>46</v>
      </c>
      <c r="F79" s="5">
        <f t="shared" si="32"/>
        <v>33</v>
      </c>
      <c r="G79" s="5">
        <f t="shared" si="32"/>
        <v>24</v>
      </c>
      <c r="H79" s="5">
        <f t="shared" si="32"/>
        <v>39</v>
      </c>
      <c r="I79" s="5">
        <f t="shared" si="32"/>
        <v>33</v>
      </c>
      <c r="J79" s="5">
        <f t="shared" si="32"/>
        <v>59</v>
      </c>
      <c r="K79" s="5">
        <f t="shared" si="32"/>
        <v>70</v>
      </c>
      <c r="L79" s="5">
        <f t="shared" si="32"/>
        <v>41</v>
      </c>
      <c r="M79" s="5">
        <f t="shared" si="32"/>
        <v>29</v>
      </c>
      <c r="N79" s="5">
        <f t="shared" si="32"/>
        <v>43</v>
      </c>
      <c r="O79" s="5">
        <f t="shared" si="32"/>
        <v>25</v>
      </c>
      <c r="P79" s="5">
        <f t="shared" si="32"/>
        <v>28</v>
      </c>
      <c r="Q79" s="5">
        <f t="shared" si="32"/>
        <v>37</v>
      </c>
      <c r="R79" s="5">
        <f t="shared" si="32"/>
        <v>24</v>
      </c>
      <c r="S79" s="5">
        <f t="shared" si="32"/>
        <v>24</v>
      </c>
      <c r="T79" s="5">
        <f t="shared" si="32"/>
        <v>13</v>
      </c>
      <c r="U79" s="5">
        <f t="shared" si="32"/>
        <v>30</v>
      </c>
      <c r="V79" s="5">
        <f t="shared" si="32"/>
        <v>69</v>
      </c>
      <c r="W79" s="5">
        <f t="shared" si="32"/>
        <v>51</v>
      </c>
      <c r="X79" s="5">
        <f t="shared" si="32"/>
        <v>41</v>
      </c>
      <c r="Y79" s="5">
        <f t="shared" si="32"/>
        <v>12</v>
      </c>
      <c r="Z79" s="5">
        <f t="shared" si="32"/>
        <v>39</v>
      </c>
      <c r="AA79" s="5">
        <f t="shared" si="32"/>
        <v>49</v>
      </c>
      <c r="AB79" s="5">
        <f t="shared" si="32"/>
        <v>60</v>
      </c>
      <c r="AC79" s="5">
        <f t="shared" si="32"/>
        <v>20</v>
      </c>
      <c r="AD79" s="5">
        <f t="shared" si="32"/>
        <v>45</v>
      </c>
      <c r="AE79" s="5">
        <f t="shared" si="32"/>
        <v>984</v>
      </c>
    </row>
    <row r="80" spans="1:31" x14ac:dyDescent="0.4">
      <c r="A80" s="84"/>
      <c r="B80" s="85"/>
      <c r="C80" s="85"/>
      <c r="D80" s="85"/>
      <c r="E80" s="85"/>
    </row>
    <row r="81" spans="1:31" x14ac:dyDescent="0.4">
      <c r="A81" s="11" t="s">
        <v>48</v>
      </c>
      <c r="B81" s="17" t="s">
        <v>34</v>
      </c>
      <c r="C81" s="73" t="s">
        <v>54</v>
      </c>
      <c r="D81" s="74"/>
      <c r="E81" s="6">
        <v>5</v>
      </c>
      <c r="F81" s="6">
        <v>5</v>
      </c>
      <c r="G81" s="6">
        <v>7</v>
      </c>
      <c r="H81" s="6">
        <v>9</v>
      </c>
      <c r="I81" s="6">
        <v>10</v>
      </c>
      <c r="J81" s="6">
        <v>1</v>
      </c>
      <c r="K81" s="6">
        <v>7</v>
      </c>
      <c r="L81" s="6">
        <v>11</v>
      </c>
      <c r="M81" s="6">
        <v>5</v>
      </c>
      <c r="N81" s="6">
        <v>10</v>
      </c>
      <c r="O81" s="6">
        <v>9</v>
      </c>
      <c r="P81" s="6">
        <v>5</v>
      </c>
      <c r="Q81" s="6">
        <v>1</v>
      </c>
      <c r="R81" s="6">
        <v>1</v>
      </c>
      <c r="S81" s="6">
        <v>2</v>
      </c>
      <c r="T81" s="6">
        <v>7</v>
      </c>
      <c r="U81" s="6">
        <v>11</v>
      </c>
      <c r="V81" s="6">
        <v>4</v>
      </c>
      <c r="W81" s="6">
        <v>10</v>
      </c>
      <c r="X81" s="6">
        <v>8</v>
      </c>
      <c r="Y81" s="6">
        <v>4</v>
      </c>
      <c r="Z81" s="6">
        <v>2</v>
      </c>
      <c r="AA81" s="6">
        <v>7</v>
      </c>
      <c r="AB81" s="6">
        <v>4</v>
      </c>
      <c r="AC81" s="6">
        <v>13</v>
      </c>
      <c r="AD81" s="6">
        <v>9</v>
      </c>
      <c r="AE81" s="5">
        <f t="shared" ref="AE81:AE90" si="33">SUM(E81:AD81)</f>
        <v>167</v>
      </c>
    </row>
    <row r="82" spans="1:31" x14ac:dyDescent="0.4">
      <c r="A82" s="11" t="s">
        <v>50</v>
      </c>
      <c r="B82" s="52"/>
      <c r="C82" s="24" t="s">
        <v>149</v>
      </c>
      <c r="D82" s="50"/>
      <c r="E82" s="6">
        <v>7</v>
      </c>
      <c r="F82" s="6">
        <v>11</v>
      </c>
      <c r="G82" s="6">
        <v>10</v>
      </c>
      <c r="H82" s="6">
        <v>9</v>
      </c>
      <c r="I82" s="6">
        <v>2</v>
      </c>
      <c r="J82" s="6">
        <v>6</v>
      </c>
      <c r="K82" s="6">
        <v>15</v>
      </c>
      <c r="L82" s="6">
        <v>29</v>
      </c>
      <c r="M82" s="6">
        <v>19</v>
      </c>
      <c r="N82" s="6">
        <v>17</v>
      </c>
      <c r="O82" s="6">
        <v>10</v>
      </c>
      <c r="P82" s="6">
        <v>8</v>
      </c>
      <c r="Q82" s="6">
        <v>2</v>
      </c>
      <c r="R82" s="6">
        <v>1</v>
      </c>
      <c r="S82" s="6">
        <v>13</v>
      </c>
      <c r="T82" s="6">
        <v>30</v>
      </c>
      <c r="U82" s="6">
        <v>12</v>
      </c>
      <c r="V82" s="6">
        <v>7</v>
      </c>
      <c r="W82" s="6">
        <v>15</v>
      </c>
      <c r="X82" s="6">
        <v>8</v>
      </c>
      <c r="Y82" s="6">
        <v>16</v>
      </c>
      <c r="Z82" s="6">
        <v>4</v>
      </c>
      <c r="AA82" s="6">
        <v>9</v>
      </c>
      <c r="AB82" s="6">
        <v>10</v>
      </c>
      <c r="AC82" s="6">
        <v>23</v>
      </c>
      <c r="AD82" s="6">
        <v>12</v>
      </c>
      <c r="AE82" s="5">
        <f t="shared" si="33"/>
        <v>305</v>
      </c>
    </row>
    <row r="83" spans="1:31" x14ac:dyDescent="0.4">
      <c r="A83" s="7"/>
      <c r="B83" s="52"/>
      <c r="C83" s="24" t="s">
        <v>150</v>
      </c>
      <c r="D83" s="50"/>
      <c r="E83" s="6">
        <v>2</v>
      </c>
      <c r="F83" s="6">
        <v>1</v>
      </c>
      <c r="G83" s="6">
        <v>2</v>
      </c>
      <c r="H83" s="6">
        <v>2</v>
      </c>
      <c r="I83" s="6">
        <v>2</v>
      </c>
      <c r="J83" s="6">
        <v>1</v>
      </c>
      <c r="K83" s="6">
        <v>6</v>
      </c>
      <c r="L83" s="6">
        <v>2</v>
      </c>
      <c r="M83" s="6">
        <v>1</v>
      </c>
      <c r="N83" s="6">
        <v>2</v>
      </c>
      <c r="O83" s="6">
        <v>0</v>
      </c>
      <c r="P83" s="6">
        <v>2</v>
      </c>
      <c r="Q83" s="6">
        <v>1</v>
      </c>
      <c r="R83" s="6">
        <v>1</v>
      </c>
      <c r="S83" s="6">
        <v>3</v>
      </c>
      <c r="T83" s="6">
        <v>1</v>
      </c>
      <c r="U83" s="6">
        <v>4</v>
      </c>
      <c r="V83" s="6">
        <v>2</v>
      </c>
      <c r="W83" s="6">
        <v>2</v>
      </c>
      <c r="X83" s="6">
        <v>0</v>
      </c>
      <c r="Y83" s="6">
        <v>1</v>
      </c>
      <c r="Z83" s="6">
        <v>0</v>
      </c>
      <c r="AA83" s="6">
        <v>1</v>
      </c>
      <c r="AB83" s="6">
        <v>0</v>
      </c>
      <c r="AC83" s="6">
        <v>4</v>
      </c>
      <c r="AD83" s="6">
        <v>4</v>
      </c>
      <c r="AE83" s="5">
        <f t="shared" si="33"/>
        <v>47</v>
      </c>
    </row>
    <row r="84" spans="1:31" x14ac:dyDescent="0.4">
      <c r="A84" s="7"/>
      <c r="B84" s="52"/>
      <c r="C84" s="24" t="s">
        <v>151</v>
      </c>
      <c r="D84" s="50"/>
      <c r="E84" s="6">
        <v>0</v>
      </c>
      <c r="F84" s="6">
        <v>0</v>
      </c>
      <c r="G84" s="6">
        <v>4</v>
      </c>
      <c r="H84" s="6">
        <v>0</v>
      </c>
      <c r="I84" s="6">
        <v>0</v>
      </c>
      <c r="J84" s="6">
        <v>1</v>
      </c>
      <c r="K84" s="6">
        <v>0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3</v>
      </c>
      <c r="R84" s="6">
        <v>0</v>
      </c>
      <c r="S84" s="6">
        <v>3</v>
      </c>
      <c r="T84" s="6">
        <v>0</v>
      </c>
      <c r="U84" s="6">
        <v>1</v>
      </c>
      <c r="V84" s="6">
        <v>0</v>
      </c>
      <c r="W84" s="6">
        <v>2</v>
      </c>
      <c r="X84" s="6">
        <v>2</v>
      </c>
      <c r="Y84" s="6">
        <v>0</v>
      </c>
      <c r="Z84" s="6">
        <v>1</v>
      </c>
      <c r="AA84" s="6">
        <v>0</v>
      </c>
      <c r="AB84" s="6">
        <v>0</v>
      </c>
      <c r="AC84" s="6">
        <v>1</v>
      </c>
      <c r="AD84" s="6">
        <v>2</v>
      </c>
      <c r="AE84" s="5">
        <f t="shared" si="33"/>
        <v>25</v>
      </c>
    </row>
    <row r="85" spans="1:31" ht="13.15" customHeight="1" x14ac:dyDescent="0.4">
      <c r="A85" s="7"/>
      <c r="B85" s="52"/>
      <c r="C85" s="24" t="s">
        <v>152</v>
      </c>
      <c r="D85" s="50"/>
      <c r="E85" s="6">
        <v>1</v>
      </c>
      <c r="F85" s="6">
        <v>2</v>
      </c>
      <c r="G85" s="6">
        <v>0</v>
      </c>
      <c r="H85" s="6">
        <v>0</v>
      </c>
      <c r="I85" s="6">
        <v>1</v>
      </c>
      <c r="J85" s="6">
        <v>0</v>
      </c>
      <c r="K85" s="6">
        <v>0</v>
      </c>
      <c r="L85" s="6">
        <v>2</v>
      </c>
      <c r="M85" s="6">
        <v>2</v>
      </c>
      <c r="N85" s="6">
        <v>0</v>
      </c>
      <c r="O85" s="6">
        <v>1</v>
      </c>
      <c r="P85" s="6">
        <v>1</v>
      </c>
      <c r="Q85" s="6">
        <v>3</v>
      </c>
      <c r="R85" s="6">
        <v>4</v>
      </c>
      <c r="S85" s="6">
        <v>1</v>
      </c>
      <c r="T85" s="6">
        <v>1</v>
      </c>
      <c r="U85" s="6">
        <v>3</v>
      </c>
      <c r="V85" s="6">
        <v>3</v>
      </c>
      <c r="W85" s="6">
        <v>0</v>
      </c>
      <c r="X85" s="6">
        <v>1</v>
      </c>
      <c r="Y85" s="6">
        <v>0</v>
      </c>
      <c r="Z85" s="6">
        <v>0</v>
      </c>
      <c r="AA85" s="6">
        <v>0</v>
      </c>
      <c r="AB85" s="6">
        <v>0</v>
      </c>
      <c r="AC85" s="6">
        <v>1</v>
      </c>
      <c r="AD85" s="6">
        <v>1</v>
      </c>
      <c r="AE85" s="5">
        <f t="shared" si="33"/>
        <v>28</v>
      </c>
    </row>
    <row r="86" spans="1:31" x14ac:dyDescent="0.4">
      <c r="A86" s="7"/>
      <c r="B86" s="52"/>
      <c r="C86" s="24" t="s">
        <v>153</v>
      </c>
      <c r="D86" s="50"/>
      <c r="E86" s="6">
        <v>0</v>
      </c>
      <c r="F86" s="6">
        <v>1</v>
      </c>
      <c r="G86" s="6">
        <v>1</v>
      </c>
      <c r="H86" s="6">
        <v>0</v>
      </c>
      <c r="I86" s="6">
        <v>1</v>
      </c>
      <c r="J86" s="6">
        <v>0</v>
      </c>
      <c r="K86" s="6">
        <v>1</v>
      </c>
      <c r="L86" s="6">
        <v>4</v>
      </c>
      <c r="M86" s="6">
        <v>1</v>
      </c>
      <c r="N86" s="6">
        <v>0</v>
      </c>
      <c r="O86" s="6">
        <v>1</v>
      </c>
      <c r="P86" s="6">
        <v>0</v>
      </c>
      <c r="Q86" s="6">
        <v>0</v>
      </c>
      <c r="R86" s="6">
        <v>0</v>
      </c>
      <c r="S86" s="6">
        <v>1</v>
      </c>
      <c r="T86" s="6">
        <v>0</v>
      </c>
      <c r="U86" s="6">
        <v>3</v>
      </c>
      <c r="V86" s="6">
        <v>1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1</v>
      </c>
      <c r="AD86" s="6">
        <v>1</v>
      </c>
      <c r="AE86" s="5">
        <f t="shared" si="33"/>
        <v>17</v>
      </c>
    </row>
    <row r="87" spans="1:31" x14ac:dyDescent="0.4">
      <c r="A87" s="7"/>
      <c r="B87" s="52"/>
      <c r="C87" s="24" t="s">
        <v>154</v>
      </c>
      <c r="D87" s="50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1</v>
      </c>
      <c r="P87" s="6">
        <v>1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1</v>
      </c>
      <c r="X87" s="6">
        <v>1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5">
        <f t="shared" si="33"/>
        <v>7</v>
      </c>
    </row>
    <row r="88" spans="1:31" x14ac:dyDescent="0.4">
      <c r="A88" s="7"/>
      <c r="B88" s="52"/>
      <c r="C88" s="24" t="s">
        <v>155</v>
      </c>
      <c r="D88" s="50"/>
      <c r="E88" s="6">
        <v>0</v>
      </c>
      <c r="F88" s="6">
        <v>3</v>
      </c>
      <c r="G88" s="6">
        <v>0</v>
      </c>
      <c r="H88" s="6">
        <v>2</v>
      </c>
      <c r="I88" s="6">
        <v>0</v>
      </c>
      <c r="J88" s="6">
        <v>0</v>
      </c>
      <c r="K88" s="6">
        <v>1</v>
      </c>
      <c r="L88" s="6">
        <v>0</v>
      </c>
      <c r="M88" s="6">
        <v>1</v>
      </c>
      <c r="N88" s="6">
        <v>2</v>
      </c>
      <c r="O88" s="6">
        <v>1</v>
      </c>
      <c r="P88" s="6">
        <v>0</v>
      </c>
      <c r="Q88" s="6">
        <v>0</v>
      </c>
      <c r="R88" s="6">
        <v>0</v>
      </c>
      <c r="S88" s="6">
        <v>1</v>
      </c>
      <c r="T88" s="6">
        <v>0</v>
      </c>
      <c r="U88" s="6">
        <v>0</v>
      </c>
      <c r="V88" s="6">
        <v>0</v>
      </c>
      <c r="W88" s="6">
        <v>1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5">
        <f t="shared" si="33"/>
        <v>12</v>
      </c>
    </row>
    <row r="89" spans="1:31" x14ac:dyDescent="0.4">
      <c r="A89" s="7"/>
      <c r="B89" s="52"/>
      <c r="C89" s="24" t="s">
        <v>156</v>
      </c>
      <c r="D89" s="50"/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5">
        <f t="shared" si="33"/>
        <v>1</v>
      </c>
    </row>
    <row r="90" spans="1:31" x14ac:dyDescent="0.4">
      <c r="A90" s="7"/>
      <c r="B90" s="52"/>
      <c r="C90" s="24" t="s">
        <v>157</v>
      </c>
      <c r="D90" s="50"/>
      <c r="E90" s="6">
        <v>1</v>
      </c>
      <c r="F90" s="6">
        <v>0</v>
      </c>
      <c r="G90" s="6">
        <v>0</v>
      </c>
      <c r="H90" s="6">
        <v>0</v>
      </c>
      <c r="I90" s="6">
        <v>0</v>
      </c>
      <c r="J90" s="6">
        <v>1</v>
      </c>
      <c r="K90" s="6">
        <v>1</v>
      </c>
      <c r="L90" s="6">
        <v>1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</v>
      </c>
      <c r="X90" s="6">
        <v>0</v>
      </c>
      <c r="Y90" s="6">
        <v>2</v>
      </c>
      <c r="Z90" s="6">
        <v>1</v>
      </c>
      <c r="AA90" s="6">
        <v>0</v>
      </c>
      <c r="AB90" s="6">
        <v>0</v>
      </c>
      <c r="AC90" s="6">
        <v>0</v>
      </c>
      <c r="AD90" s="6">
        <v>0</v>
      </c>
      <c r="AE90" s="5">
        <f t="shared" si="33"/>
        <v>8</v>
      </c>
    </row>
    <row r="91" spans="1:31" x14ac:dyDescent="0.4">
      <c r="A91" s="6" t="s">
        <v>26</v>
      </c>
      <c r="B91" s="67" t="s">
        <v>51</v>
      </c>
      <c r="C91" s="83"/>
      <c r="D91" s="74"/>
      <c r="E91" s="5">
        <f t="shared" ref="E91:AE91" si="34">SUM(E81:E90)</f>
        <v>17</v>
      </c>
      <c r="F91" s="5">
        <f t="shared" si="34"/>
        <v>23</v>
      </c>
      <c r="G91" s="5">
        <f t="shared" si="34"/>
        <v>24</v>
      </c>
      <c r="H91" s="5">
        <f t="shared" si="34"/>
        <v>23</v>
      </c>
      <c r="I91" s="5">
        <f t="shared" si="34"/>
        <v>16</v>
      </c>
      <c r="J91" s="5">
        <f t="shared" si="34"/>
        <v>10</v>
      </c>
      <c r="K91" s="5">
        <f t="shared" si="34"/>
        <v>32</v>
      </c>
      <c r="L91" s="5">
        <f t="shared" si="34"/>
        <v>50</v>
      </c>
      <c r="M91" s="5">
        <f t="shared" si="34"/>
        <v>30</v>
      </c>
      <c r="N91" s="5">
        <f t="shared" si="34"/>
        <v>32</v>
      </c>
      <c r="O91" s="5">
        <f t="shared" si="34"/>
        <v>24</v>
      </c>
      <c r="P91" s="5">
        <f t="shared" si="34"/>
        <v>18</v>
      </c>
      <c r="Q91" s="5">
        <f t="shared" si="34"/>
        <v>10</v>
      </c>
      <c r="R91" s="5">
        <f t="shared" si="34"/>
        <v>7</v>
      </c>
      <c r="S91" s="5">
        <f t="shared" si="34"/>
        <v>24</v>
      </c>
      <c r="T91" s="5">
        <f t="shared" si="34"/>
        <v>39</v>
      </c>
      <c r="U91" s="5">
        <f t="shared" si="34"/>
        <v>35</v>
      </c>
      <c r="V91" s="5">
        <f t="shared" si="34"/>
        <v>17</v>
      </c>
      <c r="W91" s="5">
        <f t="shared" si="34"/>
        <v>32</v>
      </c>
      <c r="X91" s="5">
        <f t="shared" si="34"/>
        <v>20</v>
      </c>
      <c r="Y91" s="5">
        <f t="shared" si="34"/>
        <v>23</v>
      </c>
      <c r="Z91" s="5">
        <f t="shared" si="34"/>
        <v>8</v>
      </c>
      <c r="AA91" s="5">
        <f t="shared" si="34"/>
        <v>17</v>
      </c>
      <c r="AB91" s="5">
        <f t="shared" si="34"/>
        <v>14</v>
      </c>
      <c r="AC91" s="5">
        <f t="shared" si="34"/>
        <v>43</v>
      </c>
      <c r="AD91" s="5">
        <f t="shared" si="34"/>
        <v>29</v>
      </c>
      <c r="AE91" s="5">
        <f t="shared" si="34"/>
        <v>617</v>
      </c>
    </row>
    <row r="92" spans="1:31" x14ac:dyDescent="0.4">
      <c r="A92" s="84"/>
      <c r="B92" s="85"/>
      <c r="C92" s="85"/>
      <c r="D92" s="85"/>
      <c r="E92" s="85"/>
    </row>
    <row r="93" spans="1:31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1</v>
      </c>
      <c r="G93" s="6">
        <v>0</v>
      </c>
      <c r="H93" s="6">
        <v>4</v>
      </c>
      <c r="I93" s="6">
        <v>0</v>
      </c>
      <c r="J93" s="6">
        <v>2</v>
      </c>
      <c r="K93" s="6">
        <v>0</v>
      </c>
      <c r="L93" s="6">
        <v>0</v>
      </c>
      <c r="M93" s="6">
        <v>0</v>
      </c>
      <c r="N93" s="6">
        <v>1</v>
      </c>
      <c r="O93" s="6">
        <v>0</v>
      </c>
      <c r="P93" s="6">
        <v>2</v>
      </c>
      <c r="Q93" s="6">
        <v>0</v>
      </c>
      <c r="R93" s="6">
        <v>0</v>
      </c>
      <c r="S93" s="6">
        <v>1</v>
      </c>
      <c r="T93" s="6">
        <v>1</v>
      </c>
      <c r="U93" s="6">
        <v>1</v>
      </c>
      <c r="V93" s="6">
        <v>0</v>
      </c>
      <c r="W93" s="6">
        <v>1</v>
      </c>
      <c r="X93" s="6">
        <v>2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1</v>
      </c>
      <c r="AE93" s="5">
        <f t="shared" ref="AE93:AE102" si="35">SUM(E93:AD93)</f>
        <v>17</v>
      </c>
    </row>
    <row r="94" spans="1:31" x14ac:dyDescent="0.4">
      <c r="A94" s="11" t="s">
        <v>50</v>
      </c>
      <c r="B94" s="52"/>
      <c r="C94" s="24" t="s">
        <v>158</v>
      </c>
      <c r="D94" s="50"/>
      <c r="E94" s="6">
        <v>15</v>
      </c>
      <c r="F94" s="6">
        <v>12</v>
      </c>
      <c r="G94" s="6">
        <v>1</v>
      </c>
      <c r="H94" s="6">
        <v>0</v>
      </c>
      <c r="I94" s="6">
        <v>1</v>
      </c>
      <c r="J94" s="6">
        <v>0</v>
      </c>
      <c r="K94" s="6">
        <v>1</v>
      </c>
      <c r="L94" s="6">
        <v>0</v>
      </c>
      <c r="M94" s="6">
        <v>2</v>
      </c>
      <c r="N94" s="6">
        <v>1</v>
      </c>
      <c r="O94" s="6">
        <v>0</v>
      </c>
      <c r="P94" s="6">
        <v>0</v>
      </c>
      <c r="Q94" s="6">
        <v>3</v>
      </c>
      <c r="R94" s="6">
        <v>0</v>
      </c>
      <c r="S94" s="6">
        <v>0</v>
      </c>
      <c r="T94" s="6">
        <v>1</v>
      </c>
      <c r="U94" s="6">
        <v>0</v>
      </c>
      <c r="V94" s="6">
        <v>0</v>
      </c>
      <c r="W94" s="6">
        <v>1</v>
      </c>
      <c r="X94" s="6">
        <v>12</v>
      </c>
      <c r="Y94" s="6">
        <v>0</v>
      </c>
      <c r="Z94" s="6">
        <v>0</v>
      </c>
      <c r="AA94" s="6">
        <v>0</v>
      </c>
      <c r="AB94" s="6">
        <v>0</v>
      </c>
      <c r="AC94" s="6">
        <v>1</v>
      </c>
      <c r="AD94" s="6">
        <v>2</v>
      </c>
      <c r="AE94" s="5">
        <f t="shared" si="35"/>
        <v>53</v>
      </c>
    </row>
    <row r="95" spans="1:31" x14ac:dyDescent="0.4">
      <c r="A95" s="7"/>
      <c r="B95" s="52"/>
      <c r="C95" s="24" t="s">
        <v>159</v>
      </c>
      <c r="D95" s="50"/>
      <c r="E95" s="6">
        <v>0</v>
      </c>
      <c r="F95" s="6">
        <v>0</v>
      </c>
      <c r="G95" s="6">
        <v>1</v>
      </c>
      <c r="H95" s="6">
        <v>0</v>
      </c>
      <c r="I95" s="6">
        <v>1</v>
      </c>
      <c r="J95" s="6">
        <v>0</v>
      </c>
      <c r="K95" s="6">
        <v>4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2</v>
      </c>
      <c r="X95" s="6">
        <v>3</v>
      </c>
      <c r="Y95" s="6">
        <v>1</v>
      </c>
      <c r="Z95" s="6">
        <v>0</v>
      </c>
      <c r="AA95" s="6">
        <v>0</v>
      </c>
      <c r="AB95" s="6">
        <v>0</v>
      </c>
      <c r="AC95" s="6">
        <v>0</v>
      </c>
      <c r="AD95" s="6">
        <v>1</v>
      </c>
      <c r="AE95" s="5">
        <f t="shared" si="35"/>
        <v>14</v>
      </c>
    </row>
    <row r="96" spans="1:31" ht="13.15" customHeight="1" x14ac:dyDescent="0.4">
      <c r="A96" s="7"/>
      <c r="B96" s="52"/>
      <c r="C96" s="24" t="s">
        <v>160</v>
      </c>
      <c r="D96" s="50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5">
        <f t="shared" si="35"/>
        <v>2</v>
      </c>
    </row>
    <row r="97" spans="1:31" x14ac:dyDescent="0.4">
      <c r="A97" s="7"/>
      <c r="B97" s="52"/>
      <c r="C97" s="24" t="s">
        <v>161</v>
      </c>
      <c r="D97" s="50"/>
      <c r="E97" s="6">
        <v>1</v>
      </c>
      <c r="F97" s="6">
        <v>1</v>
      </c>
      <c r="G97" s="6">
        <v>0</v>
      </c>
      <c r="H97" s="6">
        <v>0</v>
      </c>
      <c r="I97" s="6">
        <v>0</v>
      </c>
      <c r="J97" s="6">
        <v>1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>
        <v>1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5">
        <f t="shared" si="35"/>
        <v>5</v>
      </c>
    </row>
    <row r="98" spans="1:31" x14ac:dyDescent="0.4">
      <c r="A98" s="7"/>
      <c r="B98" s="52"/>
      <c r="C98" s="24" t="s">
        <v>162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0</v>
      </c>
      <c r="L98" s="6">
        <v>0</v>
      </c>
      <c r="M98" s="6">
        <v>1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5">
        <f t="shared" si="35"/>
        <v>2</v>
      </c>
    </row>
    <row r="99" spans="1:31" x14ac:dyDescent="0.4">
      <c r="A99" s="7"/>
      <c r="B99" s="52"/>
      <c r="C99" s="24" t="s">
        <v>163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5">
        <f t="shared" si="35"/>
        <v>0</v>
      </c>
    </row>
    <row r="100" spans="1:31" x14ac:dyDescent="0.4">
      <c r="A100" s="7"/>
      <c r="B100" s="52"/>
      <c r="C100" s="24" t="s">
        <v>164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1</v>
      </c>
      <c r="AE100" s="5">
        <f t="shared" si="35"/>
        <v>2</v>
      </c>
    </row>
    <row r="101" spans="1:31" x14ac:dyDescent="0.4">
      <c r="A101" s="7"/>
      <c r="B101" s="52"/>
      <c r="C101" s="24" t="s">
        <v>165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5">
        <f t="shared" si="35"/>
        <v>0</v>
      </c>
    </row>
    <row r="102" spans="1:31" x14ac:dyDescent="0.4">
      <c r="A102" s="7"/>
      <c r="B102" s="52"/>
      <c r="C102" s="24" t="s">
        <v>166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5">
        <f t="shared" si="35"/>
        <v>0</v>
      </c>
    </row>
    <row r="103" spans="1:31" x14ac:dyDescent="0.4">
      <c r="A103" s="6" t="s">
        <v>26</v>
      </c>
      <c r="B103" s="67" t="s">
        <v>51</v>
      </c>
      <c r="C103" s="83"/>
      <c r="D103" s="74"/>
      <c r="E103" s="5">
        <f t="shared" ref="E103:AE103" si="36">SUM(E93:E102)</f>
        <v>17</v>
      </c>
      <c r="F103" s="5">
        <f t="shared" si="36"/>
        <v>14</v>
      </c>
      <c r="G103" s="5">
        <f t="shared" si="36"/>
        <v>2</v>
      </c>
      <c r="H103" s="5">
        <f t="shared" si="36"/>
        <v>4</v>
      </c>
      <c r="I103" s="5">
        <f t="shared" si="36"/>
        <v>2</v>
      </c>
      <c r="J103" s="5">
        <f t="shared" si="36"/>
        <v>4</v>
      </c>
      <c r="K103" s="5">
        <f t="shared" si="36"/>
        <v>5</v>
      </c>
      <c r="L103" s="5">
        <f t="shared" si="36"/>
        <v>1</v>
      </c>
      <c r="M103" s="5">
        <f t="shared" si="36"/>
        <v>3</v>
      </c>
      <c r="N103" s="5">
        <f t="shared" si="36"/>
        <v>2</v>
      </c>
      <c r="O103" s="5">
        <f t="shared" si="36"/>
        <v>2</v>
      </c>
      <c r="P103" s="5">
        <f t="shared" si="36"/>
        <v>3</v>
      </c>
      <c r="Q103" s="5">
        <f t="shared" si="36"/>
        <v>3</v>
      </c>
      <c r="R103" s="5">
        <f t="shared" si="36"/>
        <v>0</v>
      </c>
      <c r="S103" s="5">
        <f t="shared" si="36"/>
        <v>1</v>
      </c>
      <c r="T103" s="5">
        <f t="shared" si="36"/>
        <v>3</v>
      </c>
      <c r="U103" s="5">
        <f t="shared" si="36"/>
        <v>1</v>
      </c>
      <c r="V103" s="5">
        <f t="shared" si="36"/>
        <v>0</v>
      </c>
      <c r="W103" s="5">
        <f t="shared" si="36"/>
        <v>4</v>
      </c>
      <c r="X103" s="5">
        <f t="shared" si="36"/>
        <v>17</v>
      </c>
      <c r="Y103" s="5">
        <f t="shared" si="36"/>
        <v>1</v>
      </c>
      <c r="Z103" s="5">
        <f t="shared" si="36"/>
        <v>0</v>
      </c>
      <c r="AA103" s="5">
        <f t="shared" si="36"/>
        <v>0</v>
      </c>
      <c r="AB103" s="5">
        <f t="shared" si="36"/>
        <v>0</v>
      </c>
      <c r="AC103" s="5">
        <f t="shared" si="36"/>
        <v>1</v>
      </c>
      <c r="AD103" s="5">
        <f t="shared" si="36"/>
        <v>5</v>
      </c>
      <c r="AE103" s="5">
        <f t="shared" si="36"/>
        <v>95</v>
      </c>
    </row>
    <row r="104" spans="1:31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1</v>
      </c>
      <c r="G105" s="6">
        <v>0</v>
      </c>
      <c r="H105" s="6">
        <v>0</v>
      </c>
      <c r="I105" s="6">
        <v>0</v>
      </c>
      <c r="J105" s="6">
        <v>0</v>
      </c>
      <c r="K105" s="6">
        <v>2</v>
      </c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1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1</v>
      </c>
      <c r="AC105" s="6">
        <v>0</v>
      </c>
      <c r="AD105" s="6">
        <v>0</v>
      </c>
      <c r="AE105" s="5">
        <f>SUM(E105:AD105)</f>
        <v>6</v>
      </c>
    </row>
    <row r="106" spans="1:31" x14ac:dyDescent="0.4">
      <c r="A106" s="11" t="s">
        <v>50</v>
      </c>
      <c r="B106" s="52"/>
      <c r="C106" s="24" t="s">
        <v>167</v>
      </c>
      <c r="D106" s="50"/>
      <c r="E106" s="6">
        <v>0</v>
      </c>
      <c r="F106" s="6">
        <v>0</v>
      </c>
      <c r="G106" s="6">
        <v>1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1</v>
      </c>
      <c r="P106" s="6">
        <v>1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5">
        <f>SUM(E106:AD106)</f>
        <v>6</v>
      </c>
    </row>
    <row r="107" spans="1:31" ht="13.15" customHeight="1" x14ac:dyDescent="0.4">
      <c r="A107" s="7"/>
      <c r="B107" s="52"/>
      <c r="C107" s="24" t="s">
        <v>168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1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5">
        <f>SUM(E107:AD107)</f>
        <v>1</v>
      </c>
    </row>
    <row r="108" spans="1:31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49"/>
    </row>
    <row r="109" spans="1:31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49"/>
    </row>
    <row r="110" spans="1:31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49"/>
    </row>
    <row r="111" spans="1:31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49"/>
    </row>
    <row r="112" spans="1:31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49"/>
    </row>
    <row r="113" spans="1:33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49"/>
    </row>
    <row r="114" spans="1:33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49"/>
    </row>
    <row r="115" spans="1:33" ht="13.15" customHeight="1" x14ac:dyDescent="0.4">
      <c r="A115" s="6" t="s">
        <v>26</v>
      </c>
      <c r="B115" s="67" t="s">
        <v>51</v>
      </c>
      <c r="C115" s="68"/>
      <c r="D115" s="69"/>
      <c r="E115" s="5">
        <f t="shared" ref="E115:AE115" si="37">SUM(E105:E114)</f>
        <v>0</v>
      </c>
      <c r="F115" s="5">
        <f t="shared" si="37"/>
        <v>1</v>
      </c>
      <c r="G115" s="5">
        <f t="shared" si="37"/>
        <v>1</v>
      </c>
      <c r="H115" s="5">
        <f t="shared" si="37"/>
        <v>1</v>
      </c>
      <c r="I115" s="5">
        <f t="shared" si="37"/>
        <v>0</v>
      </c>
      <c r="J115" s="5">
        <f t="shared" si="37"/>
        <v>0</v>
      </c>
      <c r="K115" s="5">
        <f t="shared" si="37"/>
        <v>2</v>
      </c>
      <c r="L115" s="5">
        <f t="shared" si="37"/>
        <v>1</v>
      </c>
      <c r="M115" s="5">
        <f t="shared" si="37"/>
        <v>0</v>
      </c>
      <c r="N115" s="5">
        <f t="shared" si="37"/>
        <v>1</v>
      </c>
      <c r="O115" s="5">
        <f t="shared" si="37"/>
        <v>1</v>
      </c>
      <c r="P115" s="5">
        <f t="shared" si="37"/>
        <v>1</v>
      </c>
      <c r="Q115" s="5">
        <f t="shared" si="37"/>
        <v>0</v>
      </c>
      <c r="R115" s="5">
        <f t="shared" si="37"/>
        <v>0</v>
      </c>
      <c r="S115" s="5">
        <f t="shared" si="37"/>
        <v>0</v>
      </c>
      <c r="T115" s="5">
        <f t="shared" si="37"/>
        <v>1</v>
      </c>
      <c r="U115" s="5">
        <f t="shared" si="37"/>
        <v>1</v>
      </c>
      <c r="V115" s="5">
        <f t="shared" si="37"/>
        <v>0</v>
      </c>
      <c r="W115" s="5">
        <f t="shared" si="37"/>
        <v>0</v>
      </c>
      <c r="X115" s="5">
        <f t="shared" si="37"/>
        <v>0</v>
      </c>
      <c r="Y115" s="5">
        <f t="shared" si="37"/>
        <v>0</v>
      </c>
      <c r="Z115" s="5">
        <f t="shared" si="37"/>
        <v>0</v>
      </c>
      <c r="AA115" s="5">
        <f t="shared" si="37"/>
        <v>0</v>
      </c>
      <c r="AB115" s="5">
        <f t="shared" si="37"/>
        <v>1</v>
      </c>
      <c r="AC115" s="5">
        <f t="shared" si="37"/>
        <v>0</v>
      </c>
      <c r="AD115" s="5">
        <f t="shared" si="37"/>
        <v>1</v>
      </c>
      <c r="AE115" s="5">
        <f t="shared" si="37"/>
        <v>13</v>
      </c>
    </row>
    <row r="116" spans="1:33" x14ac:dyDescent="0.4">
      <c r="A116" s="70"/>
      <c r="B116" s="71"/>
      <c r="C116" s="71"/>
      <c r="D116" s="71"/>
      <c r="E116" s="7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5"/>
    </row>
    <row r="117" spans="1:33" x14ac:dyDescent="0.4">
      <c r="A117" s="11" t="s">
        <v>48</v>
      </c>
      <c r="B117" s="17" t="s">
        <v>59</v>
      </c>
      <c r="C117" s="73" t="s">
        <v>60</v>
      </c>
      <c r="D117" s="74"/>
      <c r="E117" s="6">
        <v>1</v>
      </c>
      <c r="F117" s="6">
        <v>1</v>
      </c>
      <c r="G117" s="6">
        <v>3</v>
      </c>
      <c r="H117" s="6">
        <v>0</v>
      </c>
      <c r="I117" s="6">
        <v>2</v>
      </c>
      <c r="J117" s="6">
        <v>9</v>
      </c>
      <c r="K117" s="6">
        <v>11</v>
      </c>
      <c r="L117" s="6">
        <v>2</v>
      </c>
      <c r="M117" s="6">
        <v>1</v>
      </c>
      <c r="N117" s="6">
        <v>5</v>
      </c>
      <c r="O117" s="6">
        <v>3</v>
      </c>
      <c r="P117" s="6">
        <v>0</v>
      </c>
      <c r="Q117" s="6">
        <v>2</v>
      </c>
      <c r="R117" s="6">
        <v>0</v>
      </c>
      <c r="S117" s="6">
        <v>1</v>
      </c>
      <c r="T117" s="6">
        <v>3</v>
      </c>
      <c r="U117" s="6">
        <v>3</v>
      </c>
      <c r="V117" s="6">
        <v>0</v>
      </c>
      <c r="W117" s="6">
        <v>2</v>
      </c>
      <c r="X117" s="6">
        <v>2</v>
      </c>
      <c r="Y117" s="6">
        <v>0</v>
      </c>
      <c r="Z117" s="6">
        <v>1</v>
      </c>
      <c r="AA117" s="6">
        <v>0</v>
      </c>
      <c r="AB117" s="6">
        <v>4</v>
      </c>
      <c r="AC117" s="6">
        <v>2</v>
      </c>
      <c r="AD117" s="6">
        <v>3</v>
      </c>
      <c r="AE117" s="5">
        <f t="shared" ref="AE117:AE122" si="38">SUM(E117:AD117)</f>
        <v>61</v>
      </c>
      <c r="AF117" s="20"/>
      <c r="AG117" s="20"/>
    </row>
    <row r="118" spans="1:33" x14ac:dyDescent="0.4">
      <c r="A118" s="11" t="s">
        <v>50</v>
      </c>
      <c r="B118" s="52"/>
      <c r="C118" s="24" t="s">
        <v>169</v>
      </c>
      <c r="D118" s="50"/>
      <c r="E118" s="6">
        <v>1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1</v>
      </c>
      <c r="O118" s="6">
        <v>0</v>
      </c>
      <c r="P118" s="6">
        <v>0</v>
      </c>
      <c r="Q118" s="6">
        <v>2</v>
      </c>
      <c r="R118" s="6">
        <v>0</v>
      </c>
      <c r="S118" s="6">
        <v>1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1</v>
      </c>
      <c r="AA118" s="6">
        <v>0</v>
      </c>
      <c r="AB118" s="6">
        <v>1</v>
      </c>
      <c r="AC118" s="6">
        <v>0</v>
      </c>
      <c r="AD118" s="6">
        <v>0</v>
      </c>
      <c r="AE118" s="5">
        <f t="shared" si="38"/>
        <v>9</v>
      </c>
      <c r="AF118" s="20"/>
      <c r="AG118" s="20"/>
    </row>
    <row r="119" spans="1:33" x14ac:dyDescent="0.4">
      <c r="A119" s="7"/>
      <c r="B119" s="52"/>
      <c r="C119" s="24" t="s">
        <v>170</v>
      </c>
      <c r="D119" s="50"/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2</v>
      </c>
      <c r="P119" s="6">
        <v>0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1</v>
      </c>
      <c r="W119" s="6">
        <v>0</v>
      </c>
      <c r="X119" s="6">
        <v>0</v>
      </c>
      <c r="Y119" s="6">
        <v>0</v>
      </c>
      <c r="Z119" s="6">
        <v>1</v>
      </c>
      <c r="AA119" s="6">
        <v>0</v>
      </c>
      <c r="AB119" s="6">
        <v>1</v>
      </c>
      <c r="AC119" s="6">
        <v>0</v>
      </c>
      <c r="AD119" s="6">
        <v>0</v>
      </c>
      <c r="AE119" s="5">
        <f t="shared" si="38"/>
        <v>7</v>
      </c>
      <c r="AF119" s="20"/>
      <c r="AG119" s="20"/>
    </row>
    <row r="120" spans="1:33" x14ac:dyDescent="0.4">
      <c r="A120" s="7"/>
      <c r="B120" s="52"/>
      <c r="C120" s="24" t="s">
        <v>171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1</v>
      </c>
      <c r="J120" s="6">
        <v>0</v>
      </c>
      <c r="K120" s="6">
        <v>1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1</v>
      </c>
      <c r="AE120" s="5">
        <f t="shared" si="38"/>
        <v>3</v>
      </c>
      <c r="AF120" s="20"/>
      <c r="AG120" s="20"/>
    </row>
    <row r="121" spans="1:33" x14ac:dyDescent="0.4">
      <c r="A121" s="7"/>
      <c r="B121" s="52"/>
      <c r="C121" s="24" t="s">
        <v>172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0</v>
      </c>
      <c r="M121" s="6">
        <v>0</v>
      </c>
      <c r="N121" s="6">
        <v>0</v>
      </c>
      <c r="O121" s="6">
        <v>1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1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5">
        <f t="shared" si="38"/>
        <v>3</v>
      </c>
      <c r="AF121" s="20"/>
      <c r="AG121" s="20"/>
    </row>
    <row r="122" spans="1:33" x14ac:dyDescent="0.4">
      <c r="A122" s="7"/>
      <c r="B122" s="52"/>
      <c r="C122" s="24" t="s">
        <v>173</v>
      </c>
      <c r="D122" s="50"/>
      <c r="E122" s="6">
        <v>0</v>
      </c>
      <c r="F122" s="6">
        <v>0</v>
      </c>
      <c r="G122" s="6">
        <v>0</v>
      </c>
      <c r="H122" s="6">
        <v>1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5">
        <f t="shared" si="38"/>
        <v>1</v>
      </c>
      <c r="AF122" s="20"/>
      <c r="AG122" s="20"/>
    </row>
    <row r="123" spans="1:33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49"/>
      <c r="AF123" s="20"/>
      <c r="AG123" s="20"/>
    </row>
    <row r="124" spans="1:33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49"/>
      <c r="AF124" s="20"/>
      <c r="AG124" s="20"/>
    </row>
    <row r="125" spans="1:33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49"/>
      <c r="AF125" s="20"/>
      <c r="AG125" s="20"/>
    </row>
    <row r="126" spans="1:33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49"/>
      <c r="AF126" s="20"/>
      <c r="AG126" s="20"/>
    </row>
    <row r="127" spans="1:33" x14ac:dyDescent="0.4">
      <c r="A127" s="6" t="s">
        <v>26</v>
      </c>
      <c r="B127" s="67" t="s">
        <v>51</v>
      </c>
      <c r="C127" s="68"/>
      <c r="D127" s="69"/>
      <c r="E127" s="5">
        <f t="shared" ref="E127:AE127" si="39">SUM(E117:E126)</f>
        <v>3</v>
      </c>
      <c r="F127" s="5">
        <f t="shared" si="39"/>
        <v>2</v>
      </c>
      <c r="G127" s="5">
        <f t="shared" si="39"/>
        <v>3</v>
      </c>
      <c r="H127" s="5">
        <f t="shared" si="39"/>
        <v>1</v>
      </c>
      <c r="I127" s="5">
        <f t="shared" si="39"/>
        <v>3</v>
      </c>
      <c r="J127" s="5">
        <f t="shared" si="39"/>
        <v>9</v>
      </c>
      <c r="K127" s="5">
        <f t="shared" si="39"/>
        <v>13</v>
      </c>
      <c r="L127" s="5">
        <f t="shared" si="39"/>
        <v>3</v>
      </c>
      <c r="M127" s="5">
        <f t="shared" si="39"/>
        <v>1</v>
      </c>
      <c r="N127" s="5">
        <f t="shared" si="39"/>
        <v>6</v>
      </c>
      <c r="O127" s="5">
        <f t="shared" si="39"/>
        <v>6</v>
      </c>
      <c r="P127" s="5">
        <f t="shared" si="39"/>
        <v>0</v>
      </c>
      <c r="Q127" s="5">
        <f t="shared" si="39"/>
        <v>5</v>
      </c>
      <c r="R127" s="5">
        <f t="shared" si="39"/>
        <v>0</v>
      </c>
      <c r="S127" s="5">
        <f t="shared" si="39"/>
        <v>2</v>
      </c>
      <c r="T127" s="5">
        <f t="shared" si="39"/>
        <v>3</v>
      </c>
      <c r="U127" s="5">
        <f t="shared" si="39"/>
        <v>4</v>
      </c>
      <c r="V127" s="5">
        <f t="shared" si="39"/>
        <v>1</v>
      </c>
      <c r="W127" s="5">
        <f t="shared" si="39"/>
        <v>2</v>
      </c>
      <c r="X127" s="5">
        <f t="shared" si="39"/>
        <v>2</v>
      </c>
      <c r="Y127" s="5">
        <f t="shared" si="39"/>
        <v>0</v>
      </c>
      <c r="Z127" s="5">
        <f t="shared" si="39"/>
        <v>3</v>
      </c>
      <c r="AA127" s="5">
        <f t="shared" si="39"/>
        <v>0</v>
      </c>
      <c r="AB127" s="5">
        <f t="shared" si="39"/>
        <v>6</v>
      </c>
      <c r="AC127" s="5">
        <f t="shared" si="39"/>
        <v>2</v>
      </c>
      <c r="AD127" s="5">
        <f t="shared" si="39"/>
        <v>4</v>
      </c>
      <c r="AE127" s="5">
        <f t="shared" si="39"/>
        <v>84</v>
      </c>
      <c r="AF127" s="20"/>
      <c r="AG127" s="20"/>
    </row>
    <row r="128" spans="1:33" x14ac:dyDescent="0.4">
      <c r="A128" s="70"/>
      <c r="B128" s="71"/>
      <c r="C128" s="71"/>
      <c r="D128" s="71"/>
      <c r="E128" s="7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20"/>
      <c r="AG128" s="20"/>
    </row>
    <row r="129" spans="1:33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1</v>
      </c>
      <c r="G129" s="6">
        <v>0</v>
      </c>
      <c r="H129" s="6">
        <v>0</v>
      </c>
      <c r="I129" s="6">
        <v>1</v>
      </c>
      <c r="J129" s="6">
        <v>1</v>
      </c>
      <c r="K129" s="6">
        <v>0</v>
      </c>
      <c r="L129" s="6">
        <v>1</v>
      </c>
      <c r="M129" s="6">
        <v>1</v>
      </c>
      <c r="N129" s="6">
        <v>0</v>
      </c>
      <c r="O129" s="6">
        <v>1</v>
      </c>
      <c r="P129" s="6">
        <v>5</v>
      </c>
      <c r="Q129" s="6">
        <v>1</v>
      </c>
      <c r="R129" s="6">
        <v>0</v>
      </c>
      <c r="S129" s="6">
        <v>0</v>
      </c>
      <c r="T129" s="6">
        <v>1</v>
      </c>
      <c r="U129" s="6">
        <v>0</v>
      </c>
      <c r="V129" s="6">
        <v>1</v>
      </c>
      <c r="W129" s="6">
        <v>0</v>
      </c>
      <c r="X129" s="6">
        <v>0</v>
      </c>
      <c r="Y129" s="6">
        <v>2</v>
      </c>
      <c r="Z129" s="6">
        <v>0</v>
      </c>
      <c r="AA129" s="6">
        <v>1</v>
      </c>
      <c r="AB129" s="6">
        <v>0</v>
      </c>
      <c r="AC129" s="6">
        <v>0</v>
      </c>
      <c r="AD129" s="6">
        <v>0</v>
      </c>
      <c r="AE129" s="5">
        <f t="shared" ref="AE129:AE138" si="40">SUM(E129:AD129)</f>
        <v>17</v>
      </c>
      <c r="AF129" s="20"/>
      <c r="AG129" s="20"/>
    </row>
    <row r="130" spans="1:33" ht="13.15" customHeight="1" x14ac:dyDescent="0.4">
      <c r="A130" s="11" t="s">
        <v>50</v>
      </c>
      <c r="B130" s="52"/>
      <c r="C130" s="24" t="s">
        <v>174</v>
      </c>
      <c r="D130" s="53"/>
      <c r="E130" s="6">
        <v>1</v>
      </c>
      <c r="F130" s="6">
        <v>2</v>
      </c>
      <c r="G130" s="6">
        <v>0</v>
      </c>
      <c r="H130" s="6">
        <v>0</v>
      </c>
      <c r="I130" s="6">
        <v>0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1</v>
      </c>
      <c r="P130" s="6">
        <v>8</v>
      </c>
      <c r="Q130" s="6">
        <v>2</v>
      </c>
      <c r="R130" s="6">
        <v>0</v>
      </c>
      <c r="S130" s="6">
        <v>1</v>
      </c>
      <c r="T130" s="6">
        <v>0</v>
      </c>
      <c r="U130" s="6">
        <v>1</v>
      </c>
      <c r="V130" s="6">
        <v>2</v>
      </c>
      <c r="W130" s="6">
        <v>0</v>
      </c>
      <c r="X130" s="6">
        <v>0</v>
      </c>
      <c r="Y130" s="6">
        <v>1</v>
      </c>
      <c r="Z130" s="6">
        <v>0</v>
      </c>
      <c r="AA130" s="6">
        <v>2</v>
      </c>
      <c r="AB130" s="6">
        <v>0</v>
      </c>
      <c r="AC130" s="6">
        <v>2</v>
      </c>
      <c r="AD130" s="6">
        <v>0</v>
      </c>
      <c r="AE130" s="5">
        <f t="shared" si="40"/>
        <v>24</v>
      </c>
      <c r="AF130" s="1"/>
      <c r="AG130" s="1"/>
    </row>
    <row r="131" spans="1:33" x14ac:dyDescent="0.4">
      <c r="A131" s="7"/>
      <c r="B131" s="52"/>
      <c r="C131" s="24" t="s">
        <v>175</v>
      </c>
      <c r="D131" s="53"/>
      <c r="E131" s="6">
        <v>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1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1</v>
      </c>
      <c r="AB131" s="6">
        <v>0</v>
      </c>
      <c r="AC131" s="6">
        <v>0</v>
      </c>
      <c r="AD131" s="6">
        <v>0</v>
      </c>
      <c r="AE131" s="5">
        <f t="shared" si="40"/>
        <v>4</v>
      </c>
      <c r="AF131" s="27"/>
      <c r="AG131" s="27"/>
    </row>
    <row r="132" spans="1:33" x14ac:dyDescent="0.4">
      <c r="A132" s="7"/>
      <c r="B132" s="52"/>
      <c r="C132" s="24" t="s">
        <v>176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5">
        <f t="shared" si="40"/>
        <v>2</v>
      </c>
      <c r="AF132" s="20"/>
      <c r="AG132" s="20"/>
    </row>
    <row r="133" spans="1:33" x14ac:dyDescent="0.4">
      <c r="A133" s="7"/>
      <c r="B133" s="52"/>
      <c r="C133" s="24" t="s">
        <v>177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1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5">
        <f t="shared" si="40"/>
        <v>1</v>
      </c>
      <c r="AF133" s="20"/>
      <c r="AG133" s="20"/>
    </row>
    <row r="134" spans="1:33" x14ac:dyDescent="0.4">
      <c r="A134" s="7"/>
      <c r="B134" s="52"/>
      <c r="C134" s="24" t="s">
        <v>178</v>
      </c>
      <c r="D134" s="53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1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5">
        <f t="shared" si="40"/>
        <v>1</v>
      </c>
      <c r="AF134" s="20"/>
      <c r="AG134" s="20"/>
    </row>
    <row r="135" spans="1:33" x14ac:dyDescent="0.4">
      <c r="A135" s="7"/>
      <c r="B135" s="52"/>
      <c r="C135" s="24" t="s">
        <v>179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1</v>
      </c>
      <c r="N135" s="6">
        <v>0</v>
      </c>
      <c r="O135" s="6">
        <v>1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5">
        <f t="shared" si="40"/>
        <v>2</v>
      </c>
      <c r="AF135" s="20"/>
      <c r="AG135" s="20"/>
    </row>
    <row r="136" spans="1:33" x14ac:dyDescent="0.4">
      <c r="A136" s="7"/>
      <c r="B136" s="52"/>
      <c r="C136" s="24" t="s">
        <v>180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0</v>
      </c>
      <c r="P136" s="6">
        <v>0</v>
      </c>
      <c r="Q136" s="6">
        <v>0</v>
      </c>
      <c r="R136" s="6">
        <v>2</v>
      </c>
      <c r="S136" s="6">
        <v>4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5">
        <f t="shared" si="40"/>
        <v>7</v>
      </c>
      <c r="AF136" s="20"/>
      <c r="AG136" s="20"/>
    </row>
    <row r="137" spans="1:33" x14ac:dyDescent="0.4">
      <c r="A137" s="7"/>
      <c r="B137" s="52"/>
      <c r="C137" s="24" t="s">
        <v>181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5">
        <f t="shared" si="40"/>
        <v>1</v>
      </c>
      <c r="AF137" s="20"/>
      <c r="AG137" s="20"/>
    </row>
    <row r="138" spans="1:33" x14ac:dyDescent="0.4">
      <c r="A138" s="7"/>
      <c r="B138" s="52"/>
      <c r="C138" s="24" t="s">
        <v>182</v>
      </c>
      <c r="D138" s="53"/>
      <c r="E138" s="6">
        <v>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6">
        <v>0</v>
      </c>
      <c r="V138" s="6">
        <v>0</v>
      </c>
      <c r="W138" s="6">
        <v>1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5">
        <f t="shared" si="40"/>
        <v>4</v>
      </c>
      <c r="AF138" s="20"/>
      <c r="AG138" s="20"/>
    </row>
    <row r="139" spans="1:33" x14ac:dyDescent="0.4">
      <c r="A139" s="6" t="s">
        <v>26</v>
      </c>
      <c r="B139" s="67" t="s">
        <v>51</v>
      </c>
      <c r="C139" s="68"/>
      <c r="D139" s="69"/>
      <c r="E139" s="5">
        <f t="shared" ref="E139:AE139" si="41">SUM(E129:E138)</f>
        <v>3</v>
      </c>
      <c r="F139" s="5">
        <f t="shared" si="41"/>
        <v>3</v>
      </c>
      <c r="G139" s="5">
        <f t="shared" si="41"/>
        <v>0</v>
      </c>
      <c r="H139" s="5">
        <f t="shared" si="41"/>
        <v>0</v>
      </c>
      <c r="I139" s="5">
        <f t="shared" si="41"/>
        <v>1</v>
      </c>
      <c r="J139" s="5">
        <f t="shared" si="41"/>
        <v>2</v>
      </c>
      <c r="K139" s="5">
        <f t="shared" si="41"/>
        <v>1</v>
      </c>
      <c r="L139" s="5">
        <f t="shared" si="41"/>
        <v>1</v>
      </c>
      <c r="M139" s="5">
        <f t="shared" si="41"/>
        <v>4</v>
      </c>
      <c r="N139" s="5">
        <f t="shared" si="41"/>
        <v>1</v>
      </c>
      <c r="O139" s="5">
        <f t="shared" si="41"/>
        <v>4</v>
      </c>
      <c r="P139" s="5">
        <f t="shared" si="41"/>
        <v>15</v>
      </c>
      <c r="Q139" s="5">
        <f t="shared" si="41"/>
        <v>3</v>
      </c>
      <c r="R139" s="5">
        <f t="shared" si="41"/>
        <v>3</v>
      </c>
      <c r="S139" s="5">
        <f t="shared" si="41"/>
        <v>6</v>
      </c>
      <c r="T139" s="5">
        <f t="shared" si="41"/>
        <v>1</v>
      </c>
      <c r="U139" s="5">
        <f t="shared" si="41"/>
        <v>2</v>
      </c>
      <c r="V139" s="5">
        <f t="shared" si="41"/>
        <v>3</v>
      </c>
      <c r="W139" s="5">
        <f t="shared" si="41"/>
        <v>1</v>
      </c>
      <c r="X139" s="5">
        <f t="shared" si="41"/>
        <v>0</v>
      </c>
      <c r="Y139" s="5">
        <f t="shared" si="41"/>
        <v>3</v>
      </c>
      <c r="Z139" s="5">
        <f t="shared" si="41"/>
        <v>0</v>
      </c>
      <c r="AA139" s="5">
        <f t="shared" si="41"/>
        <v>4</v>
      </c>
      <c r="AB139" s="5">
        <f t="shared" si="41"/>
        <v>0</v>
      </c>
      <c r="AC139" s="5">
        <f t="shared" si="41"/>
        <v>2</v>
      </c>
      <c r="AD139" s="5">
        <f t="shared" si="41"/>
        <v>0</v>
      </c>
      <c r="AE139" s="5">
        <f t="shared" si="41"/>
        <v>63</v>
      </c>
      <c r="AF139" s="20"/>
      <c r="AG139" s="20"/>
    </row>
    <row r="140" spans="1:33" x14ac:dyDescent="0.4">
      <c r="A140" s="70"/>
      <c r="B140" s="71"/>
      <c r="C140" s="71"/>
      <c r="D140" s="71"/>
      <c r="E140" s="72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20"/>
      <c r="AG140" s="20"/>
    </row>
    <row r="141" spans="1:33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5">
        <f>SUM(E141:AD141)</f>
        <v>0</v>
      </c>
      <c r="AF141" s="1"/>
      <c r="AG141" s="1"/>
    </row>
    <row r="142" spans="1:33" x14ac:dyDescent="0.4">
      <c r="A142" s="11" t="s">
        <v>50</v>
      </c>
      <c r="B142" s="52"/>
      <c r="C142" s="24" t="s">
        <v>183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1</v>
      </c>
      <c r="AD142" s="6">
        <v>0</v>
      </c>
      <c r="AE142" s="5">
        <f>SUM(E142:AD142)</f>
        <v>1</v>
      </c>
      <c r="AF142" s="27"/>
      <c r="AG142" s="27"/>
    </row>
    <row r="143" spans="1:33" x14ac:dyDescent="0.4">
      <c r="A143" s="7"/>
      <c r="B143" s="52"/>
      <c r="C143" s="24" t="s">
        <v>184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1</v>
      </c>
      <c r="AA143" s="6">
        <v>0</v>
      </c>
      <c r="AB143" s="6">
        <v>0</v>
      </c>
      <c r="AC143" s="6">
        <v>0</v>
      </c>
      <c r="AD143" s="6">
        <v>0</v>
      </c>
      <c r="AE143" s="5">
        <f>SUM(E143:AD143)</f>
        <v>1</v>
      </c>
      <c r="AF143" s="20"/>
      <c r="AG143" s="20"/>
    </row>
    <row r="144" spans="1:33" x14ac:dyDescent="0.4">
      <c r="A144" s="7"/>
      <c r="B144" s="52"/>
      <c r="C144" s="24" t="s">
        <v>185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5">
        <f>SUM(E144:AD144)</f>
        <v>0</v>
      </c>
      <c r="AF144" s="20"/>
      <c r="AG144" s="20"/>
    </row>
    <row r="145" spans="1:33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49"/>
      <c r="AF145" s="20"/>
      <c r="AG145" s="20"/>
    </row>
    <row r="146" spans="1:33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49"/>
      <c r="AF146" s="20"/>
      <c r="AG146" s="20"/>
    </row>
    <row r="147" spans="1:33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49"/>
      <c r="AF147" s="20"/>
      <c r="AG147" s="20"/>
    </row>
    <row r="148" spans="1:33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49"/>
      <c r="AF148" s="20"/>
      <c r="AG148" s="20"/>
    </row>
    <row r="149" spans="1:33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49"/>
      <c r="AF149" s="20"/>
      <c r="AG149" s="20"/>
    </row>
    <row r="150" spans="1:33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49"/>
      <c r="AF150" s="20"/>
      <c r="AG150" s="20"/>
    </row>
    <row r="151" spans="1:33" ht="13.15" customHeight="1" x14ac:dyDescent="0.4">
      <c r="A151" s="6" t="s">
        <v>26</v>
      </c>
      <c r="B151" s="67" t="s">
        <v>51</v>
      </c>
      <c r="C151" s="68"/>
      <c r="D151" s="69"/>
      <c r="E151" s="5">
        <f t="shared" ref="E151:AE151" si="42">SUM(E141:E150)</f>
        <v>0</v>
      </c>
      <c r="F151" s="5">
        <f t="shared" si="42"/>
        <v>0</v>
      </c>
      <c r="G151" s="5">
        <f t="shared" si="42"/>
        <v>0</v>
      </c>
      <c r="H151" s="5">
        <f t="shared" si="42"/>
        <v>0</v>
      </c>
      <c r="I151" s="5">
        <f t="shared" si="42"/>
        <v>0</v>
      </c>
      <c r="J151" s="5">
        <f t="shared" si="42"/>
        <v>0</v>
      </c>
      <c r="K151" s="5">
        <f t="shared" si="42"/>
        <v>0</v>
      </c>
      <c r="L151" s="5">
        <f t="shared" si="42"/>
        <v>0</v>
      </c>
      <c r="M151" s="5">
        <f t="shared" si="42"/>
        <v>0</v>
      </c>
      <c r="N151" s="5">
        <f t="shared" si="42"/>
        <v>0</v>
      </c>
      <c r="O151" s="5">
        <f t="shared" si="42"/>
        <v>0</v>
      </c>
      <c r="P151" s="5">
        <f t="shared" si="42"/>
        <v>0</v>
      </c>
      <c r="Q151" s="5">
        <f t="shared" si="42"/>
        <v>0</v>
      </c>
      <c r="R151" s="5">
        <f t="shared" si="42"/>
        <v>0</v>
      </c>
      <c r="S151" s="5">
        <f t="shared" si="42"/>
        <v>0</v>
      </c>
      <c r="T151" s="5">
        <f t="shared" si="42"/>
        <v>0</v>
      </c>
      <c r="U151" s="5">
        <f t="shared" si="42"/>
        <v>0</v>
      </c>
      <c r="V151" s="5">
        <f t="shared" si="42"/>
        <v>0</v>
      </c>
      <c r="W151" s="5">
        <f t="shared" si="42"/>
        <v>0</v>
      </c>
      <c r="X151" s="5">
        <f t="shared" si="42"/>
        <v>0</v>
      </c>
      <c r="Y151" s="5">
        <f t="shared" si="42"/>
        <v>0</v>
      </c>
      <c r="Z151" s="5">
        <f t="shared" si="42"/>
        <v>1</v>
      </c>
      <c r="AA151" s="5">
        <f t="shared" si="42"/>
        <v>0</v>
      </c>
      <c r="AB151" s="5">
        <f t="shared" si="42"/>
        <v>0</v>
      </c>
      <c r="AC151" s="5">
        <f t="shared" si="42"/>
        <v>1</v>
      </c>
      <c r="AD151" s="5">
        <f t="shared" si="42"/>
        <v>0</v>
      </c>
      <c r="AE151" s="5">
        <f t="shared" si="42"/>
        <v>2</v>
      </c>
      <c r="AF151" s="1"/>
      <c r="AG151" s="1"/>
    </row>
    <row r="152" spans="1:33" x14ac:dyDescent="0.4">
      <c r="A152" s="70"/>
      <c r="B152" s="71"/>
      <c r="C152" s="71"/>
      <c r="D152" s="71"/>
      <c r="E152" s="72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5"/>
      <c r="AF152" s="27"/>
      <c r="AG152" s="27"/>
    </row>
    <row r="153" spans="1:33" x14ac:dyDescent="0.4">
      <c r="A153" s="11" t="s">
        <v>48</v>
      </c>
      <c r="B153" s="44" t="s">
        <v>65</v>
      </c>
      <c r="C153" s="78" t="s">
        <v>66</v>
      </c>
      <c r="D153" s="79"/>
      <c r="E153" s="6">
        <v>2</v>
      </c>
      <c r="F153" s="6">
        <v>2</v>
      </c>
      <c r="G153" s="6">
        <v>2</v>
      </c>
      <c r="H153" s="6">
        <v>0</v>
      </c>
      <c r="I153" s="6">
        <v>1</v>
      </c>
      <c r="J153" s="6">
        <v>1</v>
      </c>
      <c r="K153" s="6">
        <v>3</v>
      </c>
      <c r="L153" s="6">
        <v>1</v>
      </c>
      <c r="M153" s="6">
        <v>0</v>
      </c>
      <c r="N153" s="6">
        <v>3</v>
      </c>
      <c r="O153" s="6">
        <v>0</v>
      </c>
      <c r="P153" s="6">
        <v>1</v>
      </c>
      <c r="Q153" s="6">
        <v>0</v>
      </c>
      <c r="R153" s="6">
        <v>0</v>
      </c>
      <c r="S153" s="6">
        <v>1</v>
      </c>
      <c r="T153" s="6">
        <v>0</v>
      </c>
      <c r="U153" s="6">
        <v>1</v>
      </c>
      <c r="V153" s="6">
        <v>0</v>
      </c>
      <c r="W153" s="6">
        <v>4</v>
      </c>
      <c r="X153" s="6">
        <v>0</v>
      </c>
      <c r="Y153" s="6">
        <v>0</v>
      </c>
      <c r="Z153" s="6">
        <v>0</v>
      </c>
      <c r="AA153" s="6">
        <v>0</v>
      </c>
      <c r="AB153" s="6">
        <v>1</v>
      </c>
      <c r="AC153" s="6">
        <v>1</v>
      </c>
      <c r="AD153" s="6">
        <v>1</v>
      </c>
      <c r="AE153" s="5">
        <f t="shared" ref="AE153:AE162" si="43">SUM(E153:AD153)</f>
        <v>25</v>
      </c>
      <c r="AF153" s="20"/>
      <c r="AG153" s="20"/>
    </row>
    <row r="154" spans="1:33" x14ac:dyDescent="0.4">
      <c r="A154" s="54" t="s">
        <v>50</v>
      </c>
      <c r="B154" s="56"/>
      <c r="C154" s="24" t="s">
        <v>186</v>
      </c>
      <c r="D154" s="57"/>
      <c r="E154" s="55">
        <v>1</v>
      </c>
      <c r="F154" s="6">
        <v>2</v>
      </c>
      <c r="G154" s="6">
        <v>1</v>
      </c>
      <c r="H154" s="6">
        <v>0</v>
      </c>
      <c r="I154" s="6">
        <v>0</v>
      </c>
      <c r="J154" s="6">
        <v>1</v>
      </c>
      <c r="K154" s="6">
        <v>2</v>
      </c>
      <c r="L154" s="6">
        <v>1</v>
      </c>
      <c r="M154" s="6">
        <v>0</v>
      </c>
      <c r="N154" s="6">
        <v>0</v>
      </c>
      <c r="O154" s="6">
        <v>0</v>
      </c>
      <c r="P154" s="6">
        <v>1</v>
      </c>
      <c r="Q154" s="6">
        <v>0</v>
      </c>
      <c r="R154" s="6">
        <v>0</v>
      </c>
      <c r="S154" s="6">
        <v>0</v>
      </c>
      <c r="T154" s="6">
        <v>1</v>
      </c>
      <c r="U154" s="6">
        <v>0</v>
      </c>
      <c r="V154" s="6">
        <v>0</v>
      </c>
      <c r="W154" s="6">
        <v>4</v>
      </c>
      <c r="X154" s="6">
        <v>0</v>
      </c>
      <c r="Y154" s="6">
        <v>0</v>
      </c>
      <c r="Z154" s="6">
        <v>0</v>
      </c>
      <c r="AA154" s="6">
        <v>0</v>
      </c>
      <c r="AB154" s="6">
        <v>2</v>
      </c>
      <c r="AC154" s="6">
        <v>0</v>
      </c>
      <c r="AD154" s="6">
        <v>1</v>
      </c>
      <c r="AE154" s="5">
        <f t="shared" si="43"/>
        <v>17</v>
      </c>
      <c r="AF154" s="20"/>
      <c r="AG154" s="20"/>
    </row>
    <row r="155" spans="1:33" x14ac:dyDescent="0.4">
      <c r="A155" s="7"/>
      <c r="B155" s="56"/>
      <c r="C155" s="24" t="s">
        <v>187</v>
      </c>
      <c r="D155" s="57"/>
      <c r="E155" s="55">
        <v>0</v>
      </c>
      <c r="F155" s="6">
        <v>1</v>
      </c>
      <c r="G155" s="6">
        <v>0</v>
      </c>
      <c r="H155" s="6">
        <v>2</v>
      </c>
      <c r="I155" s="6">
        <v>0</v>
      </c>
      <c r="J155" s="6">
        <v>0</v>
      </c>
      <c r="K155" s="6">
        <v>0</v>
      </c>
      <c r="L155" s="6">
        <v>1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1</v>
      </c>
      <c r="X155" s="6">
        <v>2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5">
        <f t="shared" si="43"/>
        <v>8</v>
      </c>
      <c r="AF155" s="20"/>
      <c r="AG155" s="20"/>
    </row>
    <row r="156" spans="1:33" x14ac:dyDescent="0.4">
      <c r="A156" s="7"/>
      <c r="B156" s="56"/>
      <c r="C156" s="24" t="s">
        <v>188</v>
      </c>
      <c r="D156" s="57"/>
      <c r="E156" s="55">
        <v>0</v>
      </c>
      <c r="F156" s="6">
        <v>0</v>
      </c>
      <c r="G156" s="6">
        <v>0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>
        <v>0</v>
      </c>
      <c r="Q156" s="6">
        <v>0</v>
      </c>
      <c r="R156" s="6">
        <v>0</v>
      </c>
      <c r="S156" s="6">
        <v>1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5">
        <f t="shared" si="43"/>
        <v>4</v>
      </c>
      <c r="AF156" s="20"/>
      <c r="AG156" s="20"/>
    </row>
    <row r="157" spans="1:33" x14ac:dyDescent="0.4">
      <c r="A157" s="7"/>
      <c r="B157" s="56"/>
      <c r="C157" s="24" t="s">
        <v>189</v>
      </c>
      <c r="D157" s="57"/>
      <c r="E157" s="55">
        <v>0</v>
      </c>
      <c r="F157" s="6">
        <v>0</v>
      </c>
      <c r="G157" s="6">
        <v>1</v>
      </c>
      <c r="H157" s="6">
        <v>0</v>
      </c>
      <c r="I157" s="6">
        <v>0</v>
      </c>
      <c r="J157" s="6">
        <v>1</v>
      </c>
      <c r="K157" s="6">
        <v>0</v>
      </c>
      <c r="L157" s="6">
        <v>0</v>
      </c>
      <c r="M157" s="6">
        <v>0</v>
      </c>
      <c r="N157" s="6">
        <v>1</v>
      </c>
      <c r="O157" s="6">
        <v>0</v>
      </c>
      <c r="P157" s="6">
        <v>0</v>
      </c>
      <c r="Q157" s="6">
        <v>0</v>
      </c>
      <c r="R157" s="6">
        <v>0</v>
      </c>
      <c r="S157" s="6">
        <v>1</v>
      </c>
      <c r="T157" s="6">
        <v>0</v>
      </c>
      <c r="U157" s="6">
        <v>0</v>
      </c>
      <c r="V157" s="6">
        <v>0</v>
      </c>
      <c r="W157" s="6">
        <v>0</v>
      </c>
      <c r="X157" s="6">
        <v>1</v>
      </c>
      <c r="Y157" s="6">
        <v>0</v>
      </c>
      <c r="Z157" s="6">
        <v>0</v>
      </c>
      <c r="AA157" s="6">
        <v>0</v>
      </c>
      <c r="AB157" s="6">
        <v>1</v>
      </c>
      <c r="AC157" s="6">
        <v>0</v>
      </c>
      <c r="AD157" s="6">
        <v>0</v>
      </c>
      <c r="AE157" s="5">
        <f t="shared" si="43"/>
        <v>6</v>
      </c>
      <c r="AF157" s="20"/>
      <c r="AG157" s="20"/>
    </row>
    <row r="158" spans="1:33" x14ac:dyDescent="0.4">
      <c r="A158" s="7"/>
      <c r="B158" s="56"/>
      <c r="C158" s="24" t="s">
        <v>190</v>
      </c>
      <c r="D158" s="57"/>
      <c r="E158" s="55">
        <v>0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1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5">
        <f t="shared" si="43"/>
        <v>2</v>
      </c>
      <c r="AF158" s="20"/>
      <c r="AG158" s="20"/>
    </row>
    <row r="159" spans="1:33" x14ac:dyDescent="0.4">
      <c r="A159" s="7"/>
      <c r="B159" s="56"/>
      <c r="C159" s="24" t="s">
        <v>191</v>
      </c>
      <c r="D159" s="57"/>
      <c r="E159" s="55">
        <v>0</v>
      </c>
      <c r="F159" s="6">
        <v>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5">
        <f t="shared" si="43"/>
        <v>2</v>
      </c>
      <c r="AF159" s="20"/>
      <c r="AG159" s="20"/>
    </row>
    <row r="160" spans="1:33" x14ac:dyDescent="0.4">
      <c r="A160" s="7"/>
      <c r="B160" s="56"/>
      <c r="C160" s="24" t="s">
        <v>192</v>
      </c>
      <c r="D160" s="57"/>
      <c r="E160" s="55">
        <v>1</v>
      </c>
      <c r="F160" s="6">
        <v>1</v>
      </c>
      <c r="G160" s="6">
        <v>1</v>
      </c>
      <c r="H160" s="6">
        <v>1</v>
      </c>
      <c r="I160" s="6">
        <v>1</v>
      </c>
      <c r="J160" s="6">
        <v>1</v>
      </c>
      <c r="K160" s="6">
        <v>5</v>
      </c>
      <c r="L160" s="6">
        <v>1</v>
      </c>
      <c r="M160" s="6">
        <v>2</v>
      </c>
      <c r="N160" s="6">
        <v>2</v>
      </c>
      <c r="O160" s="6">
        <v>0</v>
      </c>
      <c r="P160" s="6">
        <v>0</v>
      </c>
      <c r="Q160" s="6">
        <v>1</v>
      </c>
      <c r="R160" s="6">
        <v>1</v>
      </c>
      <c r="S160" s="6">
        <v>2</v>
      </c>
      <c r="T160" s="6">
        <v>0</v>
      </c>
      <c r="U160" s="6">
        <v>2</v>
      </c>
      <c r="V160" s="6">
        <v>0</v>
      </c>
      <c r="W160" s="6">
        <v>0</v>
      </c>
      <c r="X160" s="6">
        <v>1</v>
      </c>
      <c r="Y160" s="6">
        <v>0</v>
      </c>
      <c r="Z160" s="6">
        <v>1</v>
      </c>
      <c r="AA160" s="6">
        <v>2</v>
      </c>
      <c r="AB160" s="6">
        <v>2</v>
      </c>
      <c r="AC160" s="6">
        <v>0</v>
      </c>
      <c r="AD160" s="6">
        <v>2</v>
      </c>
      <c r="AE160" s="5">
        <f t="shared" si="43"/>
        <v>30</v>
      </c>
      <c r="AF160" s="20"/>
      <c r="AG160" s="20"/>
    </row>
    <row r="161" spans="1:33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5">
        <f t="shared" si="43"/>
        <v>0</v>
      </c>
      <c r="AF161" s="20"/>
      <c r="AG161" s="20"/>
    </row>
    <row r="162" spans="1:33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5">
        <f t="shared" si="43"/>
        <v>0</v>
      </c>
      <c r="AF162" s="20"/>
      <c r="AG162" s="20"/>
    </row>
    <row r="163" spans="1:33" x14ac:dyDescent="0.4">
      <c r="A163" s="6" t="s">
        <v>26</v>
      </c>
      <c r="B163" s="80" t="s">
        <v>51</v>
      </c>
      <c r="C163" s="81"/>
      <c r="D163" s="82"/>
      <c r="E163" s="5">
        <f t="shared" ref="E163:AE163" si="44">SUM(E153:E162)</f>
        <v>4</v>
      </c>
      <c r="F163" s="5">
        <f t="shared" si="44"/>
        <v>7</v>
      </c>
      <c r="G163" s="5">
        <f t="shared" si="44"/>
        <v>5</v>
      </c>
      <c r="H163" s="5">
        <f t="shared" si="44"/>
        <v>5</v>
      </c>
      <c r="I163" s="5">
        <f t="shared" si="44"/>
        <v>2</v>
      </c>
      <c r="J163" s="5">
        <f t="shared" si="44"/>
        <v>4</v>
      </c>
      <c r="K163" s="5">
        <f t="shared" si="44"/>
        <v>10</v>
      </c>
      <c r="L163" s="5">
        <f t="shared" si="44"/>
        <v>4</v>
      </c>
      <c r="M163" s="5">
        <f t="shared" si="44"/>
        <v>2</v>
      </c>
      <c r="N163" s="5">
        <f t="shared" si="44"/>
        <v>10</v>
      </c>
      <c r="O163" s="5">
        <f t="shared" si="44"/>
        <v>0</v>
      </c>
      <c r="P163" s="5">
        <f t="shared" si="44"/>
        <v>2</v>
      </c>
      <c r="Q163" s="5">
        <f t="shared" si="44"/>
        <v>1</v>
      </c>
      <c r="R163" s="5">
        <f t="shared" si="44"/>
        <v>1</v>
      </c>
      <c r="S163" s="5">
        <f t="shared" si="44"/>
        <v>5</v>
      </c>
      <c r="T163" s="5">
        <f t="shared" si="44"/>
        <v>1</v>
      </c>
      <c r="U163" s="5">
        <f t="shared" si="44"/>
        <v>3</v>
      </c>
      <c r="V163" s="5">
        <f t="shared" si="44"/>
        <v>0</v>
      </c>
      <c r="W163" s="5">
        <f t="shared" si="44"/>
        <v>10</v>
      </c>
      <c r="X163" s="5">
        <f t="shared" si="44"/>
        <v>4</v>
      </c>
      <c r="Y163" s="5">
        <f t="shared" si="44"/>
        <v>0</v>
      </c>
      <c r="Z163" s="5">
        <f t="shared" si="44"/>
        <v>1</v>
      </c>
      <c r="AA163" s="5">
        <f t="shared" si="44"/>
        <v>2</v>
      </c>
      <c r="AB163" s="5">
        <f t="shared" si="44"/>
        <v>6</v>
      </c>
      <c r="AC163" s="5">
        <f t="shared" si="44"/>
        <v>1</v>
      </c>
      <c r="AD163" s="5">
        <f t="shared" si="44"/>
        <v>4</v>
      </c>
      <c r="AE163" s="5">
        <f t="shared" si="44"/>
        <v>94</v>
      </c>
      <c r="AF163" s="20"/>
      <c r="AG163" s="20"/>
    </row>
    <row r="164" spans="1:33" x14ac:dyDescent="0.4">
      <c r="A164" s="70"/>
      <c r="B164" s="71"/>
      <c r="C164" s="71"/>
      <c r="D164" s="71"/>
      <c r="E164" s="7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20"/>
      <c r="AG164" s="20"/>
    </row>
    <row r="165" spans="1:33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1</v>
      </c>
      <c r="K165" s="6">
        <v>0</v>
      </c>
      <c r="L165" s="6">
        <v>0</v>
      </c>
      <c r="M165" s="6">
        <v>0</v>
      </c>
      <c r="N165" s="6">
        <v>0</v>
      </c>
      <c r="O165" s="6">
        <v>1</v>
      </c>
      <c r="P165" s="6">
        <v>0</v>
      </c>
      <c r="Q165" s="6">
        <v>1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5">
        <f>SUM(E165:AD165)</f>
        <v>4</v>
      </c>
      <c r="AF165" s="1"/>
      <c r="AG165" s="1"/>
    </row>
    <row r="166" spans="1:33" x14ac:dyDescent="0.4">
      <c r="A166" s="11" t="s">
        <v>50</v>
      </c>
      <c r="B166" s="52"/>
      <c r="C166" s="24" t="s">
        <v>193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1</v>
      </c>
      <c r="O166" s="6">
        <v>1</v>
      </c>
      <c r="P166" s="6">
        <v>0</v>
      </c>
      <c r="Q166" s="6">
        <v>0</v>
      </c>
      <c r="R166" s="6">
        <v>0</v>
      </c>
      <c r="S166" s="6">
        <v>1</v>
      </c>
      <c r="T166" s="6">
        <v>0</v>
      </c>
      <c r="U166" s="6">
        <v>0</v>
      </c>
      <c r="V166" s="6">
        <v>0</v>
      </c>
      <c r="W166" s="6">
        <v>1</v>
      </c>
      <c r="X166" s="6">
        <v>1</v>
      </c>
      <c r="Y166" s="6">
        <v>1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5">
        <f>SUM(E166:AD166)</f>
        <v>6</v>
      </c>
      <c r="AF166" s="27"/>
      <c r="AG166" s="27"/>
    </row>
    <row r="167" spans="1:33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49"/>
      <c r="AF167" s="20"/>
      <c r="AG167" s="20"/>
    </row>
    <row r="168" spans="1:33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49"/>
      <c r="AF168" s="20"/>
      <c r="AG168" s="20"/>
    </row>
    <row r="169" spans="1:33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49"/>
      <c r="AF169" s="20"/>
      <c r="AG169" s="20"/>
    </row>
    <row r="170" spans="1:33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49"/>
      <c r="AF170" s="20"/>
      <c r="AG170" s="20"/>
    </row>
    <row r="171" spans="1:33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49"/>
      <c r="AF171" s="20"/>
      <c r="AG171" s="20"/>
    </row>
    <row r="172" spans="1:33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49"/>
      <c r="AF172" s="20"/>
      <c r="AG172" s="20"/>
    </row>
    <row r="173" spans="1:33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49"/>
      <c r="AF173" s="20"/>
      <c r="AG173" s="20"/>
    </row>
    <row r="174" spans="1:33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49"/>
      <c r="AF174" s="20"/>
      <c r="AG174" s="20"/>
    </row>
    <row r="175" spans="1:33" x14ac:dyDescent="0.4">
      <c r="A175" s="6" t="s">
        <v>26</v>
      </c>
      <c r="B175" s="67" t="s">
        <v>51</v>
      </c>
      <c r="C175" s="68"/>
      <c r="D175" s="69"/>
      <c r="E175" s="5">
        <f t="shared" ref="E175:AE175" si="45">SUM(E165:E174)</f>
        <v>1</v>
      </c>
      <c r="F175" s="5">
        <f t="shared" si="45"/>
        <v>0</v>
      </c>
      <c r="G175" s="5">
        <f t="shared" si="45"/>
        <v>0</v>
      </c>
      <c r="H175" s="5">
        <f t="shared" si="45"/>
        <v>0</v>
      </c>
      <c r="I175" s="5">
        <f t="shared" si="45"/>
        <v>0</v>
      </c>
      <c r="J175" s="5">
        <f t="shared" si="45"/>
        <v>1</v>
      </c>
      <c r="K175" s="5">
        <f t="shared" si="45"/>
        <v>0</v>
      </c>
      <c r="L175" s="5">
        <f t="shared" si="45"/>
        <v>0</v>
      </c>
      <c r="M175" s="5">
        <f t="shared" si="45"/>
        <v>0</v>
      </c>
      <c r="N175" s="5">
        <f t="shared" si="45"/>
        <v>1</v>
      </c>
      <c r="O175" s="5">
        <f t="shared" si="45"/>
        <v>2</v>
      </c>
      <c r="P175" s="5">
        <f t="shared" si="45"/>
        <v>0</v>
      </c>
      <c r="Q175" s="5">
        <f t="shared" si="45"/>
        <v>1</v>
      </c>
      <c r="R175" s="5">
        <f t="shared" si="45"/>
        <v>0</v>
      </c>
      <c r="S175" s="5">
        <f t="shared" si="45"/>
        <v>1</v>
      </c>
      <c r="T175" s="5">
        <f t="shared" si="45"/>
        <v>0</v>
      </c>
      <c r="U175" s="5">
        <f t="shared" si="45"/>
        <v>0</v>
      </c>
      <c r="V175" s="5">
        <f t="shared" si="45"/>
        <v>0</v>
      </c>
      <c r="W175" s="5">
        <f t="shared" si="45"/>
        <v>1</v>
      </c>
      <c r="X175" s="5">
        <f t="shared" si="45"/>
        <v>1</v>
      </c>
      <c r="Y175" s="5">
        <f t="shared" si="45"/>
        <v>1</v>
      </c>
      <c r="Z175" s="5">
        <f t="shared" si="45"/>
        <v>0</v>
      </c>
      <c r="AA175" s="5">
        <f t="shared" si="45"/>
        <v>0</v>
      </c>
      <c r="AB175" s="5">
        <f t="shared" si="45"/>
        <v>0</v>
      </c>
      <c r="AC175" s="5">
        <f t="shared" si="45"/>
        <v>0</v>
      </c>
      <c r="AD175" s="5">
        <f t="shared" si="45"/>
        <v>0</v>
      </c>
      <c r="AE175" s="5">
        <f t="shared" si="45"/>
        <v>10</v>
      </c>
      <c r="AF175" s="20"/>
      <c r="AG175" s="20"/>
    </row>
    <row r="176" spans="1:33" ht="13.15" customHeight="1" x14ac:dyDescent="0.4">
      <c r="A176" s="70"/>
      <c r="B176" s="71"/>
      <c r="C176" s="71"/>
      <c r="D176" s="71"/>
      <c r="E176" s="7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"/>
      <c r="AG176" s="1"/>
    </row>
    <row r="177" spans="1:33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1</v>
      </c>
      <c r="G177" s="6">
        <v>0</v>
      </c>
      <c r="H177" s="6">
        <v>0</v>
      </c>
      <c r="I177" s="6">
        <v>0</v>
      </c>
      <c r="J177" s="6">
        <v>1</v>
      </c>
      <c r="K177" s="6">
        <v>0</v>
      </c>
      <c r="L177" s="6">
        <v>1</v>
      </c>
      <c r="M177" s="6">
        <v>2</v>
      </c>
      <c r="N177" s="6">
        <v>0</v>
      </c>
      <c r="O177" s="6">
        <v>0</v>
      </c>
      <c r="P177" s="6">
        <v>2</v>
      </c>
      <c r="Q177" s="6">
        <v>1</v>
      </c>
      <c r="R177" s="6">
        <v>0</v>
      </c>
      <c r="S177" s="6">
        <v>1</v>
      </c>
      <c r="T177" s="6">
        <v>2</v>
      </c>
      <c r="U177" s="6">
        <v>1</v>
      </c>
      <c r="V177" s="6">
        <v>0</v>
      </c>
      <c r="W177" s="6">
        <v>0</v>
      </c>
      <c r="X177" s="6">
        <v>1</v>
      </c>
      <c r="Y177" s="6">
        <v>0</v>
      </c>
      <c r="Z177" s="6">
        <v>0</v>
      </c>
      <c r="AA177" s="6">
        <v>1</v>
      </c>
      <c r="AB177" s="6">
        <v>2</v>
      </c>
      <c r="AC177" s="6">
        <v>0</v>
      </c>
      <c r="AD177" s="6">
        <v>0</v>
      </c>
      <c r="AE177" s="5">
        <f t="shared" ref="AE177:AE186" si="46">SUM(E177:AD177)</f>
        <v>16</v>
      </c>
    </row>
    <row r="178" spans="1:33" x14ac:dyDescent="0.4">
      <c r="A178" s="11" t="s">
        <v>50</v>
      </c>
      <c r="B178" s="52"/>
      <c r="C178" s="24" t="s">
        <v>194</v>
      </c>
      <c r="D178" s="50"/>
      <c r="E178" s="6">
        <v>0</v>
      </c>
      <c r="F178" s="6">
        <v>0</v>
      </c>
      <c r="G178" s="6">
        <v>0</v>
      </c>
      <c r="H178" s="6">
        <v>2</v>
      </c>
      <c r="I178" s="6">
        <v>0</v>
      </c>
      <c r="J178" s="6">
        <v>2</v>
      </c>
      <c r="K178" s="6">
        <v>1</v>
      </c>
      <c r="L178" s="6">
        <v>4</v>
      </c>
      <c r="M178" s="6">
        <v>1</v>
      </c>
      <c r="N178" s="6">
        <v>0</v>
      </c>
      <c r="O178" s="6">
        <v>3</v>
      </c>
      <c r="P178" s="6">
        <v>4</v>
      </c>
      <c r="Q178" s="6">
        <v>16</v>
      </c>
      <c r="R178" s="6">
        <v>1</v>
      </c>
      <c r="S178" s="6">
        <v>0</v>
      </c>
      <c r="T178" s="6">
        <v>2</v>
      </c>
      <c r="U178" s="6">
        <v>2</v>
      </c>
      <c r="V178" s="6">
        <v>3</v>
      </c>
      <c r="W178" s="6">
        <v>2</v>
      </c>
      <c r="X178" s="6">
        <v>0</v>
      </c>
      <c r="Y178" s="6">
        <v>0</v>
      </c>
      <c r="Z178" s="6">
        <v>0</v>
      </c>
      <c r="AA178" s="6">
        <v>1</v>
      </c>
      <c r="AB178" s="6">
        <v>0</v>
      </c>
      <c r="AC178" s="6">
        <v>2</v>
      </c>
      <c r="AD178" s="6">
        <v>1</v>
      </c>
      <c r="AE178" s="5">
        <f t="shared" si="46"/>
        <v>47</v>
      </c>
      <c r="AF178" s="20"/>
      <c r="AG178" s="20"/>
    </row>
    <row r="179" spans="1:33" x14ac:dyDescent="0.4">
      <c r="A179" s="7"/>
      <c r="B179" s="52"/>
      <c r="C179" s="24" t="s">
        <v>195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1</v>
      </c>
      <c r="N179" s="6">
        <v>0</v>
      </c>
      <c r="O179" s="6">
        <v>0</v>
      </c>
      <c r="P179" s="6">
        <v>2</v>
      </c>
      <c r="Q179" s="6">
        <v>0</v>
      </c>
      <c r="R179" s="6">
        <v>0</v>
      </c>
      <c r="S179" s="6">
        <v>0</v>
      </c>
      <c r="T179" s="6">
        <v>1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5">
        <f t="shared" si="46"/>
        <v>5</v>
      </c>
      <c r="AF179" s="20"/>
      <c r="AG179" s="20"/>
    </row>
    <row r="180" spans="1:33" x14ac:dyDescent="0.4">
      <c r="A180" s="7"/>
      <c r="B180" s="52"/>
      <c r="C180" s="24" t="s">
        <v>196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2</v>
      </c>
      <c r="AB180" s="6">
        <v>0</v>
      </c>
      <c r="AC180" s="6">
        <v>0</v>
      </c>
      <c r="AD180" s="6">
        <v>0</v>
      </c>
      <c r="AE180" s="5">
        <f t="shared" si="46"/>
        <v>2</v>
      </c>
      <c r="AF180" s="20"/>
      <c r="AG180" s="20"/>
    </row>
    <row r="181" spans="1:33" x14ac:dyDescent="0.4">
      <c r="A181" s="7"/>
      <c r="B181" s="52"/>
      <c r="C181" s="24" t="s">
        <v>197</v>
      </c>
      <c r="D181" s="50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1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5">
        <f t="shared" si="46"/>
        <v>1</v>
      </c>
      <c r="AF181" s="20"/>
      <c r="AG181" s="20"/>
    </row>
    <row r="182" spans="1:33" x14ac:dyDescent="0.4">
      <c r="A182" s="7"/>
      <c r="B182" s="52"/>
      <c r="C182" s="24" t="s">
        <v>198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1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5">
        <f t="shared" si="46"/>
        <v>2</v>
      </c>
      <c r="AF182" s="20"/>
      <c r="AG182" s="20"/>
    </row>
    <row r="183" spans="1:33" x14ac:dyDescent="0.4">
      <c r="A183" s="7"/>
      <c r="B183" s="52"/>
      <c r="C183" s="24" t="s">
        <v>199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5">
        <f t="shared" si="46"/>
        <v>0</v>
      </c>
      <c r="AF183" s="20"/>
      <c r="AG183" s="20"/>
    </row>
    <row r="184" spans="1:33" x14ac:dyDescent="0.4">
      <c r="A184" s="7"/>
      <c r="B184" s="52"/>
      <c r="C184" s="24" t="s">
        <v>200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1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5">
        <f t="shared" si="46"/>
        <v>1</v>
      </c>
      <c r="AF184" s="20"/>
      <c r="AG184" s="20"/>
    </row>
    <row r="185" spans="1:33" x14ac:dyDescent="0.4">
      <c r="A185" s="7"/>
      <c r="B185" s="52"/>
      <c r="C185" s="24" t="s">
        <v>201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1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5">
        <f t="shared" si="46"/>
        <v>1</v>
      </c>
      <c r="AF185" s="20"/>
      <c r="AG185" s="20"/>
    </row>
    <row r="186" spans="1:33" x14ac:dyDescent="0.4">
      <c r="A186" s="7"/>
      <c r="B186" s="52"/>
      <c r="C186" s="24" t="s">
        <v>202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5">
        <f t="shared" si="46"/>
        <v>0</v>
      </c>
      <c r="AF186" s="20"/>
      <c r="AG186" s="20"/>
    </row>
    <row r="187" spans="1:33" ht="13.15" customHeight="1" x14ac:dyDescent="0.4">
      <c r="A187" s="6" t="s">
        <v>26</v>
      </c>
      <c r="B187" s="67" t="s">
        <v>51</v>
      </c>
      <c r="C187" s="68"/>
      <c r="D187" s="69"/>
      <c r="E187" s="5">
        <f t="shared" ref="E187:AE187" si="47">SUM(E177:E186)</f>
        <v>0</v>
      </c>
      <c r="F187" s="5">
        <f t="shared" si="47"/>
        <v>1</v>
      </c>
      <c r="G187" s="5">
        <f t="shared" si="47"/>
        <v>0</v>
      </c>
      <c r="H187" s="5">
        <f t="shared" si="47"/>
        <v>2</v>
      </c>
      <c r="I187" s="5">
        <f t="shared" si="47"/>
        <v>0</v>
      </c>
      <c r="J187" s="5">
        <f t="shared" si="47"/>
        <v>3</v>
      </c>
      <c r="K187" s="5">
        <f t="shared" si="47"/>
        <v>4</v>
      </c>
      <c r="L187" s="5">
        <f t="shared" si="47"/>
        <v>5</v>
      </c>
      <c r="M187" s="5">
        <f t="shared" si="47"/>
        <v>4</v>
      </c>
      <c r="N187" s="5">
        <f t="shared" si="47"/>
        <v>0</v>
      </c>
      <c r="O187" s="5">
        <f t="shared" si="47"/>
        <v>3</v>
      </c>
      <c r="P187" s="5">
        <f t="shared" si="47"/>
        <v>10</v>
      </c>
      <c r="Q187" s="5">
        <f t="shared" si="47"/>
        <v>17</v>
      </c>
      <c r="R187" s="5">
        <f t="shared" si="47"/>
        <v>1</v>
      </c>
      <c r="S187" s="5">
        <f t="shared" si="47"/>
        <v>1</v>
      </c>
      <c r="T187" s="5">
        <f t="shared" si="47"/>
        <v>6</v>
      </c>
      <c r="U187" s="5">
        <f t="shared" si="47"/>
        <v>3</v>
      </c>
      <c r="V187" s="5">
        <f t="shared" si="47"/>
        <v>3</v>
      </c>
      <c r="W187" s="5">
        <f t="shared" si="47"/>
        <v>2</v>
      </c>
      <c r="X187" s="5">
        <f t="shared" si="47"/>
        <v>1</v>
      </c>
      <c r="Y187" s="5">
        <f t="shared" si="47"/>
        <v>0</v>
      </c>
      <c r="Z187" s="5">
        <f t="shared" si="47"/>
        <v>0</v>
      </c>
      <c r="AA187" s="5">
        <f t="shared" si="47"/>
        <v>4</v>
      </c>
      <c r="AB187" s="5">
        <f t="shared" si="47"/>
        <v>2</v>
      </c>
      <c r="AC187" s="5">
        <f t="shared" si="47"/>
        <v>2</v>
      </c>
      <c r="AD187" s="5">
        <f t="shared" si="47"/>
        <v>1</v>
      </c>
      <c r="AE187" s="5">
        <f t="shared" si="47"/>
        <v>75</v>
      </c>
      <c r="AF187" s="1"/>
      <c r="AG187" s="1"/>
    </row>
    <row r="188" spans="1:33" x14ac:dyDescent="0.4">
      <c r="A188" s="70"/>
      <c r="B188" s="71"/>
      <c r="C188" s="71"/>
      <c r="D188" s="71"/>
      <c r="E188" s="7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5"/>
    </row>
    <row r="189" spans="1:33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1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1</v>
      </c>
      <c r="AB189" s="6">
        <v>0</v>
      </c>
      <c r="AC189" s="6">
        <v>0</v>
      </c>
      <c r="AD189" s="6">
        <v>0</v>
      </c>
      <c r="AE189" s="5">
        <f t="shared" ref="AE189:AE198" si="48">SUM(E189:AD189)</f>
        <v>2</v>
      </c>
      <c r="AF189" s="20"/>
      <c r="AG189" s="20"/>
    </row>
    <row r="190" spans="1:33" x14ac:dyDescent="0.4">
      <c r="A190" s="11" t="s">
        <v>50</v>
      </c>
      <c r="B190" s="52"/>
      <c r="C190" s="24" t="s">
        <v>203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1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1</v>
      </c>
      <c r="AA190" s="6">
        <v>0</v>
      </c>
      <c r="AB190" s="6">
        <v>0</v>
      </c>
      <c r="AC190" s="6">
        <v>0</v>
      </c>
      <c r="AD190" s="6">
        <v>0</v>
      </c>
      <c r="AE190" s="5">
        <f t="shared" si="48"/>
        <v>2</v>
      </c>
      <c r="AF190" s="20"/>
      <c r="AG190" s="20"/>
    </row>
    <row r="191" spans="1:33" x14ac:dyDescent="0.4">
      <c r="A191" s="7"/>
      <c r="B191" s="52"/>
      <c r="C191" s="24" t="s">
        <v>204</v>
      </c>
      <c r="D191" s="50"/>
      <c r="E191" s="6">
        <v>0</v>
      </c>
      <c r="F191" s="6">
        <v>0</v>
      </c>
      <c r="G191" s="6">
        <v>1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1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5">
        <f t="shared" si="48"/>
        <v>2</v>
      </c>
      <c r="AF191" s="20"/>
      <c r="AG191" s="20"/>
    </row>
    <row r="192" spans="1:33" x14ac:dyDescent="0.4">
      <c r="A192" s="7"/>
      <c r="B192" s="52"/>
      <c r="C192" s="24" t="s">
        <v>205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5">
        <f t="shared" si="48"/>
        <v>0</v>
      </c>
      <c r="AF192" s="20"/>
      <c r="AG192" s="20"/>
    </row>
    <row r="193" spans="1:33" x14ac:dyDescent="0.4">
      <c r="A193" s="7"/>
      <c r="B193" s="52"/>
      <c r="C193" s="24" t="s">
        <v>206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5">
        <f t="shared" si="48"/>
        <v>0</v>
      </c>
      <c r="AF193" s="20"/>
      <c r="AG193" s="20"/>
    </row>
    <row r="194" spans="1:33" x14ac:dyDescent="0.4">
      <c r="A194" s="7"/>
      <c r="B194" s="52"/>
      <c r="C194" s="24" t="s">
        <v>207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5">
        <f t="shared" si="48"/>
        <v>0</v>
      </c>
      <c r="AF194" s="20"/>
      <c r="AG194" s="20"/>
    </row>
    <row r="195" spans="1:33" x14ac:dyDescent="0.4">
      <c r="A195" s="7"/>
      <c r="B195" s="52"/>
      <c r="C195" s="24" t="s">
        <v>208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5">
        <f t="shared" si="48"/>
        <v>0</v>
      </c>
      <c r="AF195" s="20"/>
      <c r="AG195" s="20"/>
    </row>
    <row r="196" spans="1:33" ht="13.15" customHeight="1" x14ac:dyDescent="0.4">
      <c r="A196" s="7"/>
      <c r="B196" s="52"/>
      <c r="C196" s="24" t="s">
        <v>209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5">
        <f t="shared" si="48"/>
        <v>0</v>
      </c>
      <c r="AF196" s="1"/>
      <c r="AG196" s="1"/>
    </row>
    <row r="197" spans="1:33" ht="13.15" customHeight="1" x14ac:dyDescent="0.4">
      <c r="A197" s="7"/>
      <c r="B197" s="52"/>
      <c r="C197" s="24" t="s">
        <v>210</v>
      </c>
      <c r="D197" s="50"/>
      <c r="E197" s="6">
        <v>0</v>
      </c>
      <c r="F197" s="6">
        <v>0</v>
      </c>
      <c r="G197" s="6">
        <v>0</v>
      </c>
      <c r="H197" s="6">
        <v>1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5">
        <f t="shared" si="48"/>
        <v>1</v>
      </c>
      <c r="AF197" s="1"/>
      <c r="AG197" s="1"/>
    </row>
    <row r="198" spans="1:33" ht="13.15" customHeight="1" x14ac:dyDescent="0.4">
      <c r="A198" s="7"/>
      <c r="B198" s="52"/>
      <c r="C198" s="24" t="s">
        <v>211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5">
        <f t="shared" si="48"/>
        <v>0</v>
      </c>
      <c r="AF198" s="1"/>
      <c r="AG198" s="1"/>
    </row>
    <row r="199" spans="1:33" x14ac:dyDescent="0.4">
      <c r="A199" s="6" t="s">
        <v>26</v>
      </c>
      <c r="B199" s="67" t="s">
        <v>51</v>
      </c>
      <c r="C199" s="68"/>
      <c r="D199" s="69"/>
      <c r="E199" s="5">
        <f t="shared" ref="E199:AE199" si="49">SUM(E189:E198)</f>
        <v>0</v>
      </c>
      <c r="F199" s="5">
        <f t="shared" si="49"/>
        <v>0</v>
      </c>
      <c r="G199" s="5">
        <f t="shared" si="49"/>
        <v>1</v>
      </c>
      <c r="H199" s="5">
        <f t="shared" si="49"/>
        <v>1</v>
      </c>
      <c r="I199" s="5">
        <f t="shared" si="49"/>
        <v>0</v>
      </c>
      <c r="J199" s="5">
        <f t="shared" si="49"/>
        <v>0</v>
      </c>
      <c r="K199" s="5">
        <f t="shared" si="49"/>
        <v>0</v>
      </c>
      <c r="L199" s="5">
        <f t="shared" si="49"/>
        <v>0</v>
      </c>
      <c r="M199" s="5">
        <f t="shared" si="49"/>
        <v>2</v>
      </c>
      <c r="N199" s="5">
        <f t="shared" si="49"/>
        <v>0</v>
      </c>
      <c r="O199" s="5">
        <f t="shared" si="49"/>
        <v>0</v>
      </c>
      <c r="P199" s="5">
        <f t="shared" si="49"/>
        <v>0</v>
      </c>
      <c r="Q199" s="5">
        <f t="shared" si="49"/>
        <v>0</v>
      </c>
      <c r="R199" s="5">
        <f t="shared" si="49"/>
        <v>0</v>
      </c>
      <c r="S199" s="5">
        <f t="shared" si="49"/>
        <v>0</v>
      </c>
      <c r="T199" s="5">
        <f t="shared" si="49"/>
        <v>0</v>
      </c>
      <c r="U199" s="5">
        <f t="shared" si="49"/>
        <v>0</v>
      </c>
      <c r="V199" s="5">
        <f t="shared" si="49"/>
        <v>0</v>
      </c>
      <c r="W199" s="5">
        <f t="shared" si="49"/>
        <v>0</v>
      </c>
      <c r="X199" s="5">
        <f t="shared" si="49"/>
        <v>1</v>
      </c>
      <c r="Y199" s="5">
        <f t="shared" si="49"/>
        <v>0</v>
      </c>
      <c r="Z199" s="5">
        <f t="shared" si="49"/>
        <v>1</v>
      </c>
      <c r="AA199" s="5">
        <f t="shared" si="49"/>
        <v>1</v>
      </c>
      <c r="AB199" s="5">
        <f t="shared" si="49"/>
        <v>0</v>
      </c>
      <c r="AC199" s="5">
        <f t="shared" si="49"/>
        <v>0</v>
      </c>
      <c r="AD199" s="5">
        <f t="shared" si="49"/>
        <v>0</v>
      </c>
      <c r="AE199" s="5">
        <f t="shared" si="49"/>
        <v>7</v>
      </c>
      <c r="AF199" s="27"/>
      <c r="AG199" s="27"/>
    </row>
    <row r="200" spans="1:33" x14ac:dyDescent="0.4">
      <c r="A200" s="70"/>
      <c r="B200" s="71"/>
      <c r="C200" s="71"/>
      <c r="D200" s="71"/>
      <c r="E200" s="7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20"/>
      <c r="AG200" s="20"/>
    </row>
    <row r="201" spans="1:33" x14ac:dyDescent="0.4">
      <c r="A201" s="11" t="s">
        <v>48</v>
      </c>
      <c r="B201" s="17" t="s">
        <v>73</v>
      </c>
      <c r="C201" s="73" t="s">
        <v>74</v>
      </c>
      <c r="D201" s="74"/>
      <c r="E201" s="6">
        <v>5</v>
      </c>
      <c r="F201" s="6">
        <v>1</v>
      </c>
      <c r="G201" s="6">
        <v>5</v>
      </c>
      <c r="H201" s="6">
        <v>1</v>
      </c>
      <c r="I201" s="6">
        <v>9</v>
      </c>
      <c r="J201" s="6">
        <v>6</v>
      </c>
      <c r="K201" s="6">
        <v>5</v>
      </c>
      <c r="L201" s="6">
        <v>2</v>
      </c>
      <c r="M201" s="6">
        <v>3</v>
      </c>
      <c r="N201" s="6">
        <v>2</v>
      </c>
      <c r="O201" s="6">
        <v>2</v>
      </c>
      <c r="P201" s="6">
        <v>8</v>
      </c>
      <c r="Q201" s="6">
        <v>3</v>
      </c>
      <c r="R201" s="6">
        <v>2</v>
      </c>
      <c r="S201" s="6">
        <v>2</v>
      </c>
      <c r="T201" s="6">
        <v>1</v>
      </c>
      <c r="U201" s="6">
        <v>0</v>
      </c>
      <c r="V201" s="6">
        <v>2</v>
      </c>
      <c r="W201" s="6">
        <v>5</v>
      </c>
      <c r="X201" s="6">
        <v>2</v>
      </c>
      <c r="Y201" s="6">
        <v>7</v>
      </c>
      <c r="Z201" s="6">
        <v>6</v>
      </c>
      <c r="AA201" s="6">
        <v>0</v>
      </c>
      <c r="AB201" s="6">
        <v>2</v>
      </c>
      <c r="AC201" s="6">
        <v>7</v>
      </c>
      <c r="AD201" s="6">
        <v>4</v>
      </c>
      <c r="AE201" s="5">
        <f t="shared" ref="AE201:AE210" si="50">SUM(E201:AD201)</f>
        <v>92</v>
      </c>
      <c r="AF201" s="20"/>
      <c r="AG201" s="20"/>
    </row>
    <row r="202" spans="1:33" x14ac:dyDescent="0.4">
      <c r="A202" s="11" t="s">
        <v>50</v>
      </c>
      <c r="B202" s="52"/>
      <c r="C202" s="24" t="s">
        <v>212</v>
      </c>
      <c r="D202" s="50"/>
      <c r="E202" s="6">
        <v>38</v>
      </c>
      <c r="F202" s="6">
        <v>24</v>
      </c>
      <c r="G202" s="6">
        <v>26</v>
      </c>
      <c r="H202" s="6">
        <v>2</v>
      </c>
      <c r="I202" s="6">
        <v>42</v>
      </c>
      <c r="J202" s="6">
        <v>36</v>
      </c>
      <c r="K202" s="6">
        <v>7</v>
      </c>
      <c r="L202" s="6">
        <v>16</v>
      </c>
      <c r="M202" s="6">
        <v>20</v>
      </c>
      <c r="N202" s="6">
        <v>13</v>
      </c>
      <c r="O202" s="6">
        <v>8</v>
      </c>
      <c r="P202" s="6">
        <v>57</v>
      </c>
      <c r="Q202" s="6">
        <v>18</v>
      </c>
      <c r="R202" s="6">
        <v>74</v>
      </c>
      <c r="S202" s="6">
        <v>3</v>
      </c>
      <c r="T202" s="6">
        <v>2</v>
      </c>
      <c r="U202" s="6">
        <v>7</v>
      </c>
      <c r="V202" s="6">
        <v>5</v>
      </c>
      <c r="W202" s="6">
        <v>15</v>
      </c>
      <c r="X202" s="6">
        <v>14</v>
      </c>
      <c r="Y202" s="6">
        <v>90</v>
      </c>
      <c r="Z202" s="6">
        <v>112</v>
      </c>
      <c r="AA202" s="6">
        <v>38</v>
      </c>
      <c r="AB202" s="6">
        <v>22</v>
      </c>
      <c r="AC202" s="6">
        <v>9</v>
      </c>
      <c r="AD202" s="6">
        <v>13</v>
      </c>
      <c r="AE202" s="5">
        <f t="shared" si="50"/>
        <v>711</v>
      </c>
      <c r="AF202" s="20"/>
      <c r="AG202" s="20"/>
    </row>
    <row r="203" spans="1:33" x14ac:dyDescent="0.4">
      <c r="A203" s="7"/>
      <c r="B203" s="52"/>
      <c r="C203" s="24" t="s">
        <v>213</v>
      </c>
      <c r="D203" s="50"/>
      <c r="E203" s="6">
        <v>1</v>
      </c>
      <c r="F203" s="6">
        <v>0</v>
      </c>
      <c r="G203" s="6">
        <v>1</v>
      </c>
      <c r="H203" s="6">
        <v>2</v>
      </c>
      <c r="I203" s="6">
        <v>1</v>
      </c>
      <c r="J203" s="6">
        <v>1</v>
      </c>
      <c r="K203" s="6">
        <v>0</v>
      </c>
      <c r="L203" s="6">
        <v>0</v>
      </c>
      <c r="M203" s="6">
        <v>1</v>
      </c>
      <c r="N203" s="6">
        <v>0</v>
      </c>
      <c r="O203" s="6">
        <v>0</v>
      </c>
      <c r="P203" s="6">
        <v>1</v>
      </c>
      <c r="Q203" s="6">
        <v>1</v>
      </c>
      <c r="R203" s="6">
        <v>1</v>
      </c>
      <c r="S203" s="6">
        <v>0</v>
      </c>
      <c r="T203" s="6">
        <v>1</v>
      </c>
      <c r="U203" s="6">
        <v>2</v>
      </c>
      <c r="V203" s="6">
        <v>0</v>
      </c>
      <c r="W203" s="6">
        <v>1</v>
      </c>
      <c r="X203" s="6">
        <v>1</v>
      </c>
      <c r="Y203" s="6">
        <v>0</v>
      </c>
      <c r="Z203" s="6">
        <v>0</v>
      </c>
      <c r="AA203" s="6">
        <v>0</v>
      </c>
      <c r="AB203" s="6">
        <v>0</v>
      </c>
      <c r="AC203" s="6">
        <v>1</v>
      </c>
      <c r="AD203" s="6">
        <v>0</v>
      </c>
      <c r="AE203" s="5">
        <f t="shared" si="50"/>
        <v>16</v>
      </c>
      <c r="AF203" s="20"/>
      <c r="AG203" s="20"/>
    </row>
    <row r="204" spans="1:33" x14ac:dyDescent="0.4">
      <c r="A204" s="7"/>
      <c r="B204" s="52"/>
      <c r="C204" s="24" t="s">
        <v>214</v>
      </c>
      <c r="D204" s="50"/>
      <c r="E204" s="6">
        <v>0</v>
      </c>
      <c r="F204" s="6">
        <v>0</v>
      </c>
      <c r="G204" s="6">
        <v>1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2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1</v>
      </c>
      <c r="X204" s="6">
        <v>1</v>
      </c>
      <c r="Y204" s="6">
        <v>1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5">
        <f t="shared" si="50"/>
        <v>7</v>
      </c>
      <c r="AF204" s="20"/>
      <c r="AG204" s="20"/>
    </row>
    <row r="205" spans="1:33" x14ac:dyDescent="0.4">
      <c r="A205" s="7"/>
      <c r="B205" s="52"/>
      <c r="C205" s="24" t="s">
        <v>215</v>
      </c>
      <c r="D205" s="50"/>
      <c r="E205" s="6">
        <v>0</v>
      </c>
      <c r="F205" s="6">
        <v>1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1</v>
      </c>
      <c r="N205" s="6">
        <v>1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1</v>
      </c>
      <c r="AA205" s="6">
        <v>0</v>
      </c>
      <c r="AB205" s="6">
        <v>0</v>
      </c>
      <c r="AC205" s="6">
        <v>0</v>
      </c>
      <c r="AD205" s="6">
        <v>0</v>
      </c>
      <c r="AE205" s="5">
        <f t="shared" si="50"/>
        <v>5</v>
      </c>
      <c r="AF205" s="20"/>
      <c r="AG205" s="20"/>
    </row>
    <row r="206" spans="1:33" x14ac:dyDescent="0.4">
      <c r="A206" s="7"/>
      <c r="B206" s="52"/>
      <c r="C206" s="24" t="s">
        <v>216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5">
        <f t="shared" si="50"/>
        <v>0</v>
      </c>
      <c r="AF206" s="20"/>
      <c r="AG206" s="20"/>
    </row>
    <row r="207" spans="1:33" ht="13.15" customHeight="1" x14ac:dyDescent="0.4">
      <c r="A207" s="7"/>
      <c r="B207" s="52"/>
      <c r="C207" s="24" t="s">
        <v>217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1</v>
      </c>
      <c r="AC207" s="6">
        <v>0</v>
      </c>
      <c r="AD207" s="6">
        <v>0</v>
      </c>
      <c r="AE207" s="5">
        <f t="shared" si="50"/>
        <v>1</v>
      </c>
      <c r="AF207" s="1"/>
      <c r="AG207" s="1"/>
    </row>
    <row r="208" spans="1:33" x14ac:dyDescent="0.4">
      <c r="A208" s="7"/>
      <c r="B208" s="52"/>
      <c r="C208" s="24" t="s">
        <v>218</v>
      </c>
      <c r="D208" s="50"/>
      <c r="E208" s="6">
        <v>1</v>
      </c>
      <c r="F208" s="6">
        <v>0</v>
      </c>
      <c r="G208" s="6">
        <v>1</v>
      </c>
      <c r="H208" s="6">
        <v>0</v>
      </c>
      <c r="I208" s="6">
        <v>0</v>
      </c>
      <c r="J208" s="6">
        <v>6</v>
      </c>
      <c r="K208" s="6">
        <v>5</v>
      </c>
      <c r="L208" s="6">
        <v>0</v>
      </c>
      <c r="M208" s="6">
        <v>1</v>
      </c>
      <c r="N208" s="6">
        <v>0</v>
      </c>
      <c r="O208" s="6">
        <v>3</v>
      </c>
      <c r="P208" s="6">
        <v>0</v>
      </c>
      <c r="Q208" s="6">
        <v>0</v>
      </c>
      <c r="R208" s="6">
        <v>1</v>
      </c>
      <c r="S208" s="6">
        <v>0</v>
      </c>
      <c r="T208" s="6">
        <v>0</v>
      </c>
      <c r="U208" s="6">
        <v>1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1</v>
      </c>
      <c r="AC208" s="6">
        <v>0</v>
      </c>
      <c r="AD208" s="6">
        <v>2</v>
      </c>
      <c r="AE208" s="5">
        <f t="shared" si="50"/>
        <v>22</v>
      </c>
      <c r="AF208" s="27"/>
      <c r="AG208" s="27"/>
    </row>
    <row r="209" spans="1:33" x14ac:dyDescent="0.4">
      <c r="A209" s="7"/>
      <c r="B209" s="52"/>
      <c r="C209" s="24" t="s">
        <v>219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2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5">
        <f t="shared" si="50"/>
        <v>2</v>
      </c>
      <c r="AF209" s="27"/>
      <c r="AG209" s="27"/>
    </row>
    <row r="210" spans="1:33" x14ac:dyDescent="0.4">
      <c r="A210" s="7"/>
      <c r="B210" s="52"/>
      <c r="C210" s="24" t="s">
        <v>220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5">
        <f t="shared" si="50"/>
        <v>0</v>
      </c>
      <c r="AF210" s="27"/>
      <c r="AG210" s="27"/>
    </row>
    <row r="211" spans="1:33" x14ac:dyDescent="0.4">
      <c r="A211" s="6" t="s">
        <v>26</v>
      </c>
      <c r="B211" s="67" t="s">
        <v>51</v>
      </c>
      <c r="C211" s="68"/>
      <c r="D211" s="69"/>
      <c r="E211" s="5">
        <f t="shared" ref="E211:AE211" si="51">SUM(E201:E210)</f>
        <v>45</v>
      </c>
      <c r="F211" s="5">
        <f t="shared" si="51"/>
        <v>26</v>
      </c>
      <c r="G211" s="5">
        <f t="shared" si="51"/>
        <v>34</v>
      </c>
      <c r="H211" s="5">
        <f t="shared" si="51"/>
        <v>5</v>
      </c>
      <c r="I211" s="5">
        <f t="shared" si="51"/>
        <v>55</v>
      </c>
      <c r="J211" s="5">
        <f t="shared" si="51"/>
        <v>49</v>
      </c>
      <c r="K211" s="5">
        <f t="shared" si="51"/>
        <v>18</v>
      </c>
      <c r="L211" s="5">
        <f t="shared" si="51"/>
        <v>18</v>
      </c>
      <c r="M211" s="5">
        <f t="shared" si="51"/>
        <v>28</v>
      </c>
      <c r="N211" s="5">
        <f t="shared" si="51"/>
        <v>16</v>
      </c>
      <c r="O211" s="5">
        <f t="shared" si="51"/>
        <v>13</v>
      </c>
      <c r="P211" s="5">
        <f t="shared" si="51"/>
        <v>66</v>
      </c>
      <c r="Q211" s="5">
        <f t="shared" si="51"/>
        <v>22</v>
      </c>
      <c r="R211" s="5">
        <f t="shared" si="51"/>
        <v>78</v>
      </c>
      <c r="S211" s="5">
        <f t="shared" si="51"/>
        <v>5</v>
      </c>
      <c r="T211" s="5">
        <f t="shared" si="51"/>
        <v>4</v>
      </c>
      <c r="U211" s="5">
        <f t="shared" si="51"/>
        <v>10</v>
      </c>
      <c r="V211" s="5">
        <f t="shared" si="51"/>
        <v>7</v>
      </c>
      <c r="W211" s="5">
        <f t="shared" si="51"/>
        <v>22</v>
      </c>
      <c r="X211" s="5">
        <f t="shared" si="51"/>
        <v>18</v>
      </c>
      <c r="Y211" s="5">
        <f t="shared" si="51"/>
        <v>98</v>
      </c>
      <c r="Z211" s="5">
        <f t="shared" si="51"/>
        <v>119</v>
      </c>
      <c r="AA211" s="5">
        <f t="shared" si="51"/>
        <v>38</v>
      </c>
      <c r="AB211" s="5">
        <f t="shared" si="51"/>
        <v>26</v>
      </c>
      <c r="AC211" s="5">
        <f t="shared" si="51"/>
        <v>17</v>
      </c>
      <c r="AD211" s="5">
        <f t="shared" si="51"/>
        <v>19</v>
      </c>
      <c r="AE211" s="5">
        <f t="shared" si="51"/>
        <v>856</v>
      </c>
      <c r="AF211" s="20"/>
      <c r="AG211" s="20"/>
    </row>
    <row r="212" spans="1:33" x14ac:dyDescent="0.4">
      <c r="A212" s="70"/>
      <c r="B212" s="71"/>
      <c r="C212" s="71"/>
      <c r="D212" s="71"/>
      <c r="E212" s="7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20"/>
      <c r="AG212" s="20"/>
    </row>
    <row r="213" spans="1:33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1</v>
      </c>
      <c r="G213" s="6">
        <v>0</v>
      </c>
      <c r="H213" s="6">
        <v>1</v>
      </c>
      <c r="I213" s="6">
        <v>1</v>
      </c>
      <c r="J213" s="6">
        <v>0</v>
      </c>
      <c r="K213" s="6">
        <v>0</v>
      </c>
      <c r="L213" s="6">
        <v>0</v>
      </c>
      <c r="M213" s="6">
        <v>0</v>
      </c>
      <c r="N213" s="6">
        <v>6</v>
      </c>
      <c r="O213" s="6">
        <v>1</v>
      </c>
      <c r="P213" s="6">
        <v>2</v>
      </c>
      <c r="Q213" s="6">
        <v>2</v>
      </c>
      <c r="R213" s="6">
        <v>0</v>
      </c>
      <c r="S213" s="6">
        <v>1</v>
      </c>
      <c r="T213" s="6">
        <v>0</v>
      </c>
      <c r="U213" s="6">
        <v>0</v>
      </c>
      <c r="V213" s="6">
        <v>0</v>
      </c>
      <c r="W213" s="6">
        <v>0</v>
      </c>
      <c r="X213" s="6">
        <v>1</v>
      </c>
      <c r="Y213" s="6">
        <v>0</v>
      </c>
      <c r="Z213" s="6">
        <v>0</v>
      </c>
      <c r="AA213" s="6">
        <v>4</v>
      </c>
      <c r="AB213" s="6">
        <v>0</v>
      </c>
      <c r="AC213" s="6">
        <v>0</v>
      </c>
      <c r="AD213" s="6">
        <v>1</v>
      </c>
      <c r="AE213" s="5">
        <f>SUM(E213:AD213)</f>
        <v>21</v>
      </c>
      <c r="AF213" s="20"/>
      <c r="AG213" s="20"/>
    </row>
    <row r="214" spans="1:33" x14ac:dyDescent="0.4">
      <c r="A214" s="11" t="s">
        <v>50</v>
      </c>
      <c r="B214" s="52"/>
      <c r="C214" s="24" t="s">
        <v>221</v>
      </c>
      <c r="D214" s="53"/>
      <c r="E214" s="6">
        <v>0</v>
      </c>
      <c r="F214" s="6">
        <v>0</v>
      </c>
      <c r="G214" s="6">
        <v>0</v>
      </c>
      <c r="H214" s="6">
        <v>1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1</v>
      </c>
      <c r="W214" s="6">
        <v>0</v>
      </c>
      <c r="X214" s="6">
        <v>1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5">
        <f>SUM(E214:AD214)</f>
        <v>4</v>
      </c>
      <c r="AF214" s="20"/>
      <c r="AG214" s="20"/>
    </row>
    <row r="215" spans="1:33" x14ac:dyDescent="0.4">
      <c r="A215" s="7"/>
      <c r="B215" s="52"/>
      <c r="C215" s="24" t="s">
        <v>222</v>
      </c>
      <c r="D215" s="53"/>
      <c r="E215" s="6">
        <v>0</v>
      </c>
      <c r="F215" s="6">
        <v>0</v>
      </c>
      <c r="G215" s="6">
        <v>0</v>
      </c>
      <c r="H215" s="6">
        <v>1</v>
      </c>
      <c r="I215" s="6">
        <v>0</v>
      </c>
      <c r="J215" s="6">
        <v>1</v>
      </c>
      <c r="K215" s="6">
        <v>0</v>
      </c>
      <c r="L215" s="6">
        <v>2</v>
      </c>
      <c r="M215" s="6">
        <v>0</v>
      </c>
      <c r="N215" s="6">
        <v>2</v>
      </c>
      <c r="O215" s="6">
        <v>0</v>
      </c>
      <c r="P215" s="6">
        <v>1</v>
      </c>
      <c r="Q215" s="6">
        <v>0</v>
      </c>
      <c r="R215" s="6">
        <v>0</v>
      </c>
      <c r="S215" s="6">
        <v>0</v>
      </c>
      <c r="T215" s="6">
        <v>0</v>
      </c>
      <c r="U215" s="6">
        <v>1</v>
      </c>
      <c r="V215" s="6">
        <v>1</v>
      </c>
      <c r="W215" s="6">
        <v>2</v>
      </c>
      <c r="X215" s="6">
        <v>1</v>
      </c>
      <c r="Y215" s="6">
        <v>1</v>
      </c>
      <c r="Z215" s="6">
        <v>0</v>
      </c>
      <c r="AA215" s="6">
        <v>1</v>
      </c>
      <c r="AB215" s="6">
        <v>1</v>
      </c>
      <c r="AC215" s="6">
        <v>0</v>
      </c>
      <c r="AD215" s="6">
        <v>0</v>
      </c>
      <c r="AE215" s="5">
        <f>SUM(E215:AD215)</f>
        <v>15</v>
      </c>
      <c r="AF215" s="20"/>
      <c r="AG215" s="20"/>
    </row>
    <row r="216" spans="1:33" x14ac:dyDescent="0.4">
      <c r="A216" s="7"/>
      <c r="B216" s="52"/>
      <c r="C216" s="24" t="s">
        <v>223</v>
      </c>
      <c r="E216" s="6">
        <v>0</v>
      </c>
      <c r="F216" s="6">
        <v>1</v>
      </c>
      <c r="G216" s="6">
        <v>0</v>
      </c>
      <c r="H216" s="6">
        <v>0</v>
      </c>
      <c r="I216" s="6">
        <v>1</v>
      </c>
      <c r="J216" s="6">
        <v>0</v>
      </c>
      <c r="K216" s="6">
        <v>0</v>
      </c>
      <c r="L216" s="6">
        <v>1</v>
      </c>
      <c r="M216" s="6">
        <v>1</v>
      </c>
      <c r="N216" s="6">
        <v>2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5">
        <f>SUM(E216:AD216)</f>
        <v>6</v>
      </c>
      <c r="AF216" s="20"/>
      <c r="AG216" s="20"/>
    </row>
    <row r="217" spans="1:33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49"/>
      <c r="AF217" s="20"/>
      <c r="AG217" s="20"/>
    </row>
    <row r="218" spans="1:33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49"/>
      <c r="AF218" s="1"/>
      <c r="AG218" s="1"/>
    </row>
    <row r="219" spans="1:33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49"/>
      <c r="AF219" s="27"/>
      <c r="AG219" s="27"/>
    </row>
    <row r="220" spans="1:33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49"/>
      <c r="AF220" s="20"/>
      <c r="AG220" s="20"/>
    </row>
    <row r="221" spans="1:33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49"/>
      <c r="AF221" s="20"/>
      <c r="AG221" s="20"/>
    </row>
    <row r="222" spans="1:33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49"/>
      <c r="AF222" s="20"/>
      <c r="AG222" s="20"/>
    </row>
    <row r="223" spans="1:33" x14ac:dyDescent="0.4">
      <c r="A223" s="6" t="s">
        <v>26</v>
      </c>
      <c r="B223" s="67" t="s">
        <v>51</v>
      </c>
      <c r="C223" s="68"/>
      <c r="D223" s="69"/>
      <c r="E223" s="5">
        <f>SUM(E213:E222)</f>
        <v>0</v>
      </c>
      <c r="F223" s="5">
        <f t="shared" ref="F223:AE223" si="52">SUM(F213:F222)</f>
        <v>2</v>
      </c>
      <c r="G223" s="5">
        <f t="shared" si="52"/>
        <v>0</v>
      </c>
      <c r="H223" s="5">
        <f t="shared" si="52"/>
        <v>3</v>
      </c>
      <c r="I223" s="5">
        <f t="shared" si="52"/>
        <v>2</v>
      </c>
      <c r="J223" s="5">
        <f t="shared" si="52"/>
        <v>1</v>
      </c>
      <c r="K223" s="5">
        <f t="shared" si="52"/>
        <v>1</v>
      </c>
      <c r="L223" s="5">
        <f t="shared" si="52"/>
        <v>3</v>
      </c>
      <c r="M223" s="5">
        <f t="shared" si="52"/>
        <v>1</v>
      </c>
      <c r="N223" s="5">
        <f t="shared" si="52"/>
        <v>10</v>
      </c>
      <c r="O223" s="5">
        <f t="shared" si="52"/>
        <v>1</v>
      </c>
      <c r="P223" s="5">
        <f t="shared" si="52"/>
        <v>3</v>
      </c>
      <c r="Q223" s="5">
        <f t="shared" si="52"/>
        <v>2</v>
      </c>
      <c r="R223" s="5">
        <f t="shared" si="52"/>
        <v>0</v>
      </c>
      <c r="S223" s="5">
        <f t="shared" si="52"/>
        <v>1</v>
      </c>
      <c r="T223" s="5">
        <f t="shared" si="52"/>
        <v>0</v>
      </c>
      <c r="U223" s="5">
        <f t="shared" si="52"/>
        <v>1</v>
      </c>
      <c r="V223" s="5">
        <f t="shared" si="52"/>
        <v>2</v>
      </c>
      <c r="W223" s="5">
        <f t="shared" si="52"/>
        <v>2</v>
      </c>
      <c r="X223" s="5">
        <f t="shared" si="52"/>
        <v>3</v>
      </c>
      <c r="Y223" s="5">
        <f t="shared" si="52"/>
        <v>1</v>
      </c>
      <c r="Z223" s="5">
        <f t="shared" si="52"/>
        <v>0</v>
      </c>
      <c r="AA223" s="5">
        <f t="shared" si="52"/>
        <v>5</v>
      </c>
      <c r="AB223" s="5">
        <f t="shared" si="52"/>
        <v>1</v>
      </c>
      <c r="AC223" s="5">
        <f t="shared" si="52"/>
        <v>0</v>
      </c>
      <c r="AD223" s="5">
        <f t="shared" si="52"/>
        <v>1</v>
      </c>
      <c r="AE223" s="5">
        <f t="shared" si="52"/>
        <v>46</v>
      </c>
      <c r="AF223" s="20"/>
      <c r="AG223" s="20"/>
    </row>
    <row r="224" spans="1:33" x14ac:dyDescent="0.4">
      <c r="A224" s="70"/>
      <c r="B224" s="71"/>
      <c r="C224" s="71"/>
      <c r="D224" s="71"/>
      <c r="E224" s="7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20"/>
      <c r="AG224" s="20"/>
    </row>
    <row r="225" spans="1:33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2</v>
      </c>
      <c r="L225" s="6">
        <v>1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  <c r="U225" s="6">
        <v>0</v>
      </c>
      <c r="V225" s="6">
        <v>0</v>
      </c>
      <c r="W225" s="6">
        <v>0</v>
      </c>
      <c r="X225" s="6">
        <v>1</v>
      </c>
      <c r="Y225" s="6">
        <v>0</v>
      </c>
      <c r="Z225" s="6">
        <v>0</v>
      </c>
      <c r="AA225" s="6">
        <v>0</v>
      </c>
      <c r="AB225" s="6">
        <v>2</v>
      </c>
      <c r="AC225" s="6">
        <v>0</v>
      </c>
      <c r="AD225" s="6">
        <v>0</v>
      </c>
      <c r="AE225" s="5">
        <f>SUM(E225:AD225)</f>
        <v>8</v>
      </c>
      <c r="AF225" s="20"/>
      <c r="AG225" s="20"/>
    </row>
    <row r="226" spans="1:33" x14ac:dyDescent="0.4">
      <c r="A226" s="11" t="s">
        <v>50</v>
      </c>
      <c r="B226" s="52"/>
      <c r="C226" s="24" t="s">
        <v>224</v>
      </c>
      <c r="D226" s="50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1</v>
      </c>
      <c r="M226" s="6">
        <v>3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1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5">
        <f>SUM(E226:AD226)</f>
        <v>5</v>
      </c>
      <c r="AF226" s="20"/>
      <c r="AG226" s="20"/>
    </row>
    <row r="227" spans="1:33" x14ac:dyDescent="0.4">
      <c r="A227" s="7"/>
      <c r="B227" s="52"/>
      <c r="C227" s="24" t="s">
        <v>225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1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5">
        <f>SUM(E227:AD227)</f>
        <v>1</v>
      </c>
      <c r="AF227" s="20"/>
      <c r="AG227" s="20"/>
    </row>
    <row r="228" spans="1:33" x14ac:dyDescent="0.4">
      <c r="A228" s="7"/>
      <c r="B228" s="52"/>
      <c r="C228" s="24" t="s">
        <v>226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1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5">
        <f>SUM(E228:AD228)</f>
        <v>1</v>
      </c>
      <c r="AF228" s="20"/>
      <c r="AG228" s="20"/>
    </row>
    <row r="229" spans="1:33" ht="13.15" customHeight="1" x14ac:dyDescent="0.4">
      <c r="A229" s="7"/>
      <c r="B229" s="52"/>
      <c r="C229" s="24" t="s">
        <v>227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2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5">
        <f>SUM(E229:AD229)</f>
        <v>2</v>
      </c>
      <c r="AF229" s="1"/>
      <c r="AG229" s="1"/>
    </row>
    <row r="230" spans="1:33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49"/>
      <c r="AF230" s="27"/>
      <c r="AG230" s="27"/>
    </row>
    <row r="231" spans="1:33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49"/>
      <c r="AF231" s="20"/>
      <c r="AG231" s="20"/>
    </row>
    <row r="232" spans="1:33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49"/>
      <c r="AF232" s="20"/>
      <c r="AG232" s="20"/>
    </row>
    <row r="233" spans="1:33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49"/>
      <c r="AF233" s="20"/>
      <c r="AG233" s="20"/>
    </row>
    <row r="234" spans="1:33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49"/>
      <c r="AF234" s="20"/>
      <c r="AG234" s="20"/>
    </row>
    <row r="235" spans="1:33" x14ac:dyDescent="0.4">
      <c r="A235" s="6" t="s">
        <v>26</v>
      </c>
      <c r="B235" s="67" t="s">
        <v>51</v>
      </c>
      <c r="C235" s="68"/>
      <c r="D235" s="69"/>
      <c r="E235" s="5">
        <f t="shared" ref="E235:AE235" si="53">SUM(E225:E234)</f>
        <v>0</v>
      </c>
      <c r="F235" s="5">
        <f t="shared" si="53"/>
        <v>0</v>
      </c>
      <c r="G235" s="5">
        <f t="shared" si="53"/>
        <v>0</v>
      </c>
      <c r="H235" s="5">
        <f t="shared" si="53"/>
        <v>0</v>
      </c>
      <c r="I235" s="5">
        <f t="shared" si="53"/>
        <v>0</v>
      </c>
      <c r="J235" s="5">
        <f t="shared" si="53"/>
        <v>0</v>
      </c>
      <c r="K235" s="5">
        <f t="shared" si="53"/>
        <v>4</v>
      </c>
      <c r="L235" s="5">
        <f t="shared" si="53"/>
        <v>2</v>
      </c>
      <c r="M235" s="5">
        <f t="shared" si="53"/>
        <v>4</v>
      </c>
      <c r="N235" s="5">
        <f t="shared" si="53"/>
        <v>0</v>
      </c>
      <c r="O235" s="5">
        <f t="shared" si="53"/>
        <v>1</v>
      </c>
      <c r="P235" s="5">
        <f t="shared" si="53"/>
        <v>0</v>
      </c>
      <c r="Q235" s="5">
        <f t="shared" si="53"/>
        <v>0</v>
      </c>
      <c r="R235" s="5">
        <f t="shared" si="53"/>
        <v>0</v>
      </c>
      <c r="S235" s="5">
        <f t="shared" si="53"/>
        <v>1</v>
      </c>
      <c r="T235" s="5">
        <f t="shared" si="53"/>
        <v>0</v>
      </c>
      <c r="U235" s="5">
        <f t="shared" si="53"/>
        <v>0</v>
      </c>
      <c r="V235" s="5">
        <f t="shared" si="53"/>
        <v>0</v>
      </c>
      <c r="W235" s="5">
        <f t="shared" si="53"/>
        <v>0</v>
      </c>
      <c r="X235" s="5">
        <f t="shared" si="53"/>
        <v>1</v>
      </c>
      <c r="Y235" s="5">
        <f t="shared" si="53"/>
        <v>2</v>
      </c>
      <c r="Z235" s="5">
        <f t="shared" si="53"/>
        <v>0</v>
      </c>
      <c r="AA235" s="5">
        <f t="shared" si="53"/>
        <v>0</v>
      </c>
      <c r="AB235" s="5">
        <f t="shared" si="53"/>
        <v>2</v>
      </c>
      <c r="AC235" s="5">
        <f t="shared" si="53"/>
        <v>0</v>
      </c>
      <c r="AD235" s="5">
        <f t="shared" si="53"/>
        <v>0</v>
      </c>
      <c r="AE235" s="5">
        <f t="shared" si="53"/>
        <v>17</v>
      </c>
      <c r="AF235" s="20"/>
      <c r="AG235" s="20"/>
    </row>
    <row r="236" spans="1:33" x14ac:dyDescent="0.4">
      <c r="A236" s="70"/>
      <c r="B236" s="71"/>
      <c r="C236" s="71"/>
      <c r="D236" s="71"/>
      <c r="E236" s="7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20"/>
      <c r="AG236" s="20"/>
    </row>
    <row r="237" spans="1:33" x14ac:dyDescent="0.4">
      <c r="A237" s="11" t="s">
        <v>48</v>
      </c>
      <c r="B237" s="17" t="s">
        <v>79</v>
      </c>
      <c r="C237" s="73" t="s">
        <v>80</v>
      </c>
      <c r="D237" s="74"/>
      <c r="E237" s="6">
        <v>0</v>
      </c>
      <c r="F237" s="6">
        <v>2</v>
      </c>
      <c r="G237" s="6">
        <v>0</v>
      </c>
      <c r="H237" s="6">
        <v>2</v>
      </c>
      <c r="I237" s="6">
        <v>1</v>
      </c>
      <c r="J237" s="6">
        <v>0</v>
      </c>
      <c r="K237" s="6">
        <v>0</v>
      </c>
      <c r="L237" s="6">
        <v>1</v>
      </c>
      <c r="M237" s="6">
        <v>1</v>
      </c>
      <c r="N237" s="6">
        <v>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1</v>
      </c>
      <c r="Y237" s="6">
        <v>0</v>
      </c>
      <c r="Z237" s="6">
        <v>0</v>
      </c>
      <c r="AA237" s="6">
        <v>0</v>
      </c>
      <c r="AB237" s="6">
        <v>0</v>
      </c>
      <c r="AC237" s="6">
        <v>2</v>
      </c>
      <c r="AD237" s="6">
        <v>0</v>
      </c>
      <c r="AE237" s="5">
        <f t="shared" ref="AE237:AE246" si="54">SUM(E237:AD237)</f>
        <v>11</v>
      </c>
      <c r="AF237" s="20"/>
      <c r="AG237" s="20"/>
    </row>
    <row r="238" spans="1:33" x14ac:dyDescent="0.4">
      <c r="A238" s="11" t="s">
        <v>50</v>
      </c>
      <c r="B238" s="52"/>
      <c r="C238" s="24" t="s">
        <v>228</v>
      </c>
      <c r="D238" s="50"/>
      <c r="E238" s="6">
        <v>0</v>
      </c>
      <c r="F238" s="6">
        <v>1</v>
      </c>
      <c r="G238" s="6">
        <v>0</v>
      </c>
      <c r="H238" s="6">
        <v>3</v>
      </c>
      <c r="I238" s="6">
        <v>0</v>
      </c>
      <c r="J238" s="6">
        <v>0</v>
      </c>
      <c r="K238" s="6">
        <v>0</v>
      </c>
      <c r="L238" s="6">
        <v>2</v>
      </c>
      <c r="M238" s="6">
        <v>1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2</v>
      </c>
      <c r="Y238" s="6">
        <v>0</v>
      </c>
      <c r="Z238" s="6">
        <v>0</v>
      </c>
      <c r="AA238" s="6">
        <v>0</v>
      </c>
      <c r="AB238" s="6">
        <v>0</v>
      </c>
      <c r="AC238" s="6">
        <v>1</v>
      </c>
      <c r="AD238" s="6">
        <v>3</v>
      </c>
      <c r="AE238" s="5">
        <f t="shared" si="54"/>
        <v>13</v>
      </c>
      <c r="AF238" s="20"/>
      <c r="AG238" s="20"/>
    </row>
    <row r="239" spans="1:33" x14ac:dyDescent="0.4">
      <c r="A239" s="7"/>
      <c r="B239" s="52"/>
      <c r="C239" s="24" t="s">
        <v>229</v>
      </c>
      <c r="D239" s="50"/>
      <c r="E239" s="6">
        <v>2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1</v>
      </c>
      <c r="R239" s="6">
        <v>0</v>
      </c>
      <c r="S239" s="6">
        <v>0</v>
      </c>
      <c r="T239" s="6">
        <v>1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5">
        <f t="shared" si="54"/>
        <v>4</v>
      </c>
      <c r="AF239" s="20"/>
      <c r="AG239" s="20"/>
    </row>
    <row r="240" spans="1:33" ht="13.15" customHeight="1" x14ac:dyDescent="0.4">
      <c r="A240" s="7"/>
      <c r="B240" s="52"/>
      <c r="C240" s="24" t="s">
        <v>230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1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5">
        <f t="shared" si="54"/>
        <v>1</v>
      </c>
      <c r="AF240" s="1"/>
      <c r="AG240" s="1"/>
    </row>
    <row r="241" spans="1:31" x14ac:dyDescent="0.4">
      <c r="A241" s="7"/>
      <c r="B241" s="52"/>
      <c r="C241" s="24" t="s">
        <v>231</v>
      </c>
      <c r="D241" s="50"/>
      <c r="E241" s="6">
        <v>0</v>
      </c>
      <c r="F241" s="6">
        <v>0</v>
      </c>
      <c r="G241" s="6">
        <v>0</v>
      </c>
      <c r="H241" s="6">
        <v>1</v>
      </c>
      <c r="I241" s="6">
        <v>1</v>
      </c>
      <c r="J241" s="6">
        <v>0</v>
      </c>
      <c r="K241" s="6">
        <v>0</v>
      </c>
      <c r="L241" s="6">
        <v>0</v>
      </c>
      <c r="M241" s="6">
        <v>1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1</v>
      </c>
      <c r="AB241" s="6">
        <v>0</v>
      </c>
      <c r="AC241" s="6">
        <v>0</v>
      </c>
      <c r="AD241" s="6">
        <v>0</v>
      </c>
      <c r="AE241" s="5">
        <f t="shared" si="54"/>
        <v>4</v>
      </c>
    </row>
    <row r="242" spans="1:31" ht="12.75" customHeight="1" x14ac:dyDescent="0.4">
      <c r="A242" s="7"/>
      <c r="B242" s="52"/>
      <c r="C242" s="24" t="s">
        <v>232</v>
      </c>
      <c r="D242" s="50"/>
      <c r="E242" s="6">
        <v>0</v>
      </c>
      <c r="F242" s="6">
        <v>26</v>
      </c>
      <c r="G242" s="6">
        <v>0</v>
      </c>
      <c r="H242" s="6">
        <v>18</v>
      </c>
      <c r="I242" s="6">
        <v>1</v>
      </c>
      <c r="J242" s="6">
        <v>0</v>
      </c>
      <c r="K242" s="6">
        <v>1</v>
      </c>
      <c r="L242" s="6">
        <v>0</v>
      </c>
      <c r="M242" s="6">
        <v>1</v>
      </c>
      <c r="N242" s="6">
        <v>0</v>
      </c>
      <c r="O242" s="6">
        <v>1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4</v>
      </c>
      <c r="AE242" s="5">
        <f t="shared" si="54"/>
        <v>52</v>
      </c>
    </row>
    <row r="243" spans="1:31" x14ac:dyDescent="0.4">
      <c r="A243" s="7"/>
      <c r="B243" s="52"/>
      <c r="C243" s="24" t="s">
        <v>233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5">
        <f t="shared" si="54"/>
        <v>0</v>
      </c>
    </row>
    <row r="244" spans="1:31" x14ac:dyDescent="0.4">
      <c r="A244" s="7"/>
      <c r="B244" s="52"/>
      <c r="C244" s="24" t="s">
        <v>234</v>
      </c>
      <c r="D244" s="50"/>
      <c r="E244" s="6">
        <v>0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1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5">
        <f t="shared" si="54"/>
        <v>2</v>
      </c>
    </row>
    <row r="245" spans="1:31" x14ac:dyDescent="0.4">
      <c r="A245" s="7"/>
      <c r="B245" s="52"/>
      <c r="C245" s="24" t="s">
        <v>235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1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5">
        <f t="shared" si="54"/>
        <v>1</v>
      </c>
    </row>
    <row r="246" spans="1:31" x14ac:dyDescent="0.4">
      <c r="A246" s="7"/>
      <c r="B246" s="52"/>
      <c r="C246" s="24" t="s">
        <v>236</v>
      </c>
      <c r="D246" s="50"/>
      <c r="E246" s="6">
        <v>0</v>
      </c>
      <c r="F246" s="6">
        <v>0</v>
      </c>
      <c r="G246" s="6">
        <v>0</v>
      </c>
      <c r="H246" s="6">
        <v>1</v>
      </c>
      <c r="I246" s="6">
        <v>0</v>
      </c>
      <c r="J246" s="6">
        <v>0</v>
      </c>
      <c r="K246" s="6">
        <v>0</v>
      </c>
      <c r="L246" s="6">
        <v>0</v>
      </c>
      <c r="M246" s="6">
        <v>1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5">
        <f t="shared" si="54"/>
        <v>2</v>
      </c>
    </row>
    <row r="247" spans="1:31" ht="12.75" customHeight="1" x14ac:dyDescent="0.4">
      <c r="A247" s="6" t="s">
        <v>26</v>
      </c>
      <c r="B247" s="67" t="s">
        <v>51</v>
      </c>
      <c r="C247" s="68"/>
      <c r="D247" s="69"/>
      <c r="E247" s="5">
        <f t="shared" ref="E247:AE247" si="55">SUM(E237:E246)</f>
        <v>2</v>
      </c>
      <c r="F247" s="5">
        <f t="shared" si="55"/>
        <v>30</v>
      </c>
      <c r="G247" s="5">
        <f t="shared" si="55"/>
        <v>0</v>
      </c>
      <c r="H247" s="5">
        <f t="shared" si="55"/>
        <v>25</v>
      </c>
      <c r="I247" s="5">
        <f t="shared" si="55"/>
        <v>3</v>
      </c>
      <c r="J247" s="5">
        <f t="shared" si="55"/>
        <v>0</v>
      </c>
      <c r="K247" s="5">
        <f t="shared" si="55"/>
        <v>2</v>
      </c>
      <c r="L247" s="5">
        <f t="shared" si="55"/>
        <v>3</v>
      </c>
      <c r="M247" s="5">
        <f t="shared" si="55"/>
        <v>5</v>
      </c>
      <c r="N247" s="5">
        <f t="shared" si="55"/>
        <v>1</v>
      </c>
      <c r="O247" s="5">
        <f t="shared" si="55"/>
        <v>1</v>
      </c>
      <c r="P247" s="5">
        <f t="shared" si="55"/>
        <v>0</v>
      </c>
      <c r="Q247" s="5">
        <f t="shared" si="55"/>
        <v>1</v>
      </c>
      <c r="R247" s="5">
        <f t="shared" si="55"/>
        <v>0</v>
      </c>
      <c r="S247" s="5">
        <f t="shared" si="55"/>
        <v>1</v>
      </c>
      <c r="T247" s="5">
        <f t="shared" si="55"/>
        <v>1</v>
      </c>
      <c r="U247" s="5">
        <f t="shared" si="55"/>
        <v>0</v>
      </c>
      <c r="V247" s="5">
        <f t="shared" si="55"/>
        <v>0</v>
      </c>
      <c r="W247" s="5">
        <f t="shared" si="55"/>
        <v>0</v>
      </c>
      <c r="X247" s="5">
        <f t="shared" si="55"/>
        <v>3</v>
      </c>
      <c r="Y247" s="5">
        <f t="shared" si="55"/>
        <v>1</v>
      </c>
      <c r="Z247" s="5">
        <f t="shared" si="55"/>
        <v>0</v>
      </c>
      <c r="AA247" s="5">
        <f t="shared" si="55"/>
        <v>1</v>
      </c>
      <c r="AB247" s="5">
        <f t="shared" si="55"/>
        <v>0</v>
      </c>
      <c r="AC247" s="5">
        <f t="shared" si="55"/>
        <v>3</v>
      </c>
      <c r="AD247" s="5">
        <f t="shared" si="55"/>
        <v>7</v>
      </c>
      <c r="AE247" s="5">
        <f t="shared" si="55"/>
        <v>90</v>
      </c>
    </row>
    <row r="248" spans="1:31" x14ac:dyDescent="0.4">
      <c r="A248" s="70"/>
      <c r="B248" s="71"/>
      <c r="C248" s="71"/>
      <c r="D248" s="71"/>
      <c r="E248" s="72"/>
    </row>
    <row r="249" spans="1:31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1</v>
      </c>
      <c r="L249" s="6">
        <v>1</v>
      </c>
      <c r="M249" s="6">
        <v>1</v>
      </c>
      <c r="N249" s="6">
        <v>2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1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5">
        <f>SUM(E249:AD249)</f>
        <v>7</v>
      </c>
    </row>
    <row r="250" spans="1:31" x14ac:dyDescent="0.4">
      <c r="A250" s="11" t="s">
        <v>50</v>
      </c>
      <c r="B250" s="52"/>
      <c r="C250" s="24" t="s">
        <v>237</v>
      </c>
      <c r="D250" s="50"/>
      <c r="E250" s="6">
        <v>0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1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5">
        <f>SUM(E250:AD250)</f>
        <v>2</v>
      </c>
    </row>
    <row r="251" spans="1:31" x14ac:dyDescent="0.4">
      <c r="A251" s="7"/>
      <c r="B251" s="52"/>
      <c r="C251" s="24" t="s">
        <v>238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5">
        <f>SUM(E251:AD251)</f>
        <v>0</v>
      </c>
    </row>
    <row r="252" spans="1:31" x14ac:dyDescent="0.4">
      <c r="A252" s="7"/>
      <c r="B252" s="52"/>
      <c r="C252" s="24" t="s">
        <v>239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1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1</v>
      </c>
      <c r="AD252" s="6">
        <v>0</v>
      </c>
      <c r="AE252" s="5">
        <f>SUM(E252:AD252)</f>
        <v>2</v>
      </c>
    </row>
    <row r="253" spans="1:31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49"/>
    </row>
    <row r="254" spans="1:31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49"/>
    </row>
    <row r="255" spans="1:31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49"/>
    </row>
    <row r="256" spans="1:31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49"/>
    </row>
    <row r="257" spans="1:31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49"/>
    </row>
    <row r="258" spans="1:31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49"/>
    </row>
    <row r="259" spans="1:31" x14ac:dyDescent="0.4">
      <c r="A259" s="6" t="s">
        <v>26</v>
      </c>
      <c r="B259" s="67" t="s">
        <v>51</v>
      </c>
      <c r="C259" s="68"/>
      <c r="D259" s="69"/>
      <c r="E259" s="5">
        <f t="shared" ref="E259:AE259" si="56">SUM(E249:E258)</f>
        <v>0</v>
      </c>
      <c r="F259" s="5">
        <f t="shared" si="56"/>
        <v>0</v>
      </c>
      <c r="G259" s="5">
        <f t="shared" si="56"/>
        <v>1</v>
      </c>
      <c r="H259" s="5">
        <f t="shared" si="56"/>
        <v>0</v>
      </c>
      <c r="I259" s="5">
        <f t="shared" si="56"/>
        <v>1</v>
      </c>
      <c r="J259" s="5">
        <f t="shared" si="56"/>
        <v>0</v>
      </c>
      <c r="K259" s="5">
        <f t="shared" si="56"/>
        <v>1</v>
      </c>
      <c r="L259" s="5">
        <f t="shared" si="56"/>
        <v>1</v>
      </c>
      <c r="M259" s="5">
        <f t="shared" si="56"/>
        <v>1</v>
      </c>
      <c r="N259" s="5">
        <f t="shared" si="56"/>
        <v>2</v>
      </c>
      <c r="O259" s="5">
        <f t="shared" si="56"/>
        <v>0</v>
      </c>
      <c r="P259" s="5">
        <f t="shared" si="56"/>
        <v>0</v>
      </c>
      <c r="Q259" s="5">
        <f t="shared" si="56"/>
        <v>0</v>
      </c>
      <c r="R259" s="5">
        <f t="shared" si="56"/>
        <v>0</v>
      </c>
      <c r="S259" s="5">
        <f t="shared" si="56"/>
        <v>0</v>
      </c>
      <c r="T259" s="5">
        <f t="shared" si="56"/>
        <v>0</v>
      </c>
      <c r="U259" s="5">
        <f t="shared" si="56"/>
        <v>1</v>
      </c>
      <c r="V259" s="5">
        <f t="shared" si="56"/>
        <v>0</v>
      </c>
      <c r="W259" s="5">
        <f t="shared" si="56"/>
        <v>1</v>
      </c>
      <c r="X259" s="5">
        <f t="shared" si="56"/>
        <v>1</v>
      </c>
      <c r="Y259" s="5">
        <f t="shared" si="56"/>
        <v>0</v>
      </c>
      <c r="Z259" s="5">
        <f t="shared" si="56"/>
        <v>0</v>
      </c>
      <c r="AA259" s="5">
        <f t="shared" si="56"/>
        <v>0</v>
      </c>
      <c r="AB259" s="5">
        <f t="shared" si="56"/>
        <v>0</v>
      </c>
      <c r="AC259" s="5">
        <f t="shared" si="56"/>
        <v>1</v>
      </c>
      <c r="AD259" s="5">
        <f t="shared" si="56"/>
        <v>0</v>
      </c>
      <c r="AE259" s="5">
        <f t="shared" si="56"/>
        <v>11</v>
      </c>
    </row>
    <row r="261" spans="1:31" x14ac:dyDescent="0.4">
      <c r="A261" s="16" t="s">
        <v>83</v>
      </c>
      <c r="B261" s="75" t="s">
        <v>84</v>
      </c>
      <c r="C261" s="76"/>
      <c r="D261" s="7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</row>
    <row r="262" spans="1:31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178</v>
      </c>
      <c r="F262" s="6">
        <f t="shared" ref="F262:AD262" si="57">F55+F67+F79+F91+F103+F115+F127+F139+F151+F163+F175+F187+F199+F211+F223+F235+F247+F259</f>
        <v>183</v>
      </c>
      <c r="G262" s="6">
        <f t="shared" si="57"/>
        <v>185</v>
      </c>
      <c r="H262" s="6">
        <f t="shared" si="57"/>
        <v>153</v>
      </c>
      <c r="I262" s="6">
        <f t="shared" si="57"/>
        <v>186</v>
      </c>
      <c r="J262" s="6">
        <f t="shared" si="57"/>
        <v>200</v>
      </c>
      <c r="K262" s="6">
        <f t="shared" si="57"/>
        <v>206</v>
      </c>
      <c r="L262" s="6">
        <f t="shared" si="57"/>
        <v>206</v>
      </c>
      <c r="M262" s="6">
        <f t="shared" si="57"/>
        <v>203</v>
      </c>
      <c r="N262" s="6">
        <f t="shared" si="57"/>
        <v>197</v>
      </c>
      <c r="O262" s="6">
        <f t="shared" ref="O262:S262" si="58">O55+O67+O79+O91+O103+O115+O127+O139+O151+O163+O175+O187+O199+O211+O223+O235+O247+O259</f>
        <v>165</v>
      </c>
      <c r="P262" s="6">
        <f t="shared" si="58"/>
        <v>201</v>
      </c>
      <c r="Q262" s="6">
        <f t="shared" si="58"/>
        <v>168</v>
      </c>
      <c r="R262" s="6">
        <f t="shared" si="58"/>
        <v>144</v>
      </c>
      <c r="S262" s="6">
        <f t="shared" si="58"/>
        <v>192</v>
      </c>
      <c r="T262" s="6">
        <f t="shared" si="57"/>
        <v>176</v>
      </c>
      <c r="U262" s="6">
        <f t="shared" si="57"/>
        <v>180</v>
      </c>
      <c r="V262" s="6">
        <f t="shared" si="57"/>
        <v>143</v>
      </c>
      <c r="W262" s="6">
        <f t="shared" si="57"/>
        <v>191</v>
      </c>
      <c r="X262" s="6">
        <f t="shared" si="57"/>
        <v>191</v>
      </c>
      <c r="Y262" s="6">
        <f t="shared" ref="Y262:AC262" si="59">Y55+Y67+Y79+Y91+Y103+Y115+Y127+Y139+Y151+Y163+Y175+Y187+Y199+Y211+Y223+Y235+Y247+Y259</f>
        <v>181</v>
      </c>
      <c r="Z262" s="6">
        <f t="shared" si="59"/>
        <v>213</v>
      </c>
      <c r="AA262" s="6">
        <f t="shared" si="59"/>
        <v>154</v>
      </c>
      <c r="AB262" s="6">
        <f t="shared" si="59"/>
        <v>145</v>
      </c>
      <c r="AC262" s="6">
        <f t="shared" si="59"/>
        <v>156</v>
      </c>
      <c r="AD262" s="6">
        <f t="shared" si="57"/>
        <v>186</v>
      </c>
      <c r="AE262" s="5">
        <f>SUM(E262:AD262)</f>
        <v>4683</v>
      </c>
    </row>
    <row r="263" spans="1:31" x14ac:dyDescent="0.4">
      <c r="A263" s="13"/>
      <c r="B263" s="19" t="s">
        <v>87</v>
      </c>
      <c r="C263" s="65" t="s">
        <v>88</v>
      </c>
      <c r="D263" s="66"/>
      <c r="E263" s="6">
        <v>29</v>
      </c>
      <c r="F263" s="6">
        <v>17</v>
      </c>
      <c r="G263" s="6">
        <v>16</v>
      </c>
      <c r="H263" s="6">
        <v>31</v>
      </c>
      <c r="I263" s="6">
        <v>24</v>
      </c>
      <c r="J263" s="6">
        <v>30</v>
      </c>
      <c r="K263" s="6">
        <v>18</v>
      </c>
      <c r="L263" s="6">
        <v>23</v>
      </c>
      <c r="M263" s="6">
        <v>20</v>
      </c>
      <c r="N263" s="6">
        <v>30</v>
      </c>
      <c r="O263" s="6">
        <v>13</v>
      </c>
      <c r="P263" s="6">
        <v>15</v>
      </c>
      <c r="Q263" s="6">
        <v>15</v>
      </c>
      <c r="R263" s="6">
        <v>11</v>
      </c>
      <c r="S263" s="6">
        <v>29</v>
      </c>
      <c r="T263" s="6">
        <v>18</v>
      </c>
      <c r="U263" s="6">
        <v>19</v>
      </c>
      <c r="V263" s="6">
        <v>42</v>
      </c>
      <c r="W263" s="6">
        <v>34</v>
      </c>
      <c r="X263" s="6">
        <v>19</v>
      </c>
      <c r="Y263" s="6">
        <v>10</v>
      </c>
      <c r="Z263" s="6">
        <v>9</v>
      </c>
      <c r="AA263" s="6">
        <v>23</v>
      </c>
      <c r="AB263" s="6">
        <v>9</v>
      </c>
      <c r="AC263" s="6">
        <v>16</v>
      </c>
      <c r="AD263" s="6">
        <v>21</v>
      </c>
      <c r="AE263" s="5">
        <f>SUM(E263:AD263)</f>
        <v>541</v>
      </c>
    </row>
    <row r="264" spans="1:31" x14ac:dyDescent="0.4">
      <c r="A264" s="14"/>
      <c r="B264" s="19" t="s">
        <v>89</v>
      </c>
      <c r="C264" s="65" t="s">
        <v>90</v>
      </c>
      <c r="D264" s="66"/>
      <c r="E264" s="5">
        <f>SUM(E262:E263)</f>
        <v>207</v>
      </c>
      <c r="F264" s="5">
        <f t="shared" ref="F264:AD264" si="60">SUM(F262:F263)</f>
        <v>200</v>
      </c>
      <c r="G264" s="5">
        <f t="shared" si="60"/>
        <v>201</v>
      </c>
      <c r="H264" s="5">
        <f t="shared" si="60"/>
        <v>184</v>
      </c>
      <c r="I264" s="5">
        <f t="shared" si="60"/>
        <v>210</v>
      </c>
      <c r="J264" s="5">
        <f t="shared" si="60"/>
        <v>230</v>
      </c>
      <c r="K264" s="5">
        <f t="shared" si="60"/>
        <v>224</v>
      </c>
      <c r="L264" s="5">
        <f t="shared" si="60"/>
        <v>229</v>
      </c>
      <c r="M264" s="5">
        <f t="shared" si="60"/>
        <v>223</v>
      </c>
      <c r="N264" s="5">
        <f t="shared" si="60"/>
        <v>227</v>
      </c>
      <c r="O264" s="5">
        <f t="shared" ref="O264:S264" si="61">SUM(O262:O263)</f>
        <v>178</v>
      </c>
      <c r="P264" s="5">
        <f t="shared" si="61"/>
        <v>216</v>
      </c>
      <c r="Q264" s="5">
        <f t="shared" si="61"/>
        <v>183</v>
      </c>
      <c r="R264" s="5">
        <f t="shared" si="61"/>
        <v>155</v>
      </c>
      <c r="S264" s="5">
        <f t="shared" si="61"/>
        <v>221</v>
      </c>
      <c r="T264" s="5">
        <f t="shared" si="60"/>
        <v>194</v>
      </c>
      <c r="U264" s="5">
        <f t="shared" si="60"/>
        <v>199</v>
      </c>
      <c r="V264" s="5">
        <f t="shared" si="60"/>
        <v>185</v>
      </c>
      <c r="W264" s="5">
        <f t="shared" si="60"/>
        <v>225</v>
      </c>
      <c r="X264" s="5">
        <f t="shared" si="60"/>
        <v>210</v>
      </c>
      <c r="Y264" s="5">
        <f t="shared" ref="Y264:AC264" si="62">SUM(Y262:Y263)</f>
        <v>191</v>
      </c>
      <c r="Z264" s="5">
        <f t="shared" si="62"/>
        <v>222</v>
      </c>
      <c r="AA264" s="5">
        <f t="shared" si="62"/>
        <v>177</v>
      </c>
      <c r="AB264" s="5">
        <f t="shared" si="62"/>
        <v>154</v>
      </c>
      <c r="AC264" s="5">
        <f t="shared" si="62"/>
        <v>172</v>
      </c>
      <c r="AD264" s="5">
        <f t="shared" si="60"/>
        <v>207</v>
      </c>
      <c r="AE264" s="5">
        <f>SUM(E264:AD264)</f>
        <v>5224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D12"/>
    <mergeCell ref="AE12:AE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14:AD15">
    <cfRule type="containsBlanks" dxfId="197" priority="21">
      <formula>LEN(TRIM(E14))=0</formula>
    </cfRule>
  </conditionalFormatting>
  <conditionalFormatting sqref="E19:AD20">
    <cfRule type="containsBlanks" dxfId="196" priority="24">
      <formula>LEN(TRIM(E19))=0</formula>
    </cfRule>
  </conditionalFormatting>
  <conditionalFormatting sqref="E22:AD23 E25:AD26 E33:AD33 E35:AD35 E39:AD40">
    <cfRule type="containsBlanks" dxfId="195" priority="25">
      <formula>LEN(TRIM(E22))=0</formula>
    </cfRule>
  </conditionalFormatting>
  <conditionalFormatting sqref="E30:AD30">
    <cfRule type="expression" dxfId="194" priority="26">
      <formula>E30&lt;&gt;E47</formula>
    </cfRule>
    <cfRule type="expression" dxfId="193" priority="27">
      <formula>E30&lt;&gt;E34</formula>
    </cfRule>
  </conditionalFormatting>
  <conditionalFormatting sqref="E34:AD34">
    <cfRule type="expression" dxfId="192" priority="22">
      <formula>E30&lt;&gt;E34</formula>
    </cfRule>
    <cfRule type="expression" dxfId="191" priority="23">
      <formula>E30=E34</formula>
    </cfRule>
    <cfRule type="expression" dxfId="190" priority="28">
      <formula>E34&lt;&gt;E30</formula>
    </cfRule>
    <cfRule type="expression" dxfId="189" priority="30">
      <formula>E34&lt;&gt;E64</formula>
    </cfRule>
  </conditionalFormatting>
  <conditionalFormatting sqref="E45:AD54">
    <cfRule type="containsBlanks" dxfId="188" priority="20">
      <formula>LEN(TRIM(E45))=0</formula>
    </cfRule>
  </conditionalFormatting>
  <conditionalFormatting sqref="E57:AD66">
    <cfRule type="containsBlanks" dxfId="187" priority="19">
      <formula>LEN(TRIM(E57))=0</formula>
    </cfRule>
  </conditionalFormatting>
  <conditionalFormatting sqref="E69:AD78">
    <cfRule type="containsBlanks" dxfId="186" priority="18">
      <formula>LEN(TRIM(E69))=0</formula>
    </cfRule>
  </conditionalFormatting>
  <conditionalFormatting sqref="E81:AD90">
    <cfRule type="containsBlanks" dxfId="185" priority="17">
      <formula>LEN(TRIM(E81))=0</formula>
    </cfRule>
  </conditionalFormatting>
  <conditionalFormatting sqref="E93:AD102">
    <cfRule type="containsBlanks" dxfId="184" priority="16">
      <formula>LEN(TRIM(E93))=0</formula>
    </cfRule>
  </conditionalFormatting>
  <conditionalFormatting sqref="E105:AD114">
    <cfRule type="containsBlanks" dxfId="183" priority="15">
      <formula>LEN(TRIM(E105))=0</formula>
    </cfRule>
  </conditionalFormatting>
  <conditionalFormatting sqref="E117:AD126">
    <cfRule type="containsBlanks" dxfId="182" priority="1">
      <formula>LEN(TRIM(E117))=0</formula>
    </cfRule>
  </conditionalFormatting>
  <conditionalFormatting sqref="E129:AD138">
    <cfRule type="containsBlanks" dxfId="181" priority="14">
      <formula>LEN(TRIM(E129))=0</formula>
    </cfRule>
  </conditionalFormatting>
  <conditionalFormatting sqref="E141:AD150">
    <cfRule type="containsBlanks" dxfId="180" priority="13">
      <formula>LEN(TRIM(E141))=0</formula>
    </cfRule>
  </conditionalFormatting>
  <conditionalFormatting sqref="E153:AD162">
    <cfRule type="containsBlanks" dxfId="179" priority="3">
      <formula>LEN(TRIM(E153))=0</formula>
    </cfRule>
  </conditionalFormatting>
  <conditionalFormatting sqref="E165:AD174">
    <cfRule type="containsBlanks" dxfId="178" priority="12">
      <formula>LEN(TRIM(E165))=0</formula>
    </cfRule>
  </conditionalFormatting>
  <conditionalFormatting sqref="E177:AD186">
    <cfRule type="containsBlanks" dxfId="177" priority="11">
      <formula>LEN(TRIM(E177))=0</formula>
    </cfRule>
  </conditionalFormatting>
  <conditionalFormatting sqref="E189:AD198">
    <cfRule type="containsBlanks" dxfId="176" priority="10">
      <formula>LEN(TRIM(E189))=0</formula>
    </cfRule>
  </conditionalFormatting>
  <conditionalFormatting sqref="E201:AD210">
    <cfRule type="containsBlanks" dxfId="175" priority="9">
      <formula>LEN(TRIM(E201))=0</formula>
    </cfRule>
  </conditionalFormatting>
  <conditionalFormatting sqref="E213:AD222">
    <cfRule type="containsBlanks" dxfId="174" priority="8">
      <formula>LEN(TRIM(E213))=0</formula>
    </cfRule>
  </conditionalFormatting>
  <conditionalFormatting sqref="E225:AD234">
    <cfRule type="containsBlanks" dxfId="173" priority="7">
      <formula>LEN(TRIM(E225))=0</formula>
    </cfRule>
  </conditionalFormatting>
  <conditionalFormatting sqref="E237:AD246">
    <cfRule type="containsBlanks" dxfId="172" priority="6">
      <formula>LEN(TRIM(E237))=0</formula>
    </cfRule>
  </conditionalFormatting>
  <conditionalFormatting sqref="E249:AD258">
    <cfRule type="containsBlanks" dxfId="171" priority="4">
      <formula>LEN(TRIM(E249))=0</formula>
    </cfRule>
  </conditionalFormatting>
  <conditionalFormatting sqref="E262:AD263">
    <cfRule type="containsBlanks" dxfId="17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92D050"/>
  </sheetPr>
  <dimension ref="A2:BM264"/>
  <sheetViews>
    <sheetView topLeftCell="AQ13" zoomScaleNormal="100" workbookViewId="0">
      <pane ySplit="1" topLeftCell="A257" activePane="bottomLeft" state="frozen"/>
      <selection activeCell="A13" sqref="A13"/>
      <selection pane="bottomLeft" activeCell="BK263" sqref="BK263"/>
    </sheetView>
  </sheetViews>
  <sheetFormatPr defaultRowHeight="13.15" x14ac:dyDescent="0.4"/>
  <cols>
    <col min="3" max="3" width="67.140625" bestFit="1" customWidth="1"/>
    <col min="4" max="4" width="5.85546875" bestFit="1" customWidth="1"/>
    <col min="63" max="63" width="13.28515625" customWidth="1"/>
  </cols>
  <sheetData>
    <row r="2" spans="1:63" x14ac:dyDescent="0.4">
      <c r="C2" s="43" t="s">
        <v>116</v>
      </c>
      <c r="D2" s="43" t="s">
        <v>257</v>
      </c>
    </row>
    <row r="3" spans="1:63" x14ac:dyDescent="0.4">
      <c r="C3" s="43" t="s">
        <v>117</v>
      </c>
      <c r="D3" s="43" t="s">
        <v>118</v>
      </c>
    </row>
    <row r="4" spans="1:63" x14ac:dyDescent="0.4">
      <c r="C4" s="43" t="s">
        <v>119</v>
      </c>
      <c r="D4" s="43" t="s">
        <v>120</v>
      </c>
    </row>
    <row r="5" spans="1:63" x14ac:dyDescent="0.4">
      <c r="C5" s="43"/>
      <c r="D5" s="43"/>
    </row>
    <row r="6" spans="1:63" x14ac:dyDescent="0.4">
      <c r="C6" s="43"/>
      <c r="D6" s="43"/>
    </row>
    <row r="7" spans="1:63" x14ac:dyDescent="0.4">
      <c r="C7" s="43"/>
      <c r="D7" s="43"/>
    </row>
    <row r="8" spans="1:63" x14ac:dyDescent="0.4">
      <c r="C8" s="43"/>
      <c r="D8" s="43"/>
    </row>
    <row r="9" spans="1:63" x14ac:dyDescent="0.4">
      <c r="C9" s="43" t="s">
        <v>121</v>
      </c>
      <c r="D9" s="43" t="s">
        <v>259</v>
      </c>
    </row>
    <row r="11" spans="1:6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  <c r="AE11" s="1"/>
      <c r="AF11" s="1"/>
      <c r="AG11" s="1"/>
      <c r="AH11" s="3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1"/>
      <c r="AT11" s="1"/>
      <c r="AU11" s="1"/>
      <c r="AV11" s="1"/>
      <c r="AW11" s="3"/>
      <c r="AX11" s="1"/>
      <c r="AY11" s="1"/>
      <c r="AZ11" s="1"/>
      <c r="BA11" s="1"/>
      <c r="BB11" s="3"/>
      <c r="BC11" s="1"/>
      <c r="BD11" s="1"/>
      <c r="BE11" s="1"/>
      <c r="BF11" s="1"/>
      <c r="BG11" s="3"/>
      <c r="BH11" s="1"/>
      <c r="BI11" s="1"/>
      <c r="BJ11" s="1"/>
    </row>
    <row r="12" spans="1:63" x14ac:dyDescent="0.4">
      <c r="A12" s="5" t="s">
        <v>0</v>
      </c>
      <c r="B12" s="75" t="s">
        <v>1</v>
      </c>
      <c r="C12" s="83"/>
      <c r="D12" s="74"/>
      <c r="E12" s="100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2" t="s">
        <v>115</v>
      </c>
    </row>
    <row r="13" spans="1:63" x14ac:dyDescent="0.4">
      <c r="A13" s="6" t="s">
        <v>2</v>
      </c>
      <c r="B13" s="93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5" t="s">
        <v>110</v>
      </c>
      <c r="AQ13" s="5" t="s">
        <v>111</v>
      </c>
      <c r="AR13" s="5" t="s">
        <v>112</v>
      </c>
      <c r="AS13" s="5" t="s">
        <v>113</v>
      </c>
      <c r="AT13" s="5" t="s">
        <v>114</v>
      </c>
      <c r="AU13" s="5" t="s">
        <v>240</v>
      </c>
      <c r="AV13" s="5" t="s">
        <v>241</v>
      </c>
      <c r="AW13" s="5" t="s">
        <v>242</v>
      </c>
      <c r="AX13" s="5" t="s">
        <v>243</v>
      </c>
      <c r="AY13" s="5" t="s">
        <v>244</v>
      </c>
      <c r="AZ13" s="5" t="s">
        <v>245</v>
      </c>
      <c r="BA13" s="5" t="s">
        <v>246</v>
      </c>
      <c r="BB13" s="5" t="s">
        <v>247</v>
      </c>
      <c r="BC13" s="5" t="s">
        <v>248</v>
      </c>
      <c r="BD13" s="5" t="s">
        <v>249</v>
      </c>
      <c r="BE13" s="5" t="s">
        <v>250</v>
      </c>
      <c r="BF13" s="5" t="s">
        <v>251</v>
      </c>
      <c r="BG13" s="5" t="s">
        <v>252</v>
      </c>
      <c r="BH13" s="5" t="s">
        <v>253</v>
      </c>
      <c r="BI13" s="5" t="s">
        <v>254</v>
      </c>
      <c r="BJ13" s="5" t="s">
        <v>255</v>
      </c>
      <c r="BK13" s="103"/>
    </row>
    <row r="14" spans="1:63" x14ac:dyDescent="0.4">
      <c r="A14" s="7"/>
      <c r="B14" s="104" t="s">
        <v>22</v>
      </c>
      <c r="C14" s="79"/>
      <c r="D14" s="6" t="s">
        <v>23</v>
      </c>
      <c r="E14" s="6">
        <v>48</v>
      </c>
      <c r="F14" s="6">
        <v>60</v>
      </c>
      <c r="G14" s="6">
        <v>57</v>
      </c>
      <c r="H14" s="6">
        <v>49</v>
      </c>
      <c r="I14" s="6">
        <v>111</v>
      </c>
      <c r="J14" s="6">
        <v>137</v>
      </c>
      <c r="K14" s="6">
        <v>142</v>
      </c>
      <c r="L14" s="6">
        <v>129</v>
      </c>
      <c r="M14" s="6">
        <v>134</v>
      </c>
      <c r="N14" s="6">
        <v>50</v>
      </c>
      <c r="O14" s="6">
        <v>120</v>
      </c>
      <c r="P14" s="6">
        <v>109</v>
      </c>
      <c r="Q14" s="6">
        <v>109</v>
      </c>
      <c r="R14" s="6">
        <v>73</v>
      </c>
      <c r="S14" s="6">
        <v>120</v>
      </c>
      <c r="T14" s="6">
        <v>78</v>
      </c>
      <c r="U14" s="6">
        <v>127</v>
      </c>
      <c r="V14" s="6">
        <v>147</v>
      </c>
      <c r="W14" s="6">
        <v>111</v>
      </c>
      <c r="X14" s="6">
        <v>150</v>
      </c>
      <c r="Y14" s="6">
        <v>128</v>
      </c>
      <c r="Z14" s="6">
        <v>100</v>
      </c>
      <c r="AA14" s="6">
        <v>119</v>
      </c>
      <c r="AB14" s="6">
        <v>97</v>
      </c>
      <c r="AC14" s="6">
        <v>150</v>
      </c>
      <c r="AD14" s="6">
        <v>108</v>
      </c>
      <c r="AE14" s="6">
        <v>87</v>
      </c>
      <c r="AF14" s="6">
        <v>66</v>
      </c>
      <c r="AG14" s="6">
        <v>128</v>
      </c>
      <c r="AH14" s="6">
        <v>143</v>
      </c>
      <c r="AI14" s="6">
        <v>113</v>
      </c>
      <c r="AJ14" s="6">
        <v>92</v>
      </c>
      <c r="AK14" s="6">
        <v>99</v>
      </c>
      <c r="AL14" s="6">
        <v>130</v>
      </c>
      <c r="AM14" s="6">
        <v>107</v>
      </c>
      <c r="AN14" s="6">
        <v>94</v>
      </c>
      <c r="AO14" s="6">
        <v>81</v>
      </c>
      <c r="AP14" s="6">
        <v>102</v>
      </c>
      <c r="AQ14" s="6">
        <v>90</v>
      </c>
      <c r="AR14" s="6">
        <v>99</v>
      </c>
      <c r="AS14" s="6">
        <v>81</v>
      </c>
      <c r="AT14" s="6">
        <v>145</v>
      </c>
      <c r="AU14" s="6">
        <v>141</v>
      </c>
      <c r="AV14" s="6">
        <v>131</v>
      </c>
      <c r="AW14" s="6">
        <v>138</v>
      </c>
      <c r="AX14" s="6">
        <v>105</v>
      </c>
      <c r="AY14" s="6">
        <v>132</v>
      </c>
      <c r="AZ14" s="6">
        <v>81</v>
      </c>
      <c r="BA14" s="6">
        <v>103</v>
      </c>
      <c r="BB14" s="6">
        <v>87</v>
      </c>
      <c r="BC14" s="6">
        <v>128</v>
      </c>
      <c r="BD14" s="6">
        <v>117</v>
      </c>
      <c r="BE14" s="6">
        <v>132</v>
      </c>
      <c r="BF14" s="6">
        <v>84</v>
      </c>
      <c r="BG14" s="6">
        <v>135</v>
      </c>
      <c r="BH14" s="6">
        <v>139</v>
      </c>
      <c r="BI14" s="6">
        <v>117</v>
      </c>
      <c r="BJ14" s="6">
        <v>134</v>
      </c>
      <c r="BK14" s="5">
        <f>SUM(E14:BJ14)</f>
        <v>6324</v>
      </c>
    </row>
    <row r="15" spans="1:63" x14ac:dyDescent="0.4">
      <c r="A15" s="7"/>
      <c r="B15" s="105"/>
      <c r="C15" s="89"/>
      <c r="D15" s="6" t="s">
        <v>24</v>
      </c>
      <c r="E15" s="6">
        <v>53</v>
      </c>
      <c r="F15" s="6">
        <v>48</v>
      </c>
      <c r="G15" s="6">
        <v>58</v>
      </c>
      <c r="H15" s="6">
        <v>39</v>
      </c>
      <c r="I15" s="6">
        <v>110</v>
      </c>
      <c r="J15" s="6">
        <v>137</v>
      </c>
      <c r="K15" s="6">
        <v>146</v>
      </c>
      <c r="L15" s="6">
        <v>145</v>
      </c>
      <c r="M15" s="6">
        <v>132</v>
      </c>
      <c r="N15" s="6">
        <v>43</v>
      </c>
      <c r="O15" s="6">
        <v>152</v>
      </c>
      <c r="P15" s="6">
        <v>115</v>
      </c>
      <c r="Q15" s="6">
        <v>101</v>
      </c>
      <c r="R15" s="6">
        <v>68</v>
      </c>
      <c r="S15" s="6">
        <v>123</v>
      </c>
      <c r="T15" s="6">
        <v>84</v>
      </c>
      <c r="U15" s="6">
        <v>118</v>
      </c>
      <c r="V15" s="6">
        <v>147</v>
      </c>
      <c r="W15" s="6">
        <v>122</v>
      </c>
      <c r="X15" s="6">
        <v>138</v>
      </c>
      <c r="Y15" s="6">
        <v>125</v>
      </c>
      <c r="Z15" s="6">
        <v>109</v>
      </c>
      <c r="AA15" s="6">
        <v>136</v>
      </c>
      <c r="AB15" s="6">
        <v>82</v>
      </c>
      <c r="AC15" s="6">
        <v>144</v>
      </c>
      <c r="AD15" s="6">
        <v>97</v>
      </c>
      <c r="AE15" s="6">
        <v>95</v>
      </c>
      <c r="AF15" s="6">
        <v>74</v>
      </c>
      <c r="AG15" s="6">
        <v>139</v>
      </c>
      <c r="AH15" s="6">
        <v>154</v>
      </c>
      <c r="AI15" s="6">
        <v>125</v>
      </c>
      <c r="AJ15" s="6">
        <v>101</v>
      </c>
      <c r="AK15" s="6">
        <v>99</v>
      </c>
      <c r="AL15" s="6">
        <v>139</v>
      </c>
      <c r="AM15" s="6">
        <v>121</v>
      </c>
      <c r="AN15" s="6">
        <v>91</v>
      </c>
      <c r="AO15" s="6">
        <v>77</v>
      </c>
      <c r="AP15" s="6">
        <v>109</v>
      </c>
      <c r="AQ15" s="6">
        <v>91</v>
      </c>
      <c r="AR15" s="6">
        <v>89</v>
      </c>
      <c r="AS15" s="6">
        <v>77</v>
      </c>
      <c r="AT15" s="6">
        <v>151</v>
      </c>
      <c r="AU15" s="6">
        <v>133</v>
      </c>
      <c r="AV15" s="6">
        <v>156</v>
      </c>
      <c r="AW15" s="6">
        <v>159</v>
      </c>
      <c r="AX15" s="6">
        <v>121</v>
      </c>
      <c r="AY15" s="6">
        <v>162</v>
      </c>
      <c r="AZ15" s="6">
        <v>93</v>
      </c>
      <c r="BA15" s="6">
        <v>108</v>
      </c>
      <c r="BB15" s="6">
        <v>89</v>
      </c>
      <c r="BC15" s="6">
        <v>130</v>
      </c>
      <c r="BD15" s="6">
        <v>129</v>
      </c>
      <c r="BE15" s="6">
        <v>148</v>
      </c>
      <c r="BF15" s="6">
        <v>99</v>
      </c>
      <c r="BG15" s="6">
        <v>147</v>
      </c>
      <c r="BH15" s="6">
        <v>152</v>
      </c>
      <c r="BI15" s="6">
        <v>121</v>
      </c>
      <c r="BJ15" s="6">
        <v>138</v>
      </c>
      <c r="BK15" s="5">
        <f>SUM(E15:BJ15)</f>
        <v>6589</v>
      </c>
    </row>
    <row r="16" spans="1:63" x14ac:dyDescent="0.4">
      <c r="A16" s="8"/>
      <c r="B16" s="106"/>
      <c r="C16" s="90"/>
      <c r="D16" s="5" t="s">
        <v>25</v>
      </c>
      <c r="E16" s="5">
        <f t="shared" ref="E16:BJ16" si="0">SUM(E14:E15)</f>
        <v>101</v>
      </c>
      <c r="F16" s="5">
        <f t="shared" si="0"/>
        <v>108</v>
      </c>
      <c r="G16" s="5">
        <f t="shared" si="0"/>
        <v>115</v>
      </c>
      <c r="H16" s="5">
        <f t="shared" si="0"/>
        <v>88</v>
      </c>
      <c r="I16" s="5">
        <f t="shared" si="0"/>
        <v>221</v>
      </c>
      <c r="J16" s="5">
        <f t="shared" si="0"/>
        <v>274</v>
      </c>
      <c r="K16" s="5">
        <f t="shared" si="0"/>
        <v>288</v>
      </c>
      <c r="L16" s="5">
        <f t="shared" si="0"/>
        <v>274</v>
      </c>
      <c r="M16" s="5">
        <f t="shared" si="0"/>
        <v>266</v>
      </c>
      <c r="N16" s="5">
        <f t="shared" si="0"/>
        <v>93</v>
      </c>
      <c r="O16" s="5">
        <f t="shared" ref="O16:S16" si="1">SUM(O14:O15)</f>
        <v>272</v>
      </c>
      <c r="P16" s="5">
        <f t="shared" si="1"/>
        <v>224</v>
      </c>
      <c r="Q16" s="5">
        <f t="shared" si="1"/>
        <v>210</v>
      </c>
      <c r="R16" s="5">
        <f t="shared" si="1"/>
        <v>141</v>
      </c>
      <c r="S16" s="5">
        <f t="shared" si="1"/>
        <v>243</v>
      </c>
      <c r="T16" s="5">
        <f t="shared" si="0"/>
        <v>162</v>
      </c>
      <c r="U16" s="5">
        <f t="shared" si="0"/>
        <v>245</v>
      </c>
      <c r="V16" s="5">
        <f t="shared" si="0"/>
        <v>294</v>
      </c>
      <c r="W16" s="5">
        <f t="shared" si="0"/>
        <v>233</v>
      </c>
      <c r="X16" s="5">
        <f t="shared" si="0"/>
        <v>288</v>
      </c>
      <c r="Y16" s="5">
        <f t="shared" ref="Y16:AC16" si="2">SUM(Y14:Y15)</f>
        <v>253</v>
      </c>
      <c r="Z16" s="5">
        <f t="shared" si="2"/>
        <v>209</v>
      </c>
      <c r="AA16" s="5">
        <f t="shared" si="2"/>
        <v>255</v>
      </c>
      <c r="AB16" s="5">
        <f t="shared" si="2"/>
        <v>179</v>
      </c>
      <c r="AC16" s="5">
        <f t="shared" si="2"/>
        <v>294</v>
      </c>
      <c r="AD16" s="5">
        <f t="shared" si="0"/>
        <v>205</v>
      </c>
      <c r="AE16" s="5">
        <f t="shared" si="0"/>
        <v>182</v>
      </c>
      <c r="AF16" s="5">
        <f t="shared" si="0"/>
        <v>140</v>
      </c>
      <c r="AG16" s="5">
        <f t="shared" si="0"/>
        <v>267</v>
      </c>
      <c r="AH16" s="5">
        <f t="shared" si="0"/>
        <v>297</v>
      </c>
      <c r="AI16" s="5">
        <f t="shared" ref="AI16:AM16" si="3">SUM(AI14:AI15)</f>
        <v>238</v>
      </c>
      <c r="AJ16" s="5">
        <f t="shared" si="3"/>
        <v>193</v>
      </c>
      <c r="AK16" s="5">
        <f t="shared" si="3"/>
        <v>198</v>
      </c>
      <c r="AL16" s="5">
        <f t="shared" si="3"/>
        <v>269</v>
      </c>
      <c r="AM16" s="5">
        <f t="shared" si="3"/>
        <v>228</v>
      </c>
      <c r="AN16" s="5">
        <f t="shared" si="0"/>
        <v>185</v>
      </c>
      <c r="AO16" s="5">
        <f t="shared" si="0"/>
        <v>158</v>
      </c>
      <c r="AP16" s="5">
        <f t="shared" si="0"/>
        <v>211</v>
      </c>
      <c r="AQ16" s="5">
        <f t="shared" si="0"/>
        <v>181</v>
      </c>
      <c r="AR16" s="5">
        <f t="shared" si="0"/>
        <v>188</v>
      </c>
      <c r="AS16" s="5">
        <f t="shared" ref="AS16:AW16" si="4">SUM(AS14:AS15)</f>
        <v>158</v>
      </c>
      <c r="AT16" s="5">
        <f t="shared" si="4"/>
        <v>296</v>
      </c>
      <c r="AU16" s="5">
        <f t="shared" si="4"/>
        <v>274</v>
      </c>
      <c r="AV16" s="5">
        <f t="shared" si="4"/>
        <v>287</v>
      </c>
      <c r="AW16" s="5">
        <f t="shared" si="4"/>
        <v>297</v>
      </c>
      <c r="AX16" s="5">
        <f t="shared" si="0"/>
        <v>226</v>
      </c>
      <c r="AY16" s="5">
        <f t="shared" si="0"/>
        <v>294</v>
      </c>
      <c r="AZ16" s="5">
        <f t="shared" si="0"/>
        <v>174</v>
      </c>
      <c r="BA16" s="5">
        <f t="shared" si="0"/>
        <v>211</v>
      </c>
      <c r="BB16" s="5">
        <f t="shared" si="0"/>
        <v>176</v>
      </c>
      <c r="BC16" s="5">
        <f t="shared" ref="BC16:BG16" si="5">SUM(BC14:BC15)</f>
        <v>258</v>
      </c>
      <c r="BD16" s="5">
        <f t="shared" si="5"/>
        <v>246</v>
      </c>
      <c r="BE16" s="5">
        <f t="shared" si="5"/>
        <v>280</v>
      </c>
      <c r="BF16" s="5">
        <f t="shared" si="5"/>
        <v>183</v>
      </c>
      <c r="BG16" s="5">
        <f t="shared" si="5"/>
        <v>282</v>
      </c>
      <c r="BH16" s="5">
        <f t="shared" si="0"/>
        <v>291</v>
      </c>
      <c r="BI16" s="5">
        <f t="shared" si="0"/>
        <v>238</v>
      </c>
      <c r="BJ16" s="5">
        <f t="shared" si="0"/>
        <v>272</v>
      </c>
      <c r="BK16" s="5">
        <f>SUM(E16:BJ16)</f>
        <v>12913</v>
      </c>
    </row>
    <row r="17" spans="1:63" x14ac:dyDescent="0.4">
      <c r="A17" s="70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  <c r="AG17" s="6"/>
      <c r="AH17" s="10"/>
      <c r="AI17" s="6"/>
      <c r="AJ17" s="6"/>
      <c r="AK17" s="6"/>
      <c r="AL17" s="6"/>
      <c r="AM17" s="10"/>
      <c r="AN17" s="6"/>
      <c r="AO17" s="6"/>
      <c r="AP17" s="6"/>
      <c r="AQ17" s="6"/>
      <c r="AR17" s="10"/>
      <c r="AS17" s="6"/>
      <c r="AT17" s="6"/>
      <c r="AU17" s="6"/>
      <c r="AV17" s="6"/>
      <c r="AW17" s="10"/>
      <c r="AX17" s="6"/>
      <c r="AY17" s="6"/>
      <c r="AZ17" s="6"/>
      <c r="BA17" s="6"/>
      <c r="BB17" s="10"/>
      <c r="BC17" s="6"/>
      <c r="BD17" s="6"/>
      <c r="BE17" s="6"/>
      <c r="BF17" s="6"/>
      <c r="BG17" s="10"/>
      <c r="BH17" s="6"/>
      <c r="BI17" s="6"/>
      <c r="BJ17" s="6"/>
      <c r="BK17" s="28"/>
    </row>
    <row r="18" spans="1:63" x14ac:dyDescent="0.4">
      <c r="A18" s="11" t="s">
        <v>26</v>
      </c>
      <c r="B18" s="93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6"/>
      <c r="AF18" s="6"/>
      <c r="AG18" s="6"/>
      <c r="AH18" s="10"/>
      <c r="AI18" s="6"/>
      <c r="AJ18" s="6"/>
      <c r="AK18" s="6"/>
      <c r="AL18" s="6"/>
      <c r="AM18" s="10"/>
      <c r="AN18" s="6"/>
      <c r="AO18" s="6"/>
      <c r="AP18" s="6"/>
      <c r="AQ18" s="6"/>
      <c r="AR18" s="10"/>
      <c r="AS18" s="6"/>
      <c r="AT18" s="6"/>
      <c r="AU18" s="6"/>
      <c r="AV18" s="6"/>
      <c r="AW18" s="10"/>
      <c r="AX18" s="6"/>
      <c r="AY18" s="6"/>
      <c r="AZ18" s="6"/>
      <c r="BA18" s="6"/>
      <c r="BB18" s="10"/>
      <c r="BC18" s="6"/>
      <c r="BD18" s="6"/>
      <c r="BE18" s="6"/>
      <c r="BF18" s="6"/>
      <c r="BG18" s="10"/>
      <c r="BH18" s="6"/>
      <c r="BI18" s="6"/>
      <c r="BJ18" s="6"/>
      <c r="BK18" s="28"/>
    </row>
    <row r="19" spans="1:63" x14ac:dyDescent="0.4">
      <c r="A19" s="11"/>
      <c r="B19" s="94" t="s">
        <v>28</v>
      </c>
      <c r="C19" s="95" t="s">
        <v>29</v>
      </c>
      <c r="D19" s="6" t="s">
        <v>23</v>
      </c>
      <c r="E19" s="6">
        <v>39</v>
      </c>
      <c r="F19" s="6">
        <v>49</v>
      </c>
      <c r="G19" s="6">
        <v>45</v>
      </c>
      <c r="H19" s="6">
        <v>30</v>
      </c>
      <c r="I19" s="6">
        <v>77</v>
      </c>
      <c r="J19" s="6">
        <v>91</v>
      </c>
      <c r="K19" s="6">
        <v>77</v>
      </c>
      <c r="L19" s="6">
        <v>83</v>
      </c>
      <c r="M19" s="6">
        <v>88</v>
      </c>
      <c r="N19" s="6">
        <v>50</v>
      </c>
      <c r="O19" s="6">
        <v>85</v>
      </c>
      <c r="P19" s="6">
        <v>70</v>
      </c>
      <c r="Q19" s="6">
        <v>75</v>
      </c>
      <c r="R19" s="6">
        <v>44</v>
      </c>
      <c r="S19" s="6">
        <v>92</v>
      </c>
      <c r="T19" s="6">
        <v>54</v>
      </c>
      <c r="U19" s="6">
        <v>94</v>
      </c>
      <c r="V19" s="6">
        <v>99</v>
      </c>
      <c r="W19" s="6">
        <v>95</v>
      </c>
      <c r="X19" s="6">
        <v>120</v>
      </c>
      <c r="Y19" s="6">
        <v>76</v>
      </c>
      <c r="Z19" s="6">
        <v>72</v>
      </c>
      <c r="AA19" s="6">
        <v>82</v>
      </c>
      <c r="AB19" s="6">
        <v>56</v>
      </c>
      <c r="AC19" s="6">
        <v>109</v>
      </c>
      <c r="AD19" s="6">
        <v>59</v>
      </c>
      <c r="AE19" s="6">
        <v>67</v>
      </c>
      <c r="AF19" s="6">
        <v>55</v>
      </c>
      <c r="AG19" s="6">
        <v>75</v>
      </c>
      <c r="AH19" s="6">
        <v>109</v>
      </c>
      <c r="AI19" s="6">
        <v>78</v>
      </c>
      <c r="AJ19" s="6">
        <v>64</v>
      </c>
      <c r="AK19" s="6">
        <v>73</v>
      </c>
      <c r="AL19" s="6">
        <v>112</v>
      </c>
      <c r="AM19" s="6">
        <v>74</v>
      </c>
      <c r="AN19" s="6">
        <v>64</v>
      </c>
      <c r="AO19" s="6">
        <v>69</v>
      </c>
      <c r="AP19" s="6">
        <v>86</v>
      </c>
      <c r="AQ19" s="6">
        <v>75</v>
      </c>
      <c r="AR19" s="6">
        <v>79</v>
      </c>
      <c r="AS19" s="6">
        <v>64</v>
      </c>
      <c r="AT19" s="6">
        <v>98</v>
      </c>
      <c r="AU19" s="6">
        <v>101</v>
      </c>
      <c r="AV19" s="6">
        <v>92</v>
      </c>
      <c r="AW19" s="6">
        <v>86</v>
      </c>
      <c r="AX19" s="6">
        <v>68</v>
      </c>
      <c r="AY19" s="6">
        <v>96</v>
      </c>
      <c r="AZ19" s="6">
        <v>59</v>
      </c>
      <c r="BA19" s="6">
        <v>72</v>
      </c>
      <c r="BB19" s="6">
        <v>67</v>
      </c>
      <c r="BC19" s="6">
        <v>99</v>
      </c>
      <c r="BD19" s="6">
        <v>83</v>
      </c>
      <c r="BE19" s="6">
        <v>80</v>
      </c>
      <c r="BF19" s="6">
        <v>72</v>
      </c>
      <c r="BG19" s="6">
        <v>86</v>
      </c>
      <c r="BH19" s="6">
        <v>95</v>
      </c>
      <c r="BI19" s="6">
        <v>99</v>
      </c>
      <c r="BJ19" s="6">
        <v>87</v>
      </c>
      <c r="BK19" s="5">
        <f t="shared" ref="BK19:BK30" si="6">SUM(E19:BJ19)</f>
        <v>4495</v>
      </c>
    </row>
    <row r="20" spans="1:63" x14ac:dyDescent="0.4">
      <c r="A20" s="12"/>
      <c r="B20" s="89"/>
      <c r="C20" s="96"/>
      <c r="D20" s="6" t="s">
        <v>24</v>
      </c>
      <c r="E20" s="6">
        <v>35</v>
      </c>
      <c r="F20" s="6">
        <v>37</v>
      </c>
      <c r="G20" s="6">
        <v>50</v>
      </c>
      <c r="H20" s="6">
        <v>21</v>
      </c>
      <c r="I20" s="6">
        <v>82</v>
      </c>
      <c r="J20" s="6">
        <v>102</v>
      </c>
      <c r="K20" s="6">
        <v>103</v>
      </c>
      <c r="L20" s="6">
        <v>110</v>
      </c>
      <c r="M20" s="6">
        <v>90</v>
      </c>
      <c r="N20" s="6">
        <v>42</v>
      </c>
      <c r="O20" s="6">
        <v>120</v>
      </c>
      <c r="P20" s="6">
        <v>78</v>
      </c>
      <c r="Q20" s="6">
        <v>76</v>
      </c>
      <c r="R20" s="6">
        <v>46</v>
      </c>
      <c r="S20" s="6">
        <v>88</v>
      </c>
      <c r="T20" s="6">
        <v>65</v>
      </c>
      <c r="U20" s="6">
        <v>102</v>
      </c>
      <c r="V20" s="6">
        <v>121</v>
      </c>
      <c r="W20" s="6">
        <v>107</v>
      </c>
      <c r="X20" s="6">
        <v>126</v>
      </c>
      <c r="Y20" s="6">
        <v>89</v>
      </c>
      <c r="Z20" s="6">
        <v>85</v>
      </c>
      <c r="AA20" s="6">
        <v>112</v>
      </c>
      <c r="AB20" s="6">
        <v>68</v>
      </c>
      <c r="AC20" s="6">
        <v>112</v>
      </c>
      <c r="AD20" s="6">
        <v>72</v>
      </c>
      <c r="AE20" s="6">
        <v>78</v>
      </c>
      <c r="AF20" s="6">
        <v>59</v>
      </c>
      <c r="AG20" s="6">
        <v>103</v>
      </c>
      <c r="AH20" s="6">
        <v>116</v>
      </c>
      <c r="AI20" s="6">
        <v>104</v>
      </c>
      <c r="AJ20" s="6">
        <v>71</v>
      </c>
      <c r="AK20" s="6">
        <v>69</v>
      </c>
      <c r="AL20" s="6">
        <v>123</v>
      </c>
      <c r="AM20" s="6">
        <v>86</v>
      </c>
      <c r="AN20" s="6">
        <v>66</v>
      </c>
      <c r="AO20" s="6">
        <v>71</v>
      </c>
      <c r="AP20" s="6">
        <v>86</v>
      </c>
      <c r="AQ20" s="6">
        <v>74</v>
      </c>
      <c r="AR20" s="6">
        <v>79</v>
      </c>
      <c r="AS20" s="6">
        <v>62</v>
      </c>
      <c r="AT20" s="6">
        <v>116</v>
      </c>
      <c r="AU20" s="6">
        <v>100</v>
      </c>
      <c r="AV20" s="6">
        <v>106</v>
      </c>
      <c r="AW20" s="6">
        <v>108</v>
      </c>
      <c r="AX20" s="6">
        <v>92</v>
      </c>
      <c r="AY20" s="6">
        <v>124</v>
      </c>
      <c r="AZ20" s="6">
        <v>83</v>
      </c>
      <c r="BA20" s="6">
        <v>80</v>
      </c>
      <c r="BB20" s="6">
        <v>71</v>
      </c>
      <c r="BC20" s="6">
        <v>102</v>
      </c>
      <c r="BD20" s="6">
        <v>99</v>
      </c>
      <c r="BE20" s="6">
        <v>100</v>
      </c>
      <c r="BF20" s="6">
        <v>86</v>
      </c>
      <c r="BG20" s="6">
        <v>110</v>
      </c>
      <c r="BH20" s="6">
        <v>128</v>
      </c>
      <c r="BI20" s="6">
        <v>99</v>
      </c>
      <c r="BJ20" s="6">
        <v>103</v>
      </c>
      <c r="BK20" s="5">
        <f t="shared" si="6"/>
        <v>5093</v>
      </c>
    </row>
    <row r="21" spans="1:63" x14ac:dyDescent="0.4">
      <c r="A21" s="13"/>
      <c r="B21" s="90"/>
      <c r="C21" s="97"/>
      <c r="D21" s="5" t="s">
        <v>25</v>
      </c>
      <c r="E21" s="5">
        <f t="shared" ref="E21:BJ21" si="7">SUM(E19:E20)</f>
        <v>74</v>
      </c>
      <c r="F21" s="5">
        <f t="shared" si="7"/>
        <v>86</v>
      </c>
      <c r="G21" s="5">
        <f t="shared" si="7"/>
        <v>95</v>
      </c>
      <c r="H21" s="5">
        <f t="shared" si="7"/>
        <v>51</v>
      </c>
      <c r="I21" s="5">
        <f t="shared" si="7"/>
        <v>159</v>
      </c>
      <c r="J21" s="5">
        <f t="shared" si="7"/>
        <v>193</v>
      </c>
      <c r="K21" s="5">
        <f t="shared" si="7"/>
        <v>180</v>
      </c>
      <c r="L21" s="5">
        <f t="shared" si="7"/>
        <v>193</v>
      </c>
      <c r="M21" s="5">
        <f t="shared" si="7"/>
        <v>178</v>
      </c>
      <c r="N21" s="5">
        <f t="shared" si="7"/>
        <v>92</v>
      </c>
      <c r="O21" s="5">
        <f t="shared" ref="O21:S21" si="8">SUM(O19:O20)</f>
        <v>205</v>
      </c>
      <c r="P21" s="5">
        <f t="shared" si="8"/>
        <v>148</v>
      </c>
      <c r="Q21" s="5">
        <f t="shared" si="8"/>
        <v>151</v>
      </c>
      <c r="R21" s="5">
        <f t="shared" si="8"/>
        <v>90</v>
      </c>
      <c r="S21" s="5">
        <f t="shared" si="8"/>
        <v>180</v>
      </c>
      <c r="T21" s="5">
        <f t="shared" si="7"/>
        <v>119</v>
      </c>
      <c r="U21" s="5">
        <f t="shared" si="7"/>
        <v>196</v>
      </c>
      <c r="V21" s="5">
        <f t="shared" si="7"/>
        <v>220</v>
      </c>
      <c r="W21" s="5">
        <f t="shared" si="7"/>
        <v>202</v>
      </c>
      <c r="X21" s="5">
        <f t="shared" si="7"/>
        <v>246</v>
      </c>
      <c r="Y21" s="5">
        <f t="shared" ref="Y21:AC21" si="9">SUM(Y19:Y20)</f>
        <v>165</v>
      </c>
      <c r="Z21" s="5">
        <f t="shared" si="9"/>
        <v>157</v>
      </c>
      <c r="AA21" s="5">
        <f t="shared" si="9"/>
        <v>194</v>
      </c>
      <c r="AB21" s="5">
        <f t="shared" si="9"/>
        <v>124</v>
      </c>
      <c r="AC21" s="5">
        <f t="shared" si="9"/>
        <v>221</v>
      </c>
      <c r="AD21" s="5">
        <f t="shared" si="7"/>
        <v>131</v>
      </c>
      <c r="AE21" s="5">
        <f t="shared" si="7"/>
        <v>145</v>
      </c>
      <c r="AF21" s="5">
        <f t="shared" si="7"/>
        <v>114</v>
      </c>
      <c r="AG21" s="5">
        <f t="shared" si="7"/>
        <v>178</v>
      </c>
      <c r="AH21" s="5">
        <f t="shared" si="7"/>
        <v>225</v>
      </c>
      <c r="AI21" s="5">
        <f t="shared" ref="AI21:AM21" si="10">SUM(AI19:AI20)</f>
        <v>182</v>
      </c>
      <c r="AJ21" s="5">
        <f t="shared" si="10"/>
        <v>135</v>
      </c>
      <c r="AK21" s="5">
        <f t="shared" si="10"/>
        <v>142</v>
      </c>
      <c r="AL21" s="5">
        <f t="shared" si="10"/>
        <v>235</v>
      </c>
      <c r="AM21" s="5">
        <f t="shared" si="10"/>
        <v>160</v>
      </c>
      <c r="AN21" s="5">
        <f t="shared" si="7"/>
        <v>130</v>
      </c>
      <c r="AO21" s="5">
        <f t="shared" si="7"/>
        <v>140</v>
      </c>
      <c r="AP21" s="5">
        <f t="shared" si="7"/>
        <v>172</v>
      </c>
      <c r="AQ21" s="5">
        <f t="shared" si="7"/>
        <v>149</v>
      </c>
      <c r="AR21" s="5">
        <f t="shared" si="7"/>
        <v>158</v>
      </c>
      <c r="AS21" s="5">
        <f t="shared" ref="AS21:AW21" si="11">SUM(AS19:AS20)</f>
        <v>126</v>
      </c>
      <c r="AT21" s="5">
        <f t="shared" si="11"/>
        <v>214</v>
      </c>
      <c r="AU21" s="5">
        <f t="shared" si="11"/>
        <v>201</v>
      </c>
      <c r="AV21" s="5">
        <f t="shared" si="11"/>
        <v>198</v>
      </c>
      <c r="AW21" s="5">
        <f t="shared" si="11"/>
        <v>194</v>
      </c>
      <c r="AX21" s="5">
        <f t="shared" si="7"/>
        <v>160</v>
      </c>
      <c r="AY21" s="5">
        <f t="shared" si="7"/>
        <v>220</v>
      </c>
      <c r="AZ21" s="5">
        <f t="shared" si="7"/>
        <v>142</v>
      </c>
      <c r="BA21" s="5">
        <f t="shared" si="7"/>
        <v>152</v>
      </c>
      <c r="BB21" s="5">
        <f t="shared" si="7"/>
        <v>138</v>
      </c>
      <c r="BC21" s="5">
        <f t="shared" ref="BC21:BG21" si="12">SUM(BC19:BC20)</f>
        <v>201</v>
      </c>
      <c r="BD21" s="5">
        <f t="shared" si="12"/>
        <v>182</v>
      </c>
      <c r="BE21" s="5">
        <f t="shared" si="12"/>
        <v>180</v>
      </c>
      <c r="BF21" s="5">
        <f t="shared" si="12"/>
        <v>158</v>
      </c>
      <c r="BG21" s="5">
        <f t="shared" si="12"/>
        <v>196</v>
      </c>
      <c r="BH21" s="5">
        <f t="shared" si="7"/>
        <v>223</v>
      </c>
      <c r="BI21" s="5">
        <f t="shared" si="7"/>
        <v>198</v>
      </c>
      <c r="BJ21" s="5">
        <f t="shared" si="7"/>
        <v>190</v>
      </c>
      <c r="BK21" s="5">
        <f t="shared" si="6"/>
        <v>9588</v>
      </c>
    </row>
    <row r="22" spans="1:63" x14ac:dyDescent="0.4">
      <c r="A22" s="12"/>
      <c r="B22" s="94" t="s">
        <v>30</v>
      </c>
      <c r="C22" s="95" t="s">
        <v>31</v>
      </c>
      <c r="D22" s="6" t="s">
        <v>23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/>
      <c r="Q22" s="6"/>
      <c r="R22" s="6">
        <v>1</v>
      </c>
      <c r="S22" s="6"/>
      <c r="T22" s="6"/>
      <c r="U22" s="6">
        <v>1</v>
      </c>
      <c r="V22" s="6">
        <v>1</v>
      </c>
      <c r="W22" s="6">
        <v>1</v>
      </c>
      <c r="X22" s="6"/>
      <c r="Y22" s="6"/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/>
      <c r="AF22" s="6">
        <v>2</v>
      </c>
      <c r="AG22" s="6"/>
      <c r="AH22" s="6"/>
      <c r="AI22" s="6">
        <v>1</v>
      </c>
      <c r="AJ22" s="6">
        <v>1</v>
      </c>
      <c r="AK22" s="6"/>
      <c r="AL22" s="6">
        <v>1</v>
      </c>
      <c r="AM22" s="6"/>
      <c r="AN22" s="6"/>
      <c r="AO22" s="6"/>
      <c r="AP22" s="6">
        <v>1</v>
      </c>
      <c r="AQ22" s="6"/>
      <c r="AR22" s="6"/>
      <c r="AS22" s="6">
        <v>1</v>
      </c>
      <c r="AT22" s="6"/>
      <c r="AU22" s="6">
        <v>1</v>
      </c>
      <c r="AV22" s="6"/>
      <c r="AW22" s="6"/>
      <c r="AX22" s="6">
        <v>1</v>
      </c>
      <c r="AY22" s="6"/>
      <c r="AZ22" s="6"/>
      <c r="BA22" s="6">
        <v>2</v>
      </c>
      <c r="BB22" s="6">
        <v>1</v>
      </c>
      <c r="BC22" s="6"/>
      <c r="BD22" s="6"/>
      <c r="BE22" s="6"/>
      <c r="BF22" s="6"/>
      <c r="BG22" s="6"/>
      <c r="BH22" s="6">
        <v>1</v>
      </c>
      <c r="BI22" s="6"/>
      <c r="BJ22" s="6"/>
      <c r="BK22" s="5">
        <f t="shared" si="6"/>
        <v>33</v>
      </c>
    </row>
    <row r="23" spans="1:63" x14ac:dyDescent="0.4">
      <c r="A23" s="12"/>
      <c r="B23" s="89"/>
      <c r="C23" s="96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</v>
      </c>
      <c r="R23" s="6"/>
      <c r="S23" s="6"/>
      <c r="T23" s="6"/>
      <c r="U23" s="6"/>
      <c r="V23" s="6"/>
      <c r="W23" s="6"/>
      <c r="X23" s="6">
        <v>1</v>
      </c>
      <c r="Y23" s="6"/>
      <c r="Z23" s="6"/>
      <c r="AA23" s="6"/>
      <c r="AB23" s="6"/>
      <c r="AC23" s="6"/>
      <c r="AD23" s="6"/>
      <c r="AE23" s="6"/>
      <c r="AF23" s="6">
        <v>1</v>
      </c>
      <c r="AG23" s="6"/>
      <c r="AH23" s="6"/>
      <c r="AI23" s="6"/>
      <c r="AJ23" s="6"/>
      <c r="AK23" s="6">
        <v>1</v>
      </c>
      <c r="AL23" s="6"/>
      <c r="AM23" s="6">
        <v>1</v>
      </c>
      <c r="AN23" s="6">
        <v>1</v>
      </c>
      <c r="AO23" s="6"/>
      <c r="AP23" s="6"/>
      <c r="AQ23" s="6"/>
      <c r="AR23" s="6"/>
      <c r="AS23" s="6"/>
      <c r="AT23" s="6">
        <v>1</v>
      </c>
      <c r="AU23" s="6"/>
      <c r="AV23" s="6">
        <v>1</v>
      </c>
      <c r="AW23" s="6"/>
      <c r="AX23" s="6">
        <v>1</v>
      </c>
      <c r="AY23" s="6">
        <v>3</v>
      </c>
      <c r="AZ23" s="6">
        <v>1</v>
      </c>
      <c r="BA23" s="6">
        <v>2</v>
      </c>
      <c r="BB23" s="6"/>
      <c r="BC23" s="6"/>
      <c r="BD23" s="6"/>
      <c r="BE23" s="6">
        <v>1</v>
      </c>
      <c r="BF23" s="6">
        <v>1</v>
      </c>
      <c r="BG23" s="6">
        <v>1</v>
      </c>
      <c r="BH23" s="6"/>
      <c r="BI23" s="6">
        <v>1</v>
      </c>
      <c r="BJ23" s="6">
        <v>1</v>
      </c>
      <c r="BK23" s="5">
        <f t="shared" si="6"/>
        <v>20</v>
      </c>
    </row>
    <row r="24" spans="1:63" x14ac:dyDescent="0.4">
      <c r="A24" s="13"/>
      <c r="B24" s="90"/>
      <c r="C24" s="97"/>
      <c r="D24" s="5" t="s">
        <v>25</v>
      </c>
      <c r="E24" s="5">
        <f t="shared" ref="E24:BJ24" si="13">SUM(E22:E23)</f>
        <v>1</v>
      </c>
      <c r="F24" s="5">
        <f t="shared" si="13"/>
        <v>1</v>
      </c>
      <c r="G24" s="5">
        <f t="shared" si="13"/>
        <v>1</v>
      </c>
      <c r="H24" s="5">
        <f t="shared" si="13"/>
        <v>1</v>
      </c>
      <c r="I24" s="5">
        <f t="shared" si="13"/>
        <v>1</v>
      </c>
      <c r="J24" s="5">
        <f t="shared" si="13"/>
        <v>1</v>
      </c>
      <c r="K24" s="5">
        <f t="shared" si="13"/>
        <v>1</v>
      </c>
      <c r="L24" s="5">
        <f t="shared" si="13"/>
        <v>1</v>
      </c>
      <c r="M24" s="5">
        <f t="shared" si="13"/>
        <v>1</v>
      </c>
      <c r="N24" s="5">
        <f t="shared" si="13"/>
        <v>1</v>
      </c>
      <c r="O24" s="5">
        <f t="shared" ref="O24:S24" si="14">SUM(O22:O23)</f>
        <v>1</v>
      </c>
      <c r="P24" s="5">
        <f t="shared" si="14"/>
        <v>0</v>
      </c>
      <c r="Q24" s="5">
        <f t="shared" si="14"/>
        <v>1</v>
      </c>
      <c r="R24" s="5">
        <f t="shared" si="14"/>
        <v>1</v>
      </c>
      <c r="S24" s="5">
        <f t="shared" si="14"/>
        <v>0</v>
      </c>
      <c r="T24" s="5">
        <f t="shared" si="13"/>
        <v>0</v>
      </c>
      <c r="U24" s="5">
        <f t="shared" si="13"/>
        <v>1</v>
      </c>
      <c r="V24" s="5">
        <f t="shared" si="13"/>
        <v>1</v>
      </c>
      <c r="W24" s="5">
        <f t="shared" si="13"/>
        <v>1</v>
      </c>
      <c r="X24" s="5">
        <f t="shared" si="13"/>
        <v>1</v>
      </c>
      <c r="Y24" s="5">
        <f t="shared" ref="Y24:AC24" si="15">SUM(Y22:Y23)</f>
        <v>0</v>
      </c>
      <c r="Z24" s="5">
        <f t="shared" si="15"/>
        <v>1</v>
      </c>
      <c r="AA24" s="5">
        <f t="shared" si="15"/>
        <v>1</v>
      </c>
      <c r="AB24" s="5">
        <f t="shared" si="15"/>
        <v>1</v>
      </c>
      <c r="AC24" s="5">
        <f t="shared" si="15"/>
        <v>1</v>
      </c>
      <c r="AD24" s="5">
        <f t="shared" si="13"/>
        <v>1</v>
      </c>
      <c r="AE24" s="5">
        <f t="shared" si="13"/>
        <v>0</v>
      </c>
      <c r="AF24" s="5">
        <f t="shared" si="13"/>
        <v>3</v>
      </c>
      <c r="AG24" s="5">
        <f t="shared" si="13"/>
        <v>0</v>
      </c>
      <c r="AH24" s="5">
        <f t="shared" si="13"/>
        <v>0</v>
      </c>
      <c r="AI24" s="5">
        <f t="shared" ref="AI24:AM24" si="16">SUM(AI22:AI23)</f>
        <v>1</v>
      </c>
      <c r="AJ24" s="5">
        <f t="shared" si="16"/>
        <v>1</v>
      </c>
      <c r="AK24" s="5">
        <f t="shared" si="16"/>
        <v>1</v>
      </c>
      <c r="AL24" s="5">
        <f t="shared" si="16"/>
        <v>1</v>
      </c>
      <c r="AM24" s="5">
        <f t="shared" si="16"/>
        <v>1</v>
      </c>
      <c r="AN24" s="5">
        <f t="shared" si="13"/>
        <v>1</v>
      </c>
      <c r="AO24" s="5">
        <f t="shared" si="13"/>
        <v>0</v>
      </c>
      <c r="AP24" s="5">
        <f t="shared" si="13"/>
        <v>1</v>
      </c>
      <c r="AQ24" s="5">
        <f t="shared" si="13"/>
        <v>0</v>
      </c>
      <c r="AR24" s="5">
        <f t="shared" si="13"/>
        <v>0</v>
      </c>
      <c r="AS24" s="5">
        <f t="shared" ref="AS24:AW24" si="17">SUM(AS22:AS23)</f>
        <v>1</v>
      </c>
      <c r="AT24" s="5">
        <f t="shared" si="17"/>
        <v>1</v>
      </c>
      <c r="AU24" s="5">
        <f t="shared" si="17"/>
        <v>1</v>
      </c>
      <c r="AV24" s="5">
        <f t="shared" si="17"/>
        <v>1</v>
      </c>
      <c r="AW24" s="5">
        <f t="shared" si="17"/>
        <v>0</v>
      </c>
      <c r="AX24" s="5">
        <f t="shared" si="13"/>
        <v>2</v>
      </c>
      <c r="AY24" s="5">
        <f t="shared" si="13"/>
        <v>3</v>
      </c>
      <c r="AZ24" s="5">
        <f t="shared" si="13"/>
        <v>1</v>
      </c>
      <c r="BA24" s="5">
        <f t="shared" si="13"/>
        <v>4</v>
      </c>
      <c r="BB24" s="5">
        <f t="shared" si="13"/>
        <v>1</v>
      </c>
      <c r="BC24" s="5">
        <f t="shared" ref="BC24:BG24" si="18">SUM(BC22:BC23)</f>
        <v>0</v>
      </c>
      <c r="BD24" s="5">
        <f t="shared" si="18"/>
        <v>0</v>
      </c>
      <c r="BE24" s="5">
        <f t="shared" si="18"/>
        <v>1</v>
      </c>
      <c r="BF24" s="5">
        <f t="shared" si="18"/>
        <v>1</v>
      </c>
      <c r="BG24" s="5">
        <f t="shared" si="18"/>
        <v>1</v>
      </c>
      <c r="BH24" s="5">
        <f t="shared" si="13"/>
        <v>1</v>
      </c>
      <c r="BI24" s="5">
        <f t="shared" si="13"/>
        <v>1</v>
      </c>
      <c r="BJ24" s="5">
        <f t="shared" si="13"/>
        <v>1</v>
      </c>
      <c r="BK24" s="5">
        <f t="shared" si="6"/>
        <v>53</v>
      </c>
    </row>
    <row r="25" spans="1:63" x14ac:dyDescent="0.4">
      <c r="A25" s="12"/>
      <c r="B25" s="94" t="s">
        <v>32</v>
      </c>
      <c r="C25" s="95" t="s">
        <v>33</v>
      </c>
      <c r="D25" s="6" t="s">
        <v>23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3</v>
      </c>
      <c r="AB25" s="6">
        <v>1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6</v>
      </c>
      <c r="AW25" s="6"/>
      <c r="AX25" s="6">
        <v>1</v>
      </c>
      <c r="AY25" s="6"/>
      <c r="AZ25" s="6"/>
      <c r="BA25" s="6"/>
      <c r="BB25" s="6"/>
      <c r="BC25" s="6"/>
      <c r="BD25" s="6">
        <v>3</v>
      </c>
      <c r="BE25" s="6">
        <v>1</v>
      </c>
      <c r="BF25" s="6"/>
      <c r="BG25" s="6"/>
      <c r="BH25" s="6">
        <v>1</v>
      </c>
      <c r="BI25" s="6">
        <v>1</v>
      </c>
      <c r="BJ25" s="6"/>
      <c r="BK25" s="5">
        <f t="shared" si="6"/>
        <v>17</v>
      </c>
    </row>
    <row r="26" spans="1:63" x14ac:dyDescent="0.4">
      <c r="A26" s="12"/>
      <c r="B26" s="89"/>
      <c r="C26" s="96"/>
      <c r="D26" s="6" t="s">
        <v>24</v>
      </c>
      <c r="E26" s="6"/>
      <c r="F26" s="6"/>
      <c r="G26" s="6"/>
      <c r="H26" s="6"/>
      <c r="I26" s="6"/>
      <c r="J26" s="6"/>
      <c r="K26" s="6"/>
      <c r="L26" s="6"/>
      <c r="M26" s="6">
        <v>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5</v>
      </c>
      <c r="AB26" s="6">
        <v>2</v>
      </c>
      <c r="AC26" s="6"/>
      <c r="AD26" s="6"/>
      <c r="AE26" s="6"/>
      <c r="AF26" s="6">
        <v>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1</v>
      </c>
      <c r="AR26" s="6"/>
      <c r="AS26" s="6"/>
      <c r="AT26" s="6"/>
      <c r="AU26" s="6"/>
      <c r="AV26" s="6">
        <v>3</v>
      </c>
      <c r="AW26" s="6"/>
      <c r="AX26" s="6"/>
      <c r="AY26" s="6">
        <v>2</v>
      </c>
      <c r="AZ26" s="6"/>
      <c r="BA26" s="6">
        <v>2</v>
      </c>
      <c r="BB26" s="6"/>
      <c r="BC26" s="6"/>
      <c r="BD26" s="6">
        <v>1</v>
      </c>
      <c r="BE26" s="6"/>
      <c r="BF26" s="6"/>
      <c r="BG26" s="6">
        <v>4</v>
      </c>
      <c r="BH26" s="6"/>
      <c r="BI26" s="6">
        <v>4</v>
      </c>
      <c r="BJ26" s="6">
        <v>2</v>
      </c>
      <c r="BK26" s="5">
        <f t="shared" si="6"/>
        <v>30</v>
      </c>
    </row>
    <row r="27" spans="1:63" x14ac:dyDescent="0.4">
      <c r="A27" s="13"/>
      <c r="B27" s="90"/>
      <c r="C27" s="97"/>
      <c r="D27" s="5" t="s">
        <v>25</v>
      </c>
      <c r="E27" s="5">
        <f t="shared" ref="E27:BJ27" si="19">SUM(E25:E26)</f>
        <v>0</v>
      </c>
      <c r="F27" s="5">
        <f t="shared" si="19"/>
        <v>0</v>
      </c>
      <c r="G27" s="5">
        <f t="shared" si="19"/>
        <v>0</v>
      </c>
      <c r="H27" s="5">
        <f t="shared" si="19"/>
        <v>0</v>
      </c>
      <c r="I27" s="5">
        <f t="shared" si="19"/>
        <v>0</v>
      </c>
      <c r="J27" s="5">
        <f t="shared" si="19"/>
        <v>0</v>
      </c>
      <c r="K27" s="5">
        <f t="shared" si="19"/>
        <v>0</v>
      </c>
      <c r="L27" s="5">
        <f t="shared" si="19"/>
        <v>0</v>
      </c>
      <c r="M27" s="5">
        <f t="shared" si="19"/>
        <v>3</v>
      </c>
      <c r="N27" s="5">
        <f t="shared" si="19"/>
        <v>0</v>
      </c>
      <c r="O27" s="5">
        <f t="shared" ref="O27:S27" si="20">SUM(O25:O26)</f>
        <v>0</v>
      </c>
      <c r="P27" s="5">
        <f t="shared" si="20"/>
        <v>0</v>
      </c>
      <c r="Q27" s="5">
        <f t="shared" si="20"/>
        <v>0</v>
      </c>
      <c r="R27" s="5">
        <f t="shared" si="20"/>
        <v>0</v>
      </c>
      <c r="S27" s="5">
        <f t="shared" si="20"/>
        <v>0</v>
      </c>
      <c r="T27" s="5">
        <f t="shared" si="19"/>
        <v>0</v>
      </c>
      <c r="U27" s="5">
        <f t="shared" si="19"/>
        <v>0</v>
      </c>
      <c r="V27" s="5">
        <f t="shared" si="19"/>
        <v>0</v>
      </c>
      <c r="W27" s="5">
        <f t="shared" si="19"/>
        <v>0</v>
      </c>
      <c r="X27" s="5">
        <f t="shared" si="19"/>
        <v>0</v>
      </c>
      <c r="Y27" s="5">
        <f t="shared" ref="Y27:AC27" si="21">SUM(Y25:Y26)</f>
        <v>0</v>
      </c>
      <c r="Z27" s="5">
        <f t="shared" si="21"/>
        <v>0</v>
      </c>
      <c r="AA27" s="5">
        <f t="shared" si="21"/>
        <v>8</v>
      </c>
      <c r="AB27" s="5">
        <f t="shared" si="21"/>
        <v>3</v>
      </c>
      <c r="AC27" s="5">
        <f t="shared" si="21"/>
        <v>0</v>
      </c>
      <c r="AD27" s="5">
        <f t="shared" si="19"/>
        <v>0</v>
      </c>
      <c r="AE27" s="5">
        <f t="shared" si="19"/>
        <v>0</v>
      </c>
      <c r="AF27" s="5">
        <f t="shared" si="19"/>
        <v>1</v>
      </c>
      <c r="AG27" s="5">
        <f t="shared" si="19"/>
        <v>0</v>
      </c>
      <c r="AH27" s="5">
        <f t="shared" si="19"/>
        <v>0</v>
      </c>
      <c r="AI27" s="5">
        <f t="shared" ref="AI27:AM27" si="22">SUM(AI25:AI26)</f>
        <v>0</v>
      </c>
      <c r="AJ27" s="5">
        <f t="shared" si="22"/>
        <v>0</v>
      </c>
      <c r="AK27" s="5">
        <f t="shared" si="22"/>
        <v>0</v>
      </c>
      <c r="AL27" s="5">
        <f t="shared" si="22"/>
        <v>0</v>
      </c>
      <c r="AM27" s="5">
        <f t="shared" si="22"/>
        <v>0</v>
      </c>
      <c r="AN27" s="5">
        <f t="shared" si="19"/>
        <v>0</v>
      </c>
      <c r="AO27" s="5">
        <f t="shared" si="19"/>
        <v>0</v>
      </c>
      <c r="AP27" s="5">
        <f t="shared" si="19"/>
        <v>0</v>
      </c>
      <c r="AQ27" s="5">
        <f t="shared" si="19"/>
        <v>1</v>
      </c>
      <c r="AR27" s="5">
        <f t="shared" si="19"/>
        <v>0</v>
      </c>
      <c r="AS27" s="5">
        <f t="shared" ref="AS27:AW27" si="23">SUM(AS25:AS26)</f>
        <v>0</v>
      </c>
      <c r="AT27" s="5">
        <f t="shared" si="23"/>
        <v>0</v>
      </c>
      <c r="AU27" s="5">
        <f t="shared" si="23"/>
        <v>0</v>
      </c>
      <c r="AV27" s="5">
        <f t="shared" si="23"/>
        <v>9</v>
      </c>
      <c r="AW27" s="5">
        <f t="shared" si="23"/>
        <v>0</v>
      </c>
      <c r="AX27" s="5">
        <f t="shared" si="19"/>
        <v>1</v>
      </c>
      <c r="AY27" s="5">
        <f t="shared" si="19"/>
        <v>2</v>
      </c>
      <c r="AZ27" s="5">
        <f t="shared" si="19"/>
        <v>0</v>
      </c>
      <c r="BA27" s="5">
        <f t="shared" si="19"/>
        <v>2</v>
      </c>
      <c r="BB27" s="5">
        <f t="shared" si="19"/>
        <v>0</v>
      </c>
      <c r="BC27" s="5">
        <f t="shared" ref="BC27:BG27" si="24">SUM(BC25:BC26)</f>
        <v>0</v>
      </c>
      <c r="BD27" s="5">
        <f t="shared" si="24"/>
        <v>4</v>
      </c>
      <c r="BE27" s="5">
        <f t="shared" si="24"/>
        <v>1</v>
      </c>
      <c r="BF27" s="5">
        <f t="shared" si="24"/>
        <v>0</v>
      </c>
      <c r="BG27" s="5">
        <f t="shared" si="24"/>
        <v>4</v>
      </c>
      <c r="BH27" s="5">
        <f t="shared" si="19"/>
        <v>1</v>
      </c>
      <c r="BI27" s="5">
        <f t="shared" si="19"/>
        <v>5</v>
      </c>
      <c r="BJ27" s="5">
        <f t="shared" si="19"/>
        <v>2</v>
      </c>
      <c r="BK27" s="5">
        <f t="shared" si="6"/>
        <v>47</v>
      </c>
    </row>
    <row r="28" spans="1:63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40</v>
      </c>
      <c r="F28" s="5">
        <f t="shared" ref="F28:BJ29" si="25">SUM(F19,F22,F25)</f>
        <v>50</v>
      </c>
      <c r="G28" s="5">
        <f t="shared" si="25"/>
        <v>46</v>
      </c>
      <c r="H28" s="5">
        <f t="shared" si="25"/>
        <v>31</v>
      </c>
      <c r="I28" s="5">
        <f t="shared" si="25"/>
        <v>78</v>
      </c>
      <c r="J28" s="5">
        <f t="shared" si="25"/>
        <v>92</v>
      </c>
      <c r="K28" s="5">
        <f t="shared" si="25"/>
        <v>78</v>
      </c>
      <c r="L28" s="5">
        <f t="shared" si="25"/>
        <v>84</v>
      </c>
      <c r="M28" s="5">
        <f t="shared" si="25"/>
        <v>89</v>
      </c>
      <c r="N28" s="5">
        <f t="shared" si="25"/>
        <v>51</v>
      </c>
      <c r="O28" s="5">
        <f t="shared" ref="O28:S28" si="26">SUM(O19,O22,O25)</f>
        <v>86</v>
      </c>
      <c r="P28" s="5">
        <f t="shared" si="26"/>
        <v>70</v>
      </c>
      <c r="Q28" s="5">
        <f t="shared" si="26"/>
        <v>75</v>
      </c>
      <c r="R28" s="5">
        <f t="shared" si="26"/>
        <v>45</v>
      </c>
      <c r="S28" s="5">
        <f t="shared" si="26"/>
        <v>92</v>
      </c>
      <c r="T28" s="5">
        <f t="shared" si="25"/>
        <v>54</v>
      </c>
      <c r="U28" s="5">
        <f t="shared" si="25"/>
        <v>95</v>
      </c>
      <c r="V28" s="5">
        <f t="shared" si="25"/>
        <v>100</v>
      </c>
      <c r="W28" s="5">
        <f t="shared" si="25"/>
        <v>96</v>
      </c>
      <c r="X28" s="5">
        <f t="shared" si="25"/>
        <v>120</v>
      </c>
      <c r="Y28" s="5">
        <f t="shared" ref="Y28:AC28" si="27">SUM(Y19,Y22,Y25)</f>
        <v>76</v>
      </c>
      <c r="Z28" s="5">
        <f t="shared" si="27"/>
        <v>73</v>
      </c>
      <c r="AA28" s="5">
        <f t="shared" si="27"/>
        <v>86</v>
      </c>
      <c r="AB28" s="5">
        <f t="shared" si="27"/>
        <v>58</v>
      </c>
      <c r="AC28" s="5">
        <f t="shared" si="27"/>
        <v>110</v>
      </c>
      <c r="AD28" s="5">
        <f t="shared" si="25"/>
        <v>60</v>
      </c>
      <c r="AE28" s="5">
        <f t="shared" si="25"/>
        <v>67</v>
      </c>
      <c r="AF28" s="5">
        <f t="shared" si="25"/>
        <v>57</v>
      </c>
      <c r="AG28" s="5">
        <f t="shared" si="25"/>
        <v>75</v>
      </c>
      <c r="AH28" s="5">
        <f t="shared" si="25"/>
        <v>109</v>
      </c>
      <c r="AI28" s="5">
        <f t="shared" ref="AI28:AM28" si="28">SUM(AI19,AI22,AI25)</f>
        <v>79</v>
      </c>
      <c r="AJ28" s="5">
        <f t="shared" si="28"/>
        <v>65</v>
      </c>
      <c r="AK28" s="5">
        <f t="shared" si="28"/>
        <v>73</v>
      </c>
      <c r="AL28" s="5">
        <f t="shared" si="28"/>
        <v>113</v>
      </c>
      <c r="AM28" s="5">
        <f t="shared" si="28"/>
        <v>74</v>
      </c>
      <c r="AN28" s="5">
        <f t="shared" si="25"/>
        <v>64</v>
      </c>
      <c r="AO28" s="5">
        <f t="shared" si="25"/>
        <v>69</v>
      </c>
      <c r="AP28" s="5">
        <f t="shared" si="25"/>
        <v>87</v>
      </c>
      <c r="AQ28" s="5">
        <f t="shared" si="25"/>
        <v>75</v>
      </c>
      <c r="AR28" s="5">
        <f t="shared" si="25"/>
        <v>79</v>
      </c>
      <c r="AS28" s="5">
        <f t="shared" ref="AS28:AW28" si="29">SUM(AS19,AS22,AS25)</f>
        <v>65</v>
      </c>
      <c r="AT28" s="5">
        <f t="shared" si="29"/>
        <v>98</v>
      </c>
      <c r="AU28" s="5">
        <f t="shared" si="29"/>
        <v>102</v>
      </c>
      <c r="AV28" s="5">
        <f t="shared" si="29"/>
        <v>98</v>
      </c>
      <c r="AW28" s="5">
        <f t="shared" si="29"/>
        <v>86</v>
      </c>
      <c r="AX28" s="5">
        <f t="shared" si="25"/>
        <v>70</v>
      </c>
      <c r="AY28" s="5">
        <f t="shared" si="25"/>
        <v>96</v>
      </c>
      <c r="AZ28" s="5">
        <f t="shared" si="25"/>
        <v>59</v>
      </c>
      <c r="BA28" s="5">
        <f t="shared" si="25"/>
        <v>74</v>
      </c>
      <c r="BB28" s="5">
        <f t="shared" si="25"/>
        <v>68</v>
      </c>
      <c r="BC28" s="5">
        <f t="shared" ref="BC28:BG28" si="30">SUM(BC19,BC22,BC25)</f>
        <v>99</v>
      </c>
      <c r="BD28" s="5">
        <f t="shared" si="30"/>
        <v>86</v>
      </c>
      <c r="BE28" s="5">
        <f t="shared" si="30"/>
        <v>81</v>
      </c>
      <c r="BF28" s="5">
        <f t="shared" si="30"/>
        <v>72</v>
      </c>
      <c r="BG28" s="5">
        <f t="shared" si="30"/>
        <v>86</v>
      </c>
      <c r="BH28" s="5">
        <f t="shared" si="25"/>
        <v>97</v>
      </c>
      <c r="BI28" s="5">
        <f t="shared" si="25"/>
        <v>100</v>
      </c>
      <c r="BJ28" s="5">
        <f t="shared" si="25"/>
        <v>87</v>
      </c>
      <c r="BK28" s="5">
        <f t="shared" si="6"/>
        <v>4545</v>
      </c>
    </row>
    <row r="29" spans="1:63" x14ac:dyDescent="0.4">
      <c r="A29" s="13"/>
      <c r="B29" s="89"/>
      <c r="C29" s="96"/>
      <c r="D29" s="5" t="s">
        <v>24</v>
      </c>
      <c r="E29" s="5">
        <f>SUM(E20,E23,E26)</f>
        <v>35</v>
      </c>
      <c r="F29" s="5">
        <f t="shared" si="25"/>
        <v>37</v>
      </c>
      <c r="G29" s="5">
        <f t="shared" si="25"/>
        <v>50</v>
      </c>
      <c r="H29" s="5">
        <f t="shared" si="25"/>
        <v>21</v>
      </c>
      <c r="I29" s="5">
        <f t="shared" si="25"/>
        <v>82</v>
      </c>
      <c r="J29" s="5">
        <f t="shared" si="25"/>
        <v>102</v>
      </c>
      <c r="K29" s="5">
        <f t="shared" si="25"/>
        <v>103</v>
      </c>
      <c r="L29" s="5">
        <f t="shared" si="25"/>
        <v>110</v>
      </c>
      <c r="M29" s="5">
        <f t="shared" si="25"/>
        <v>93</v>
      </c>
      <c r="N29" s="5">
        <f t="shared" si="25"/>
        <v>42</v>
      </c>
      <c r="O29" s="5">
        <f t="shared" ref="O29:S29" si="31">SUM(O20,O23,O26)</f>
        <v>120</v>
      </c>
      <c r="P29" s="5">
        <f t="shared" si="31"/>
        <v>78</v>
      </c>
      <c r="Q29" s="5">
        <f t="shared" si="31"/>
        <v>77</v>
      </c>
      <c r="R29" s="5">
        <f t="shared" si="31"/>
        <v>46</v>
      </c>
      <c r="S29" s="5">
        <f t="shared" si="31"/>
        <v>88</v>
      </c>
      <c r="T29" s="5">
        <f t="shared" si="25"/>
        <v>65</v>
      </c>
      <c r="U29" s="5">
        <f t="shared" si="25"/>
        <v>102</v>
      </c>
      <c r="V29" s="5">
        <f t="shared" si="25"/>
        <v>121</v>
      </c>
      <c r="W29" s="5">
        <f t="shared" si="25"/>
        <v>107</v>
      </c>
      <c r="X29" s="5">
        <f t="shared" si="25"/>
        <v>127</v>
      </c>
      <c r="Y29" s="5">
        <f t="shared" ref="Y29:AC29" si="32">SUM(Y20,Y23,Y26)</f>
        <v>89</v>
      </c>
      <c r="Z29" s="5">
        <f t="shared" si="32"/>
        <v>85</v>
      </c>
      <c r="AA29" s="5">
        <f t="shared" si="32"/>
        <v>117</v>
      </c>
      <c r="AB29" s="5">
        <f t="shared" si="32"/>
        <v>70</v>
      </c>
      <c r="AC29" s="5">
        <f t="shared" si="32"/>
        <v>112</v>
      </c>
      <c r="AD29" s="5">
        <f t="shared" si="25"/>
        <v>72</v>
      </c>
      <c r="AE29" s="5">
        <f t="shared" si="25"/>
        <v>78</v>
      </c>
      <c r="AF29" s="5">
        <f t="shared" si="25"/>
        <v>61</v>
      </c>
      <c r="AG29" s="5">
        <f t="shared" si="25"/>
        <v>103</v>
      </c>
      <c r="AH29" s="5">
        <f t="shared" si="25"/>
        <v>116</v>
      </c>
      <c r="AI29" s="5">
        <f t="shared" ref="AI29:AM29" si="33">SUM(AI20,AI23,AI26)</f>
        <v>104</v>
      </c>
      <c r="AJ29" s="5">
        <f t="shared" si="33"/>
        <v>71</v>
      </c>
      <c r="AK29" s="5">
        <f t="shared" si="33"/>
        <v>70</v>
      </c>
      <c r="AL29" s="5">
        <f t="shared" si="33"/>
        <v>123</v>
      </c>
      <c r="AM29" s="5">
        <f t="shared" si="33"/>
        <v>87</v>
      </c>
      <c r="AN29" s="5">
        <f t="shared" si="25"/>
        <v>67</v>
      </c>
      <c r="AO29" s="5">
        <f t="shared" si="25"/>
        <v>71</v>
      </c>
      <c r="AP29" s="5">
        <f t="shared" si="25"/>
        <v>86</v>
      </c>
      <c r="AQ29" s="5">
        <f t="shared" si="25"/>
        <v>75</v>
      </c>
      <c r="AR29" s="5">
        <f t="shared" si="25"/>
        <v>79</v>
      </c>
      <c r="AS29" s="5">
        <f t="shared" ref="AS29:AW29" si="34">SUM(AS20,AS23,AS26)</f>
        <v>62</v>
      </c>
      <c r="AT29" s="5">
        <f t="shared" si="34"/>
        <v>117</v>
      </c>
      <c r="AU29" s="5">
        <f t="shared" si="34"/>
        <v>100</v>
      </c>
      <c r="AV29" s="5">
        <f t="shared" si="34"/>
        <v>110</v>
      </c>
      <c r="AW29" s="5">
        <f t="shared" si="34"/>
        <v>108</v>
      </c>
      <c r="AX29" s="5">
        <f t="shared" si="25"/>
        <v>93</v>
      </c>
      <c r="AY29" s="5">
        <f t="shared" si="25"/>
        <v>129</v>
      </c>
      <c r="AZ29" s="5">
        <f t="shared" si="25"/>
        <v>84</v>
      </c>
      <c r="BA29" s="5">
        <f t="shared" si="25"/>
        <v>84</v>
      </c>
      <c r="BB29" s="5">
        <f t="shared" si="25"/>
        <v>71</v>
      </c>
      <c r="BC29" s="5">
        <f t="shared" ref="BC29:BG29" si="35">SUM(BC20,BC23,BC26)</f>
        <v>102</v>
      </c>
      <c r="BD29" s="5">
        <f t="shared" si="35"/>
        <v>100</v>
      </c>
      <c r="BE29" s="5">
        <f t="shared" si="35"/>
        <v>101</v>
      </c>
      <c r="BF29" s="5">
        <f t="shared" si="35"/>
        <v>87</v>
      </c>
      <c r="BG29" s="5">
        <f t="shared" si="35"/>
        <v>115</v>
      </c>
      <c r="BH29" s="5">
        <f t="shared" si="25"/>
        <v>128</v>
      </c>
      <c r="BI29" s="5">
        <f t="shared" si="25"/>
        <v>104</v>
      </c>
      <c r="BJ29" s="5">
        <f t="shared" si="25"/>
        <v>106</v>
      </c>
      <c r="BK29" s="5">
        <f t="shared" si="6"/>
        <v>5143</v>
      </c>
    </row>
    <row r="30" spans="1:63" x14ac:dyDescent="0.4">
      <c r="A30" s="13"/>
      <c r="B30" s="90"/>
      <c r="C30" s="97"/>
      <c r="D30" s="5" t="s">
        <v>25</v>
      </c>
      <c r="E30" s="5">
        <f t="shared" ref="E30:BJ30" si="36">SUM(E28:E29)</f>
        <v>75</v>
      </c>
      <c r="F30" s="5">
        <f t="shared" si="36"/>
        <v>87</v>
      </c>
      <c r="G30" s="5">
        <f t="shared" si="36"/>
        <v>96</v>
      </c>
      <c r="H30" s="5">
        <f t="shared" si="36"/>
        <v>52</v>
      </c>
      <c r="I30" s="5">
        <f t="shared" si="36"/>
        <v>160</v>
      </c>
      <c r="J30" s="5">
        <f t="shared" si="36"/>
        <v>194</v>
      </c>
      <c r="K30" s="5">
        <f t="shared" si="36"/>
        <v>181</v>
      </c>
      <c r="L30" s="5">
        <f t="shared" si="36"/>
        <v>194</v>
      </c>
      <c r="M30" s="5">
        <f t="shared" si="36"/>
        <v>182</v>
      </c>
      <c r="N30" s="5">
        <f t="shared" si="36"/>
        <v>93</v>
      </c>
      <c r="O30" s="5">
        <f t="shared" ref="O30:S30" si="37">SUM(O28:O29)</f>
        <v>206</v>
      </c>
      <c r="P30" s="5">
        <f t="shared" si="37"/>
        <v>148</v>
      </c>
      <c r="Q30" s="5">
        <f t="shared" si="37"/>
        <v>152</v>
      </c>
      <c r="R30" s="5">
        <f t="shared" si="37"/>
        <v>91</v>
      </c>
      <c r="S30" s="5">
        <f t="shared" si="37"/>
        <v>180</v>
      </c>
      <c r="T30" s="5">
        <f t="shared" si="36"/>
        <v>119</v>
      </c>
      <c r="U30" s="5">
        <f t="shared" si="36"/>
        <v>197</v>
      </c>
      <c r="V30" s="5">
        <f t="shared" si="36"/>
        <v>221</v>
      </c>
      <c r="W30" s="5">
        <f t="shared" si="36"/>
        <v>203</v>
      </c>
      <c r="X30" s="5">
        <f t="shared" si="36"/>
        <v>247</v>
      </c>
      <c r="Y30" s="5">
        <f t="shared" ref="Y30:AC30" si="38">SUM(Y28:Y29)</f>
        <v>165</v>
      </c>
      <c r="Z30" s="5">
        <f t="shared" si="38"/>
        <v>158</v>
      </c>
      <c r="AA30" s="5">
        <f t="shared" si="38"/>
        <v>203</v>
      </c>
      <c r="AB30" s="5">
        <f t="shared" si="38"/>
        <v>128</v>
      </c>
      <c r="AC30" s="5">
        <f t="shared" si="38"/>
        <v>222</v>
      </c>
      <c r="AD30" s="5">
        <f t="shared" si="36"/>
        <v>132</v>
      </c>
      <c r="AE30" s="5">
        <f t="shared" si="36"/>
        <v>145</v>
      </c>
      <c r="AF30" s="5">
        <f t="shared" si="36"/>
        <v>118</v>
      </c>
      <c r="AG30" s="5">
        <f t="shared" si="36"/>
        <v>178</v>
      </c>
      <c r="AH30" s="5">
        <f t="shared" si="36"/>
        <v>225</v>
      </c>
      <c r="AI30" s="5">
        <f t="shared" ref="AI30:AM30" si="39">SUM(AI28:AI29)</f>
        <v>183</v>
      </c>
      <c r="AJ30" s="5">
        <f t="shared" si="39"/>
        <v>136</v>
      </c>
      <c r="AK30" s="5">
        <f t="shared" si="39"/>
        <v>143</v>
      </c>
      <c r="AL30" s="5">
        <f t="shared" si="39"/>
        <v>236</v>
      </c>
      <c r="AM30" s="5">
        <f t="shared" si="39"/>
        <v>161</v>
      </c>
      <c r="AN30" s="5">
        <f t="shared" si="36"/>
        <v>131</v>
      </c>
      <c r="AO30" s="5">
        <f t="shared" si="36"/>
        <v>140</v>
      </c>
      <c r="AP30" s="5">
        <f t="shared" si="36"/>
        <v>173</v>
      </c>
      <c r="AQ30" s="5">
        <f t="shared" si="36"/>
        <v>150</v>
      </c>
      <c r="AR30" s="5">
        <f t="shared" si="36"/>
        <v>158</v>
      </c>
      <c r="AS30" s="5">
        <f t="shared" ref="AS30:AW30" si="40">SUM(AS28:AS29)</f>
        <v>127</v>
      </c>
      <c r="AT30" s="5">
        <f t="shared" si="40"/>
        <v>215</v>
      </c>
      <c r="AU30" s="5">
        <f t="shared" si="40"/>
        <v>202</v>
      </c>
      <c r="AV30" s="5">
        <f t="shared" si="40"/>
        <v>208</v>
      </c>
      <c r="AW30" s="5">
        <f t="shared" si="40"/>
        <v>194</v>
      </c>
      <c r="AX30" s="5">
        <f t="shared" si="36"/>
        <v>163</v>
      </c>
      <c r="AY30" s="5">
        <f t="shared" si="36"/>
        <v>225</v>
      </c>
      <c r="AZ30" s="5">
        <f t="shared" si="36"/>
        <v>143</v>
      </c>
      <c r="BA30" s="5">
        <f t="shared" si="36"/>
        <v>158</v>
      </c>
      <c r="BB30" s="5">
        <f t="shared" si="36"/>
        <v>139</v>
      </c>
      <c r="BC30" s="5">
        <f t="shared" ref="BC30:BG30" si="41">SUM(BC28:BC29)</f>
        <v>201</v>
      </c>
      <c r="BD30" s="5">
        <f t="shared" si="41"/>
        <v>186</v>
      </c>
      <c r="BE30" s="5">
        <f t="shared" si="41"/>
        <v>182</v>
      </c>
      <c r="BF30" s="5">
        <f t="shared" si="41"/>
        <v>159</v>
      </c>
      <c r="BG30" s="5">
        <f t="shared" si="41"/>
        <v>201</v>
      </c>
      <c r="BH30" s="5">
        <f t="shared" si="36"/>
        <v>225</v>
      </c>
      <c r="BI30" s="5">
        <f t="shared" si="36"/>
        <v>204</v>
      </c>
      <c r="BJ30" s="5">
        <f t="shared" si="36"/>
        <v>193</v>
      </c>
      <c r="BK30" s="5">
        <f t="shared" si="6"/>
        <v>9688</v>
      </c>
    </row>
    <row r="31" spans="1:63" x14ac:dyDescent="0.4">
      <c r="A31" s="70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  <c r="AG31" s="6"/>
      <c r="AH31" s="10"/>
      <c r="AI31" s="6"/>
      <c r="AJ31" s="6"/>
      <c r="AK31" s="6"/>
      <c r="AL31" s="6"/>
      <c r="AM31" s="10"/>
      <c r="AN31" s="6"/>
      <c r="AO31" s="6"/>
      <c r="AP31" s="6"/>
      <c r="AQ31" s="6"/>
      <c r="AR31" s="10"/>
      <c r="AS31" s="6"/>
      <c r="AT31" s="6"/>
      <c r="AU31" s="6"/>
      <c r="AV31" s="6"/>
      <c r="AW31" s="10"/>
      <c r="AX31" s="6"/>
      <c r="AY31" s="6"/>
      <c r="AZ31" s="6"/>
      <c r="BA31" s="6"/>
      <c r="BB31" s="10"/>
      <c r="BC31" s="6"/>
      <c r="BD31" s="6"/>
      <c r="BE31" s="6"/>
      <c r="BF31" s="6"/>
      <c r="BG31" s="10"/>
      <c r="BH31" s="6"/>
      <c r="BI31" s="6"/>
      <c r="BJ31" s="6"/>
      <c r="BK31" s="28"/>
    </row>
    <row r="32" spans="1:63" x14ac:dyDescent="0.4">
      <c r="A32" s="14" t="s">
        <v>36</v>
      </c>
      <c r="B32" s="75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5"/>
      <c r="AF32" s="5"/>
      <c r="AG32" s="5"/>
      <c r="AH32" s="15"/>
      <c r="AI32" s="5"/>
      <c r="AJ32" s="5"/>
      <c r="AK32" s="5"/>
      <c r="AL32" s="5"/>
      <c r="AM32" s="15"/>
      <c r="AN32" s="5"/>
      <c r="AO32" s="5"/>
      <c r="AP32" s="5"/>
      <c r="AQ32" s="5"/>
      <c r="AR32" s="15"/>
      <c r="AS32" s="5"/>
      <c r="AT32" s="5"/>
      <c r="AU32" s="5"/>
      <c r="AV32" s="5"/>
      <c r="AW32" s="15"/>
      <c r="AX32" s="5"/>
      <c r="AY32" s="5"/>
      <c r="AZ32" s="5"/>
      <c r="BA32" s="5"/>
      <c r="BB32" s="15"/>
      <c r="BC32" s="5"/>
      <c r="BD32" s="5"/>
      <c r="BE32" s="5"/>
      <c r="BF32" s="5"/>
      <c r="BG32" s="15"/>
      <c r="BH32" s="5"/>
      <c r="BI32" s="5"/>
      <c r="BJ32" s="5"/>
      <c r="BK32" s="28"/>
    </row>
    <row r="33" spans="1:63" x14ac:dyDescent="0.4">
      <c r="A33" s="6">
        <v>1</v>
      </c>
      <c r="B33" s="93" t="s">
        <v>38</v>
      </c>
      <c r="C33" s="83"/>
      <c r="D33" s="74"/>
      <c r="E33" s="6">
        <v>104</v>
      </c>
      <c r="F33" s="6">
        <v>111</v>
      </c>
      <c r="G33" s="6">
        <v>118</v>
      </c>
      <c r="H33" s="6">
        <v>90</v>
      </c>
      <c r="I33" s="6">
        <v>226</v>
      </c>
      <c r="J33" s="6">
        <v>280</v>
      </c>
      <c r="K33" s="6">
        <v>293</v>
      </c>
      <c r="L33" s="6">
        <v>280</v>
      </c>
      <c r="M33" s="6">
        <v>272</v>
      </c>
      <c r="N33" s="6">
        <v>95</v>
      </c>
      <c r="O33" s="6">
        <v>278</v>
      </c>
      <c r="P33" s="6">
        <v>229</v>
      </c>
      <c r="Q33" s="6">
        <v>215</v>
      </c>
      <c r="R33" s="6">
        <v>144</v>
      </c>
      <c r="S33" s="6">
        <v>248</v>
      </c>
      <c r="T33" s="6">
        <v>166</v>
      </c>
      <c r="U33" s="6">
        <v>250</v>
      </c>
      <c r="V33" s="6">
        <v>300</v>
      </c>
      <c r="W33" s="6">
        <v>238</v>
      </c>
      <c r="X33" s="6">
        <v>294</v>
      </c>
      <c r="Y33" s="6">
        <v>259</v>
      </c>
      <c r="Z33" s="6">
        <v>214</v>
      </c>
      <c r="AA33" s="6">
        <v>261</v>
      </c>
      <c r="AB33" s="6">
        <v>183</v>
      </c>
      <c r="AC33" s="6">
        <v>300</v>
      </c>
      <c r="AD33" s="6">
        <v>210</v>
      </c>
      <c r="AE33" s="6">
        <v>186</v>
      </c>
      <c r="AF33" s="6">
        <v>143</v>
      </c>
      <c r="AG33" s="6">
        <v>273</v>
      </c>
      <c r="AH33" s="6">
        <v>303</v>
      </c>
      <c r="AI33" s="6">
        <v>243</v>
      </c>
      <c r="AJ33" s="6">
        <v>197</v>
      </c>
      <c r="AK33" s="6">
        <v>202</v>
      </c>
      <c r="AL33" s="6">
        <v>275</v>
      </c>
      <c r="AM33" s="6">
        <v>233</v>
      </c>
      <c r="AN33" s="6">
        <v>189</v>
      </c>
      <c r="AO33" s="6">
        <v>162</v>
      </c>
      <c r="AP33" s="6">
        <v>216</v>
      </c>
      <c r="AQ33" s="6">
        <v>186</v>
      </c>
      <c r="AR33" s="6">
        <v>192</v>
      </c>
      <c r="AS33" s="6">
        <v>162</v>
      </c>
      <c r="AT33" s="6">
        <v>302</v>
      </c>
      <c r="AU33" s="6">
        <v>280</v>
      </c>
      <c r="AV33" s="6">
        <v>322</v>
      </c>
      <c r="AW33" s="6">
        <v>303</v>
      </c>
      <c r="AX33" s="6">
        <v>231</v>
      </c>
      <c r="AY33" s="6">
        <v>300</v>
      </c>
      <c r="AZ33" s="6">
        <v>178</v>
      </c>
      <c r="BA33" s="6">
        <v>216</v>
      </c>
      <c r="BB33" s="6">
        <v>180</v>
      </c>
      <c r="BC33" s="6">
        <v>264</v>
      </c>
      <c r="BD33" s="6">
        <v>253</v>
      </c>
      <c r="BE33" s="6">
        <v>286</v>
      </c>
      <c r="BF33" s="6">
        <v>187</v>
      </c>
      <c r="BG33" s="6">
        <v>288</v>
      </c>
      <c r="BH33" s="6">
        <v>297</v>
      </c>
      <c r="BI33" s="6">
        <v>243</v>
      </c>
      <c r="BJ33" s="6">
        <v>273</v>
      </c>
      <c r="BK33" s="5">
        <f>SUM(E33:BJ33)</f>
        <v>13223</v>
      </c>
    </row>
    <row r="34" spans="1:63" x14ac:dyDescent="0.4">
      <c r="A34" s="6">
        <v>2</v>
      </c>
      <c r="B34" s="93" t="s">
        <v>39</v>
      </c>
      <c r="C34" s="83"/>
      <c r="D34" s="74"/>
      <c r="E34" s="5">
        <v>75</v>
      </c>
      <c r="F34" s="5">
        <v>87</v>
      </c>
      <c r="G34" s="5">
        <v>96</v>
      </c>
      <c r="H34" s="5">
        <v>52</v>
      </c>
      <c r="I34" s="5">
        <v>160</v>
      </c>
      <c r="J34" s="5">
        <v>194</v>
      </c>
      <c r="K34" s="5">
        <v>181</v>
      </c>
      <c r="L34" s="5">
        <v>194</v>
      </c>
      <c r="M34" s="5">
        <v>182</v>
      </c>
      <c r="N34" s="5">
        <v>93</v>
      </c>
      <c r="O34" s="5">
        <v>206</v>
      </c>
      <c r="P34" s="5">
        <v>148</v>
      </c>
      <c r="Q34" s="5">
        <v>152</v>
      </c>
      <c r="R34" s="5">
        <v>91</v>
      </c>
      <c r="S34" s="5">
        <v>180</v>
      </c>
      <c r="T34" s="5">
        <v>119</v>
      </c>
      <c r="U34" s="5">
        <v>197</v>
      </c>
      <c r="V34" s="5">
        <v>221</v>
      </c>
      <c r="W34" s="5">
        <v>203</v>
      </c>
      <c r="X34" s="5">
        <v>247</v>
      </c>
      <c r="Y34" s="5">
        <v>165</v>
      </c>
      <c r="Z34" s="5">
        <v>158</v>
      </c>
      <c r="AA34" s="5">
        <v>203</v>
      </c>
      <c r="AB34" s="5">
        <v>128</v>
      </c>
      <c r="AC34" s="5">
        <v>222</v>
      </c>
      <c r="AD34" s="5">
        <v>132</v>
      </c>
      <c r="AE34" s="5">
        <v>145</v>
      </c>
      <c r="AF34" s="5">
        <v>118</v>
      </c>
      <c r="AG34" s="5">
        <v>178</v>
      </c>
      <c r="AH34" s="5">
        <v>225</v>
      </c>
      <c r="AI34" s="5">
        <v>183</v>
      </c>
      <c r="AJ34" s="5">
        <v>136</v>
      </c>
      <c r="AK34" s="5">
        <v>143</v>
      </c>
      <c r="AL34" s="5">
        <v>236</v>
      </c>
      <c r="AM34" s="5">
        <v>161</v>
      </c>
      <c r="AN34" s="5">
        <v>131</v>
      </c>
      <c r="AO34" s="5">
        <v>140</v>
      </c>
      <c r="AP34" s="5">
        <v>173</v>
      </c>
      <c r="AQ34" s="5">
        <v>150</v>
      </c>
      <c r="AR34" s="5">
        <v>158</v>
      </c>
      <c r="AS34" s="5">
        <v>127</v>
      </c>
      <c r="AT34" s="5">
        <v>215</v>
      </c>
      <c r="AU34" s="5">
        <v>202</v>
      </c>
      <c r="AV34" s="5">
        <v>208</v>
      </c>
      <c r="AW34" s="5">
        <v>194</v>
      </c>
      <c r="AX34" s="5">
        <v>163</v>
      </c>
      <c r="AY34" s="5">
        <v>225</v>
      </c>
      <c r="AZ34" s="5">
        <v>143</v>
      </c>
      <c r="BA34" s="5">
        <v>158</v>
      </c>
      <c r="BB34" s="5">
        <v>139</v>
      </c>
      <c r="BC34" s="5">
        <v>201</v>
      </c>
      <c r="BD34" s="5">
        <v>186</v>
      </c>
      <c r="BE34" s="5">
        <v>182</v>
      </c>
      <c r="BF34" s="5">
        <v>159</v>
      </c>
      <c r="BG34" s="5">
        <v>201</v>
      </c>
      <c r="BH34" s="5">
        <v>225</v>
      </c>
      <c r="BI34" s="5">
        <v>204</v>
      </c>
      <c r="BJ34" s="5">
        <v>193</v>
      </c>
      <c r="BK34" s="5">
        <f>SUM(E34:BJ34)</f>
        <v>9688</v>
      </c>
    </row>
    <row r="35" spans="1:63" x14ac:dyDescent="0.4">
      <c r="A35" s="6">
        <v>3</v>
      </c>
      <c r="B35" s="93" t="s">
        <v>40</v>
      </c>
      <c r="C35" s="83"/>
      <c r="D35" s="74"/>
      <c r="E35" s="6"/>
      <c r="F35" s="6"/>
      <c r="G35" s="6"/>
      <c r="H35" s="6"/>
      <c r="I35" s="6"/>
      <c r="J35" s="6">
        <v>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</v>
      </c>
      <c r="W35" s="6">
        <v>1</v>
      </c>
      <c r="X35" s="6"/>
      <c r="Y35" s="6"/>
      <c r="Z35" s="6"/>
      <c r="AA35" s="6"/>
      <c r="AB35" s="6"/>
      <c r="AC35" s="6"/>
      <c r="AD35" s="6">
        <v>3</v>
      </c>
      <c r="AE35" s="6"/>
      <c r="AF35" s="6"/>
      <c r="AG35" s="6">
        <v>2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1</v>
      </c>
      <c r="AV35" s="6">
        <v>29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1</v>
      </c>
      <c r="BJ35" s="6"/>
      <c r="BK35" s="5">
        <f>SUM(E35:BJ35)</f>
        <v>39</v>
      </c>
    </row>
    <row r="36" spans="1:63" x14ac:dyDescent="0.4">
      <c r="A36" s="6">
        <v>4</v>
      </c>
      <c r="B36" s="93" t="s">
        <v>41</v>
      </c>
      <c r="C36" s="83"/>
      <c r="D36" s="74"/>
      <c r="E36" s="5">
        <f t="shared" ref="E36:BJ36" si="42">E33-(E34+E35)</f>
        <v>29</v>
      </c>
      <c r="F36" s="5">
        <f t="shared" si="42"/>
        <v>24</v>
      </c>
      <c r="G36" s="5">
        <f t="shared" si="42"/>
        <v>22</v>
      </c>
      <c r="H36" s="5">
        <f t="shared" si="42"/>
        <v>38</v>
      </c>
      <c r="I36" s="5">
        <f t="shared" si="42"/>
        <v>66</v>
      </c>
      <c r="J36" s="5">
        <f t="shared" si="42"/>
        <v>85</v>
      </c>
      <c r="K36" s="5">
        <f t="shared" si="42"/>
        <v>112</v>
      </c>
      <c r="L36" s="5">
        <f t="shared" si="42"/>
        <v>86</v>
      </c>
      <c r="M36" s="5">
        <f t="shared" si="42"/>
        <v>90</v>
      </c>
      <c r="N36" s="5">
        <f t="shared" si="42"/>
        <v>2</v>
      </c>
      <c r="O36" s="5">
        <f t="shared" ref="O36:S36" si="43">O33-(O34+O35)</f>
        <v>72</v>
      </c>
      <c r="P36" s="5">
        <f t="shared" si="43"/>
        <v>81</v>
      </c>
      <c r="Q36" s="5">
        <f t="shared" si="43"/>
        <v>63</v>
      </c>
      <c r="R36" s="5">
        <f t="shared" si="43"/>
        <v>53</v>
      </c>
      <c r="S36" s="5">
        <f t="shared" si="43"/>
        <v>68</v>
      </c>
      <c r="T36" s="5">
        <f t="shared" si="42"/>
        <v>47</v>
      </c>
      <c r="U36" s="5">
        <f t="shared" si="42"/>
        <v>53</v>
      </c>
      <c r="V36" s="5">
        <f t="shared" si="42"/>
        <v>78</v>
      </c>
      <c r="W36" s="5">
        <f t="shared" si="42"/>
        <v>34</v>
      </c>
      <c r="X36" s="5">
        <f t="shared" si="42"/>
        <v>47</v>
      </c>
      <c r="Y36" s="5">
        <f t="shared" ref="Y36:AC36" si="44">Y33-(Y34+Y35)</f>
        <v>94</v>
      </c>
      <c r="Z36" s="5">
        <f t="shared" si="44"/>
        <v>56</v>
      </c>
      <c r="AA36" s="5">
        <f t="shared" si="44"/>
        <v>58</v>
      </c>
      <c r="AB36" s="5">
        <f t="shared" si="44"/>
        <v>55</v>
      </c>
      <c r="AC36" s="5">
        <f t="shared" si="44"/>
        <v>78</v>
      </c>
      <c r="AD36" s="5">
        <f t="shared" si="42"/>
        <v>75</v>
      </c>
      <c r="AE36" s="5">
        <f t="shared" si="42"/>
        <v>41</v>
      </c>
      <c r="AF36" s="5">
        <f t="shared" si="42"/>
        <v>25</v>
      </c>
      <c r="AG36" s="5">
        <f t="shared" si="42"/>
        <v>93</v>
      </c>
      <c r="AH36" s="5">
        <f t="shared" si="42"/>
        <v>78</v>
      </c>
      <c r="AI36" s="5">
        <f t="shared" ref="AI36:AM36" si="45">AI33-(AI34+AI35)</f>
        <v>60</v>
      </c>
      <c r="AJ36" s="5">
        <f t="shared" si="45"/>
        <v>61</v>
      </c>
      <c r="AK36" s="5">
        <f t="shared" si="45"/>
        <v>59</v>
      </c>
      <c r="AL36" s="5">
        <f t="shared" si="45"/>
        <v>39</v>
      </c>
      <c r="AM36" s="5">
        <f t="shared" si="45"/>
        <v>72</v>
      </c>
      <c r="AN36" s="5">
        <f t="shared" si="42"/>
        <v>58</v>
      </c>
      <c r="AO36" s="5">
        <f t="shared" si="42"/>
        <v>22</v>
      </c>
      <c r="AP36" s="5">
        <f t="shared" si="42"/>
        <v>43</v>
      </c>
      <c r="AQ36" s="5">
        <f t="shared" si="42"/>
        <v>36</v>
      </c>
      <c r="AR36" s="5">
        <f t="shared" si="42"/>
        <v>34</v>
      </c>
      <c r="AS36" s="5">
        <f t="shared" ref="AS36:AW36" si="46">AS33-(AS34+AS35)</f>
        <v>35</v>
      </c>
      <c r="AT36" s="5">
        <f t="shared" si="46"/>
        <v>87</v>
      </c>
      <c r="AU36" s="5">
        <f t="shared" si="46"/>
        <v>77</v>
      </c>
      <c r="AV36" s="5">
        <f t="shared" si="46"/>
        <v>85</v>
      </c>
      <c r="AW36" s="5">
        <f t="shared" si="46"/>
        <v>109</v>
      </c>
      <c r="AX36" s="5">
        <f t="shared" si="42"/>
        <v>68</v>
      </c>
      <c r="AY36" s="5">
        <f t="shared" si="42"/>
        <v>75</v>
      </c>
      <c r="AZ36" s="5">
        <f t="shared" si="42"/>
        <v>35</v>
      </c>
      <c r="BA36" s="5">
        <f t="shared" si="42"/>
        <v>58</v>
      </c>
      <c r="BB36" s="5">
        <f t="shared" si="42"/>
        <v>41</v>
      </c>
      <c r="BC36" s="5">
        <f t="shared" ref="BC36:BG36" si="47">BC33-(BC34+BC35)</f>
        <v>63</v>
      </c>
      <c r="BD36" s="5">
        <f t="shared" si="47"/>
        <v>67</v>
      </c>
      <c r="BE36" s="5">
        <f t="shared" si="47"/>
        <v>104</v>
      </c>
      <c r="BF36" s="5">
        <f t="shared" si="47"/>
        <v>28</v>
      </c>
      <c r="BG36" s="5">
        <f t="shared" si="47"/>
        <v>87</v>
      </c>
      <c r="BH36" s="5">
        <f t="shared" si="42"/>
        <v>72</v>
      </c>
      <c r="BI36" s="5">
        <f t="shared" si="42"/>
        <v>38</v>
      </c>
      <c r="BJ36" s="5">
        <f t="shared" si="42"/>
        <v>80</v>
      </c>
      <c r="BK36" s="5">
        <f>SUM(E36:BJ36)</f>
        <v>3496</v>
      </c>
    </row>
    <row r="37" spans="1:63" x14ac:dyDescent="0.4">
      <c r="A37" s="70"/>
      <c r="B37" s="83"/>
      <c r="C37" s="83"/>
      <c r="D37" s="83"/>
      <c r="E37" s="70"/>
      <c r="F37" s="91"/>
      <c r="G37" s="91"/>
      <c r="H37" s="91"/>
      <c r="I37" s="92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6"/>
      <c r="AF37" s="6"/>
      <c r="AG37" s="6"/>
      <c r="AH37" s="10"/>
      <c r="AI37" s="6"/>
      <c r="AJ37" s="6"/>
      <c r="AK37" s="6"/>
      <c r="AL37" s="6"/>
      <c r="AM37" s="10"/>
      <c r="AN37" s="6"/>
      <c r="AO37" s="6"/>
      <c r="AP37" s="6"/>
      <c r="AQ37" s="6"/>
      <c r="AR37" s="10"/>
      <c r="AS37" s="6"/>
      <c r="AT37" s="6"/>
      <c r="AU37" s="6"/>
      <c r="AV37" s="6"/>
      <c r="AW37" s="10"/>
      <c r="AX37" s="6"/>
      <c r="AY37" s="6"/>
      <c r="AZ37" s="6"/>
      <c r="BA37" s="6"/>
      <c r="BB37" s="10"/>
      <c r="BC37" s="6"/>
      <c r="BD37" s="6"/>
      <c r="BE37" s="6"/>
      <c r="BF37" s="6"/>
      <c r="BG37" s="10"/>
      <c r="BH37" s="6"/>
      <c r="BI37" s="6"/>
      <c r="BJ37" s="6"/>
      <c r="BK37" s="28"/>
    </row>
    <row r="38" spans="1:63" x14ac:dyDescent="0.4">
      <c r="A38" s="16" t="s">
        <v>42</v>
      </c>
      <c r="B38" s="75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5"/>
      <c r="AF38" s="5"/>
      <c r="AG38" s="5"/>
      <c r="AH38" s="15"/>
      <c r="AI38" s="5"/>
      <c r="AJ38" s="5"/>
      <c r="AK38" s="5"/>
      <c r="AL38" s="5"/>
      <c r="AM38" s="15"/>
      <c r="AN38" s="5"/>
      <c r="AO38" s="5"/>
      <c r="AP38" s="5"/>
      <c r="AQ38" s="5"/>
      <c r="AR38" s="15"/>
      <c r="AS38" s="5"/>
      <c r="AT38" s="5"/>
      <c r="AU38" s="5"/>
      <c r="AV38" s="5"/>
      <c r="AW38" s="15"/>
      <c r="AX38" s="5"/>
      <c r="AY38" s="5"/>
      <c r="AZ38" s="5"/>
      <c r="BA38" s="5"/>
      <c r="BB38" s="15"/>
      <c r="BC38" s="5"/>
      <c r="BD38" s="5"/>
      <c r="BE38" s="5"/>
      <c r="BF38" s="5"/>
      <c r="BG38" s="15"/>
      <c r="BH38" s="5"/>
      <c r="BI38" s="5"/>
      <c r="BJ38" s="5"/>
      <c r="BK38" s="28"/>
    </row>
    <row r="39" spans="1:63" x14ac:dyDescent="0.4">
      <c r="A39" s="11"/>
      <c r="B39" s="86" t="s">
        <v>44</v>
      </c>
      <c r="C39" s="79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>
        <v>1</v>
      </c>
      <c r="T39" s="6"/>
      <c r="U39" s="6"/>
      <c r="V39" s="6"/>
      <c r="W39" s="6"/>
      <c r="X39" s="6">
        <v>1</v>
      </c>
      <c r="Y39" s="6">
        <v>1</v>
      </c>
      <c r="Z39" s="6">
        <v>1</v>
      </c>
      <c r="AA39" s="6"/>
      <c r="AB39" s="6"/>
      <c r="AC39" s="6"/>
      <c r="AD39" s="6"/>
      <c r="AE39" s="6"/>
      <c r="AF39" s="6"/>
      <c r="AG39" s="6">
        <v>1</v>
      </c>
      <c r="AH39" s="6"/>
      <c r="AI39" s="6">
        <v>2</v>
      </c>
      <c r="AJ39" s="6"/>
      <c r="AK39" s="6"/>
      <c r="AL39" s="6"/>
      <c r="AM39" s="6"/>
      <c r="AN39" s="6"/>
      <c r="AO39" s="6"/>
      <c r="AP39" s="6"/>
      <c r="AQ39" s="6"/>
      <c r="AR39" s="6">
        <v>1</v>
      </c>
      <c r="AS39" s="6"/>
      <c r="AT39" s="6"/>
      <c r="AU39" s="6"/>
      <c r="AV39" s="6"/>
      <c r="AW39" s="6"/>
      <c r="AX39" s="6">
        <v>1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5">
        <f>SUM(E39:BJ39)</f>
        <v>9</v>
      </c>
    </row>
    <row r="40" spans="1:63" x14ac:dyDescent="0.4">
      <c r="A40" s="12"/>
      <c r="B40" s="88"/>
      <c r="C40" s="89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1</v>
      </c>
      <c r="P40" s="6"/>
      <c r="Q40" s="6"/>
      <c r="R40" s="6"/>
      <c r="S40" s="6">
        <v>2</v>
      </c>
      <c r="T40" s="6">
        <v>1</v>
      </c>
      <c r="U40" s="6"/>
      <c r="V40" s="6"/>
      <c r="W40" s="6"/>
      <c r="X40" s="6">
        <v>3</v>
      </c>
      <c r="Y40" s="6"/>
      <c r="Z40" s="6">
        <v>1</v>
      </c>
      <c r="AA40" s="6"/>
      <c r="AB40" s="6"/>
      <c r="AC40" s="6"/>
      <c r="AD40" s="6"/>
      <c r="AE40" s="6"/>
      <c r="AF40" s="6"/>
      <c r="AG40" s="6"/>
      <c r="AH40" s="6"/>
      <c r="AI40" s="6">
        <v>3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>
        <v>1</v>
      </c>
      <c r="AU40" s="6"/>
      <c r="AV40" s="6"/>
      <c r="AW40" s="6"/>
      <c r="AX40" s="6">
        <v>3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5">
        <f>SUM(E40:BJ40)</f>
        <v>15</v>
      </c>
    </row>
    <row r="41" spans="1:63" x14ac:dyDescent="0.4">
      <c r="A41" s="14"/>
      <c r="B41" s="85"/>
      <c r="C41" s="90"/>
      <c r="D41" s="5" t="s">
        <v>25</v>
      </c>
      <c r="E41" s="5">
        <f t="shared" ref="E41:BJ41" si="48">SUM(E39:E40)</f>
        <v>0</v>
      </c>
      <c r="F41" s="5">
        <f t="shared" si="48"/>
        <v>0</v>
      </c>
      <c r="G41" s="5">
        <f t="shared" si="48"/>
        <v>0</v>
      </c>
      <c r="H41" s="5">
        <f t="shared" si="48"/>
        <v>0</v>
      </c>
      <c r="I41" s="5">
        <f t="shared" si="48"/>
        <v>0</v>
      </c>
      <c r="J41" s="5">
        <f t="shared" si="48"/>
        <v>0</v>
      </c>
      <c r="K41" s="5">
        <f t="shared" si="48"/>
        <v>0</v>
      </c>
      <c r="L41" s="5">
        <f t="shared" si="48"/>
        <v>0</v>
      </c>
      <c r="M41" s="5">
        <f t="shared" si="48"/>
        <v>0</v>
      </c>
      <c r="N41" s="5">
        <f t="shared" si="48"/>
        <v>0</v>
      </c>
      <c r="O41" s="5">
        <f t="shared" ref="O41:S41" si="49">SUM(O39:O40)</f>
        <v>1</v>
      </c>
      <c r="P41" s="5">
        <f t="shared" si="49"/>
        <v>0</v>
      </c>
      <c r="Q41" s="5">
        <f t="shared" si="49"/>
        <v>0</v>
      </c>
      <c r="R41" s="5">
        <f t="shared" si="49"/>
        <v>0</v>
      </c>
      <c r="S41" s="5">
        <f t="shared" si="49"/>
        <v>3</v>
      </c>
      <c r="T41" s="5">
        <f t="shared" si="48"/>
        <v>1</v>
      </c>
      <c r="U41" s="5">
        <f t="shared" si="48"/>
        <v>0</v>
      </c>
      <c r="V41" s="5">
        <f t="shared" si="48"/>
        <v>0</v>
      </c>
      <c r="W41" s="5">
        <f t="shared" si="48"/>
        <v>0</v>
      </c>
      <c r="X41" s="5">
        <f t="shared" si="48"/>
        <v>4</v>
      </c>
      <c r="Y41" s="5">
        <f t="shared" ref="Y41:AC41" si="50">SUM(Y39:Y40)</f>
        <v>1</v>
      </c>
      <c r="Z41" s="5">
        <f t="shared" si="50"/>
        <v>2</v>
      </c>
      <c r="AA41" s="5">
        <f t="shared" si="50"/>
        <v>0</v>
      </c>
      <c r="AB41" s="5">
        <f t="shared" si="50"/>
        <v>0</v>
      </c>
      <c r="AC41" s="5">
        <f t="shared" si="50"/>
        <v>0</v>
      </c>
      <c r="AD41" s="5">
        <f t="shared" si="48"/>
        <v>0</v>
      </c>
      <c r="AE41" s="5">
        <f t="shared" si="48"/>
        <v>0</v>
      </c>
      <c r="AF41" s="5">
        <f t="shared" si="48"/>
        <v>0</v>
      </c>
      <c r="AG41" s="5">
        <f t="shared" si="48"/>
        <v>1</v>
      </c>
      <c r="AH41" s="5">
        <f t="shared" si="48"/>
        <v>0</v>
      </c>
      <c r="AI41" s="5">
        <f t="shared" ref="AI41:AM41" si="51">SUM(AI39:AI40)</f>
        <v>5</v>
      </c>
      <c r="AJ41" s="5">
        <f t="shared" si="51"/>
        <v>0</v>
      </c>
      <c r="AK41" s="5">
        <f t="shared" si="51"/>
        <v>0</v>
      </c>
      <c r="AL41" s="5">
        <f t="shared" si="51"/>
        <v>0</v>
      </c>
      <c r="AM41" s="5">
        <f t="shared" si="51"/>
        <v>0</v>
      </c>
      <c r="AN41" s="5">
        <f t="shared" si="48"/>
        <v>0</v>
      </c>
      <c r="AO41" s="5">
        <f t="shared" si="48"/>
        <v>0</v>
      </c>
      <c r="AP41" s="5">
        <f t="shared" si="48"/>
        <v>0</v>
      </c>
      <c r="AQ41" s="5">
        <f t="shared" si="48"/>
        <v>0</v>
      </c>
      <c r="AR41" s="5">
        <f t="shared" si="48"/>
        <v>1</v>
      </c>
      <c r="AS41" s="5">
        <f t="shared" ref="AS41:AW41" si="52">SUM(AS39:AS40)</f>
        <v>0</v>
      </c>
      <c r="AT41" s="5">
        <f t="shared" si="52"/>
        <v>1</v>
      </c>
      <c r="AU41" s="5">
        <f t="shared" si="52"/>
        <v>0</v>
      </c>
      <c r="AV41" s="5">
        <f t="shared" si="52"/>
        <v>0</v>
      </c>
      <c r="AW41" s="5">
        <f t="shared" si="52"/>
        <v>0</v>
      </c>
      <c r="AX41" s="5">
        <f t="shared" si="48"/>
        <v>4</v>
      </c>
      <c r="AY41" s="5">
        <f t="shared" si="48"/>
        <v>0</v>
      </c>
      <c r="AZ41" s="5">
        <f t="shared" si="48"/>
        <v>0</v>
      </c>
      <c r="BA41" s="5">
        <f t="shared" si="48"/>
        <v>0</v>
      </c>
      <c r="BB41" s="5">
        <f t="shared" si="48"/>
        <v>0</v>
      </c>
      <c r="BC41" s="5">
        <f t="shared" ref="BC41:BG41" si="53">SUM(BC39:BC40)</f>
        <v>0</v>
      </c>
      <c r="BD41" s="5">
        <f t="shared" si="53"/>
        <v>0</v>
      </c>
      <c r="BE41" s="5">
        <f t="shared" si="53"/>
        <v>0</v>
      </c>
      <c r="BF41" s="5">
        <f t="shared" si="53"/>
        <v>0</v>
      </c>
      <c r="BG41" s="5">
        <f t="shared" si="53"/>
        <v>0</v>
      </c>
      <c r="BH41" s="5">
        <f t="shared" si="48"/>
        <v>0</v>
      </c>
      <c r="BI41" s="5">
        <f t="shared" si="48"/>
        <v>0</v>
      </c>
      <c r="BJ41" s="5">
        <f t="shared" si="48"/>
        <v>0</v>
      </c>
      <c r="BK41" s="5">
        <f>SUM(E41:BJ41)</f>
        <v>24</v>
      </c>
    </row>
    <row r="42" spans="1:63" x14ac:dyDescent="0.4">
      <c r="A42" s="84"/>
      <c r="B42" s="85"/>
      <c r="C42" s="85"/>
      <c r="D42" s="90"/>
      <c r="E42" s="70"/>
      <c r="F42" s="83"/>
      <c r="G42" s="83"/>
      <c r="H42" s="83"/>
      <c r="I42" s="74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6"/>
      <c r="AF42" s="6"/>
      <c r="AG42" s="6"/>
      <c r="AH42" s="10"/>
      <c r="AI42" s="6"/>
      <c r="AJ42" s="6"/>
      <c r="AK42" s="6"/>
      <c r="AL42" s="6"/>
      <c r="AM42" s="10"/>
      <c r="AN42" s="6"/>
      <c r="AO42" s="6"/>
      <c r="AP42" s="6"/>
      <c r="AQ42" s="6"/>
      <c r="AR42" s="10"/>
      <c r="AS42" s="6"/>
      <c r="AT42" s="6"/>
      <c r="AU42" s="6"/>
      <c r="AV42" s="6"/>
      <c r="AW42" s="10"/>
      <c r="AX42" s="6"/>
      <c r="AY42" s="6"/>
      <c r="AZ42" s="6"/>
      <c r="BA42" s="6"/>
      <c r="BB42" s="10"/>
      <c r="BC42" s="6"/>
      <c r="BD42" s="6"/>
      <c r="BE42" s="6"/>
      <c r="BF42" s="6"/>
      <c r="BG42" s="10"/>
      <c r="BH42" s="6"/>
      <c r="BI42" s="6"/>
      <c r="BJ42" s="6"/>
      <c r="BK42" s="5"/>
    </row>
    <row r="43" spans="1:63" ht="13.15" customHeight="1" x14ac:dyDescent="0.4">
      <c r="A43" s="16" t="s">
        <v>45</v>
      </c>
      <c r="B43" s="75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  <c r="AF43" s="5"/>
      <c r="AG43" s="5"/>
      <c r="AH43" s="15"/>
      <c r="AI43" s="5"/>
      <c r="AJ43" s="5"/>
      <c r="AK43" s="5"/>
      <c r="AL43" s="5"/>
      <c r="AM43" s="15"/>
      <c r="AN43" s="5"/>
      <c r="AO43" s="5"/>
      <c r="AP43" s="5"/>
      <c r="AQ43" s="5"/>
      <c r="AR43" s="15"/>
      <c r="AS43" s="5"/>
      <c r="AT43" s="5"/>
      <c r="AU43" s="5"/>
      <c r="AV43" s="5"/>
      <c r="AW43" s="15"/>
      <c r="AX43" s="5"/>
      <c r="AY43" s="5"/>
      <c r="AZ43" s="5"/>
      <c r="BA43" s="5"/>
      <c r="BB43" s="15"/>
      <c r="BC43" s="5"/>
      <c r="BD43" s="5"/>
      <c r="BE43" s="5"/>
      <c r="BF43" s="5"/>
      <c r="BG43" s="15"/>
      <c r="BH43" s="5"/>
      <c r="BI43" s="5"/>
      <c r="BJ43" s="5"/>
      <c r="BK43" s="5"/>
    </row>
    <row r="44" spans="1:63" ht="13.15" customHeight="1" x14ac:dyDescent="0.4">
      <c r="A44" s="86" t="s">
        <v>47</v>
      </c>
      <c r="B44" s="87"/>
      <c r="C44" s="87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6"/>
      <c r="AF44" s="6"/>
      <c r="AG44" s="6"/>
      <c r="AH44" s="10"/>
      <c r="AI44" s="6"/>
      <c r="AJ44" s="6"/>
      <c r="AK44" s="6"/>
      <c r="AL44" s="6"/>
      <c r="AM44" s="10"/>
      <c r="AN44" s="6"/>
      <c r="AO44" s="6"/>
      <c r="AP44" s="6"/>
      <c r="AQ44" s="6"/>
      <c r="AR44" s="10"/>
      <c r="AS44" s="6"/>
      <c r="AT44" s="6"/>
      <c r="AU44" s="6"/>
      <c r="AV44" s="6"/>
      <c r="AW44" s="10"/>
      <c r="AX44" s="6"/>
      <c r="AY44" s="6"/>
      <c r="AZ44" s="6"/>
      <c r="BA44" s="6"/>
      <c r="BB44" s="10"/>
      <c r="BC44" s="6"/>
      <c r="BD44" s="6"/>
      <c r="BE44" s="6"/>
      <c r="BF44" s="6"/>
      <c r="BG44" s="10"/>
      <c r="BH44" s="6"/>
      <c r="BI44" s="6"/>
      <c r="BJ44" s="6"/>
      <c r="BK44" s="5"/>
    </row>
    <row r="45" spans="1:63" x14ac:dyDescent="0.4">
      <c r="A45" s="11" t="s">
        <v>48</v>
      </c>
      <c r="B45" s="17" t="s">
        <v>28</v>
      </c>
      <c r="C45" s="73" t="s">
        <v>49</v>
      </c>
      <c r="D45" s="74"/>
      <c r="E45" s="6">
        <v>3</v>
      </c>
      <c r="F45" s="6">
        <v>0</v>
      </c>
      <c r="G45" s="6">
        <v>2</v>
      </c>
      <c r="H45" s="6">
        <v>1</v>
      </c>
      <c r="I45" s="6">
        <v>10</v>
      </c>
      <c r="J45" s="6">
        <v>5</v>
      </c>
      <c r="K45" s="6">
        <v>11</v>
      </c>
      <c r="L45" s="6">
        <v>5</v>
      </c>
      <c r="M45" s="6">
        <v>19</v>
      </c>
      <c r="N45" s="6">
        <v>0</v>
      </c>
      <c r="O45" s="6">
        <v>4</v>
      </c>
      <c r="P45" s="6">
        <v>2</v>
      </c>
      <c r="Q45" s="6">
        <v>5</v>
      </c>
      <c r="R45" s="6">
        <v>3</v>
      </c>
      <c r="S45" s="6">
        <v>2</v>
      </c>
      <c r="T45" s="6">
        <v>1</v>
      </c>
      <c r="U45" s="6">
        <v>4</v>
      </c>
      <c r="V45" s="6">
        <v>3</v>
      </c>
      <c r="W45" s="6">
        <v>7</v>
      </c>
      <c r="X45" s="6">
        <v>5</v>
      </c>
      <c r="Y45" s="6">
        <v>5</v>
      </c>
      <c r="Z45" s="6">
        <v>4</v>
      </c>
      <c r="AA45" s="6">
        <v>3</v>
      </c>
      <c r="AB45" s="6">
        <v>3</v>
      </c>
      <c r="AC45" s="6">
        <v>7</v>
      </c>
      <c r="AD45" s="6">
        <v>7</v>
      </c>
      <c r="AE45" s="6">
        <v>3</v>
      </c>
      <c r="AF45" s="6">
        <v>0</v>
      </c>
      <c r="AG45" s="6">
        <v>3</v>
      </c>
      <c r="AH45" s="6">
        <v>8</v>
      </c>
      <c r="AI45" s="6">
        <v>9</v>
      </c>
      <c r="AJ45" s="6">
        <v>6</v>
      </c>
      <c r="AK45" s="6">
        <v>4</v>
      </c>
      <c r="AL45" s="6">
        <v>2</v>
      </c>
      <c r="AM45" s="6">
        <v>8</v>
      </c>
      <c r="AN45" s="6">
        <v>6</v>
      </c>
      <c r="AO45" s="6">
        <v>1</v>
      </c>
      <c r="AP45" s="6">
        <v>0</v>
      </c>
      <c r="AQ45" s="6">
        <v>6</v>
      </c>
      <c r="AR45" s="6">
        <v>1</v>
      </c>
      <c r="AS45" s="6">
        <v>2</v>
      </c>
      <c r="AT45" s="6">
        <v>8</v>
      </c>
      <c r="AU45" s="6">
        <v>5</v>
      </c>
      <c r="AV45" s="6">
        <v>11</v>
      </c>
      <c r="AW45" s="6">
        <v>4</v>
      </c>
      <c r="AX45" s="6">
        <v>3</v>
      </c>
      <c r="AY45" s="6">
        <v>7</v>
      </c>
      <c r="AZ45" s="6">
        <v>0</v>
      </c>
      <c r="BA45" s="6">
        <v>0</v>
      </c>
      <c r="BB45" s="6">
        <v>6</v>
      </c>
      <c r="BC45" s="6">
        <v>0</v>
      </c>
      <c r="BD45" s="6">
        <v>4</v>
      </c>
      <c r="BE45" s="6">
        <v>11</v>
      </c>
      <c r="BF45" s="6">
        <v>3</v>
      </c>
      <c r="BG45" s="6">
        <v>7</v>
      </c>
      <c r="BH45" s="6">
        <v>22</v>
      </c>
      <c r="BI45" s="6">
        <v>5</v>
      </c>
      <c r="BJ45" s="6">
        <v>2</v>
      </c>
      <c r="BK45" s="5">
        <f t="shared" ref="BK45:BK55" si="54">SUM(E45:BJ45)</f>
        <v>278</v>
      </c>
    </row>
    <row r="46" spans="1:63" x14ac:dyDescent="0.4">
      <c r="A46" s="11" t="s">
        <v>50</v>
      </c>
      <c r="B46" s="51"/>
      <c r="C46" s="24" t="s">
        <v>122</v>
      </c>
      <c r="D46" s="24"/>
      <c r="E46" s="6">
        <v>2</v>
      </c>
      <c r="F46" s="6">
        <v>3</v>
      </c>
      <c r="G46" s="6">
        <v>2</v>
      </c>
      <c r="H46" s="6">
        <v>3</v>
      </c>
      <c r="I46" s="6">
        <v>7</v>
      </c>
      <c r="J46" s="6">
        <v>9</v>
      </c>
      <c r="K46" s="6">
        <v>9</v>
      </c>
      <c r="L46" s="6">
        <v>20</v>
      </c>
      <c r="M46" s="6">
        <v>19</v>
      </c>
      <c r="N46" s="6">
        <v>0</v>
      </c>
      <c r="O46" s="6">
        <v>8</v>
      </c>
      <c r="P46" s="6">
        <v>5</v>
      </c>
      <c r="Q46" s="6">
        <v>8</v>
      </c>
      <c r="R46" s="6">
        <v>7</v>
      </c>
      <c r="S46" s="6">
        <v>2</v>
      </c>
      <c r="T46" s="6">
        <v>2</v>
      </c>
      <c r="U46" s="6">
        <v>6</v>
      </c>
      <c r="V46" s="6">
        <v>9</v>
      </c>
      <c r="W46" s="6">
        <v>4</v>
      </c>
      <c r="X46" s="6">
        <v>7</v>
      </c>
      <c r="Y46" s="6">
        <v>5</v>
      </c>
      <c r="Z46" s="6">
        <v>3</v>
      </c>
      <c r="AA46" s="6">
        <v>8</v>
      </c>
      <c r="AB46" s="6">
        <v>8</v>
      </c>
      <c r="AC46" s="6">
        <v>13</v>
      </c>
      <c r="AD46" s="6">
        <v>6</v>
      </c>
      <c r="AE46" s="6">
        <v>8</v>
      </c>
      <c r="AF46" s="6">
        <v>1</v>
      </c>
      <c r="AG46" s="6">
        <v>46</v>
      </c>
      <c r="AH46" s="6">
        <v>7</v>
      </c>
      <c r="AI46" s="6">
        <v>11</v>
      </c>
      <c r="AJ46" s="6">
        <v>5</v>
      </c>
      <c r="AK46" s="6">
        <v>1</v>
      </c>
      <c r="AL46" s="6">
        <v>9</v>
      </c>
      <c r="AM46" s="6">
        <v>8</v>
      </c>
      <c r="AN46" s="6">
        <v>4</v>
      </c>
      <c r="AO46" s="6">
        <v>0</v>
      </c>
      <c r="AP46" s="6">
        <v>5</v>
      </c>
      <c r="AQ46" s="6">
        <v>3</v>
      </c>
      <c r="AR46" s="6">
        <v>3</v>
      </c>
      <c r="AS46" s="6">
        <v>8</v>
      </c>
      <c r="AT46" s="6">
        <v>15</v>
      </c>
      <c r="AU46" s="6">
        <v>19</v>
      </c>
      <c r="AV46" s="6">
        <v>6</v>
      </c>
      <c r="AW46" s="6">
        <v>9</v>
      </c>
      <c r="AX46" s="6">
        <v>4</v>
      </c>
      <c r="AY46" s="6">
        <v>13</v>
      </c>
      <c r="AZ46" s="6">
        <v>7</v>
      </c>
      <c r="BA46" s="6">
        <v>0</v>
      </c>
      <c r="BB46" s="6">
        <v>3</v>
      </c>
      <c r="BC46" s="6">
        <v>3</v>
      </c>
      <c r="BD46" s="6">
        <v>3</v>
      </c>
      <c r="BE46" s="6">
        <v>4</v>
      </c>
      <c r="BF46" s="6">
        <v>7</v>
      </c>
      <c r="BG46" s="6">
        <v>8</v>
      </c>
      <c r="BH46" s="6">
        <v>32</v>
      </c>
      <c r="BI46" s="6">
        <v>7</v>
      </c>
      <c r="BJ46" s="6">
        <v>13</v>
      </c>
      <c r="BK46" s="5">
        <f t="shared" si="54"/>
        <v>447</v>
      </c>
    </row>
    <row r="47" spans="1:63" x14ac:dyDescent="0.4">
      <c r="A47" s="7"/>
      <c r="B47" s="52"/>
      <c r="C47" s="24" t="s">
        <v>123</v>
      </c>
      <c r="D47" s="24"/>
      <c r="E47" s="6">
        <v>6</v>
      </c>
      <c r="F47" s="6">
        <v>4</v>
      </c>
      <c r="G47" s="6">
        <v>5</v>
      </c>
      <c r="H47" s="6">
        <v>4</v>
      </c>
      <c r="I47" s="6">
        <v>31</v>
      </c>
      <c r="J47" s="6">
        <v>51</v>
      </c>
      <c r="K47" s="6">
        <v>14</v>
      </c>
      <c r="L47" s="6">
        <v>12</v>
      </c>
      <c r="M47" s="6">
        <v>11</v>
      </c>
      <c r="N47" s="6">
        <v>0</v>
      </c>
      <c r="O47" s="6">
        <v>75</v>
      </c>
      <c r="P47" s="6">
        <v>2</v>
      </c>
      <c r="Q47" s="6">
        <v>3</v>
      </c>
      <c r="R47" s="6">
        <v>1</v>
      </c>
      <c r="S47" s="6">
        <v>1</v>
      </c>
      <c r="T47" s="6">
        <v>0</v>
      </c>
      <c r="U47" s="6">
        <v>2</v>
      </c>
      <c r="V47" s="6">
        <v>62</v>
      </c>
      <c r="W47" s="6">
        <v>1</v>
      </c>
      <c r="X47" s="6">
        <v>56</v>
      </c>
      <c r="Y47" s="6">
        <v>3</v>
      </c>
      <c r="Z47" s="6">
        <v>0</v>
      </c>
      <c r="AA47" s="6">
        <v>4</v>
      </c>
      <c r="AB47" s="6">
        <v>1</v>
      </c>
      <c r="AC47" s="6">
        <v>1</v>
      </c>
      <c r="AD47" s="6">
        <v>2</v>
      </c>
      <c r="AE47" s="6">
        <v>0</v>
      </c>
      <c r="AF47" s="6">
        <v>0</v>
      </c>
      <c r="AG47" s="6">
        <v>2</v>
      </c>
      <c r="AH47" s="6">
        <v>2</v>
      </c>
      <c r="AI47" s="6">
        <v>2</v>
      </c>
      <c r="AJ47" s="6">
        <v>0</v>
      </c>
      <c r="AK47" s="6">
        <v>0</v>
      </c>
      <c r="AL47" s="6">
        <v>0</v>
      </c>
      <c r="AM47" s="6">
        <v>3</v>
      </c>
      <c r="AN47" s="6">
        <v>0</v>
      </c>
      <c r="AO47" s="6">
        <v>4</v>
      </c>
      <c r="AP47" s="6">
        <v>1</v>
      </c>
      <c r="AQ47" s="6">
        <v>0</v>
      </c>
      <c r="AR47" s="6">
        <v>2</v>
      </c>
      <c r="AS47" s="6">
        <v>2</v>
      </c>
      <c r="AT47" s="6">
        <v>3</v>
      </c>
      <c r="AU47" s="6">
        <v>3</v>
      </c>
      <c r="AV47" s="6">
        <v>0</v>
      </c>
      <c r="AW47" s="6">
        <v>7</v>
      </c>
      <c r="AX47" s="6">
        <v>2</v>
      </c>
      <c r="AY47" s="6">
        <v>1</v>
      </c>
      <c r="AZ47" s="6">
        <v>6</v>
      </c>
      <c r="BA47" s="6">
        <v>1</v>
      </c>
      <c r="BB47" s="6">
        <v>1</v>
      </c>
      <c r="BC47" s="6">
        <v>1</v>
      </c>
      <c r="BD47" s="6">
        <v>0</v>
      </c>
      <c r="BE47" s="6">
        <v>4</v>
      </c>
      <c r="BF47" s="6">
        <v>3</v>
      </c>
      <c r="BG47" s="6">
        <v>1</v>
      </c>
      <c r="BH47" s="6">
        <v>8</v>
      </c>
      <c r="BI47" s="6">
        <v>3</v>
      </c>
      <c r="BJ47" s="6">
        <v>2</v>
      </c>
      <c r="BK47" s="5">
        <f t="shared" si="54"/>
        <v>416</v>
      </c>
    </row>
    <row r="48" spans="1:63" x14ac:dyDescent="0.4">
      <c r="A48" s="7"/>
      <c r="B48" s="52"/>
      <c r="C48" s="24" t="s">
        <v>124</v>
      </c>
      <c r="D48" s="24"/>
      <c r="E48" s="6">
        <v>0</v>
      </c>
      <c r="F48" s="6">
        <v>0</v>
      </c>
      <c r="G48" s="6">
        <v>0</v>
      </c>
      <c r="H48" s="6">
        <v>1</v>
      </c>
      <c r="I48" s="6">
        <v>0</v>
      </c>
      <c r="J48" s="6">
        <v>1</v>
      </c>
      <c r="K48" s="6">
        <v>1</v>
      </c>
      <c r="L48" s="6">
        <v>1</v>
      </c>
      <c r="M48" s="6">
        <v>3</v>
      </c>
      <c r="N48" s="6">
        <v>0</v>
      </c>
      <c r="O48" s="6">
        <v>1</v>
      </c>
      <c r="P48" s="6">
        <v>0</v>
      </c>
      <c r="Q48" s="6">
        <v>0</v>
      </c>
      <c r="R48" s="6">
        <v>2</v>
      </c>
      <c r="S48" s="6">
        <v>0</v>
      </c>
      <c r="T48" s="6">
        <v>0</v>
      </c>
      <c r="U48" s="6">
        <v>1</v>
      </c>
      <c r="V48" s="6">
        <v>1</v>
      </c>
      <c r="W48" s="6">
        <v>4</v>
      </c>
      <c r="X48" s="6">
        <v>1</v>
      </c>
      <c r="Y48" s="6">
        <v>0</v>
      </c>
      <c r="Z48" s="6">
        <v>1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3</v>
      </c>
      <c r="AH48" s="6">
        <v>1</v>
      </c>
      <c r="AI48" s="6">
        <v>3</v>
      </c>
      <c r="AJ48" s="6">
        <v>0</v>
      </c>
      <c r="AK48" s="6">
        <v>0</v>
      </c>
      <c r="AL48" s="6">
        <v>2</v>
      </c>
      <c r="AM48" s="6">
        <v>0</v>
      </c>
      <c r="AN48" s="6">
        <v>1</v>
      </c>
      <c r="AO48" s="6">
        <v>0</v>
      </c>
      <c r="AP48" s="6">
        <v>2</v>
      </c>
      <c r="AQ48" s="6">
        <v>5</v>
      </c>
      <c r="AR48" s="6">
        <v>1</v>
      </c>
      <c r="AS48" s="6">
        <v>0</v>
      </c>
      <c r="AT48" s="6">
        <v>0</v>
      </c>
      <c r="AU48" s="6">
        <v>2</v>
      </c>
      <c r="AV48" s="6">
        <v>3</v>
      </c>
      <c r="AW48" s="6">
        <v>1</v>
      </c>
      <c r="AX48" s="6">
        <v>0</v>
      </c>
      <c r="AY48" s="6">
        <v>2</v>
      </c>
      <c r="AZ48" s="6">
        <v>0</v>
      </c>
      <c r="BA48" s="6">
        <v>0</v>
      </c>
      <c r="BB48" s="6">
        <v>0</v>
      </c>
      <c r="BC48" s="6">
        <v>2</v>
      </c>
      <c r="BD48" s="6">
        <v>0</v>
      </c>
      <c r="BE48" s="6">
        <v>2</v>
      </c>
      <c r="BF48" s="6">
        <v>0</v>
      </c>
      <c r="BG48" s="6">
        <v>0</v>
      </c>
      <c r="BH48" s="6">
        <v>2</v>
      </c>
      <c r="BI48" s="6">
        <v>0</v>
      </c>
      <c r="BJ48" s="6">
        <v>0</v>
      </c>
      <c r="BK48" s="5">
        <f t="shared" si="54"/>
        <v>50</v>
      </c>
    </row>
    <row r="49" spans="1:63" x14ac:dyDescent="0.4">
      <c r="A49" s="7"/>
      <c r="B49" s="52"/>
      <c r="C49" s="24" t="s">
        <v>125</v>
      </c>
      <c r="D49" s="24"/>
      <c r="E49" s="6">
        <v>0</v>
      </c>
      <c r="F49" s="6">
        <v>2</v>
      </c>
      <c r="G49" s="6">
        <v>0</v>
      </c>
      <c r="H49" s="6">
        <v>0</v>
      </c>
      <c r="I49" s="6">
        <v>1</v>
      </c>
      <c r="J49" s="6">
        <v>1</v>
      </c>
      <c r="K49" s="6">
        <v>3</v>
      </c>
      <c r="L49" s="6">
        <v>1</v>
      </c>
      <c r="M49" s="6">
        <v>5</v>
      </c>
      <c r="N49" s="6">
        <v>0</v>
      </c>
      <c r="O49" s="6">
        <v>0</v>
      </c>
      <c r="P49" s="6">
        <v>2</v>
      </c>
      <c r="Q49" s="6">
        <v>1</v>
      </c>
      <c r="R49" s="6">
        <v>0</v>
      </c>
      <c r="S49" s="6">
        <v>0</v>
      </c>
      <c r="T49" s="6">
        <v>0</v>
      </c>
      <c r="U49" s="6">
        <v>1</v>
      </c>
      <c r="V49" s="6">
        <v>1</v>
      </c>
      <c r="W49" s="6">
        <v>2</v>
      </c>
      <c r="X49" s="6">
        <v>1</v>
      </c>
      <c r="Y49" s="6">
        <v>1</v>
      </c>
      <c r="Z49" s="6">
        <v>1</v>
      </c>
      <c r="AA49" s="6">
        <v>1</v>
      </c>
      <c r="AB49" s="6">
        <v>3</v>
      </c>
      <c r="AC49" s="6">
        <v>1</v>
      </c>
      <c r="AD49" s="6">
        <v>0</v>
      </c>
      <c r="AE49" s="6">
        <v>1</v>
      </c>
      <c r="AF49" s="6">
        <v>1</v>
      </c>
      <c r="AG49" s="6">
        <v>1</v>
      </c>
      <c r="AH49" s="6">
        <v>4</v>
      </c>
      <c r="AI49" s="6">
        <v>2</v>
      </c>
      <c r="AJ49" s="6">
        <v>1</v>
      </c>
      <c r="AK49" s="6">
        <v>1</v>
      </c>
      <c r="AL49" s="6">
        <v>1</v>
      </c>
      <c r="AM49" s="6">
        <v>10</v>
      </c>
      <c r="AN49" s="6">
        <v>1</v>
      </c>
      <c r="AO49" s="6">
        <v>0</v>
      </c>
      <c r="AP49" s="6">
        <v>0</v>
      </c>
      <c r="AQ49" s="6">
        <v>1</v>
      </c>
      <c r="AR49" s="6">
        <v>0</v>
      </c>
      <c r="AS49" s="6">
        <v>0</v>
      </c>
      <c r="AT49" s="6">
        <v>1</v>
      </c>
      <c r="AU49" s="6">
        <v>0</v>
      </c>
      <c r="AV49" s="6">
        <v>1</v>
      </c>
      <c r="AW49" s="6">
        <v>0</v>
      </c>
      <c r="AX49" s="6">
        <v>0</v>
      </c>
      <c r="AY49" s="6">
        <v>0</v>
      </c>
      <c r="AZ49" s="6">
        <v>1</v>
      </c>
      <c r="BA49" s="6">
        <v>0</v>
      </c>
      <c r="BB49" s="6">
        <v>2</v>
      </c>
      <c r="BC49" s="6">
        <v>1</v>
      </c>
      <c r="BD49" s="6">
        <v>0</v>
      </c>
      <c r="BE49" s="6">
        <v>0</v>
      </c>
      <c r="BF49" s="6">
        <v>2</v>
      </c>
      <c r="BG49" s="6">
        <v>0</v>
      </c>
      <c r="BH49" s="6">
        <v>4</v>
      </c>
      <c r="BI49" s="6">
        <v>8</v>
      </c>
      <c r="BJ49" s="6">
        <v>3</v>
      </c>
      <c r="BK49" s="5">
        <f t="shared" si="54"/>
        <v>75</v>
      </c>
    </row>
    <row r="50" spans="1:63" x14ac:dyDescent="0.4">
      <c r="A50" s="7"/>
      <c r="B50" s="52"/>
      <c r="C50" s="24" t="s">
        <v>126</v>
      </c>
      <c r="D50" s="24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2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2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2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1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1</v>
      </c>
      <c r="AW50" s="6">
        <v>0</v>
      </c>
      <c r="AX50" s="6">
        <v>12</v>
      </c>
      <c r="AY50" s="6">
        <v>2</v>
      </c>
      <c r="AZ50" s="6">
        <v>0</v>
      </c>
      <c r="BA50" s="6">
        <v>0</v>
      </c>
      <c r="BB50" s="6">
        <v>0</v>
      </c>
      <c r="BC50" s="6">
        <v>1</v>
      </c>
      <c r="BD50" s="6">
        <v>0</v>
      </c>
      <c r="BE50" s="6">
        <v>0</v>
      </c>
      <c r="BF50" s="6">
        <v>0</v>
      </c>
      <c r="BG50" s="6">
        <v>0</v>
      </c>
      <c r="BH50" s="6">
        <v>3</v>
      </c>
      <c r="BI50" s="6">
        <v>0</v>
      </c>
      <c r="BJ50" s="6">
        <v>0</v>
      </c>
      <c r="BK50" s="5">
        <f t="shared" si="54"/>
        <v>26</v>
      </c>
    </row>
    <row r="51" spans="1:63" x14ac:dyDescent="0.4">
      <c r="A51" s="7"/>
      <c r="B51" s="52"/>
      <c r="C51" s="24" t="s">
        <v>127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2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0</v>
      </c>
      <c r="W51" s="6">
        <v>0</v>
      </c>
      <c r="X51" s="6">
        <v>2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1</v>
      </c>
      <c r="AG51" s="6">
        <v>1</v>
      </c>
      <c r="AH51" s="6">
        <v>1</v>
      </c>
      <c r="AI51" s="6">
        <v>1</v>
      </c>
      <c r="AJ51" s="6">
        <v>0</v>
      </c>
      <c r="AK51" s="6">
        <v>0</v>
      </c>
      <c r="AL51" s="6">
        <v>0</v>
      </c>
      <c r="AM51" s="6">
        <v>0</v>
      </c>
      <c r="AN51" s="6">
        <v>1</v>
      </c>
      <c r="AO51" s="6">
        <v>0</v>
      </c>
      <c r="AP51" s="6">
        <v>1</v>
      </c>
      <c r="AQ51" s="6">
        <v>0</v>
      </c>
      <c r="AR51" s="6">
        <v>0</v>
      </c>
      <c r="AS51" s="6">
        <v>0</v>
      </c>
      <c r="AT51" s="6">
        <v>1</v>
      </c>
      <c r="AU51" s="6">
        <v>0</v>
      </c>
      <c r="AV51" s="6">
        <v>0</v>
      </c>
      <c r="AW51" s="6">
        <v>1</v>
      </c>
      <c r="AX51" s="6">
        <v>1</v>
      </c>
      <c r="AY51" s="6">
        <v>0</v>
      </c>
      <c r="AZ51" s="6">
        <v>0</v>
      </c>
      <c r="BA51" s="6">
        <v>1</v>
      </c>
      <c r="BB51" s="6">
        <v>1</v>
      </c>
      <c r="BC51" s="6">
        <v>0</v>
      </c>
      <c r="BD51" s="6">
        <v>1</v>
      </c>
      <c r="BE51" s="6">
        <v>0</v>
      </c>
      <c r="BF51" s="6">
        <v>0</v>
      </c>
      <c r="BG51" s="6">
        <v>0</v>
      </c>
      <c r="BH51" s="6">
        <v>0</v>
      </c>
      <c r="BI51" s="6">
        <v>1</v>
      </c>
      <c r="BJ51" s="6">
        <v>0</v>
      </c>
      <c r="BK51" s="5">
        <f t="shared" si="54"/>
        <v>20</v>
      </c>
    </row>
    <row r="52" spans="1:63" ht="13.15" customHeight="1" x14ac:dyDescent="0.4">
      <c r="A52" s="7"/>
      <c r="B52" s="52"/>
      <c r="C52" s="24" t="s">
        <v>128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1</v>
      </c>
      <c r="J52" s="6">
        <v>0</v>
      </c>
      <c r="K52" s="6">
        <v>2</v>
      </c>
      <c r="L52" s="6">
        <v>0</v>
      </c>
      <c r="M52" s="6">
        <v>2</v>
      </c>
      <c r="N52" s="6">
        <v>0</v>
      </c>
      <c r="O52" s="6">
        <v>0</v>
      </c>
      <c r="P52" s="6">
        <v>0</v>
      </c>
      <c r="Q52" s="6">
        <v>0</v>
      </c>
      <c r="R52" s="6">
        <v>2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1</v>
      </c>
      <c r="Z52" s="6">
        <v>0</v>
      </c>
      <c r="AA52" s="6">
        <v>0</v>
      </c>
      <c r="AB52" s="6">
        <v>0</v>
      </c>
      <c r="AC52" s="6">
        <v>1</v>
      </c>
      <c r="AD52" s="6">
        <v>0</v>
      </c>
      <c r="AE52" s="6">
        <v>1</v>
      </c>
      <c r="AF52" s="6">
        <v>0</v>
      </c>
      <c r="AG52" s="6">
        <v>1</v>
      </c>
      <c r="AH52" s="6">
        <v>1</v>
      </c>
      <c r="AI52" s="6">
        <v>0</v>
      </c>
      <c r="AJ52" s="6">
        <v>1</v>
      </c>
      <c r="AK52" s="6">
        <v>0</v>
      </c>
      <c r="AL52" s="6">
        <v>1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1</v>
      </c>
      <c r="AV52" s="6">
        <v>0</v>
      </c>
      <c r="AW52" s="6">
        <v>1</v>
      </c>
      <c r="AX52" s="6">
        <v>1</v>
      </c>
      <c r="AY52" s="6">
        <v>3</v>
      </c>
      <c r="AZ52" s="6">
        <v>0</v>
      </c>
      <c r="BA52" s="6">
        <v>0</v>
      </c>
      <c r="BB52" s="6">
        <v>1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5">
        <f t="shared" si="54"/>
        <v>21</v>
      </c>
    </row>
    <row r="53" spans="1:63" ht="13.15" customHeight="1" x14ac:dyDescent="0.4">
      <c r="A53" s="7"/>
      <c r="B53" s="52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0</v>
      </c>
      <c r="AA53" s="6">
        <v>0</v>
      </c>
      <c r="AB53" s="6">
        <v>1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2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1</v>
      </c>
      <c r="BF53" s="6">
        <v>0</v>
      </c>
      <c r="BG53" s="6">
        <v>0</v>
      </c>
      <c r="BH53" s="6">
        <v>0</v>
      </c>
      <c r="BI53" s="6">
        <v>0</v>
      </c>
      <c r="BJ53" s="6">
        <v>2</v>
      </c>
      <c r="BK53" s="5">
        <f t="shared" si="54"/>
        <v>10</v>
      </c>
    </row>
    <row r="54" spans="1:63" ht="13.15" customHeight="1" x14ac:dyDescent="0.4">
      <c r="A54" s="7"/>
      <c r="B54" s="52"/>
      <c r="C54" s="24" t="s">
        <v>130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1</v>
      </c>
      <c r="V54" s="6">
        <v>1</v>
      </c>
      <c r="W54" s="6">
        <v>0</v>
      </c>
      <c r="X54" s="6">
        <v>0</v>
      </c>
      <c r="Y54" s="6">
        <v>0</v>
      </c>
      <c r="Z54" s="6">
        <v>1</v>
      </c>
      <c r="AA54" s="6">
        <v>0</v>
      </c>
      <c r="AB54" s="6">
        <v>0</v>
      </c>
      <c r="AC54" s="6">
        <v>1</v>
      </c>
      <c r="AD54" s="6">
        <v>0</v>
      </c>
      <c r="AE54" s="6">
        <v>0</v>
      </c>
      <c r="AF54" s="6">
        <v>0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1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1</v>
      </c>
      <c r="BB54" s="6">
        <v>0</v>
      </c>
      <c r="BC54" s="6">
        <v>0</v>
      </c>
      <c r="BD54" s="6">
        <v>1</v>
      </c>
      <c r="BE54" s="6">
        <v>0</v>
      </c>
      <c r="BF54" s="6">
        <v>0</v>
      </c>
      <c r="BG54" s="6">
        <v>1</v>
      </c>
      <c r="BH54" s="6">
        <v>0</v>
      </c>
      <c r="BI54" s="6">
        <v>0</v>
      </c>
      <c r="BJ54" s="6">
        <v>0</v>
      </c>
      <c r="BK54" s="5">
        <f t="shared" si="54"/>
        <v>9</v>
      </c>
    </row>
    <row r="55" spans="1:63" x14ac:dyDescent="0.4">
      <c r="A55" s="6" t="s">
        <v>26</v>
      </c>
      <c r="B55" s="67" t="s">
        <v>51</v>
      </c>
      <c r="C55" s="83"/>
      <c r="D55" s="74"/>
      <c r="E55" s="5">
        <f>SUM(E45:E54)</f>
        <v>11</v>
      </c>
      <c r="F55" s="5">
        <f t="shared" ref="F55:BK55" si="55">SUM(F45:F54)</f>
        <v>9</v>
      </c>
      <c r="G55" s="5">
        <f t="shared" si="55"/>
        <v>9</v>
      </c>
      <c r="H55" s="5">
        <f t="shared" si="55"/>
        <v>9</v>
      </c>
      <c r="I55" s="5">
        <f t="shared" si="55"/>
        <v>50</v>
      </c>
      <c r="J55" s="5">
        <f t="shared" si="55"/>
        <v>67</v>
      </c>
      <c r="K55" s="5">
        <f t="shared" si="55"/>
        <v>43</v>
      </c>
      <c r="L55" s="5">
        <f t="shared" si="55"/>
        <v>39</v>
      </c>
      <c r="M55" s="5">
        <f t="shared" si="55"/>
        <v>61</v>
      </c>
      <c r="N55" s="5">
        <f t="shared" si="55"/>
        <v>0</v>
      </c>
      <c r="O55" s="5">
        <f t="shared" si="55"/>
        <v>88</v>
      </c>
      <c r="P55" s="5">
        <f t="shared" si="55"/>
        <v>11</v>
      </c>
      <c r="Q55" s="5">
        <f t="shared" si="55"/>
        <v>18</v>
      </c>
      <c r="R55" s="5">
        <f t="shared" si="55"/>
        <v>15</v>
      </c>
      <c r="S55" s="5">
        <f t="shared" si="55"/>
        <v>6</v>
      </c>
      <c r="T55" s="5">
        <f t="shared" si="55"/>
        <v>3</v>
      </c>
      <c r="U55" s="5">
        <f t="shared" si="55"/>
        <v>16</v>
      </c>
      <c r="V55" s="5">
        <f t="shared" si="55"/>
        <v>77</v>
      </c>
      <c r="W55" s="5">
        <f t="shared" si="55"/>
        <v>18</v>
      </c>
      <c r="X55" s="5">
        <f t="shared" si="55"/>
        <v>75</v>
      </c>
      <c r="Y55" s="5">
        <f t="shared" si="55"/>
        <v>16</v>
      </c>
      <c r="Z55" s="5">
        <f t="shared" si="55"/>
        <v>10</v>
      </c>
      <c r="AA55" s="5">
        <f t="shared" si="55"/>
        <v>16</v>
      </c>
      <c r="AB55" s="5">
        <f t="shared" si="55"/>
        <v>16</v>
      </c>
      <c r="AC55" s="5">
        <f t="shared" si="55"/>
        <v>24</v>
      </c>
      <c r="AD55" s="5">
        <f t="shared" si="55"/>
        <v>15</v>
      </c>
      <c r="AE55" s="5">
        <f t="shared" si="55"/>
        <v>13</v>
      </c>
      <c r="AF55" s="5">
        <f t="shared" si="55"/>
        <v>3</v>
      </c>
      <c r="AG55" s="5">
        <f t="shared" si="55"/>
        <v>58</v>
      </c>
      <c r="AH55" s="5">
        <f t="shared" si="55"/>
        <v>27</v>
      </c>
      <c r="AI55" s="5">
        <f t="shared" si="55"/>
        <v>28</v>
      </c>
      <c r="AJ55" s="5">
        <f t="shared" si="55"/>
        <v>13</v>
      </c>
      <c r="AK55" s="5">
        <f t="shared" si="55"/>
        <v>6</v>
      </c>
      <c r="AL55" s="5">
        <f t="shared" si="55"/>
        <v>15</v>
      </c>
      <c r="AM55" s="5">
        <f t="shared" si="55"/>
        <v>29</v>
      </c>
      <c r="AN55" s="5">
        <f t="shared" si="55"/>
        <v>13</v>
      </c>
      <c r="AO55" s="5">
        <f t="shared" si="55"/>
        <v>5</v>
      </c>
      <c r="AP55" s="5">
        <f t="shared" si="55"/>
        <v>10</v>
      </c>
      <c r="AQ55" s="5">
        <f t="shared" si="55"/>
        <v>16</v>
      </c>
      <c r="AR55" s="5">
        <f t="shared" si="55"/>
        <v>7</v>
      </c>
      <c r="AS55" s="5">
        <f t="shared" si="55"/>
        <v>12</v>
      </c>
      <c r="AT55" s="5">
        <f t="shared" si="55"/>
        <v>28</v>
      </c>
      <c r="AU55" s="5">
        <f t="shared" si="55"/>
        <v>30</v>
      </c>
      <c r="AV55" s="5">
        <f t="shared" si="55"/>
        <v>22</v>
      </c>
      <c r="AW55" s="5">
        <f t="shared" si="55"/>
        <v>23</v>
      </c>
      <c r="AX55" s="5">
        <f t="shared" si="55"/>
        <v>23</v>
      </c>
      <c r="AY55" s="5">
        <f t="shared" si="55"/>
        <v>30</v>
      </c>
      <c r="AZ55" s="5">
        <f t="shared" si="55"/>
        <v>14</v>
      </c>
      <c r="BA55" s="5">
        <f t="shared" si="55"/>
        <v>3</v>
      </c>
      <c r="BB55" s="5">
        <f t="shared" si="55"/>
        <v>14</v>
      </c>
      <c r="BC55" s="5">
        <f t="shared" si="55"/>
        <v>8</v>
      </c>
      <c r="BD55" s="5">
        <f t="shared" si="55"/>
        <v>9</v>
      </c>
      <c r="BE55" s="5">
        <f t="shared" si="55"/>
        <v>22</v>
      </c>
      <c r="BF55" s="5">
        <f t="shared" si="55"/>
        <v>15</v>
      </c>
      <c r="BG55" s="5">
        <f t="shared" si="55"/>
        <v>17</v>
      </c>
      <c r="BH55" s="5">
        <f t="shared" si="55"/>
        <v>71</v>
      </c>
      <c r="BI55" s="5">
        <f t="shared" si="55"/>
        <v>24</v>
      </c>
      <c r="BJ55" s="5">
        <f t="shared" si="55"/>
        <v>22</v>
      </c>
      <c r="BK55" s="5">
        <f t="shared" si="55"/>
        <v>1352</v>
      </c>
    </row>
    <row r="56" spans="1:63" x14ac:dyDescent="0.4">
      <c r="A56" s="84"/>
      <c r="B56" s="85"/>
      <c r="C56" s="85"/>
      <c r="D56" s="85"/>
      <c r="E56" s="85"/>
      <c r="BK56" s="5"/>
    </row>
    <row r="57" spans="1:63" x14ac:dyDescent="0.4">
      <c r="A57" s="11" t="s">
        <v>48</v>
      </c>
      <c r="B57" s="17" t="s">
        <v>30</v>
      </c>
      <c r="C57" s="73" t="s">
        <v>52</v>
      </c>
      <c r="D57" s="74"/>
      <c r="E57" s="6">
        <v>6</v>
      </c>
      <c r="F57" s="6">
        <v>5</v>
      </c>
      <c r="G57" s="6">
        <v>2</v>
      </c>
      <c r="H57" s="6">
        <v>0</v>
      </c>
      <c r="I57" s="6">
        <v>8</v>
      </c>
      <c r="J57" s="6">
        <v>9</v>
      </c>
      <c r="K57" s="6">
        <v>12</v>
      </c>
      <c r="L57" s="6">
        <v>7</v>
      </c>
      <c r="M57" s="6">
        <v>9</v>
      </c>
      <c r="N57" s="6">
        <v>2</v>
      </c>
      <c r="O57" s="6">
        <v>14</v>
      </c>
      <c r="P57" s="6">
        <v>11</v>
      </c>
      <c r="Q57" s="6">
        <v>5</v>
      </c>
      <c r="R57" s="6">
        <v>2</v>
      </c>
      <c r="S57" s="6">
        <v>6</v>
      </c>
      <c r="T57" s="6">
        <v>2</v>
      </c>
      <c r="U57" s="6">
        <v>8</v>
      </c>
      <c r="V57" s="6">
        <v>12</v>
      </c>
      <c r="W57" s="6">
        <v>12</v>
      </c>
      <c r="X57" s="6">
        <v>7</v>
      </c>
      <c r="Y57" s="6">
        <v>12</v>
      </c>
      <c r="Z57" s="6">
        <v>9</v>
      </c>
      <c r="AA57" s="6">
        <v>4</v>
      </c>
      <c r="AB57" s="6">
        <v>2</v>
      </c>
      <c r="AC57" s="6">
        <v>3</v>
      </c>
      <c r="AD57" s="6">
        <v>6</v>
      </c>
      <c r="AE57" s="6">
        <v>11</v>
      </c>
      <c r="AF57" s="6">
        <v>2</v>
      </c>
      <c r="AG57" s="6">
        <v>7</v>
      </c>
      <c r="AH57" s="6">
        <v>20</v>
      </c>
      <c r="AI57" s="6">
        <v>9</v>
      </c>
      <c r="AJ57" s="6">
        <v>17</v>
      </c>
      <c r="AK57" s="6">
        <v>6</v>
      </c>
      <c r="AL57" s="6">
        <v>17</v>
      </c>
      <c r="AM57" s="6">
        <v>4</v>
      </c>
      <c r="AN57" s="6">
        <v>7</v>
      </c>
      <c r="AO57" s="6">
        <v>18</v>
      </c>
      <c r="AP57" s="6">
        <v>16</v>
      </c>
      <c r="AQ57" s="6">
        <v>5</v>
      </c>
      <c r="AR57" s="6">
        <v>4</v>
      </c>
      <c r="AS57" s="6">
        <v>5</v>
      </c>
      <c r="AT57" s="6">
        <v>10</v>
      </c>
      <c r="AU57" s="6">
        <v>1</v>
      </c>
      <c r="AV57" s="6">
        <v>10</v>
      </c>
      <c r="AW57" s="6">
        <v>11</v>
      </c>
      <c r="AX57" s="6">
        <v>6</v>
      </c>
      <c r="AY57" s="6">
        <v>11</v>
      </c>
      <c r="AZ57" s="6">
        <v>7</v>
      </c>
      <c r="BA57" s="6">
        <v>9</v>
      </c>
      <c r="BB57" s="6">
        <v>9</v>
      </c>
      <c r="BC57" s="6">
        <v>6</v>
      </c>
      <c r="BD57" s="6">
        <v>4</v>
      </c>
      <c r="BE57" s="6">
        <v>16</v>
      </c>
      <c r="BF57" s="6">
        <v>3</v>
      </c>
      <c r="BG57" s="6">
        <v>6</v>
      </c>
      <c r="BH57" s="6">
        <v>17</v>
      </c>
      <c r="BI57" s="6">
        <v>9</v>
      </c>
      <c r="BJ57" s="6">
        <v>9</v>
      </c>
      <c r="BK57" s="5">
        <f t="shared" ref="BK57:BK67" si="56">SUM(E57:BJ57)</f>
        <v>467</v>
      </c>
    </row>
    <row r="58" spans="1:63" x14ac:dyDescent="0.4">
      <c r="A58" s="11" t="s">
        <v>50</v>
      </c>
      <c r="B58" s="52"/>
      <c r="C58" s="24" t="s">
        <v>131</v>
      </c>
      <c r="D58" s="53"/>
      <c r="E58" s="6">
        <v>2</v>
      </c>
      <c r="F58" s="6">
        <v>2</v>
      </c>
      <c r="G58" s="6">
        <v>5</v>
      </c>
      <c r="H58" s="6">
        <v>0</v>
      </c>
      <c r="I58" s="6">
        <v>4</v>
      </c>
      <c r="J58" s="6">
        <v>6</v>
      </c>
      <c r="K58" s="6">
        <v>5</v>
      </c>
      <c r="L58" s="6">
        <v>8</v>
      </c>
      <c r="M58" s="6">
        <v>9</v>
      </c>
      <c r="N58" s="6">
        <v>0</v>
      </c>
      <c r="O58" s="6">
        <v>9</v>
      </c>
      <c r="P58" s="6">
        <v>9</v>
      </c>
      <c r="Q58" s="6">
        <v>4</v>
      </c>
      <c r="R58" s="6">
        <v>3</v>
      </c>
      <c r="S58" s="6">
        <v>5</v>
      </c>
      <c r="T58" s="6">
        <v>2</v>
      </c>
      <c r="U58" s="6">
        <v>10</v>
      </c>
      <c r="V58" s="6">
        <v>6</v>
      </c>
      <c r="W58" s="6">
        <v>10</v>
      </c>
      <c r="X58" s="6">
        <v>7</v>
      </c>
      <c r="Y58" s="6">
        <v>5</v>
      </c>
      <c r="Z58" s="6">
        <v>13</v>
      </c>
      <c r="AA58" s="6">
        <v>4</v>
      </c>
      <c r="AB58" s="6">
        <v>4</v>
      </c>
      <c r="AC58" s="6">
        <v>17</v>
      </c>
      <c r="AD58" s="6">
        <v>5</v>
      </c>
      <c r="AE58" s="6">
        <v>12</v>
      </c>
      <c r="AF58" s="6">
        <v>0</v>
      </c>
      <c r="AG58" s="6">
        <v>6</v>
      </c>
      <c r="AH58" s="6">
        <v>7</v>
      </c>
      <c r="AI58" s="6">
        <v>2</v>
      </c>
      <c r="AJ58" s="6">
        <v>4</v>
      </c>
      <c r="AK58" s="6">
        <v>10</v>
      </c>
      <c r="AL58" s="6">
        <v>13</v>
      </c>
      <c r="AM58" s="6">
        <v>2</v>
      </c>
      <c r="AN58" s="6">
        <v>4</v>
      </c>
      <c r="AO58" s="6">
        <v>7</v>
      </c>
      <c r="AP58" s="6">
        <v>3</v>
      </c>
      <c r="AQ58" s="6">
        <v>3</v>
      </c>
      <c r="AR58" s="6">
        <v>10</v>
      </c>
      <c r="AS58" s="6">
        <v>7</v>
      </c>
      <c r="AT58" s="6">
        <v>4</v>
      </c>
      <c r="AU58" s="6">
        <v>8</v>
      </c>
      <c r="AV58" s="6">
        <v>9</v>
      </c>
      <c r="AW58" s="6">
        <v>8</v>
      </c>
      <c r="AX58" s="6">
        <v>7</v>
      </c>
      <c r="AY58" s="6">
        <v>4</v>
      </c>
      <c r="AZ58" s="6">
        <v>7</v>
      </c>
      <c r="BA58" s="6">
        <v>12</v>
      </c>
      <c r="BB58" s="6">
        <v>5</v>
      </c>
      <c r="BC58" s="6">
        <v>25</v>
      </c>
      <c r="BD58" s="6">
        <v>10</v>
      </c>
      <c r="BE58" s="6">
        <v>6</v>
      </c>
      <c r="BF58" s="6">
        <v>5</v>
      </c>
      <c r="BG58" s="6">
        <v>7</v>
      </c>
      <c r="BH58" s="6">
        <v>10</v>
      </c>
      <c r="BI58" s="6">
        <v>4</v>
      </c>
      <c r="BJ58" s="6">
        <v>8</v>
      </c>
      <c r="BK58" s="5">
        <f t="shared" si="56"/>
        <v>383</v>
      </c>
    </row>
    <row r="59" spans="1:63" x14ac:dyDescent="0.4">
      <c r="A59" s="7"/>
      <c r="B59" s="52"/>
      <c r="C59" s="24" t="s">
        <v>132</v>
      </c>
      <c r="D59" s="53"/>
      <c r="E59" s="6">
        <v>2</v>
      </c>
      <c r="F59" s="6">
        <v>1</v>
      </c>
      <c r="G59" s="6">
        <v>1</v>
      </c>
      <c r="H59" s="6">
        <v>1</v>
      </c>
      <c r="I59" s="6">
        <v>1</v>
      </c>
      <c r="J59" s="6">
        <v>4</v>
      </c>
      <c r="K59" s="6">
        <v>2</v>
      </c>
      <c r="L59" s="6">
        <v>0</v>
      </c>
      <c r="M59" s="6">
        <v>2</v>
      </c>
      <c r="N59" s="6">
        <v>0</v>
      </c>
      <c r="O59" s="6">
        <v>4</v>
      </c>
      <c r="P59" s="6">
        <v>3</v>
      </c>
      <c r="Q59" s="6">
        <v>1</v>
      </c>
      <c r="R59" s="6">
        <v>0</v>
      </c>
      <c r="S59" s="6">
        <v>2</v>
      </c>
      <c r="T59" s="6">
        <v>1</v>
      </c>
      <c r="U59" s="6">
        <v>3</v>
      </c>
      <c r="V59" s="6">
        <v>1</v>
      </c>
      <c r="W59" s="6">
        <v>2</v>
      </c>
      <c r="X59" s="6">
        <v>8</v>
      </c>
      <c r="Y59" s="6">
        <v>5</v>
      </c>
      <c r="Z59" s="6">
        <v>5</v>
      </c>
      <c r="AA59" s="6">
        <v>1</v>
      </c>
      <c r="AB59" s="6">
        <v>1</v>
      </c>
      <c r="AC59" s="6">
        <v>4</v>
      </c>
      <c r="AD59" s="6">
        <v>6</v>
      </c>
      <c r="AE59" s="6">
        <v>6</v>
      </c>
      <c r="AF59" s="6">
        <v>2</v>
      </c>
      <c r="AG59" s="6">
        <v>2</v>
      </c>
      <c r="AH59" s="6">
        <v>3</v>
      </c>
      <c r="AI59" s="6">
        <v>2</v>
      </c>
      <c r="AJ59" s="6">
        <v>4</v>
      </c>
      <c r="AK59" s="6">
        <v>6</v>
      </c>
      <c r="AL59" s="6">
        <v>2</v>
      </c>
      <c r="AM59" s="6">
        <v>0</v>
      </c>
      <c r="AN59" s="6">
        <v>1</v>
      </c>
      <c r="AO59" s="6">
        <v>2</v>
      </c>
      <c r="AP59" s="6">
        <v>4</v>
      </c>
      <c r="AQ59" s="6">
        <v>0</v>
      </c>
      <c r="AR59" s="6">
        <v>3</v>
      </c>
      <c r="AS59" s="6">
        <v>0</v>
      </c>
      <c r="AT59" s="6">
        <v>6</v>
      </c>
      <c r="AU59" s="6">
        <v>1</v>
      </c>
      <c r="AV59" s="6">
        <v>4</v>
      </c>
      <c r="AW59" s="6">
        <v>2</v>
      </c>
      <c r="AX59" s="6">
        <v>3</v>
      </c>
      <c r="AY59" s="6">
        <v>3</v>
      </c>
      <c r="AZ59" s="6">
        <v>3</v>
      </c>
      <c r="BA59" s="6">
        <v>6</v>
      </c>
      <c r="BB59" s="6">
        <v>2</v>
      </c>
      <c r="BC59" s="6">
        <v>2</v>
      </c>
      <c r="BD59" s="6">
        <v>6</v>
      </c>
      <c r="BE59" s="6">
        <v>4</v>
      </c>
      <c r="BF59" s="6">
        <v>2</v>
      </c>
      <c r="BG59" s="6">
        <v>3</v>
      </c>
      <c r="BH59" s="6">
        <v>2</v>
      </c>
      <c r="BI59" s="6">
        <v>1</v>
      </c>
      <c r="BJ59" s="6">
        <v>0</v>
      </c>
      <c r="BK59" s="5">
        <f t="shared" si="56"/>
        <v>148</v>
      </c>
    </row>
    <row r="60" spans="1:63" x14ac:dyDescent="0.4">
      <c r="A60" s="7"/>
      <c r="B60" s="52"/>
      <c r="C60" s="24" t="s">
        <v>133</v>
      </c>
      <c r="D60" s="53"/>
      <c r="E60" s="6">
        <v>2</v>
      </c>
      <c r="F60" s="6">
        <v>1</v>
      </c>
      <c r="G60" s="6">
        <v>1</v>
      </c>
      <c r="H60" s="6">
        <v>1</v>
      </c>
      <c r="I60" s="6">
        <v>1</v>
      </c>
      <c r="J60" s="6">
        <v>2</v>
      </c>
      <c r="K60" s="6">
        <v>0</v>
      </c>
      <c r="L60" s="6">
        <v>0</v>
      </c>
      <c r="M60" s="6">
        <v>2</v>
      </c>
      <c r="N60" s="6">
        <v>0</v>
      </c>
      <c r="O60" s="6">
        <v>0</v>
      </c>
      <c r="P60" s="6">
        <v>4</v>
      </c>
      <c r="Q60" s="6">
        <v>3</v>
      </c>
      <c r="R60" s="6">
        <v>1</v>
      </c>
      <c r="S60" s="6">
        <v>1</v>
      </c>
      <c r="T60" s="6">
        <v>1</v>
      </c>
      <c r="U60" s="6">
        <v>4</v>
      </c>
      <c r="V60" s="6">
        <v>2</v>
      </c>
      <c r="W60" s="6">
        <v>4</v>
      </c>
      <c r="X60" s="6">
        <v>7</v>
      </c>
      <c r="Y60" s="6">
        <v>2</v>
      </c>
      <c r="Z60" s="6">
        <v>2</v>
      </c>
      <c r="AA60" s="6">
        <v>1</v>
      </c>
      <c r="AB60" s="6">
        <v>3</v>
      </c>
      <c r="AC60" s="6">
        <v>1</v>
      </c>
      <c r="AD60" s="6">
        <v>3</v>
      </c>
      <c r="AE60" s="6">
        <v>3</v>
      </c>
      <c r="AF60" s="6">
        <v>3</v>
      </c>
      <c r="AG60" s="6">
        <v>3</v>
      </c>
      <c r="AH60" s="6">
        <v>7</v>
      </c>
      <c r="AI60" s="6">
        <v>2</v>
      </c>
      <c r="AJ60" s="6">
        <v>3</v>
      </c>
      <c r="AK60" s="6">
        <v>2</v>
      </c>
      <c r="AL60" s="6">
        <v>2</v>
      </c>
      <c r="AM60" s="6">
        <v>2</v>
      </c>
      <c r="AN60" s="6">
        <v>2</v>
      </c>
      <c r="AO60" s="6">
        <v>1</v>
      </c>
      <c r="AP60" s="6">
        <v>0</v>
      </c>
      <c r="AQ60" s="6">
        <v>7</v>
      </c>
      <c r="AR60" s="6">
        <v>7</v>
      </c>
      <c r="AS60" s="6">
        <v>2</v>
      </c>
      <c r="AT60" s="6">
        <v>3</v>
      </c>
      <c r="AU60" s="6">
        <v>2</v>
      </c>
      <c r="AV60" s="6">
        <v>2</v>
      </c>
      <c r="AW60" s="6">
        <v>1</v>
      </c>
      <c r="AX60" s="6">
        <v>2</v>
      </c>
      <c r="AY60" s="6">
        <v>0</v>
      </c>
      <c r="AZ60" s="6">
        <v>1</v>
      </c>
      <c r="BA60" s="6">
        <v>1</v>
      </c>
      <c r="BB60" s="6">
        <v>1</v>
      </c>
      <c r="BC60" s="6">
        <v>4</v>
      </c>
      <c r="BD60" s="6">
        <v>2</v>
      </c>
      <c r="BE60" s="6">
        <v>1</v>
      </c>
      <c r="BF60" s="6">
        <v>0</v>
      </c>
      <c r="BG60" s="6">
        <v>0</v>
      </c>
      <c r="BH60" s="6">
        <v>0</v>
      </c>
      <c r="BI60" s="6">
        <v>3</v>
      </c>
      <c r="BJ60" s="6">
        <v>1</v>
      </c>
      <c r="BK60" s="5">
        <f t="shared" si="56"/>
        <v>119</v>
      </c>
    </row>
    <row r="61" spans="1:63" x14ac:dyDescent="0.4">
      <c r="A61" s="7"/>
      <c r="B61" s="52"/>
      <c r="C61" s="24" t="s">
        <v>134</v>
      </c>
      <c r="D61" s="53"/>
      <c r="E61" s="6">
        <v>0</v>
      </c>
      <c r="F61" s="6">
        <v>1</v>
      </c>
      <c r="G61" s="6">
        <v>0</v>
      </c>
      <c r="H61" s="6">
        <v>2</v>
      </c>
      <c r="I61" s="6">
        <v>2</v>
      </c>
      <c r="J61" s="6">
        <v>3</v>
      </c>
      <c r="K61" s="6">
        <v>0</v>
      </c>
      <c r="L61" s="6">
        <v>0</v>
      </c>
      <c r="M61" s="6">
        <v>3</v>
      </c>
      <c r="N61" s="6">
        <v>0</v>
      </c>
      <c r="O61" s="6">
        <v>4</v>
      </c>
      <c r="P61" s="6">
        <v>5</v>
      </c>
      <c r="Q61" s="6">
        <v>3</v>
      </c>
      <c r="R61" s="6">
        <v>0</v>
      </c>
      <c r="S61" s="6">
        <v>0</v>
      </c>
      <c r="T61" s="6">
        <v>1</v>
      </c>
      <c r="U61" s="6">
        <v>4</v>
      </c>
      <c r="V61" s="6">
        <v>11</v>
      </c>
      <c r="W61" s="6">
        <v>6</v>
      </c>
      <c r="X61" s="6">
        <v>10</v>
      </c>
      <c r="Y61" s="6">
        <v>7</v>
      </c>
      <c r="Z61" s="6">
        <v>1</v>
      </c>
      <c r="AA61" s="6">
        <v>5</v>
      </c>
      <c r="AB61" s="6">
        <v>0</v>
      </c>
      <c r="AC61" s="6">
        <v>8</v>
      </c>
      <c r="AD61" s="6">
        <v>13</v>
      </c>
      <c r="AE61" s="6">
        <v>11</v>
      </c>
      <c r="AF61" s="6">
        <v>3</v>
      </c>
      <c r="AG61" s="6">
        <v>3</v>
      </c>
      <c r="AH61" s="6">
        <v>7</v>
      </c>
      <c r="AI61" s="6">
        <v>5</v>
      </c>
      <c r="AJ61" s="6">
        <v>1</v>
      </c>
      <c r="AK61" s="6">
        <v>4</v>
      </c>
      <c r="AL61" s="6">
        <v>4</v>
      </c>
      <c r="AM61" s="6">
        <v>2</v>
      </c>
      <c r="AN61" s="6">
        <v>0</v>
      </c>
      <c r="AO61" s="6">
        <v>3</v>
      </c>
      <c r="AP61" s="6">
        <v>2</v>
      </c>
      <c r="AQ61" s="6">
        <v>3</v>
      </c>
      <c r="AR61" s="6">
        <v>1</v>
      </c>
      <c r="AS61" s="6">
        <v>3</v>
      </c>
      <c r="AT61" s="6">
        <v>2</v>
      </c>
      <c r="AU61" s="6">
        <v>0</v>
      </c>
      <c r="AV61" s="6">
        <v>6</v>
      </c>
      <c r="AW61" s="6">
        <v>3</v>
      </c>
      <c r="AX61" s="6">
        <v>1</v>
      </c>
      <c r="AY61" s="6">
        <v>2</v>
      </c>
      <c r="AZ61" s="6">
        <v>0</v>
      </c>
      <c r="BA61" s="6">
        <v>1</v>
      </c>
      <c r="BB61" s="6">
        <v>1</v>
      </c>
      <c r="BC61" s="6">
        <v>1</v>
      </c>
      <c r="BD61" s="6">
        <v>2</v>
      </c>
      <c r="BE61" s="6">
        <v>1</v>
      </c>
      <c r="BF61" s="6">
        <v>0</v>
      </c>
      <c r="BG61" s="6">
        <v>4</v>
      </c>
      <c r="BH61" s="6">
        <v>2</v>
      </c>
      <c r="BI61" s="6">
        <v>0</v>
      </c>
      <c r="BJ61" s="6">
        <v>4</v>
      </c>
      <c r="BK61" s="5">
        <f t="shared" si="56"/>
        <v>171</v>
      </c>
    </row>
    <row r="62" spans="1:63" x14ac:dyDescent="0.4">
      <c r="A62" s="7"/>
      <c r="B62" s="52"/>
      <c r="C62" s="24" t="s">
        <v>135</v>
      </c>
      <c r="D62" s="53"/>
      <c r="E62" s="6">
        <v>1</v>
      </c>
      <c r="F62" s="6">
        <v>0</v>
      </c>
      <c r="G62" s="6">
        <v>0</v>
      </c>
      <c r="H62" s="6">
        <v>4</v>
      </c>
      <c r="I62" s="6">
        <v>1</v>
      </c>
      <c r="J62" s="6">
        <v>0</v>
      </c>
      <c r="K62" s="6">
        <v>4</v>
      </c>
      <c r="L62" s="6">
        <v>1</v>
      </c>
      <c r="M62" s="6">
        <v>2</v>
      </c>
      <c r="N62" s="6">
        <v>0</v>
      </c>
      <c r="O62" s="6">
        <v>0</v>
      </c>
      <c r="P62" s="6">
        <v>1</v>
      </c>
      <c r="Q62" s="6">
        <v>1</v>
      </c>
      <c r="R62" s="6">
        <v>0</v>
      </c>
      <c r="S62" s="6">
        <v>0</v>
      </c>
      <c r="T62" s="6">
        <v>0</v>
      </c>
      <c r="U62" s="6">
        <v>1</v>
      </c>
      <c r="V62" s="6">
        <v>2</v>
      </c>
      <c r="W62" s="6">
        <v>3</v>
      </c>
      <c r="X62" s="6">
        <v>3</v>
      </c>
      <c r="Y62" s="6">
        <v>2</v>
      </c>
      <c r="Z62" s="6">
        <v>2</v>
      </c>
      <c r="AA62" s="6">
        <v>0</v>
      </c>
      <c r="AB62" s="6">
        <v>0</v>
      </c>
      <c r="AC62" s="6">
        <v>1</v>
      </c>
      <c r="AD62" s="6">
        <v>2</v>
      </c>
      <c r="AE62" s="6">
        <v>0</v>
      </c>
      <c r="AF62" s="6">
        <v>0</v>
      </c>
      <c r="AG62" s="6">
        <v>4</v>
      </c>
      <c r="AH62" s="6">
        <v>2</v>
      </c>
      <c r="AI62" s="6">
        <v>0</v>
      </c>
      <c r="AJ62" s="6">
        <v>1</v>
      </c>
      <c r="AK62" s="6">
        <v>0</v>
      </c>
      <c r="AL62" s="6">
        <v>0</v>
      </c>
      <c r="AM62" s="6">
        <v>2</v>
      </c>
      <c r="AN62" s="6">
        <v>1</v>
      </c>
      <c r="AO62" s="6">
        <v>1</v>
      </c>
      <c r="AP62" s="6">
        <v>2</v>
      </c>
      <c r="AQ62" s="6">
        <v>7</v>
      </c>
      <c r="AR62" s="6">
        <v>1</v>
      </c>
      <c r="AS62" s="6">
        <v>0</v>
      </c>
      <c r="AT62" s="6">
        <v>3</v>
      </c>
      <c r="AU62" s="6">
        <v>0</v>
      </c>
      <c r="AV62" s="6">
        <v>2</v>
      </c>
      <c r="AW62" s="6">
        <v>2</v>
      </c>
      <c r="AX62" s="6">
        <v>0</v>
      </c>
      <c r="AY62" s="6">
        <v>0</v>
      </c>
      <c r="AZ62" s="6">
        <v>1</v>
      </c>
      <c r="BA62" s="6">
        <v>0</v>
      </c>
      <c r="BB62" s="6">
        <v>3</v>
      </c>
      <c r="BC62" s="6">
        <v>2</v>
      </c>
      <c r="BD62" s="6">
        <v>0</v>
      </c>
      <c r="BE62" s="6">
        <v>1</v>
      </c>
      <c r="BF62" s="6">
        <v>0</v>
      </c>
      <c r="BG62" s="6">
        <v>0</v>
      </c>
      <c r="BH62" s="6">
        <v>2</v>
      </c>
      <c r="BI62" s="6">
        <v>3</v>
      </c>
      <c r="BJ62" s="6">
        <v>4</v>
      </c>
      <c r="BK62" s="5">
        <f t="shared" si="56"/>
        <v>75</v>
      </c>
    </row>
    <row r="63" spans="1:63" ht="13.15" customHeight="1" x14ac:dyDescent="0.4">
      <c r="A63" s="7"/>
      <c r="B63" s="52"/>
      <c r="C63" s="24" t="s">
        <v>136</v>
      </c>
      <c r="D63" s="50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2</v>
      </c>
      <c r="Q63" s="6">
        <v>1</v>
      </c>
      <c r="R63" s="6">
        <v>0</v>
      </c>
      <c r="S63" s="6">
        <v>0</v>
      </c>
      <c r="T63" s="6">
        <v>0</v>
      </c>
      <c r="U63" s="6">
        <v>1</v>
      </c>
      <c r="V63" s="6">
        <v>2</v>
      </c>
      <c r="W63" s="6">
        <v>3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1</v>
      </c>
      <c r="AD63" s="6">
        <v>1</v>
      </c>
      <c r="AE63" s="6">
        <v>1</v>
      </c>
      <c r="AF63" s="6">
        <v>0</v>
      </c>
      <c r="AG63" s="6">
        <v>2</v>
      </c>
      <c r="AH63" s="6">
        <v>2</v>
      </c>
      <c r="AI63" s="6">
        <v>0</v>
      </c>
      <c r="AJ63" s="6">
        <v>0</v>
      </c>
      <c r="AK63" s="6">
        <v>3</v>
      </c>
      <c r="AL63" s="6">
        <v>0</v>
      </c>
      <c r="AM63" s="6">
        <v>0</v>
      </c>
      <c r="AN63" s="6">
        <v>0</v>
      </c>
      <c r="AO63" s="6">
        <v>1</v>
      </c>
      <c r="AP63" s="6">
        <v>1</v>
      </c>
      <c r="AQ63" s="6">
        <v>1</v>
      </c>
      <c r="AR63" s="6">
        <v>0</v>
      </c>
      <c r="AS63" s="6">
        <v>1</v>
      </c>
      <c r="AT63" s="6">
        <v>3</v>
      </c>
      <c r="AU63" s="6">
        <v>0</v>
      </c>
      <c r="AV63" s="6">
        <v>2</v>
      </c>
      <c r="AW63" s="6">
        <v>0</v>
      </c>
      <c r="AX63" s="6">
        <v>0</v>
      </c>
      <c r="AY63" s="6">
        <v>1</v>
      </c>
      <c r="AZ63" s="6">
        <v>0</v>
      </c>
      <c r="BA63" s="6">
        <v>0</v>
      </c>
      <c r="BB63" s="6">
        <v>2</v>
      </c>
      <c r="BC63" s="6">
        <v>0</v>
      </c>
      <c r="BD63" s="6">
        <v>0</v>
      </c>
      <c r="BE63" s="6">
        <v>0</v>
      </c>
      <c r="BF63" s="6">
        <v>0</v>
      </c>
      <c r="BG63" s="6">
        <v>1</v>
      </c>
      <c r="BH63" s="6">
        <v>1</v>
      </c>
      <c r="BI63" s="6">
        <v>0</v>
      </c>
      <c r="BJ63" s="6">
        <v>0</v>
      </c>
      <c r="BK63" s="5">
        <f t="shared" si="56"/>
        <v>33</v>
      </c>
    </row>
    <row r="64" spans="1:63" x14ac:dyDescent="0.4">
      <c r="A64" s="7"/>
      <c r="B64" s="52"/>
      <c r="C64" s="24" t="s">
        <v>137</v>
      </c>
      <c r="D64" s="53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1</v>
      </c>
      <c r="M64" s="6">
        <v>0</v>
      </c>
      <c r="N64" s="6">
        <v>0</v>
      </c>
      <c r="O64" s="6">
        <v>0</v>
      </c>
      <c r="P64" s="6">
        <v>0</v>
      </c>
      <c r="Q64" s="6">
        <v>2</v>
      </c>
      <c r="R64" s="6">
        <v>0</v>
      </c>
      <c r="S64" s="6">
        <v>0</v>
      </c>
      <c r="T64" s="6">
        <v>2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1</v>
      </c>
      <c r="AA64" s="6">
        <v>0</v>
      </c>
      <c r="AB64" s="6">
        <v>0</v>
      </c>
      <c r="AC64" s="6">
        <v>0</v>
      </c>
      <c r="AD64" s="6">
        <v>2</v>
      </c>
      <c r="AE64" s="6">
        <v>1</v>
      </c>
      <c r="AF64" s="6">
        <v>0</v>
      </c>
      <c r="AG64" s="6">
        <v>0</v>
      </c>
      <c r="AH64" s="6">
        <v>0</v>
      </c>
      <c r="AI64" s="6">
        <v>1</v>
      </c>
      <c r="AJ64" s="6">
        <v>1</v>
      </c>
      <c r="AK64" s="6">
        <v>1</v>
      </c>
      <c r="AL64" s="6">
        <v>0</v>
      </c>
      <c r="AM64" s="6">
        <v>0</v>
      </c>
      <c r="AN64" s="6">
        <v>0</v>
      </c>
      <c r="AO64" s="6">
        <v>12</v>
      </c>
      <c r="AP64" s="6">
        <v>6</v>
      </c>
      <c r="AQ64" s="6">
        <v>2</v>
      </c>
      <c r="AR64" s="6">
        <v>0</v>
      </c>
      <c r="AS64" s="6">
        <v>1</v>
      </c>
      <c r="AT64" s="6">
        <v>2</v>
      </c>
      <c r="AU64" s="6">
        <v>1</v>
      </c>
      <c r="AV64" s="6">
        <v>3</v>
      </c>
      <c r="AW64" s="6">
        <v>0</v>
      </c>
      <c r="AX64" s="6">
        <v>1</v>
      </c>
      <c r="AY64" s="6">
        <v>2</v>
      </c>
      <c r="AZ64" s="6">
        <v>0</v>
      </c>
      <c r="BA64" s="6">
        <v>0</v>
      </c>
      <c r="BB64" s="6">
        <v>0</v>
      </c>
      <c r="BC64" s="6">
        <v>0</v>
      </c>
      <c r="BD64" s="6">
        <v>1</v>
      </c>
      <c r="BE64" s="6">
        <v>1</v>
      </c>
      <c r="BF64" s="6">
        <v>0</v>
      </c>
      <c r="BG64" s="6">
        <v>0</v>
      </c>
      <c r="BH64" s="6">
        <v>0</v>
      </c>
      <c r="BI64" s="6">
        <v>0</v>
      </c>
      <c r="BJ64" s="6">
        <v>2</v>
      </c>
      <c r="BK64" s="5">
        <f t="shared" si="56"/>
        <v>47</v>
      </c>
    </row>
    <row r="65" spans="1:63" x14ac:dyDescent="0.4">
      <c r="A65" s="7"/>
      <c r="B65" s="52"/>
      <c r="C65" s="24" t="s">
        <v>138</v>
      </c>
      <c r="D65" s="53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2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1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1</v>
      </c>
      <c r="AJ65" s="6">
        <v>0</v>
      </c>
      <c r="AK65" s="6">
        <v>1</v>
      </c>
      <c r="AL65" s="6">
        <v>0</v>
      </c>
      <c r="AM65" s="6">
        <v>0</v>
      </c>
      <c r="AN65" s="6">
        <v>0</v>
      </c>
      <c r="AO65" s="6">
        <v>1</v>
      </c>
      <c r="AP65" s="6">
        <v>0</v>
      </c>
      <c r="AQ65" s="6">
        <v>0</v>
      </c>
      <c r="AR65" s="6">
        <v>1</v>
      </c>
      <c r="AS65" s="6">
        <v>0</v>
      </c>
      <c r="AT65" s="6">
        <v>2</v>
      </c>
      <c r="AU65" s="6">
        <v>0</v>
      </c>
      <c r="AV65" s="6">
        <v>3</v>
      </c>
      <c r="AW65" s="6">
        <v>0</v>
      </c>
      <c r="AX65" s="6">
        <v>1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1</v>
      </c>
      <c r="BH65" s="6">
        <v>0</v>
      </c>
      <c r="BI65" s="6">
        <v>0</v>
      </c>
      <c r="BJ65" s="6">
        <v>0</v>
      </c>
      <c r="BK65" s="5">
        <f t="shared" si="56"/>
        <v>14</v>
      </c>
    </row>
    <row r="66" spans="1:63" x14ac:dyDescent="0.4">
      <c r="A66" s="7"/>
      <c r="B66" s="52"/>
      <c r="C66" s="24" t="s">
        <v>139</v>
      </c>
      <c r="D66" s="53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0</v>
      </c>
      <c r="W66" s="6">
        <v>1</v>
      </c>
      <c r="X66" s="6">
        <v>0</v>
      </c>
      <c r="Y66" s="6">
        <v>1</v>
      </c>
      <c r="Z66" s="6">
        <v>1</v>
      </c>
      <c r="AA66" s="6">
        <v>0</v>
      </c>
      <c r="AB66" s="6">
        <v>0</v>
      </c>
      <c r="AC66" s="6">
        <v>0</v>
      </c>
      <c r="AD66" s="6">
        <v>0</v>
      </c>
      <c r="AE66" s="6">
        <v>1</v>
      </c>
      <c r="AF66" s="6">
        <v>1</v>
      </c>
      <c r="AG66" s="6">
        <v>1</v>
      </c>
      <c r="AH66" s="6">
        <v>0</v>
      </c>
      <c r="AI66" s="6">
        <v>1</v>
      </c>
      <c r="AJ66" s="6">
        <v>0</v>
      </c>
      <c r="AK66" s="6">
        <v>0</v>
      </c>
      <c r="AL66" s="6">
        <v>1</v>
      </c>
      <c r="AM66" s="6">
        <v>1</v>
      </c>
      <c r="AN66" s="6">
        <v>0</v>
      </c>
      <c r="AO66" s="6">
        <v>3</v>
      </c>
      <c r="AP66" s="6">
        <v>0</v>
      </c>
      <c r="AQ66" s="6">
        <v>2</v>
      </c>
      <c r="AR66" s="6">
        <v>0</v>
      </c>
      <c r="AS66" s="6">
        <v>1</v>
      </c>
      <c r="AT66" s="6">
        <v>0</v>
      </c>
      <c r="AU66" s="6">
        <v>1</v>
      </c>
      <c r="AV66" s="6">
        <v>2</v>
      </c>
      <c r="AW66" s="6">
        <v>2</v>
      </c>
      <c r="AX66" s="6">
        <v>0</v>
      </c>
      <c r="AY66" s="6">
        <v>0</v>
      </c>
      <c r="AZ66" s="6">
        <v>1</v>
      </c>
      <c r="BA66" s="6">
        <v>0</v>
      </c>
      <c r="BB66" s="6">
        <v>1</v>
      </c>
      <c r="BC66" s="6">
        <v>1</v>
      </c>
      <c r="BD66" s="6">
        <v>0</v>
      </c>
      <c r="BE66" s="6">
        <v>1</v>
      </c>
      <c r="BF66" s="6">
        <v>0</v>
      </c>
      <c r="BG66" s="6">
        <v>0</v>
      </c>
      <c r="BH66" s="6">
        <v>0</v>
      </c>
      <c r="BI66" s="6">
        <v>1</v>
      </c>
      <c r="BJ66" s="6">
        <v>0</v>
      </c>
      <c r="BK66" s="5">
        <f t="shared" si="56"/>
        <v>27</v>
      </c>
    </row>
    <row r="67" spans="1:63" x14ac:dyDescent="0.4">
      <c r="A67" s="6" t="s">
        <v>26</v>
      </c>
      <c r="B67" s="67" t="s">
        <v>51</v>
      </c>
      <c r="C67" s="83"/>
      <c r="D67" s="74"/>
      <c r="E67" s="5">
        <f t="shared" ref="E67:BK67" si="57">SUM(E57:E66)</f>
        <v>13</v>
      </c>
      <c r="F67" s="5">
        <f t="shared" si="57"/>
        <v>10</v>
      </c>
      <c r="G67" s="5">
        <f t="shared" si="57"/>
        <v>9</v>
      </c>
      <c r="H67" s="5">
        <f t="shared" si="57"/>
        <v>8</v>
      </c>
      <c r="I67" s="5">
        <f t="shared" si="57"/>
        <v>17</v>
      </c>
      <c r="J67" s="5">
        <f t="shared" si="57"/>
        <v>25</v>
      </c>
      <c r="K67" s="5">
        <f t="shared" si="57"/>
        <v>24</v>
      </c>
      <c r="L67" s="5">
        <f t="shared" si="57"/>
        <v>17</v>
      </c>
      <c r="M67" s="5">
        <f t="shared" si="57"/>
        <v>27</v>
      </c>
      <c r="N67" s="5">
        <f t="shared" si="57"/>
        <v>2</v>
      </c>
      <c r="O67" s="5">
        <f t="shared" si="57"/>
        <v>31</v>
      </c>
      <c r="P67" s="5">
        <f t="shared" si="57"/>
        <v>35</v>
      </c>
      <c r="Q67" s="5">
        <f t="shared" si="57"/>
        <v>22</v>
      </c>
      <c r="R67" s="5">
        <f t="shared" si="57"/>
        <v>6</v>
      </c>
      <c r="S67" s="5">
        <f t="shared" si="57"/>
        <v>14</v>
      </c>
      <c r="T67" s="5">
        <f t="shared" si="57"/>
        <v>9</v>
      </c>
      <c r="U67" s="5">
        <f t="shared" si="57"/>
        <v>32</v>
      </c>
      <c r="V67" s="5">
        <f t="shared" si="57"/>
        <v>36</v>
      </c>
      <c r="W67" s="5">
        <f t="shared" si="57"/>
        <v>41</v>
      </c>
      <c r="X67" s="5">
        <f t="shared" si="57"/>
        <v>42</v>
      </c>
      <c r="Y67" s="5">
        <f t="shared" si="57"/>
        <v>34</v>
      </c>
      <c r="Z67" s="5">
        <f t="shared" si="57"/>
        <v>35</v>
      </c>
      <c r="AA67" s="5">
        <f t="shared" si="57"/>
        <v>15</v>
      </c>
      <c r="AB67" s="5">
        <f t="shared" si="57"/>
        <v>10</v>
      </c>
      <c r="AC67" s="5">
        <f t="shared" si="57"/>
        <v>35</v>
      </c>
      <c r="AD67" s="5">
        <f t="shared" si="57"/>
        <v>38</v>
      </c>
      <c r="AE67" s="5">
        <f t="shared" si="57"/>
        <v>46</v>
      </c>
      <c r="AF67" s="5">
        <f t="shared" si="57"/>
        <v>11</v>
      </c>
      <c r="AG67" s="5">
        <f t="shared" si="57"/>
        <v>28</v>
      </c>
      <c r="AH67" s="5">
        <f t="shared" si="57"/>
        <v>48</v>
      </c>
      <c r="AI67" s="5">
        <f t="shared" si="57"/>
        <v>23</v>
      </c>
      <c r="AJ67" s="5">
        <f t="shared" si="57"/>
        <v>31</v>
      </c>
      <c r="AK67" s="5">
        <f t="shared" si="57"/>
        <v>33</v>
      </c>
      <c r="AL67" s="5">
        <f t="shared" si="57"/>
        <v>39</v>
      </c>
      <c r="AM67" s="5">
        <f t="shared" si="57"/>
        <v>13</v>
      </c>
      <c r="AN67" s="5">
        <f t="shared" si="57"/>
        <v>15</v>
      </c>
      <c r="AO67" s="5">
        <f t="shared" si="57"/>
        <v>49</v>
      </c>
      <c r="AP67" s="5">
        <f t="shared" si="57"/>
        <v>34</v>
      </c>
      <c r="AQ67" s="5">
        <f t="shared" si="57"/>
        <v>30</v>
      </c>
      <c r="AR67" s="5">
        <f t="shared" si="57"/>
        <v>27</v>
      </c>
      <c r="AS67" s="5">
        <f t="shared" si="57"/>
        <v>20</v>
      </c>
      <c r="AT67" s="5">
        <f t="shared" si="57"/>
        <v>35</v>
      </c>
      <c r="AU67" s="5">
        <f t="shared" si="57"/>
        <v>14</v>
      </c>
      <c r="AV67" s="5">
        <f t="shared" si="57"/>
        <v>43</v>
      </c>
      <c r="AW67" s="5">
        <f t="shared" si="57"/>
        <v>29</v>
      </c>
      <c r="AX67" s="5">
        <f t="shared" si="57"/>
        <v>21</v>
      </c>
      <c r="AY67" s="5">
        <f t="shared" si="57"/>
        <v>23</v>
      </c>
      <c r="AZ67" s="5">
        <f t="shared" si="57"/>
        <v>20</v>
      </c>
      <c r="BA67" s="5">
        <f t="shared" si="57"/>
        <v>29</v>
      </c>
      <c r="BB67" s="5">
        <f t="shared" si="57"/>
        <v>24</v>
      </c>
      <c r="BC67" s="5">
        <f t="shared" si="57"/>
        <v>41</v>
      </c>
      <c r="BD67" s="5">
        <f t="shared" si="57"/>
        <v>25</v>
      </c>
      <c r="BE67" s="5">
        <f t="shared" si="57"/>
        <v>31</v>
      </c>
      <c r="BF67" s="5">
        <f t="shared" si="57"/>
        <v>10</v>
      </c>
      <c r="BG67" s="5">
        <f t="shared" si="57"/>
        <v>22</v>
      </c>
      <c r="BH67" s="5">
        <f t="shared" si="57"/>
        <v>34</v>
      </c>
      <c r="BI67" s="5">
        <f t="shared" si="57"/>
        <v>21</v>
      </c>
      <c r="BJ67" s="5">
        <f t="shared" si="57"/>
        <v>28</v>
      </c>
      <c r="BK67" s="5">
        <f t="shared" si="57"/>
        <v>1484</v>
      </c>
    </row>
    <row r="68" spans="1:63" x14ac:dyDescent="0.4">
      <c r="A68" s="84"/>
      <c r="B68" s="85"/>
      <c r="C68" s="85"/>
      <c r="D68" s="85"/>
      <c r="E68" s="85"/>
    </row>
    <row r="69" spans="1:63" x14ac:dyDescent="0.4">
      <c r="A69" s="11" t="s">
        <v>48</v>
      </c>
      <c r="B69" s="17" t="s">
        <v>32</v>
      </c>
      <c r="C69" s="73" t="s">
        <v>53</v>
      </c>
      <c r="D69" s="74"/>
      <c r="E69" s="6">
        <v>0</v>
      </c>
      <c r="F69" s="6">
        <v>2</v>
      </c>
      <c r="G69" s="6">
        <v>1</v>
      </c>
      <c r="H69" s="6">
        <v>0</v>
      </c>
      <c r="I69" s="6">
        <v>3</v>
      </c>
      <c r="J69" s="6">
        <v>0</v>
      </c>
      <c r="K69" s="6">
        <v>0</v>
      </c>
      <c r="L69" s="6">
        <v>5</v>
      </c>
      <c r="M69" s="6">
        <v>0</v>
      </c>
      <c r="N69" s="6">
        <v>0</v>
      </c>
      <c r="O69" s="6">
        <v>2</v>
      </c>
      <c r="P69" s="6">
        <v>2</v>
      </c>
      <c r="Q69" s="6">
        <v>3</v>
      </c>
      <c r="R69" s="6">
        <v>1</v>
      </c>
      <c r="S69" s="6">
        <v>0</v>
      </c>
      <c r="T69" s="6">
        <v>1</v>
      </c>
      <c r="U69" s="6">
        <v>1</v>
      </c>
      <c r="V69" s="6">
        <v>6</v>
      </c>
      <c r="W69" s="6">
        <v>5</v>
      </c>
      <c r="X69" s="6">
        <v>5</v>
      </c>
      <c r="Y69" s="6">
        <v>0</v>
      </c>
      <c r="Z69" s="6">
        <v>6</v>
      </c>
      <c r="AA69" s="6">
        <v>17</v>
      </c>
      <c r="AB69" s="6">
        <v>3</v>
      </c>
      <c r="AC69" s="6">
        <v>8</v>
      </c>
      <c r="AD69" s="6">
        <v>3</v>
      </c>
      <c r="AE69" s="6">
        <v>1</v>
      </c>
      <c r="AF69" s="6">
        <v>4</v>
      </c>
      <c r="AG69" s="6">
        <v>4</v>
      </c>
      <c r="AH69" s="6">
        <v>10</v>
      </c>
      <c r="AI69" s="6">
        <v>28</v>
      </c>
      <c r="AJ69" s="6">
        <v>3</v>
      </c>
      <c r="AK69" s="6">
        <v>2</v>
      </c>
      <c r="AL69" s="6">
        <v>4</v>
      </c>
      <c r="AM69" s="6">
        <v>1</v>
      </c>
      <c r="AN69" s="6">
        <v>1</v>
      </c>
      <c r="AO69" s="6">
        <v>2</v>
      </c>
      <c r="AP69" s="6">
        <v>2</v>
      </c>
      <c r="AQ69" s="6">
        <v>1</v>
      </c>
      <c r="AR69" s="6">
        <v>4</v>
      </c>
      <c r="AS69" s="6">
        <v>0</v>
      </c>
      <c r="AT69" s="6">
        <v>1</v>
      </c>
      <c r="AU69" s="6">
        <v>4</v>
      </c>
      <c r="AV69" s="6">
        <v>7</v>
      </c>
      <c r="AW69" s="6">
        <v>6</v>
      </c>
      <c r="AX69" s="6">
        <v>7</v>
      </c>
      <c r="AY69" s="6">
        <v>3</v>
      </c>
      <c r="AZ69" s="6">
        <v>6</v>
      </c>
      <c r="BA69" s="6">
        <v>5</v>
      </c>
      <c r="BB69" s="6">
        <v>4</v>
      </c>
      <c r="BC69" s="6">
        <v>4</v>
      </c>
      <c r="BD69" s="6">
        <v>8</v>
      </c>
      <c r="BE69" s="6">
        <v>15</v>
      </c>
      <c r="BF69" s="6">
        <v>1</v>
      </c>
      <c r="BG69" s="6">
        <v>3</v>
      </c>
      <c r="BH69" s="6">
        <v>3</v>
      </c>
      <c r="BI69" s="6">
        <v>5</v>
      </c>
      <c r="BJ69" s="6">
        <v>4</v>
      </c>
      <c r="BK69" s="5">
        <f t="shared" ref="BK69:BK79" si="58">SUM(E69:BJ69)</f>
        <v>227</v>
      </c>
    </row>
    <row r="70" spans="1:63" x14ac:dyDescent="0.4">
      <c r="A70" s="11" t="s">
        <v>50</v>
      </c>
      <c r="B70" s="52"/>
      <c r="C70" s="24" t="s">
        <v>140</v>
      </c>
      <c r="D70" s="50"/>
      <c r="E70" s="6">
        <v>2</v>
      </c>
      <c r="F70" s="6">
        <v>3</v>
      </c>
      <c r="G70" s="6">
        <v>2</v>
      </c>
      <c r="H70" s="6">
        <v>1</v>
      </c>
      <c r="I70" s="6">
        <v>1</v>
      </c>
      <c r="J70" s="6">
        <v>8</v>
      </c>
      <c r="K70" s="6">
        <v>4</v>
      </c>
      <c r="L70" s="6">
        <v>3</v>
      </c>
      <c r="M70" s="6">
        <v>0</v>
      </c>
      <c r="N70" s="6">
        <v>1</v>
      </c>
      <c r="O70" s="6">
        <v>3</v>
      </c>
      <c r="P70" s="6">
        <v>5</v>
      </c>
      <c r="Q70" s="6">
        <v>1</v>
      </c>
      <c r="R70" s="6">
        <v>0</v>
      </c>
      <c r="S70" s="6">
        <v>2</v>
      </c>
      <c r="T70" s="6">
        <v>1</v>
      </c>
      <c r="U70" s="6">
        <v>1</v>
      </c>
      <c r="V70" s="6">
        <v>5</v>
      </c>
      <c r="W70" s="6">
        <v>3</v>
      </c>
      <c r="X70" s="6">
        <v>3</v>
      </c>
      <c r="Y70" s="6">
        <v>5</v>
      </c>
      <c r="Z70" s="6">
        <v>2</v>
      </c>
      <c r="AA70" s="6">
        <v>3</v>
      </c>
      <c r="AB70" s="6">
        <v>4</v>
      </c>
      <c r="AC70" s="6">
        <v>6</v>
      </c>
      <c r="AD70" s="6">
        <v>6</v>
      </c>
      <c r="AE70" s="6">
        <v>5</v>
      </c>
      <c r="AF70" s="6">
        <v>0</v>
      </c>
      <c r="AG70" s="6">
        <v>5</v>
      </c>
      <c r="AH70" s="6">
        <v>4</v>
      </c>
      <c r="AI70" s="6">
        <v>11</v>
      </c>
      <c r="AJ70" s="6">
        <v>0</v>
      </c>
      <c r="AK70" s="6">
        <v>2</v>
      </c>
      <c r="AL70" s="6">
        <v>1</v>
      </c>
      <c r="AM70" s="6">
        <v>3</v>
      </c>
      <c r="AN70" s="6">
        <v>2</v>
      </c>
      <c r="AO70" s="6">
        <v>0</v>
      </c>
      <c r="AP70" s="6">
        <v>1</v>
      </c>
      <c r="AQ70" s="6">
        <v>1</v>
      </c>
      <c r="AR70" s="6">
        <v>3</v>
      </c>
      <c r="AS70" s="6">
        <v>4</v>
      </c>
      <c r="AT70" s="6">
        <v>1</v>
      </c>
      <c r="AU70" s="6">
        <v>3</v>
      </c>
      <c r="AV70" s="6">
        <v>3</v>
      </c>
      <c r="AW70" s="6">
        <v>2</v>
      </c>
      <c r="AX70" s="6">
        <v>5</v>
      </c>
      <c r="AY70" s="6">
        <v>5</v>
      </c>
      <c r="AZ70" s="6">
        <v>1</v>
      </c>
      <c r="BA70" s="6">
        <v>4</v>
      </c>
      <c r="BB70" s="6">
        <v>0</v>
      </c>
      <c r="BC70" s="6">
        <v>10</v>
      </c>
      <c r="BD70" s="6">
        <v>15</v>
      </c>
      <c r="BE70" s="6">
        <v>7</v>
      </c>
      <c r="BF70" s="6">
        <v>4</v>
      </c>
      <c r="BG70" s="6">
        <v>5</v>
      </c>
      <c r="BH70" s="6">
        <v>8</v>
      </c>
      <c r="BI70" s="6">
        <v>1</v>
      </c>
      <c r="BJ70" s="6">
        <v>0</v>
      </c>
      <c r="BK70" s="5">
        <f t="shared" si="58"/>
        <v>191</v>
      </c>
    </row>
    <row r="71" spans="1:63" x14ac:dyDescent="0.4">
      <c r="A71" s="7"/>
      <c r="B71" s="52"/>
      <c r="C71" s="24" t="s">
        <v>141</v>
      </c>
      <c r="D71" s="50"/>
      <c r="E71" s="6">
        <v>0</v>
      </c>
      <c r="F71" s="6">
        <v>2</v>
      </c>
      <c r="G71" s="6">
        <v>1</v>
      </c>
      <c r="H71" s="6">
        <v>1</v>
      </c>
      <c r="I71" s="6">
        <v>1</v>
      </c>
      <c r="J71" s="6">
        <v>1</v>
      </c>
      <c r="K71" s="6">
        <v>0</v>
      </c>
      <c r="L71" s="6">
        <v>0</v>
      </c>
      <c r="M71" s="6">
        <v>1</v>
      </c>
      <c r="N71" s="6">
        <v>0</v>
      </c>
      <c r="O71" s="6">
        <v>2</v>
      </c>
      <c r="P71" s="6">
        <v>3</v>
      </c>
      <c r="Q71" s="6">
        <v>0</v>
      </c>
      <c r="R71" s="6">
        <v>0</v>
      </c>
      <c r="S71" s="6">
        <v>0</v>
      </c>
      <c r="T71" s="6">
        <v>0</v>
      </c>
      <c r="U71" s="6">
        <v>1</v>
      </c>
      <c r="V71" s="6">
        <v>1</v>
      </c>
      <c r="W71" s="6">
        <v>0</v>
      </c>
      <c r="X71" s="6">
        <v>3</v>
      </c>
      <c r="Y71" s="6">
        <v>1</v>
      </c>
      <c r="Z71" s="6">
        <v>0</v>
      </c>
      <c r="AA71" s="6">
        <v>35</v>
      </c>
      <c r="AB71" s="6">
        <v>3</v>
      </c>
      <c r="AC71" s="6">
        <v>1</v>
      </c>
      <c r="AD71" s="6">
        <v>0</v>
      </c>
      <c r="AE71" s="6">
        <v>0</v>
      </c>
      <c r="AF71" s="6">
        <v>3</v>
      </c>
      <c r="AG71" s="6">
        <v>1</v>
      </c>
      <c r="AH71" s="6">
        <v>2</v>
      </c>
      <c r="AI71" s="6">
        <v>6</v>
      </c>
      <c r="AJ71" s="6">
        <v>1</v>
      </c>
      <c r="AK71" s="6">
        <v>2</v>
      </c>
      <c r="AL71" s="6">
        <v>1</v>
      </c>
      <c r="AM71" s="6">
        <v>1</v>
      </c>
      <c r="AN71" s="6">
        <v>0</v>
      </c>
      <c r="AO71" s="6">
        <v>0</v>
      </c>
      <c r="AP71" s="6">
        <v>0</v>
      </c>
      <c r="AQ71" s="6">
        <v>1</v>
      </c>
      <c r="AR71" s="6">
        <v>1</v>
      </c>
      <c r="AS71" s="6">
        <v>1</v>
      </c>
      <c r="AT71" s="6">
        <v>2</v>
      </c>
      <c r="AU71" s="6">
        <v>0</v>
      </c>
      <c r="AV71" s="6">
        <v>0</v>
      </c>
      <c r="AW71" s="6">
        <v>0</v>
      </c>
      <c r="AX71" s="6">
        <v>2</v>
      </c>
      <c r="AY71" s="6">
        <v>0</v>
      </c>
      <c r="AZ71" s="6">
        <v>0</v>
      </c>
      <c r="BA71" s="6">
        <v>1</v>
      </c>
      <c r="BB71" s="6">
        <v>0</v>
      </c>
      <c r="BC71" s="6">
        <v>4</v>
      </c>
      <c r="BD71" s="6">
        <v>3</v>
      </c>
      <c r="BE71" s="6">
        <v>3</v>
      </c>
      <c r="BF71" s="6">
        <v>0</v>
      </c>
      <c r="BG71" s="6">
        <v>2</v>
      </c>
      <c r="BH71" s="6">
        <v>0</v>
      </c>
      <c r="BI71" s="6">
        <v>0</v>
      </c>
      <c r="BJ71" s="6">
        <v>0</v>
      </c>
      <c r="BK71" s="5">
        <f t="shared" si="58"/>
        <v>94</v>
      </c>
    </row>
    <row r="72" spans="1:63" x14ac:dyDescent="0.4">
      <c r="A72" s="7"/>
      <c r="B72" s="52"/>
      <c r="C72" s="24" t="s">
        <v>142</v>
      </c>
      <c r="D72" s="50"/>
      <c r="E72" s="6">
        <v>0</v>
      </c>
      <c r="F72" s="6">
        <v>2</v>
      </c>
      <c r="G72" s="6">
        <v>0</v>
      </c>
      <c r="H72" s="6">
        <v>1</v>
      </c>
      <c r="I72" s="6">
        <v>0</v>
      </c>
      <c r="J72" s="6">
        <v>0</v>
      </c>
      <c r="K72" s="6">
        <v>3</v>
      </c>
      <c r="L72" s="6">
        <v>1</v>
      </c>
      <c r="M72" s="6">
        <v>0</v>
      </c>
      <c r="N72" s="6">
        <v>0</v>
      </c>
      <c r="O72" s="6">
        <v>0</v>
      </c>
      <c r="P72" s="6">
        <v>5</v>
      </c>
      <c r="Q72" s="6">
        <v>3</v>
      </c>
      <c r="R72" s="6">
        <v>1</v>
      </c>
      <c r="S72" s="6">
        <v>0</v>
      </c>
      <c r="T72" s="6">
        <v>0</v>
      </c>
      <c r="U72" s="6">
        <v>1</v>
      </c>
      <c r="V72" s="6">
        <v>2</v>
      </c>
      <c r="W72" s="6">
        <v>2</v>
      </c>
      <c r="X72" s="6">
        <v>4</v>
      </c>
      <c r="Y72" s="6">
        <v>0</v>
      </c>
      <c r="Z72" s="6">
        <v>0</v>
      </c>
      <c r="AA72" s="6">
        <v>3</v>
      </c>
      <c r="AB72" s="6">
        <v>2</v>
      </c>
      <c r="AC72" s="6">
        <v>3</v>
      </c>
      <c r="AD72" s="6">
        <v>3</v>
      </c>
      <c r="AE72" s="6">
        <v>1</v>
      </c>
      <c r="AF72" s="6">
        <v>5</v>
      </c>
      <c r="AG72" s="6">
        <v>6</v>
      </c>
      <c r="AH72" s="6">
        <v>7</v>
      </c>
      <c r="AI72" s="6">
        <v>4</v>
      </c>
      <c r="AJ72" s="6">
        <v>3</v>
      </c>
      <c r="AK72" s="6">
        <v>0</v>
      </c>
      <c r="AL72" s="6">
        <v>2</v>
      </c>
      <c r="AM72" s="6">
        <v>0</v>
      </c>
      <c r="AN72" s="6">
        <v>1</v>
      </c>
      <c r="AO72" s="6">
        <v>0</v>
      </c>
      <c r="AP72" s="6">
        <v>1</v>
      </c>
      <c r="AQ72" s="6">
        <v>2</v>
      </c>
      <c r="AR72" s="6">
        <v>4</v>
      </c>
      <c r="AS72" s="6">
        <v>0</v>
      </c>
      <c r="AT72" s="6">
        <v>0</v>
      </c>
      <c r="AU72" s="6">
        <v>1</v>
      </c>
      <c r="AV72" s="6">
        <v>2</v>
      </c>
      <c r="AW72" s="6">
        <v>4</v>
      </c>
      <c r="AX72" s="6">
        <v>4</v>
      </c>
      <c r="AY72" s="6">
        <v>2</v>
      </c>
      <c r="AZ72" s="6">
        <v>3</v>
      </c>
      <c r="BA72" s="6">
        <v>2</v>
      </c>
      <c r="BB72" s="6">
        <v>2</v>
      </c>
      <c r="BC72" s="6">
        <v>3</v>
      </c>
      <c r="BD72" s="6">
        <v>0</v>
      </c>
      <c r="BE72" s="6">
        <v>3</v>
      </c>
      <c r="BF72" s="6">
        <v>0</v>
      </c>
      <c r="BG72" s="6">
        <v>0</v>
      </c>
      <c r="BH72" s="6">
        <v>0</v>
      </c>
      <c r="BI72" s="6">
        <v>3</v>
      </c>
      <c r="BJ72" s="6">
        <v>0</v>
      </c>
      <c r="BK72" s="5">
        <f t="shared" si="58"/>
        <v>101</v>
      </c>
    </row>
    <row r="73" spans="1:63" x14ac:dyDescent="0.4">
      <c r="A73" s="7"/>
      <c r="B73" s="52"/>
      <c r="C73" s="24" t="s">
        <v>143</v>
      </c>
      <c r="D73" s="50"/>
      <c r="E73" s="6">
        <v>0</v>
      </c>
      <c r="F73" s="6">
        <v>0</v>
      </c>
      <c r="G73" s="6">
        <v>0</v>
      </c>
      <c r="H73" s="6">
        <v>0</v>
      </c>
      <c r="I73" s="6">
        <v>2</v>
      </c>
      <c r="J73" s="6">
        <v>2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3</v>
      </c>
      <c r="Q73" s="6">
        <v>2</v>
      </c>
      <c r="R73" s="6">
        <v>0</v>
      </c>
      <c r="S73" s="6">
        <v>0</v>
      </c>
      <c r="T73" s="6">
        <v>0</v>
      </c>
      <c r="U73" s="6">
        <v>3</v>
      </c>
      <c r="V73" s="6">
        <v>0</v>
      </c>
      <c r="W73" s="6">
        <v>1</v>
      </c>
      <c r="X73" s="6">
        <v>1</v>
      </c>
      <c r="Y73" s="6">
        <v>3</v>
      </c>
      <c r="Z73" s="6">
        <v>0</v>
      </c>
      <c r="AA73" s="6">
        <v>9</v>
      </c>
      <c r="AB73" s="6">
        <v>7</v>
      </c>
      <c r="AC73" s="6">
        <v>13</v>
      </c>
      <c r="AD73" s="6">
        <v>2</v>
      </c>
      <c r="AE73" s="6">
        <v>1</v>
      </c>
      <c r="AF73" s="6">
        <v>8</v>
      </c>
      <c r="AG73" s="6">
        <v>3</v>
      </c>
      <c r="AH73" s="6">
        <v>3</v>
      </c>
      <c r="AI73" s="6">
        <v>3</v>
      </c>
      <c r="AJ73" s="6">
        <v>1</v>
      </c>
      <c r="AK73" s="6">
        <v>4</v>
      </c>
      <c r="AL73" s="6">
        <v>1</v>
      </c>
      <c r="AM73" s="6">
        <v>0</v>
      </c>
      <c r="AN73" s="6">
        <v>0</v>
      </c>
      <c r="AO73" s="6">
        <v>6</v>
      </c>
      <c r="AP73" s="6">
        <v>1</v>
      </c>
      <c r="AQ73" s="6">
        <v>2</v>
      </c>
      <c r="AR73" s="6">
        <v>2</v>
      </c>
      <c r="AS73" s="6">
        <v>1</v>
      </c>
      <c r="AT73" s="6">
        <v>7</v>
      </c>
      <c r="AU73" s="6">
        <v>1</v>
      </c>
      <c r="AV73" s="6">
        <v>2</v>
      </c>
      <c r="AW73" s="6">
        <v>0</v>
      </c>
      <c r="AX73" s="6">
        <v>3</v>
      </c>
      <c r="AY73" s="6">
        <v>0</v>
      </c>
      <c r="AZ73" s="6">
        <v>1</v>
      </c>
      <c r="BA73" s="6">
        <v>5</v>
      </c>
      <c r="BB73" s="6">
        <v>1</v>
      </c>
      <c r="BC73" s="6">
        <v>0</v>
      </c>
      <c r="BD73" s="6">
        <v>7</v>
      </c>
      <c r="BE73" s="6">
        <v>3</v>
      </c>
      <c r="BF73" s="6">
        <v>0</v>
      </c>
      <c r="BG73" s="6">
        <v>0</v>
      </c>
      <c r="BH73" s="6">
        <v>11</v>
      </c>
      <c r="BI73" s="6">
        <v>48</v>
      </c>
      <c r="BJ73" s="6">
        <v>4</v>
      </c>
      <c r="BK73" s="5">
        <f t="shared" si="58"/>
        <v>182</v>
      </c>
    </row>
    <row r="74" spans="1:63" ht="13.15" customHeight="1" x14ac:dyDescent="0.4">
      <c r="A74" s="7"/>
      <c r="B74" s="52"/>
      <c r="C74" s="24" t="s">
        <v>144</v>
      </c>
      <c r="D74" s="50"/>
      <c r="E74" s="6">
        <v>0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3</v>
      </c>
      <c r="L74" s="6">
        <v>0</v>
      </c>
      <c r="M74" s="6">
        <v>0</v>
      </c>
      <c r="N74" s="6">
        <v>0</v>
      </c>
      <c r="O74" s="6">
        <v>1</v>
      </c>
      <c r="P74" s="6">
        <v>2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6">
        <v>0</v>
      </c>
      <c r="Z74" s="6">
        <v>2</v>
      </c>
      <c r="AA74" s="6">
        <v>0</v>
      </c>
      <c r="AB74" s="6">
        <v>3</v>
      </c>
      <c r="AC74" s="6">
        <v>3</v>
      </c>
      <c r="AD74" s="6">
        <v>0</v>
      </c>
      <c r="AE74" s="6">
        <v>0</v>
      </c>
      <c r="AF74" s="6">
        <v>0</v>
      </c>
      <c r="AG74" s="6">
        <v>2</v>
      </c>
      <c r="AH74" s="6">
        <v>1</v>
      </c>
      <c r="AI74" s="6">
        <v>2</v>
      </c>
      <c r="AJ74" s="6">
        <v>2</v>
      </c>
      <c r="AK74" s="6">
        <v>1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2</v>
      </c>
      <c r="AS74" s="6">
        <v>0</v>
      </c>
      <c r="AT74" s="6">
        <v>0</v>
      </c>
      <c r="AU74" s="6">
        <v>0</v>
      </c>
      <c r="AV74" s="6">
        <v>0</v>
      </c>
      <c r="AW74" s="6">
        <v>4</v>
      </c>
      <c r="AX74" s="6">
        <v>2</v>
      </c>
      <c r="AY74" s="6">
        <v>0</v>
      </c>
      <c r="AZ74" s="6">
        <v>1</v>
      </c>
      <c r="BA74" s="6">
        <v>1</v>
      </c>
      <c r="BB74" s="6">
        <v>1</v>
      </c>
      <c r="BC74" s="6">
        <v>0</v>
      </c>
      <c r="BD74" s="6">
        <v>2</v>
      </c>
      <c r="BE74" s="6">
        <v>0</v>
      </c>
      <c r="BF74" s="6">
        <v>0</v>
      </c>
      <c r="BG74" s="6">
        <v>0</v>
      </c>
      <c r="BH74" s="6">
        <v>0</v>
      </c>
      <c r="BI74" s="6">
        <v>1</v>
      </c>
      <c r="BJ74" s="6">
        <v>0</v>
      </c>
      <c r="BK74" s="5">
        <f t="shared" si="58"/>
        <v>38</v>
      </c>
    </row>
    <row r="75" spans="1:63" x14ac:dyDescent="0.4">
      <c r="A75" s="7"/>
      <c r="B75" s="52"/>
      <c r="C75" s="24" t="s">
        <v>145</v>
      </c>
      <c r="D75" s="50"/>
      <c r="E75" s="6">
        <v>0</v>
      </c>
      <c r="F75" s="6">
        <v>1</v>
      </c>
      <c r="G75" s="6">
        <v>1</v>
      </c>
      <c r="H75" s="6">
        <v>0</v>
      </c>
      <c r="I75" s="6">
        <v>2</v>
      </c>
      <c r="J75" s="6">
        <v>0</v>
      </c>
      <c r="K75" s="6">
        <v>0</v>
      </c>
      <c r="L75" s="6">
        <v>2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1</v>
      </c>
      <c r="AD75" s="6">
        <v>0</v>
      </c>
      <c r="AE75" s="6">
        <v>2</v>
      </c>
      <c r="AF75" s="6">
        <v>5</v>
      </c>
      <c r="AG75" s="6">
        <v>1</v>
      </c>
      <c r="AH75" s="6">
        <v>1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1</v>
      </c>
      <c r="AQ75" s="6">
        <v>0</v>
      </c>
      <c r="AR75" s="6">
        <v>0</v>
      </c>
      <c r="AS75" s="6">
        <v>0</v>
      </c>
      <c r="AT75" s="6">
        <v>0</v>
      </c>
      <c r="AU75" s="6">
        <v>1</v>
      </c>
      <c r="AV75" s="6">
        <v>0</v>
      </c>
      <c r="AW75" s="6">
        <v>0</v>
      </c>
      <c r="AX75" s="6">
        <v>1</v>
      </c>
      <c r="AY75" s="6">
        <v>1</v>
      </c>
      <c r="AZ75" s="6">
        <v>0</v>
      </c>
      <c r="BA75" s="6">
        <v>1</v>
      </c>
      <c r="BB75" s="6">
        <v>0</v>
      </c>
      <c r="BC75" s="6">
        <v>1</v>
      </c>
      <c r="BD75" s="6">
        <v>3</v>
      </c>
      <c r="BE75" s="6">
        <v>3</v>
      </c>
      <c r="BF75" s="6">
        <v>0</v>
      </c>
      <c r="BG75" s="6">
        <v>0</v>
      </c>
      <c r="BH75" s="6">
        <v>0</v>
      </c>
      <c r="BI75" s="6">
        <v>1</v>
      </c>
      <c r="BJ75" s="6">
        <v>0</v>
      </c>
      <c r="BK75" s="5">
        <f t="shared" si="58"/>
        <v>30</v>
      </c>
    </row>
    <row r="76" spans="1:63" x14ac:dyDescent="0.4">
      <c r="A76" s="7"/>
      <c r="B76" s="52"/>
      <c r="C76" s="24" t="s">
        <v>146</v>
      </c>
      <c r="D76" s="50"/>
      <c r="E76" s="6">
        <v>0</v>
      </c>
      <c r="F76" s="6">
        <v>0</v>
      </c>
      <c r="G76" s="6">
        <v>2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1</v>
      </c>
      <c r="X76" s="6">
        <v>0</v>
      </c>
      <c r="Y76" s="6">
        <v>1</v>
      </c>
      <c r="Z76" s="6">
        <v>0</v>
      </c>
      <c r="AA76" s="6">
        <v>1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1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1</v>
      </c>
      <c r="BI76" s="6">
        <v>0</v>
      </c>
      <c r="BJ76" s="6">
        <v>0</v>
      </c>
      <c r="BK76" s="5">
        <f t="shared" si="58"/>
        <v>7</v>
      </c>
    </row>
    <row r="77" spans="1:63" x14ac:dyDescent="0.4">
      <c r="A77" s="7"/>
      <c r="B77" s="52"/>
      <c r="C77" s="24" t="s">
        <v>147</v>
      </c>
      <c r="D77" s="50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1</v>
      </c>
      <c r="Z77" s="6">
        <v>0</v>
      </c>
      <c r="AA77" s="6">
        <v>0</v>
      </c>
      <c r="AB77" s="6">
        <v>0</v>
      </c>
      <c r="AC77" s="6">
        <v>1</v>
      </c>
      <c r="AD77" s="6">
        <v>1</v>
      </c>
      <c r="AE77" s="6">
        <v>0</v>
      </c>
      <c r="AF77" s="6">
        <v>0</v>
      </c>
      <c r="AG77" s="6">
        <v>0</v>
      </c>
      <c r="AH77" s="6">
        <v>1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2</v>
      </c>
      <c r="AU77" s="6">
        <v>0</v>
      </c>
      <c r="AV77" s="6">
        <v>1</v>
      </c>
      <c r="AW77" s="6">
        <v>0</v>
      </c>
      <c r="AX77" s="6">
        <v>0</v>
      </c>
      <c r="AY77" s="6">
        <v>1</v>
      </c>
      <c r="AZ77" s="6">
        <v>1</v>
      </c>
      <c r="BA77" s="6">
        <v>0</v>
      </c>
      <c r="BB77" s="6">
        <v>0</v>
      </c>
      <c r="BC77" s="6">
        <v>1</v>
      </c>
      <c r="BD77" s="6">
        <v>0</v>
      </c>
      <c r="BE77" s="6">
        <v>1</v>
      </c>
      <c r="BF77" s="6">
        <v>0</v>
      </c>
      <c r="BG77" s="6">
        <v>1</v>
      </c>
      <c r="BH77" s="6">
        <v>0</v>
      </c>
      <c r="BI77" s="6">
        <v>0</v>
      </c>
      <c r="BJ77" s="6">
        <v>0</v>
      </c>
      <c r="BK77" s="5">
        <f t="shared" si="58"/>
        <v>14</v>
      </c>
    </row>
    <row r="78" spans="1:63" x14ac:dyDescent="0.4">
      <c r="A78" s="7"/>
      <c r="B78" s="52"/>
      <c r="C78" s="24" t="s">
        <v>148</v>
      </c>
      <c r="D78" s="50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2</v>
      </c>
      <c r="AH78" s="6">
        <v>0</v>
      </c>
      <c r="AI78" s="6">
        <v>1</v>
      </c>
      <c r="AJ78" s="6">
        <v>0</v>
      </c>
      <c r="AK78" s="6">
        <v>1</v>
      </c>
      <c r="AL78" s="6">
        <v>1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2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1</v>
      </c>
      <c r="BD78" s="6">
        <v>1</v>
      </c>
      <c r="BE78" s="6">
        <v>1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5">
        <f t="shared" si="58"/>
        <v>12</v>
      </c>
    </row>
    <row r="79" spans="1:63" x14ac:dyDescent="0.4">
      <c r="A79" s="6" t="s">
        <v>26</v>
      </c>
      <c r="B79" s="67" t="s">
        <v>51</v>
      </c>
      <c r="C79" s="83"/>
      <c r="D79" s="74"/>
      <c r="E79" s="5">
        <f t="shared" ref="E79:BK79" si="59">SUM(E69:E78)</f>
        <v>2</v>
      </c>
      <c r="F79" s="5">
        <f t="shared" si="59"/>
        <v>10</v>
      </c>
      <c r="G79" s="5">
        <f t="shared" si="59"/>
        <v>7</v>
      </c>
      <c r="H79" s="5">
        <f t="shared" si="59"/>
        <v>4</v>
      </c>
      <c r="I79" s="5">
        <f t="shared" si="59"/>
        <v>9</v>
      </c>
      <c r="J79" s="5">
        <f t="shared" si="59"/>
        <v>11</v>
      </c>
      <c r="K79" s="5">
        <f t="shared" si="59"/>
        <v>11</v>
      </c>
      <c r="L79" s="5">
        <f t="shared" si="59"/>
        <v>12</v>
      </c>
      <c r="M79" s="5">
        <f t="shared" si="59"/>
        <v>2</v>
      </c>
      <c r="N79" s="5">
        <f t="shared" si="59"/>
        <v>2</v>
      </c>
      <c r="O79" s="5">
        <f t="shared" si="59"/>
        <v>9</v>
      </c>
      <c r="P79" s="5">
        <f t="shared" si="59"/>
        <v>22</v>
      </c>
      <c r="Q79" s="5">
        <f t="shared" si="59"/>
        <v>11</v>
      </c>
      <c r="R79" s="5">
        <f t="shared" si="59"/>
        <v>2</v>
      </c>
      <c r="S79" s="5">
        <f t="shared" si="59"/>
        <v>2</v>
      </c>
      <c r="T79" s="5">
        <f t="shared" si="59"/>
        <v>2</v>
      </c>
      <c r="U79" s="5">
        <f t="shared" si="59"/>
        <v>7</v>
      </c>
      <c r="V79" s="5">
        <f t="shared" si="59"/>
        <v>14</v>
      </c>
      <c r="W79" s="5">
        <f t="shared" si="59"/>
        <v>13</v>
      </c>
      <c r="X79" s="5">
        <f t="shared" si="59"/>
        <v>16</v>
      </c>
      <c r="Y79" s="5">
        <f t="shared" si="59"/>
        <v>11</v>
      </c>
      <c r="Z79" s="5">
        <f t="shared" si="59"/>
        <v>10</v>
      </c>
      <c r="AA79" s="5">
        <f t="shared" si="59"/>
        <v>69</v>
      </c>
      <c r="AB79" s="5">
        <f t="shared" si="59"/>
        <v>22</v>
      </c>
      <c r="AC79" s="5">
        <f t="shared" si="59"/>
        <v>36</v>
      </c>
      <c r="AD79" s="5">
        <f t="shared" si="59"/>
        <v>15</v>
      </c>
      <c r="AE79" s="5">
        <f t="shared" si="59"/>
        <v>10</v>
      </c>
      <c r="AF79" s="5">
        <f t="shared" si="59"/>
        <v>25</v>
      </c>
      <c r="AG79" s="5">
        <f t="shared" si="59"/>
        <v>24</v>
      </c>
      <c r="AH79" s="5">
        <f t="shared" si="59"/>
        <v>29</v>
      </c>
      <c r="AI79" s="5">
        <f t="shared" si="59"/>
        <v>55</v>
      </c>
      <c r="AJ79" s="5">
        <f t="shared" si="59"/>
        <v>10</v>
      </c>
      <c r="AK79" s="5">
        <f t="shared" si="59"/>
        <v>12</v>
      </c>
      <c r="AL79" s="5">
        <f t="shared" si="59"/>
        <v>10</v>
      </c>
      <c r="AM79" s="5">
        <f t="shared" si="59"/>
        <v>5</v>
      </c>
      <c r="AN79" s="5">
        <f t="shared" si="59"/>
        <v>4</v>
      </c>
      <c r="AO79" s="5">
        <f t="shared" si="59"/>
        <v>9</v>
      </c>
      <c r="AP79" s="5">
        <f t="shared" si="59"/>
        <v>6</v>
      </c>
      <c r="AQ79" s="5">
        <f t="shared" si="59"/>
        <v>7</v>
      </c>
      <c r="AR79" s="5">
        <f t="shared" si="59"/>
        <v>16</v>
      </c>
      <c r="AS79" s="5">
        <f t="shared" si="59"/>
        <v>6</v>
      </c>
      <c r="AT79" s="5">
        <f t="shared" si="59"/>
        <v>13</v>
      </c>
      <c r="AU79" s="5">
        <f t="shared" si="59"/>
        <v>12</v>
      </c>
      <c r="AV79" s="5">
        <f t="shared" si="59"/>
        <v>15</v>
      </c>
      <c r="AW79" s="5">
        <f t="shared" si="59"/>
        <v>16</v>
      </c>
      <c r="AX79" s="5">
        <f t="shared" si="59"/>
        <v>24</v>
      </c>
      <c r="AY79" s="5">
        <f t="shared" si="59"/>
        <v>12</v>
      </c>
      <c r="AZ79" s="5">
        <f t="shared" si="59"/>
        <v>13</v>
      </c>
      <c r="BA79" s="5">
        <f t="shared" si="59"/>
        <v>19</v>
      </c>
      <c r="BB79" s="5">
        <f t="shared" si="59"/>
        <v>8</v>
      </c>
      <c r="BC79" s="5">
        <f t="shared" si="59"/>
        <v>24</v>
      </c>
      <c r="BD79" s="5">
        <f t="shared" si="59"/>
        <v>39</v>
      </c>
      <c r="BE79" s="5">
        <f t="shared" si="59"/>
        <v>36</v>
      </c>
      <c r="BF79" s="5">
        <f t="shared" si="59"/>
        <v>5</v>
      </c>
      <c r="BG79" s="5">
        <f t="shared" si="59"/>
        <v>11</v>
      </c>
      <c r="BH79" s="5">
        <f t="shared" si="59"/>
        <v>23</v>
      </c>
      <c r="BI79" s="5">
        <f t="shared" si="59"/>
        <v>59</v>
      </c>
      <c r="BJ79" s="5">
        <f t="shared" si="59"/>
        <v>8</v>
      </c>
      <c r="BK79" s="5">
        <f>SUM(BK69:BK78)</f>
        <v>896</v>
      </c>
    </row>
    <row r="80" spans="1:63" x14ac:dyDescent="0.4">
      <c r="A80" s="84"/>
      <c r="B80" s="85"/>
      <c r="C80" s="85"/>
      <c r="D80" s="85"/>
      <c r="E80" s="85"/>
    </row>
    <row r="81" spans="1:63" x14ac:dyDescent="0.4">
      <c r="A81" s="11" t="s">
        <v>48</v>
      </c>
      <c r="B81" s="17" t="s">
        <v>34</v>
      </c>
      <c r="C81" s="73" t="s">
        <v>54</v>
      </c>
      <c r="D81" s="74"/>
      <c r="E81" s="6">
        <v>3</v>
      </c>
      <c r="F81" s="6">
        <v>1</v>
      </c>
      <c r="G81" s="6">
        <v>4</v>
      </c>
      <c r="H81" s="6">
        <v>1</v>
      </c>
      <c r="I81" s="6">
        <v>4</v>
      </c>
      <c r="J81" s="6">
        <v>4</v>
      </c>
      <c r="K81" s="6">
        <v>9</v>
      </c>
      <c r="L81" s="6">
        <v>0</v>
      </c>
      <c r="M81" s="6">
        <v>7</v>
      </c>
      <c r="N81" s="6">
        <v>0</v>
      </c>
      <c r="O81" s="6">
        <v>6</v>
      </c>
      <c r="P81" s="6">
        <v>7</v>
      </c>
      <c r="Q81" s="6">
        <v>6</v>
      </c>
      <c r="R81" s="6">
        <v>6</v>
      </c>
      <c r="S81" s="6">
        <v>29</v>
      </c>
      <c r="T81" s="6">
        <v>14</v>
      </c>
      <c r="U81" s="6">
        <v>3</v>
      </c>
      <c r="V81" s="6">
        <v>10</v>
      </c>
      <c r="W81" s="6">
        <v>2</v>
      </c>
      <c r="X81" s="6">
        <v>7</v>
      </c>
      <c r="Y81" s="6">
        <v>6</v>
      </c>
      <c r="Z81" s="6">
        <v>6</v>
      </c>
      <c r="AA81" s="6">
        <v>22</v>
      </c>
      <c r="AB81" s="6">
        <v>17</v>
      </c>
      <c r="AC81" s="6">
        <v>3</v>
      </c>
      <c r="AD81" s="6">
        <v>5</v>
      </c>
      <c r="AE81" s="6">
        <v>8</v>
      </c>
      <c r="AF81" s="6">
        <v>3</v>
      </c>
      <c r="AG81" s="6">
        <v>4</v>
      </c>
      <c r="AH81" s="6">
        <v>8</v>
      </c>
      <c r="AI81" s="6">
        <v>3</v>
      </c>
      <c r="AJ81" s="6">
        <v>4</v>
      </c>
      <c r="AK81" s="6">
        <v>6</v>
      </c>
      <c r="AL81" s="6">
        <v>9</v>
      </c>
      <c r="AM81" s="6">
        <v>7</v>
      </c>
      <c r="AN81" s="6">
        <v>9</v>
      </c>
      <c r="AO81" s="6">
        <v>2</v>
      </c>
      <c r="AP81" s="6">
        <v>4</v>
      </c>
      <c r="AQ81" s="6">
        <v>7</v>
      </c>
      <c r="AR81" s="6">
        <v>2</v>
      </c>
      <c r="AS81" s="6">
        <v>5</v>
      </c>
      <c r="AT81" s="6">
        <v>4</v>
      </c>
      <c r="AU81" s="6">
        <v>3</v>
      </c>
      <c r="AV81" s="6">
        <v>4</v>
      </c>
      <c r="AW81" s="6">
        <v>7</v>
      </c>
      <c r="AX81" s="6">
        <v>6</v>
      </c>
      <c r="AY81" s="6">
        <v>22</v>
      </c>
      <c r="AZ81" s="6">
        <v>3</v>
      </c>
      <c r="BA81" s="6">
        <v>9</v>
      </c>
      <c r="BB81" s="6">
        <v>14</v>
      </c>
      <c r="BC81" s="6">
        <v>7</v>
      </c>
      <c r="BD81" s="6">
        <v>12</v>
      </c>
      <c r="BE81" s="6">
        <v>7</v>
      </c>
      <c r="BF81" s="6">
        <v>6</v>
      </c>
      <c r="BG81" s="6">
        <v>5</v>
      </c>
      <c r="BH81" s="6">
        <v>7</v>
      </c>
      <c r="BI81" s="6">
        <v>1</v>
      </c>
      <c r="BJ81" s="6">
        <v>2</v>
      </c>
      <c r="BK81" s="5">
        <f t="shared" ref="BK81:BK91" si="60">SUM(E81:BJ81)</f>
        <v>382</v>
      </c>
    </row>
    <row r="82" spans="1:63" x14ac:dyDescent="0.4">
      <c r="A82" s="11" t="s">
        <v>50</v>
      </c>
      <c r="B82" s="52"/>
      <c r="C82" s="24" t="s">
        <v>149</v>
      </c>
      <c r="D82" s="50"/>
      <c r="E82" s="6">
        <v>10</v>
      </c>
      <c r="F82" s="6">
        <v>7</v>
      </c>
      <c r="G82" s="6">
        <v>5</v>
      </c>
      <c r="H82" s="6">
        <v>14</v>
      </c>
      <c r="I82" s="6">
        <v>26</v>
      </c>
      <c r="J82" s="6">
        <v>10</v>
      </c>
      <c r="K82" s="6">
        <v>12</v>
      </c>
      <c r="L82" s="6">
        <v>7</v>
      </c>
      <c r="M82" s="6">
        <v>15</v>
      </c>
      <c r="N82" s="6">
        <v>2</v>
      </c>
      <c r="O82" s="6">
        <v>5</v>
      </c>
      <c r="P82" s="6">
        <v>12</v>
      </c>
      <c r="Q82" s="6">
        <v>10</v>
      </c>
      <c r="R82" s="6">
        <v>11</v>
      </c>
      <c r="S82" s="6">
        <v>64</v>
      </c>
      <c r="T82" s="6">
        <v>54</v>
      </c>
      <c r="U82" s="6">
        <v>9</v>
      </c>
      <c r="V82" s="6">
        <v>12</v>
      </c>
      <c r="W82" s="6">
        <v>5</v>
      </c>
      <c r="X82" s="6">
        <v>16</v>
      </c>
      <c r="Y82" s="6">
        <v>21</v>
      </c>
      <c r="Z82" s="6">
        <v>7</v>
      </c>
      <c r="AA82" s="6">
        <v>29</v>
      </c>
      <c r="AB82" s="6">
        <v>13</v>
      </c>
      <c r="AC82" s="6">
        <v>17</v>
      </c>
      <c r="AD82" s="6">
        <v>7</v>
      </c>
      <c r="AE82" s="6">
        <v>12</v>
      </c>
      <c r="AF82" s="6">
        <v>8</v>
      </c>
      <c r="AG82" s="6">
        <v>10</v>
      </c>
      <c r="AH82" s="6">
        <v>6</v>
      </c>
      <c r="AI82" s="6">
        <v>1</v>
      </c>
      <c r="AJ82" s="6">
        <v>3</v>
      </c>
      <c r="AK82" s="6">
        <v>0</v>
      </c>
      <c r="AL82" s="6">
        <v>25</v>
      </c>
      <c r="AM82" s="6">
        <v>10</v>
      </c>
      <c r="AN82" s="6">
        <v>11</v>
      </c>
      <c r="AO82" s="6">
        <v>5</v>
      </c>
      <c r="AP82" s="6">
        <v>13</v>
      </c>
      <c r="AQ82" s="6">
        <v>5</v>
      </c>
      <c r="AR82" s="6">
        <v>4</v>
      </c>
      <c r="AS82" s="6">
        <v>22</v>
      </c>
      <c r="AT82" s="6">
        <v>20</v>
      </c>
      <c r="AU82" s="6">
        <v>29</v>
      </c>
      <c r="AV82" s="6">
        <v>9</v>
      </c>
      <c r="AW82" s="6">
        <v>11</v>
      </c>
      <c r="AX82" s="6">
        <v>14</v>
      </c>
      <c r="AY82" s="6">
        <v>22</v>
      </c>
      <c r="AZ82" s="6">
        <v>10</v>
      </c>
      <c r="BA82" s="6">
        <v>15</v>
      </c>
      <c r="BB82" s="6">
        <v>6</v>
      </c>
      <c r="BC82" s="6">
        <v>11</v>
      </c>
      <c r="BD82" s="6">
        <v>8</v>
      </c>
      <c r="BE82" s="6">
        <v>5</v>
      </c>
      <c r="BF82" s="6">
        <v>10</v>
      </c>
      <c r="BG82" s="6">
        <v>1</v>
      </c>
      <c r="BH82" s="6">
        <v>5</v>
      </c>
      <c r="BI82" s="6">
        <v>17</v>
      </c>
      <c r="BJ82" s="6">
        <v>7</v>
      </c>
      <c r="BK82" s="5">
        <f t="shared" si="60"/>
        <v>735</v>
      </c>
    </row>
    <row r="83" spans="1:63" x14ac:dyDescent="0.4">
      <c r="A83" s="7"/>
      <c r="B83" s="52"/>
      <c r="C83" s="24" t="s">
        <v>150</v>
      </c>
      <c r="D83" s="50"/>
      <c r="E83" s="6">
        <v>1</v>
      </c>
      <c r="F83" s="6">
        <v>1</v>
      </c>
      <c r="G83" s="6">
        <v>0</v>
      </c>
      <c r="H83" s="6">
        <v>0</v>
      </c>
      <c r="I83" s="6">
        <v>0</v>
      </c>
      <c r="J83" s="6">
        <v>6</v>
      </c>
      <c r="K83" s="6">
        <v>0</v>
      </c>
      <c r="L83" s="6">
        <v>2</v>
      </c>
      <c r="M83" s="6">
        <v>1</v>
      </c>
      <c r="N83" s="6">
        <v>0</v>
      </c>
      <c r="O83" s="6">
        <v>4</v>
      </c>
      <c r="P83" s="6">
        <v>1</v>
      </c>
      <c r="Q83" s="6">
        <v>1</v>
      </c>
      <c r="R83" s="6">
        <v>0</v>
      </c>
      <c r="S83" s="6">
        <v>2</v>
      </c>
      <c r="T83" s="6">
        <v>0</v>
      </c>
      <c r="U83" s="6">
        <v>1</v>
      </c>
      <c r="V83" s="6">
        <v>1</v>
      </c>
      <c r="W83" s="6">
        <v>1</v>
      </c>
      <c r="X83" s="6">
        <v>2</v>
      </c>
      <c r="Y83" s="6">
        <v>0</v>
      </c>
      <c r="Z83" s="6">
        <v>0</v>
      </c>
      <c r="AA83" s="6">
        <v>2</v>
      </c>
      <c r="AB83" s="6">
        <v>0</v>
      </c>
      <c r="AC83" s="6">
        <v>1</v>
      </c>
      <c r="AD83" s="6">
        <v>0</v>
      </c>
      <c r="AE83" s="6">
        <v>2</v>
      </c>
      <c r="AF83" s="6">
        <v>2</v>
      </c>
      <c r="AG83" s="6">
        <v>2</v>
      </c>
      <c r="AH83" s="6">
        <v>2</v>
      </c>
      <c r="AI83" s="6">
        <v>0</v>
      </c>
      <c r="AJ83" s="6">
        <v>0</v>
      </c>
      <c r="AK83" s="6">
        <v>0</v>
      </c>
      <c r="AL83" s="6">
        <v>0</v>
      </c>
      <c r="AM83" s="6">
        <v>1</v>
      </c>
      <c r="AN83" s="6">
        <v>0</v>
      </c>
      <c r="AO83" s="6">
        <v>0</v>
      </c>
      <c r="AP83" s="6">
        <v>1</v>
      </c>
      <c r="AQ83" s="6">
        <v>1</v>
      </c>
      <c r="AR83" s="6">
        <v>0</v>
      </c>
      <c r="AS83" s="6">
        <v>3</v>
      </c>
      <c r="AT83" s="6">
        <v>0</v>
      </c>
      <c r="AU83" s="6">
        <v>4</v>
      </c>
      <c r="AV83" s="6">
        <v>1</v>
      </c>
      <c r="AW83" s="6">
        <v>2</v>
      </c>
      <c r="AX83" s="6">
        <v>0</v>
      </c>
      <c r="AY83" s="6">
        <v>7</v>
      </c>
      <c r="AZ83" s="6">
        <v>0</v>
      </c>
      <c r="BA83" s="6">
        <v>3</v>
      </c>
      <c r="BB83" s="6">
        <v>0</v>
      </c>
      <c r="BC83" s="6">
        <v>5</v>
      </c>
      <c r="BD83" s="6">
        <v>0</v>
      </c>
      <c r="BE83" s="6">
        <v>3</v>
      </c>
      <c r="BF83" s="6">
        <v>1</v>
      </c>
      <c r="BG83" s="6">
        <v>1</v>
      </c>
      <c r="BH83" s="6">
        <v>1</v>
      </c>
      <c r="BI83" s="6">
        <v>0</v>
      </c>
      <c r="BJ83" s="6">
        <v>0</v>
      </c>
      <c r="BK83" s="5">
        <f t="shared" si="60"/>
        <v>69</v>
      </c>
    </row>
    <row r="84" spans="1:63" x14ac:dyDescent="0.4">
      <c r="A84" s="7"/>
      <c r="B84" s="52"/>
      <c r="C84" s="24" t="s">
        <v>151</v>
      </c>
      <c r="D84" s="50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1</v>
      </c>
      <c r="P84" s="6">
        <v>2</v>
      </c>
      <c r="Q84" s="6">
        <v>0</v>
      </c>
      <c r="R84" s="6">
        <v>0</v>
      </c>
      <c r="S84" s="6">
        <v>0</v>
      </c>
      <c r="T84" s="6">
        <v>0</v>
      </c>
      <c r="U84" s="6">
        <v>2</v>
      </c>
      <c r="V84" s="6">
        <v>0</v>
      </c>
      <c r="W84" s="6">
        <v>0</v>
      </c>
      <c r="X84" s="6">
        <v>0</v>
      </c>
      <c r="Y84" s="6">
        <v>1</v>
      </c>
      <c r="Z84" s="6">
        <v>0</v>
      </c>
      <c r="AA84" s="6">
        <v>3</v>
      </c>
      <c r="AB84" s="6">
        <v>1</v>
      </c>
      <c r="AC84" s="6">
        <v>0</v>
      </c>
      <c r="AD84" s="6">
        <v>2</v>
      </c>
      <c r="AE84" s="6">
        <v>0</v>
      </c>
      <c r="AF84" s="6">
        <v>0</v>
      </c>
      <c r="AG84" s="6">
        <v>0</v>
      </c>
      <c r="AH84" s="6">
        <v>2</v>
      </c>
      <c r="AI84" s="6">
        <v>0</v>
      </c>
      <c r="AJ84" s="6">
        <v>0</v>
      </c>
      <c r="AK84" s="6">
        <v>1</v>
      </c>
      <c r="AL84" s="6">
        <v>2</v>
      </c>
      <c r="AM84" s="6">
        <v>1</v>
      </c>
      <c r="AN84" s="6">
        <v>1</v>
      </c>
      <c r="AO84" s="6">
        <v>0</v>
      </c>
      <c r="AP84" s="6">
        <v>0</v>
      </c>
      <c r="AQ84" s="6">
        <v>0</v>
      </c>
      <c r="AR84" s="6">
        <v>1</v>
      </c>
      <c r="AS84" s="6">
        <v>0</v>
      </c>
      <c r="AT84" s="6">
        <v>1</v>
      </c>
      <c r="AU84" s="6">
        <v>1</v>
      </c>
      <c r="AV84" s="6">
        <v>0</v>
      </c>
      <c r="AW84" s="6">
        <v>1</v>
      </c>
      <c r="AX84" s="6">
        <v>1</v>
      </c>
      <c r="AY84" s="6">
        <v>2</v>
      </c>
      <c r="AZ84" s="6">
        <v>1</v>
      </c>
      <c r="BA84" s="6">
        <v>2</v>
      </c>
      <c r="BB84" s="6">
        <v>7</v>
      </c>
      <c r="BC84" s="6">
        <v>0</v>
      </c>
      <c r="BD84" s="6">
        <v>4</v>
      </c>
      <c r="BE84" s="6">
        <v>2</v>
      </c>
      <c r="BF84" s="6">
        <v>0</v>
      </c>
      <c r="BG84" s="6">
        <v>0</v>
      </c>
      <c r="BH84" s="6">
        <v>1</v>
      </c>
      <c r="BI84" s="6">
        <v>1</v>
      </c>
      <c r="BJ84" s="6">
        <v>1</v>
      </c>
      <c r="BK84" s="5">
        <f t="shared" si="60"/>
        <v>46</v>
      </c>
    </row>
    <row r="85" spans="1:63" ht="13.15" customHeight="1" x14ac:dyDescent="0.4">
      <c r="A85" s="7"/>
      <c r="B85" s="52"/>
      <c r="C85" s="24" t="s">
        <v>152</v>
      </c>
      <c r="D85" s="50"/>
      <c r="E85" s="6">
        <v>2</v>
      </c>
      <c r="F85" s="6">
        <v>1</v>
      </c>
      <c r="G85" s="6">
        <v>1</v>
      </c>
      <c r="H85" s="6">
        <v>0</v>
      </c>
      <c r="I85" s="6">
        <v>2</v>
      </c>
      <c r="J85" s="6">
        <v>1</v>
      </c>
      <c r="K85" s="6">
        <v>0</v>
      </c>
      <c r="L85" s="6">
        <v>0</v>
      </c>
      <c r="M85" s="6">
        <v>1</v>
      </c>
      <c r="N85" s="6">
        <v>0</v>
      </c>
      <c r="O85" s="6">
        <v>4</v>
      </c>
      <c r="P85" s="6">
        <v>1</v>
      </c>
      <c r="Q85" s="6">
        <v>2</v>
      </c>
      <c r="R85" s="6">
        <v>1</v>
      </c>
      <c r="S85" s="6">
        <v>1</v>
      </c>
      <c r="T85" s="6">
        <v>0</v>
      </c>
      <c r="U85" s="6">
        <v>3</v>
      </c>
      <c r="V85" s="6">
        <v>2</v>
      </c>
      <c r="W85" s="6">
        <v>2</v>
      </c>
      <c r="X85" s="6">
        <v>2</v>
      </c>
      <c r="Y85" s="6">
        <v>1</v>
      </c>
      <c r="Z85" s="6">
        <v>2</v>
      </c>
      <c r="AA85" s="6">
        <v>3</v>
      </c>
      <c r="AB85" s="6">
        <v>0</v>
      </c>
      <c r="AC85" s="6">
        <v>2</v>
      </c>
      <c r="AD85" s="6">
        <v>1</v>
      </c>
      <c r="AE85" s="6">
        <v>2</v>
      </c>
      <c r="AF85" s="6">
        <v>1</v>
      </c>
      <c r="AG85" s="6">
        <v>2</v>
      </c>
      <c r="AH85" s="6">
        <v>2</v>
      </c>
      <c r="AI85" s="6">
        <v>1</v>
      </c>
      <c r="AJ85" s="6">
        <v>0</v>
      </c>
      <c r="AK85" s="6">
        <v>0</v>
      </c>
      <c r="AL85" s="6">
        <v>0</v>
      </c>
      <c r="AM85" s="6">
        <v>0</v>
      </c>
      <c r="AN85" s="6">
        <v>1</v>
      </c>
      <c r="AO85" s="6">
        <v>1</v>
      </c>
      <c r="AP85" s="6">
        <v>4</v>
      </c>
      <c r="AQ85" s="6">
        <v>1</v>
      </c>
      <c r="AR85" s="6">
        <v>2</v>
      </c>
      <c r="AS85" s="6">
        <v>1</v>
      </c>
      <c r="AT85" s="6">
        <v>0</v>
      </c>
      <c r="AU85" s="6">
        <v>0</v>
      </c>
      <c r="AV85" s="6">
        <v>0</v>
      </c>
      <c r="AW85" s="6">
        <v>2</v>
      </c>
      <c r="AX85" s="6">
        <v>2</v>
      </c>
      <c r="AY85" s="6">
        <v>3</v>
      </c>
      <c r="AZ85" s="6">
        <v>1</v>
      </c>
      <c r="BA85" s="6">
        <v>3</v>
      </c>
      <c r="BB85" s="6">
        <v>3</v>
      </c>
      <c r="BC85" s="6">
        <v>3</v>
      </c>
      <c r="BD85" s="6">
        <v>1</v>
      </c>
      <c r="BE85" s="6">
        <v>2</v>
      </c>
      <c r="BF85" s="6">
        <v>3</v>
      </c>
      <c r="BG85" s="6">
        <v>1</v>
      </c>
      <c r="BH85" s="6">
        <v>0</v>
      </c>
      <c r="BI85" s="6">
        <v>1</v>
      </c>
      <c r="BJ85" s="6">
        <v>1</v>
      </c>
      <c r="BK85" s="5">
        <f t="shared" si="60"/>
        <v>79</v>
      </c>
    </row>
    <row r="86" spans="1:63" x14ac:dyDescent="0.4">
      <c r="A86" s="7"/>
      <c r="B86" s="52"/>
      <c r="C86" s="24" t="s">
        <v>153</v>
      </c>
      <c r="D86" s="50"/>
      <c r="E86" s="6">
        <v>1</v>
      </c>
      <c r="F86" s="6">
        <v>11</v>
      </c>
      <c r="G86" s="6">
        <v>5</v>
      </c>
      <c r="H86" s="6">
        <v>0</v>
      </c>
      <c r="I86" s="6">
        <v>0</v>
      </c>
      <c r="J86" s="6">
        <v>0</v>
      </c>
      <c r="K86" s="6">
        <v>5</v>
      </c>
      <c r="L86" s="6">
        <v>0</v>
      </c>
      <c r="M86" s="6">
        <v>1</v>
      </c>
      <c r="N86" s="6">
        <v>7</v>
      </c>
      <c r="O86" s="6">
        <v>0</v>
      </c>
      <c r="P86" s="6">
        <v>2</v>
      </c>
      <c r="Q86" s="6">
        <v>0</v>
      </c>
      <c r="R86" s="6">
        <v>0</v>
      </c>
      <c r="S86" s="6">
        <v>2</v>
      </c>
      <c r="T86" s="6">
        <v>0</v>
      </c>
      <c r="U86" s="6">
        <v>0</v>
      </c>
      <c r="V86" s="6">
        <v>1</v>
      </c>
      <c r="W86" s="6">
        <v>0</v>
      </c>
      <c r="X86" s="6">
        <v>0</v>
      </c>
      <c r="Y86" s="6">
        <v>0</v>
      </c>
      <c r="Z86" s="6">
        <v>2</v>
      </c>
      <c r="AA86" s="6">
        <v>1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1</v>
      </c>
      <c r="AH86" s="6">
        <v>1</v>
      </c>
      <c r="AI86" s="6">
        <v>1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1</v>
      </c>
      <c r="AR86" s="6">
        <v>0</v>
      </c>
      <c r="AS86" s="6">
        <v>0</v>
      </c>
      <c r="AT86" s="6">
        <v>0</v>
      </c>
      <c r="AU86" s="6">
        <v>1</v>
      </c>
      <c r="AV86" s="6">
        <v>0</v>
      </c>
      <c r="AW86" s="6">
        <v>1</v>
      </c>
      <c r="AX86" s="6">
        <v>7</v>
      </c>
      <c r="AY86" s="6">
        <v>2</v>
      </c>
      <c r="AZ86" s="6">
        <v>1</v>
      </c>
      <c r="BA86" s="6">
        <v>0</v>
      </c>
      <c r="BB86" s="6">
        <v>0</v>
      </c>
      <c r="BC86" s="6">
        <v>1</v>
      </c>
      <c r="BD86" s="6">
        <v>1</v>
      </c>
      <c r="BE86" s="6">
        <v>0</v>
      </c>
      <c r="BF86" s="6">
        <v>0</v>
      </c>
      <c r="BG86" s="6">
        <v>0</v>
      </c>
      <c r="BH86" s="6">
        <v>11</v>
      </c>
      <c r="BI86" s="6">
        <v>0</v>
      </c>
      <c r="BJ86" s="6">
        <v>0</v>
      </c>
      <c r="BK86" s="5">
        <f t="shared" si="60"/>
        <v>67</v>
      </c>
    </row>
    <row r="87" spans="1:63" x14ac:dyDescent="0.4">
      <c r="A87" s="7"/>
      <c r="B87" s="52"/>
      <c r="C87" s="24" t="s">
        <v>154</v>
      </c>
      <c r="D87" s="50"/>
      <c r="E87" s="6">
        <v>1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1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1</v>
      </c>
      <c r="Y87" s="6">
        <v>0</v>
      </c>
      <c r="Z87" s="6">
        <v>0</v>
      </c>
      <c r="AA87" s="6">
        <v>1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2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1</v>
      </c>
      <c r="AU87" s="6">
        <v>1</v>
      </c>
      <c r="AV87" s="6">
        <v>0</v>
      </c>
      <c r="AW87" s="6">
        <v>0</v>
      </c>
      <c r="AX87" s="6">
        <v>1</v>
      </c>
      <c r="AY87" s="6">
        <v>0</v>
      </c>
      <c r="AZ87" s="6">
        <v>0</v>
      </c>
      <c r="BA87" s="6">
        <v>0</v>
      </c>
      <c r="BB87" s="6">
        <v>1</v>
      </c>
      <c r="BC87" s="6">
        <v>0</v>
      </c>
      <c r="BD87" s="6">
        <v>0</v>
      </c>
      <c r="BE87" s="6">
        <v>0</v>
      </c>
      <c r="BF87" s="6">
        <v>0</v>
      </c>
      <c r="BG87" s="6">
        <v>1</v>
      </c>
      <c r="BH87" s="6">
        <v>0</v>
      </c>
      <c r="BI87" s="6">
        <v>0</v>
      </c>
      <c r="BJ87" s="6">
        <v>0</v>
      </c>
      <c r="BK87" s="5">
        <f t="shared" si="60"/>
        <v>13</v>
      </c>
    </row>
    <row r="88" spans="1:63" x14ac:dyDescent="0.4">
      <c r="A88" s="7"/>
      <c r="B88" s="52"/>
      <c r="C88" s="24" t="s">
        <v>155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1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1</v>
      </c>
      <c r="AY88" s="6">
        <v>0</v>
      </c>
      <c r="AZ88" s="6">
        <v>1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5">
        <f t="shared" si="60"/>
        <v>4</v>
      </c>
    </row>
    <row r="89" spans="1:63" x14ac:dyDescent="0.4">
      <c r="A89" s="7"/>
      <c r="B89" s="52"/>
      <c r="C89" s="24" t="s">
        <v>156</v>
      </c>
      <c r="D89" s="50"/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1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1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1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1</v>
      </c>
      <c r="BJ89" s="6">
        <v>0</v>
      </c>
      <c r="BK89" s="5">
        <f t="shared" si="60"/>
        <v>5</v>
      </c>
    </row>
    <row r="90" spans="1:63" x14ac:dyDescent="0.4">
      <c r="A90" s="7"/>
      <c r="B90" s="52"/>
      <c r="C90" s="24" t="s">
        <v>157</v>
      </c>
      <c r="D90" s="5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2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1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1</v>
      </c>
      <c r="AV90" s="6">
        <v>0</v>
      </c>
      <c r="AW90" s="6">
        <v>0</v>
      </c>
      <c r="AX90" s="6">
        <v>1</v>
      </c>
      <c r="AY90" s="6">
        <v>0</v>
      </c>
      <c r="AZ90" s="6">
        <v>0</v>
      </c>
      <c r="BA90" s="6">
        <v>1</v>
      </c>
      <c r="BB90" s="6">
        <v>1</v>
      </c>
      <c r="BC90" s="6">
        <v>0</v>
      </c>
      <c r="BD90" s="6">
        <v>1</v>
      </c>
      <c r="BE90" s="6">
        <v>1</v>
      </c>
      <c r="BF90" s="6">
        <v>1</v>
      </c>
      <c r="BG90" s="6">
        <v>1</v>
      </c>
      <c r="BH90" s="6">
        <v>0</v>
      </c>
      <c r="BI90" s="6">
        <v>0</v>
      </c>
      <c r="BJ90" s="6">
        <v>0</v>
      </c>
      <c r="BK90" s="5">
        <f t="shared" si="60"/>
        <v>11</v>
      </c>
    </row>
    <row r="91" spans="1:63" x14ac:dyDescent="0.4">
      <c r="A91" s="6" t="s">
        <v>26</v>
      </c>
      <c r="B91" s="67" t="s">
        <v>51</v>
      </c>
      <c r="C91" s="83"/>
      <c r="D91" s="74"/>
      <c r="E91" s="5">
        <f t="shared" ref="E91:BK91" si="61">SUM(E81:E90)</f>
        <v>18</v>
      </c>
      <c r="F91" s="5">
        <f t="shared" si="61"/>
        <v>21</v>
      </c>
      <c r="G91" s="5">
        <f t="shared" si="61"/>
        <v>15</v>
      </c>
      <c r="H91" s="5">
        <f t="shared" si="61"/>
        <v>16</v>
      </c>
      <c r="I91" s="5">
        <f t="shared" si="61"/>
        <v>33</v>
      </c>
      <c r="J91" s="5">
        <f t="shared" si="61"/>
        <v>21</v>
      </c>
      <c r="K91" s="5">
        <f t="shared" si="61"/>
        <v>26</v>
      </c>
      <c r="L91" s="5">
        <f t="shared" si="61"/>
        <v>10</v>
      </c>
      <c r="M91" s="5">
        <f t="shared" si="61"/>
        <v>25</v>
      </c>
      <c r="N91" s="5">
        <f t="shared" si="61"/>
        <v>9</v>
      </c>
      <c r="O91" s="5">
        <f t="shared" si="61"/>
        <v>23</v>
      </c>
      <c r="P91" s="5">
        <f t="shared" si="61"/>
        <v>27</v>
      </c>
      <c r="Q91" s="5">
        <f t="shared" si="61"/>
        <v>19</v>
      </c>
      <c r="R91" s="5">
        <f t="shared" si="61"/>
        <v>18</v>
      </c>
      <c r="S91" s="5">
        <f t="shared" si="61"/>
        <v>98</v>
      </c>
      <c r="T91" s="5">
        <f t="shared" si="61"/>
        <v>68</v>
      </c>
      <c r="U91" s="5">
        <f t="shared" si="61"/>
        <v>18</v>
      </c>
      <c r="V91" s="5">
        <f t="shared" si="61"/>
        <v>27</v>
      </c>
      <c r="W91" s="5">
        <f t="shared" si="61"/>
        <v>10</v>
      </c>
      <c r="X91" s="5">
        <f t="shared" si="61"/>
        <v>28</v>
      </c>
      <c r="Y91" s="5">
        <f t="shared" si="61"/>
        <v>30</v>
      </c>
      <c r="Z91" s="5">
        <f t="shared" si="61"/>
        <v>17</v>
      </c>
      <c r="AA91" s="5">
        <f t="shared" si="61"/>
        <v>62</v>
      </c>
      <c r="AB91" s="5">
        <f t="shared" si="61"/>
        <v>31</v>
      </c>
      <c r="AC91" s="5">
        <f t="shared" si="61"/>
        <v>23</v>
      </c>
      <c r="AD91" s="5">
        <f t="shared" si="61"/>
        <v>15</v>
      </c>
      <c r="AE91" s="5">
        <f t="shared" si="61"/>
        <v>24</v>
      </c>
      <c r="AF91" s="5">
        <f t="shared" si="61"/>
        <v>14</v>
      </c>
      <c r="AG91" s="5">
        <f t="shared" si="61"/>
        <v>19</v>
      </c>
      <c r="AH91" s="5">
        <f t="shared" si="61"/>
        <v>21</v>
      </c>
      <c r="AI91" s="5">
        <f t="shared" si="61"/>
        <v>6</v>
      </c>
      <c r="AJ91" s="5">
        <f t="shared" si="61"/>
        <v>7</v>
      </c>
      <c r="AK91" s="5">
        <f t="shared" si="61"/>
        <v>9</v>
      </c>
      <c r="AL91" s="5">
        <f t="shared" si="61"/>
        <v>36</v>
      </c>
      <c r="AM91" s="5">
        <f t="shared" si="61"/>
        <v>19</v>
      </c>
      <c r="AN91" s="5">
        <f t="shared" si="61"/>
        <v>22</v>
      </c>
      <c r="AO91" s="5">
        <f t="shared" si="61"/>
        <v>8</v>
      </c>
      <c r="AP91" s="5">
        <f t="shared" si="61"/>
        <v>23</v>
      </c>
      <c r="AQ91" s="5">
        <f t="shared" si="61"/>
        <v>15</v>
      </c>
      <c r="AR91" s="5">
        <f t="shared" si="61"/>
        <v>9</v>
      </c>
      <c r="AS91" s="5">
        <f t="shared" si="61"/>
        <v>31</v>
      </c>
      <c r="AT91" s="5">
        <f t="shared" si="61"/>
        <v>26</v>
      </c>
      <c r="AU91" s="5">
        <f t="shared" si="61"/>
        <v>40</v>
      </c>
      <c r="AV91" s="5">
        <f t="shared" si="61"/>
        <v>14</v>
      </c>
      <c r="AW91" s="5">
        <f t="shared" si="61"/>
        <v>24</v>
      </c>
      <c r="AX91" s="5">
        <f t="shared" si="61"/>
        <v>33</v>
      </c>
      <c r="AY91" s="5">
        <f t="shared" si="61"/>
        <v>59</v>
      </c>
      <c r="AZ91" s="5">
        <f t="shared" si="61"/>
        <v>17</v>
      </c>
      <c r="BA91" s="5">
        <f t="shared" si="61"/>
        <v>33</v>
      </c>
      <c r="BB91" s="5">
        <f t="shared" si="61"/>
        <v>32</v>
      </c>
      <c r="BC91" s="5">
        <f t="shared" si="61"/>
        <v>27</v>
      </c>
      <c r="BD91" s="5">
        <f t="shared" si="61"/>
        <v>27</v>
      </c>
      <c r="BE91" s="5">
        <f t="shared" si="61"/>
        <v>20</v>
      </c>
      <c r="BF91" s="5">
        <f t="shared" si="61"/>
        <v>21</v>
      </c>
      <c r="BG91" s="5">
        <f t="shared" si="61"/>
        <v>10</v>
      </c>
      <c r="BH91" s="5">
        <f t="shared" si="61"/>
        <v>25</v>
      </c>
      <c r="BI91" s="5">
        <f t="shared" si="61"/>
        <v>21</v>
      </c>
      <c r="BJ91" s="5">
        <f t="shared" si="61"/>
        <v>11</v>
      </c>
      <c r="BK91" s="5">
        <f t="shared" si="61"/>
        <v>1411</v>
      </c>
    </row>
    <row r="92" spans="1:63" x14ac:dyDescent="0.4">
      <c r="A92" s="84"/>
      <c r="B92" s="85"/>
      <c r="C92" s="85"/>
      <c r="D92" s="85"/>
      <c r="E92" s="85"/>
    </row>
    <row r="93" spans="1:63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0</v>
      </c>
      <c r="G93" s="6">
        <v>2</v>
      </c>
      <c r="H93" s="6">
        <v>2</v>
      </c>
      <c r="I93" s="6">
        <v>1</v>
      </c>
      <c r="J93" s="6">
        <v>0</v>
      </c>
      <c r="K93" s="6">
        <v>1</v>
      </c>
      <c r="L93" s="6">
        <v>2</v>
      </c>
      <c r="M93" s="6">
        <v>4</v>
      </c>
      <c r="N93" s="6">
        <v>0</v>
      </c>
      <c r="O93" s="6">
        <v>2</v>
      </c>
      <c r="P93" s="6">
        <v>0</v>
      </c>
      <c r="Q93" s="6">
        <v>1</v>
      </c>
      <c r="R93" s="6">
        <v>2</v>
      </c>
      <c r="S93" s="6">
        <v>1</v>
      </c>
      <c r="T93" s="6">
        <v>2</v>
      </c>
      <c r="U93" s="6">
        <v>4</v>
      </c>
      <c r="V93" s="6">
        <v>5</v>
      </c>
      <c r="W93" s="6">
        <v>3</v>
      </c>
      <c r="X93" s="6">
        <v>2</v>
      </c>
      <c r="Y93" s="6">
        <v>3</v>
      </c>
      <c r="Z93" s="6">
        <v>1</v>
      </c>
      <c r="AA93" s="6">
        <v>0</v>
      </c>
      <c r="AB93" s="6">
        <v>0</v>
      </c>
      <c r="AC93" s="6">
        <v>1</v>
      </c>
      <c r="AD93" s="6">
        <v>1</v>
      </c>
      <c r="AE93" s="6">
        <v>4</v>
      </c>
      <c r="AF93" s="6">
        <v>0</v>
      </c>
      <c r="AG93" s="6">
        <v>2</v>
      </c>
      <c r="AH93" s="6">
        <v>3</v>
      </c>
      <c r="AI93" s="6">
        <v>0</v>
      </c>
      <c r="AJ93" s="6">
        <v>2</v>
      </c>
      <c r="AK93" s="6">
        <v>2</v>
      </c>
      <c r="AL93" s="6">
        <v>0</v>
      </c>
      <c r="AM93" s="6">
        <v>0</v>
      </c>
      <c r="AN93" s="6">
        <v>2</v>
      </c>
      <c r="AO93" s="6">
        <v>1</v>
      </c>
      <c r="AP93" s="6">
        <v>5</v>
      </c>
      <c r="AQ93" s="6">
        <v>2</v>
      </c>
      <c r="AR93" s="6">
        <v>0</v>
      </c>
      <c r="AS93" s="6">
        <v>1</v>
      </c>
      <c r="AT93" s="6">
        <v>1</v>
      </c>
      <c r="AU93" s="6">
        <v>1</v>
      </c>
      <c r="AV93" s="6">
        <v>2</v>
      </c>
      <c r="AW93" s="6">
        <v>1</v>
      </c>
      <c r="AX93" s="6">
        <v>2</v>
      </c>
      <c r="AY93" s="6">
        <v>0</v>
      </c>
      <c r="AZ93" s="6">
        <v>0</v>
      </c>
      <c r="BA93" s="6">
        <v>1</v>
      </c>
      <c r="BB93" s="6">
        <v>2</v>
      </c>
      <c r="BC93" s="6">
        <v>1</v>
      </c>
      <c r="BD93" s="6">
        <v>2</v>
      </c>
      <c r="BE93" s="6">
        <v>3</v>
      </c>
      <c r="BF93" s="6">
        <v>0</v>
      </c>
      <c r="BG93" s="6">
        <v>2</v>
      </c>
      <c r="BH93" s="6">
        <v>3</v>
      </c>
      <c r="BI93" s="6">
        <v>0</v>
      </c>
      <c r="BJ93" s="6">
        <v>0</v>
      </c>
      <c r="BK93" s="5">
        <f t="shared" ref="BK93:BK103" si="62">SUM(E93:BJ93)</f>
        <v>85</v>
      </c>
    </row>
    <row r="94" spans="1:63" x14ac:dyDescent="0.4">
      <c r="A94" s="11" t="s">
        <v>50</v>
      </c>
      <c r="B94" s="52"/>
      <c r="C94" s="24" t="s">
        <v>158</v>
      </c>
      <c r="D94" s="50"/>
      <c r="E94" s="6">
        <v>0</v>
      </c>
      <c r="F94" s="6">
        <v>0</v>
      </c>
      <c r="G94" s="6">
        <v>0</v>
      </c>
      <c r="H94" s="6">
        <v>1</v>
      </c>
      <c r="I94" s="6">
        <v>1</v>
      </c>
      <c r="J94" s="6">
        <v>2</v>
      </c>
      <c r="K94" s="6">
        <v>2</v>
      </c>
      <c r="L94" s="6">
        <v>3</v>
      </c>
      <c r="M94" s="6">
        <v>5</v>
      </c>
      <c r="N94" s="6">
        <v>0</v>
      </c>
      <c r="O94" s="6">
        <v>6</v>
      </c>
      <c r="P94" s="6">
        <v>0</v>
      </c>
      <c r="Q94" s="6">
        <v>0</v>
      </c>
      <c r="R94" s="6">
        <v>1</v>
      </c>
      <c r="S94" s="6">
        <v>4</v>
      </c>
      <c r="T94" s="6">
        <v>2</v>
      </c>
      <c r="U94" s="6">
        <v>8</v>
      </c>
      <c r="V94" s="6">
        <v>2</v>
      </c>
      <c r="W94" s="6">
        <v>0</v>
      </c>
      <c r="X94" s="6">
        <v>2</v>
      </c>
      <c r="Y94" s="6">
        <v>0</v>
      </c>
      <c r="Z94" s="6">
        <v>2</v>
      </c>
      <c r="AA94" s="6">
        <v>1</v>
      </c>
      <c r="AB94" s="6">
        <v>0</v>
      </c>
      <c r="AC94" s="6">
        <v>29</v>
      </c>
      <c r="AD94" s="6">
        <v>4</v>
      </c>
      <c r="AE94" s="6">
        <v>9</v>
      </c>
      <c r="AF94" s="6">
        <v>1</v>
      </c>
      <c r="AG94" s="6">
        <v>0</v>
      </c>
      <c r="AH94" s="6">
        <v>2</v>
      </c>
      <c r="AI94" s="6">
        <v>0</v>
      </c>
      <c r="AJ94" s="6">
        <v>2</v>
      </c>
      <c r="AK94" s="6">
        <v>0</v>
      </c>
      <c r="AL94" s="6">
        <v>2</v>
      </c>
      <c r="AM94" s="6">
        <v>1</v>
      </c>
      <c r="AN94" s="6">
        <v>1</v>
      </c>
      <c r="AO94" s="6">
        <v>1</v>
      </c>
      <c r="AP94" s="6">
        <v>1</v>
      </c>
      <c r="AQ94" s="6">
        <v>7</v>
      </c>
      <c r="AR94" s="6">
        <v>2</v>
      </c>
      <c r="AS94" s="6">
        <v>1</v>
      </c>
      <c r="AT94" s="6">
        <v>1</v>
      </c>
      <c r="AU94" s="6">
        <v>4</v>
      </c>
      <c r="AV94" s="6">
        <v>0</v>
      </c>
      <c r="AW94" s="6">
        <v>1</v>
      </c>
      <c r="AX94" s="6">
        <v>2</v>
      </c>
      <c r="AY94" s="6">
        <v>5</v>
      </c>
      <c r="AZ94" s="6">
        <v>1</v>
      </c>
      <c r="BA94" s="6">
        <v>0</v>
      </c>
      <c r="BB94" s="6">
        <v>2</v>
      </c>
      <c r="BC94" s="6">
        <v>0</v>
      </c>
      <c r="BD94" s="6">
        <v>2</v>
      </c>
      <c r="BE94" s="6">
        <v>0</v>
      </c>
      <c r="BF94" s="6">
        <v>2</v>
      </c>
      <c r="BG94" s="6">
        <v>2</v>
      </c>
      <c r="BH94" s="6">
        <v>0</v>
      </c>
      <c r="BI94" s="6">
        <v>9</v>
      </c>
      <c r="BJ94" s="6">
        <v>2</v>
      </c>
      <c r="BK94" s="5">
        <f t="shared" si="62"/>
        <v>138</v>
      </c>
    </row>
    <row r="95" spans="1:63" x14ac:dyDescent="0.4">
      <c r="A95" s="7"/>
      <c r="B95" s="52"/>
      <c r="C95" s="24" t="s">
        <v>159</v>
      </c>
      <c r="D95" s="50"/>
      <c r="E95" s="6">
        <v>1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1</v>
      </c>
      <c r="P95" s="6">
        <v>0</v>
      </c>
      <c r="Q95" s="6">
        <v>0</v>
      </c>
      <c r="R95" s="6">
        <v>1</v>
      </c>
      <c r="S95" s="6">
        <v>0</v>
      </c>
      <c r="T95" s="6">
        <v>0</v>
      </c>
      <c r="U95" s="6">
        <v>5</v>
      </c>
      <c r="V95" s="6">
        <v>0</v>
      </c>
      <c r="W95" s="6">
        <v>0</v>
      </c>
      <c r="X95" s="6">
        <v>0</v>
      </c>
      <c r="Y95" s="6">
        <v>1</v>
      </c>
      <c r="Z95" s="6">
        <v>0</v>
      </c>
      <c r="AA95" s="6">
        <v>0</v>
      </c>
      <c r="AB95" s="6">
        <v>1</v>
      </c>
      <c r="AC95" s="6">
        <v>2</v>
      </c>
      <c r="AD95" s="6">
        <v>0</v>
      </c>
      <c r="AE95" s="6">
        <v>2</v>
      </c>
      <c r="AF95" s="6">
        <v>0</v>
      </c>
      <c r="AG95" s="6">
        <v>0</v>
      </c>
      <c r="AH95" s="6">
        <v>1</v>
      </c>
      <c r="AI95" s="6">
        <v>0</v>
      </c>
      <c r="AJ95" s="6">
        <v>1</v>
      </c>
      <c r="AK95" s="6">
        <v>1</v>
      </c>
      <c r="AL95" s="6">
        <v>0</v>
      </c>
      <c r="AM95" s="6">
        <v>3</v>
      </c>
      <c r="AN95" s="6">
        <v>0</v>
      </c>
      <c r="AO95" s="6">
        <v>1</v>
      </c>
      <c r="AP95" s="6">
        <v>8</v>
      </c>
      <c r="AQ95" s="6">
        <v>1</v>
      </c>
      <c r="AR95" s="6">
        <v>0</v>
      </c>
      <c r="AS95" s="6">
        <v>2</v>
      </c>
      <c r="AT95" s="6">
        <v>0</v>
      </c>
      <c r="AU95" s="6">
        <v>0</v>
      </c>
      <c r="AV95" s="6">
        <v>0</v>
      </c>
      <c r="AW95" s="6">
        <v>1</v>
      </c>
      <c r="AX95" s="6">
        <v>0</v>
      </c>
      <c r="AY95" s="6">
        <v>0</v>
      </c>
      <c r="AZ95" s="6">
        <v>1</v>
      </c>
      <c r="BA95" s="6">
        <v>1</v>
      </c>
      <c r="BB95" s="6">
        <v>0</v>
      </c>
      <c r="BC95" s="6">
        <v>0</v>
      </c>
      <c r="BD95" s="6">
        <v>0</v>
      </c>
      <c r="BE95" s="6">
        <v>1</v>
      </c>
      <c r="BF95" s="6">
        <v>0</v>
      </c>
      <c r="BG95" s="6">
        <v>0</v>
      </c>
      <c r="BH95" s="6">
        <v>2</v>
      </c>
      <c r="BI95" s="6">
        <v>1</v>
      </c>
      <c r="BJ95" s="6">
        <v>0</v>
      </c>
      <c r="BK95" s="5">
        <f t="shared" si="62"/>
        <v>41</v>
      </c>
    </row>
    <row r="96" spans="1:63" ht="13.15" customHeight="1" x14ac:dyDescent="0.4">
      <c r="A96" s="7"/>
      <c r="B96" s="52"/>
      <c r="C96" s="24" t="s">
        <v>160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1</v>
      </c>
      <c r="P96" s="6">
        <v>2</v>
      </c>
      <c r="Q96" s="6">
        <v>0</v>
      </c>
      <c r="R96" s="6">
        <v>1</v>
      </c>
      <c r="S96" s="6">
        <v>0</v>
      </c>
      <c r="T96" s="6">
        <v>0</v>
      </c>
      <c r="U96" s="6">
        <v>0</v>
      </c>
      <c r="V96" s="6">
        <v>2</v>
      </c>
      <c r="W96" s="6">
        <v>0</v>
      </c>
      <c r="X96" s="6">
        <v>3</v>
      </c>
      <c r="Y96" s="6">
        <v>0</v>
      </c>
      <c r="Z96" s="6">
        <v>1</v>
      </c>
      <c r="AA96" s="6">
        <v>0</v>
      </c>
      <c r="AB96" s="6">
        <v>0</v>
      </c>
      <c r="AC96" s="6">
        <v>0</v>
      </c>
      <c r="AD96" s="6">
        <v>1</v>
      </c>
      <c r="AE96" s="6">
        <v>0</v>
      </c>
      <c r="AF96" s="6">
        <v>0</v>
      </c>
      <c r="AG96" s="6">
        <v>0</v>
      </c>
      <c r="AH96" s="6">
        <v>1</v>
      </c>
      <c r="AI96" s="6">
        <v>1</v>
      </c>
      <c r="AJ96" s="6">
        <v>0</v>
      </c>
      <c r="AK96" s="6">
        <v>0</v>
      </c>
      <c r="AL96" s="6">
        <v>0</v>
      </c>
      <c r="AM96" s="6">
        <v>1</v>
      </c>
      <c r="AN96" s="6">
        <v>0</v>
      </c>
      <c r="AO96" s="6">
        <v>0</v>
      </c>
      <c r="AP96" s="6">
        <v>1</v>
      </c>
      <c r="AQ96" s="6">
        <v>2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1</v>
      </c>
      <c r="AX96" s="6">
        <v>2</v>
      </c>
      <c r="AY96" s="6">
        <v>0</v>
      </c>
      <c r="AZ96" s="6">
        <v>2</v>
      </c>
      <c r="BA96" s="6">
        <v>0</v>
      </c>
      <c r="BB96" s="6">
        <v>0</v>
      </c>
      <c r="BC96" s="6">
        <v>0</v>
      </c>
      <c r="BD96" s="6">
        <v>1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5">
        <f t="shared" si="62"/>
        <v>24</v>
      </c>
    </row>
    <row r="97" spans="1:63" x14ac:dyDescent="0.4">
      <c r="A97" s="7"/>
      <c r="B97" s="52"/>
      <c r="C97" s="24" t="s">
        <v>161</v>
      </c>
      <c r="D97" s="50"/>
      <c r="E97" s="6">
        <v>1</v>
      </c>
      <c r="F97" s="6">
        <v>1</v>
      </c>
      <c r="G97" s="6">
        <v>1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0</v>
      </c>
      <c r="S97" s="6">
        <v>1</v>
      </c>
      <c r="T97" s="6">
        <v>1</v>
      </c>
      <c r="U97" s="6">
        <v>7</v>
      </c>
      <c r="V97" s="6">
        <v>1</v>
      </c>
      <c r="W97" s="6">
        <v>3</v>
      </c>
      <c r="X97" s="6">
        <v>2</v>
      </c>
      <c r="Y97" s="6">
        <v>0</v>
      </c>
      <c r="Z97" s="6">
        <v>4</v>
      </c>
      <c r="AA97" s="6">
        <v>0</v>
      </c>
      <c r="AB97" s="6">
        <v>0</v>
      </c>
      <c r="AC97" s="6">
        <v>1</v>
      </c>
      <c r="AD97" s="6">
        <v>0</v>
      </c>
      <c r="AE97" s="6">
        <v>0</v>
      </c>
      <c r="AF97" s="6">
        <v>0</v>
      </c>
      <c r="AG97" s="6">
        <v>5</v>
      </c>
      <c r="AH97" s="6">
        <v>5</v>
      </c>
      <c r="AI97" s="6">
        <v>2</v>
      </c>
      <c r="AJ97" s="6">
        <v>0</v>
      </c>
      <c r="AK97" s="6">
        <v>1</v>
      </c>
      <c r="AL97" s="6">
        <v>0</v>
      </c>
      <c r="AM97" s="6">
        <v>4</v>
      </c>
      <c r="AN97" s="6">
        <v>0</v>
      </c>
      <c r="AO97" s="6">
        <v>0</v>
      </c>
      <c r="AP97" s="6">
        <v>2</v>
      </c>
      <c r="AQ97" s="6">
        <v>1</v>
      </c>
      <c r="AR97" s="6">
        <v>0</v>
      </c>
      <c r="AS97" s="6">
        <v>2</v>
      </c>
      <c r="AT97" s="6">
        <v>0</v>
      </c>
      <c r="AU97" s="6">
        <v>0</v>
      </c>
      <c r="AV97" s="6">
        <v>0</v>
      </c>
      <c r="AW97" s="6">
        <v>1</v>
      </c>
      <c r="AX97" s="6">
        <v>1</v>
      </c>
      <c r="AY97" s="6">
        <v>0</v>
      </c>
      <c r="AZ97" s="6">
        <v>1</v>
      </c>
      <c r="BA97" s="6">
        <v>0</v>
      </c>
      <c r="BB97" s="6">
        <v>1</v>
      </c>
      <c r="BC97" s="6">
        <v>0</v>
      </c>
      <c r="BD97" s="6">
        <v>0</v>
      </c>
      <c r="BE97" s="6">
        <v>1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5">
        <f t="shared" si="62"/>
        <v>52</v>
      </c>
    </row>
    <row r="98" spans="1:63" x14ac:dyDescent="0.4">
      <c r="A98" s="7"/>
      <c r="B98" s="52"/>
      <c r="C98" s="24" t="s">
        <v>162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1</v>
      </c>
      <c r="Q98" s="6">
        <v>1</v>
      </c>
      <c r="R98" s="6">
        <v>0</v>
      </c>
      <c r="S98" s="6">
        <v>0</v>
      </c>
      <c r="T98" s="6">
        <v>0</v>
      </c>
      <c r="U98" s="6">
        <v>1</v>
      </c>
      <c r="V98" s="6">
        <v>1</v>
      </c>
      <c r="W98" s="6">
        <v>3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2</v>
      </c>
      <c r="AK98" s="6">
        <v>2</v>
      </c>
      <c r="AL98" s="6">
        <v>0</v>
      </c>
      <c r="AM98" s="6">
        <v>1</v>
      </c>
      <c r="AN98" s="6">
        <v>0</v>
      </c>
      <c r="AO98" s="6">
        <v>2</v>
      </c>
      <c r="AP98" s="6">
        <v>0</v>
      </c>
      <c r="AQ98" s="6">
        <v>0</v>
      </c>
      <c r="AR98" s="6">
        <v>5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1</v>
      </c>
      <c r="AY98" s="6">
        <v>0</v>
      </c>
      <c r="AZ98" s="6">
        <v>0</v>
      </c>
      <c r="BA98" s="6">
        <v>0</v>
      </c>
      <c r="BB98" s="6">
        <v>2</v>
      </c>
      <c r="BC98" s="6">
        <v>0</v>
      </c>
      <c r="BD98" s="6">
        <v>1</v>
      </c>
      <c r="BE98" s="6">
        <v>0</v>
      </c>
      <c r="BF98" s="6">
        <v>0</v>
      </c>
      <c r="BG98" s="6">
        <v>0</v>
      </c>
      <c r="BH98" s="6">
        <v>0</v>
      </c>
      <c r="BI98" s="6">
        <v>1</v>
      </c>
      <c r="BJ98" s="6">
        <v>0</v>
      </c>
      <c r="BK98" s="5">
        <f t="shared" si="62"/>
        <v>24</v>
      </c>
    </row>
    <row r="99" spans="1:63" x14ac:dyDescent="0.4">
      <c r="A99" s="7"/>
      <c r="B99" s="52"/>
      <c r="C99" s="24" t="s">
        <v>163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2</v>
      </c>
      <c r="S99" s="6">
        <v>0</v>
      </c>
      <c r="T99" s="6">
        <v>1</v>
      </c>
      <c r="U99" s="6">
        <v>0</v>
      </c>
      <c r="V99" s="6">
        <v>2</v>
      </c>
      <c r="W99" s="6">
        <v>1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1</v>
      </c>
      <c r="AD99" s="6">
        <v>0</v>
      </c>
      <c r="AE99" s="6">
        <v>0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1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5">
        <f t="shared" si="62"/>
        <v>9</v>
      </c>
    </row>
    <row r="100" spans="1:63" x14ac:dyDescent="0.4">
      <c r="A100" s="7"/>
      <c r="B100" s="52"/>
      <c r="C100" s="24" t="s">
        <v>164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  <c r="Q100" s="6">
        <v>0</v>
      </c>
      <c r="R100" s="6">
        <v>0</v>
      </c>
      <c r="S100" s="6">
        <v>0</v>
      </c>
      <c r="T100" s="6">
        <v>2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1</v>
      </c>
      <c r="AD100" s="6">
        <v>0</v>
      </c>
      <c r="AE100" s="6">
        <v>0</v>
      </c>
      <c r="AF100" s="6">
        <v>0</v>
      </c>
      <c r="AG100" s="6">
        <v>2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1</v>
      </c>
      <c r="AQ100" s="6">
        <v>2</v>
      </c>
      <c r="AR100" s="6">
        <v>0</v>
      </c>
      <c r="AS100" s="6">
        <v>1</v>
      </c>
      <c r="AT100" s="6">
        <v>0</v>
      </c>
      <c r="AU100" s="6">
        <v>1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5">
        <f t="shared" si="62"/>
        <v>11</v>
      </c>
    </row>
    <row r="101" spans="1:63" x14ac:dyDescent="0.4">
      <c r="A101" s="7"/>
      <c r="B101" s="52"/>
      <c r="C101" s="24" t="s">
        <v>165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2</v>
      </c>
      <c r="V101" s="6">
        <v>1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2</v>
      </c>
      <c r="AR101" s="6">
        <v>0</v>
      </c>
      <c r="AS101" s="6">
        <v>1</v>
      </c>
      <c r="AT101" s="6">
        <v>1</v>
      </c>
      <c r="AU101" s="6">
        <v>0</v>
      </c>
      <c r="AV101" s="6">
        <v>0</v>
      </c>
      <c r="AW101" s="6">
        <v>1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1</v>
      </c>
      <c r="BG101" s="6">
        <v>0</v>
      </c>
      <c r="BH101" s="6">
        <v>0</v>
      </c>
      <c r="BI101" s="6">
        <v>0</v>
      </c>
      <c r="BJ101" s="6">
        <v>0</v>
      </c>
      <c r="BK101" s="5">
        <f t="shared" si="62"/>
        <v>10</v>
      </c>
    </row>
    <row r="102" spans="1:63" x14ac:dyDescent="0.4">
      <c r="A102" s="7"/>
      <c r="B102" s="52"/>
      <c r="C102" s="24" t="s">
        <v>166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1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1</v>
      </c>
      <c r="AD102" s="6">
        <v>0</v>
      </c>
      <c r="AE102" s="6">
        <v>0</v>
      </c>
      <c r="AF102" s="6">
        <v>0</v>
      </c>
      <c r="AG102" s="6">
        <v>0</v>
      </c>
      <c r="AH102" s="6">
        <v>1</v>
      </c>
      <c r="AI102" s="6">
        <v>1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2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2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5">
        <f t="shared" si="62"/>
        <v>8</v>
      </c>
    </row>
    <row r="103" spans="1:63" x14ac:dyDescent="0.4">
      <c r="A103" s="6" t="s">
        <v>26</v>
      </c>
      <c r="B103" s="67" t="s">
        <v>51</v>
      </c>
      <c r="C103" s="83"/>
      <c r="D103" s="74"/>
      <c r="E103" s="5">
        <f t="shared" ref="E103:BK103" si="63">SUM(E93:E102)</f>
        <v>2</v>
      </c>
      <c r="F103" s="5">
        <f t="shared" si="63"/>
        <v>1</v>
      </c>
      <c r="G103" s="5">
        <f t="shared" si="63"/>
        <v>4</v>
      </c>
      <c r="H103" s="5">
        <f t="shared" si="63"/>
        <v>3</v>
      </c>
      <c r="I103" s="5">
        <f t="shared" si="63"/>
        <v>4</v>
      </c>
      <c r="J103" s="5">
        <f t="shared" si="63"/>
        <v>2</v>
      </c>
      <c r="K103" s="5">
        <f t="shared" si="63"/>
        <v>5</v>
      </c>
      <c r="L103" s="5">
        <f t="shared" si="63"/>
        <v>5</v>
      </c>
      <c r="M103" s="5">
        <f t="shared" si="63"/>
        <v>9</v>
      </c>
      <c r="N103" s="5">
        <f t="shared" si="63"/>
        <v>0</v>
      </c>
      <c r="O103" s="5">
        <f t="shared" si="63"/>
        <v>13</v>
      </c>
      <c r="P103" s="5">
        <f t="shared" si="63"/>
        <v>3</v>
      </c>
      <c r="Q103" s="5">
        <f t="shared" si="63"/>
        <v>2</v>
      </c>
      <c r="R103" s="5">
        <f t="shared" si="63"/>
        <v>7</v>
      </c>
      <c r="S103" s="5">
        <f t="shared" si="63"/>
        <v>6</v>
      </c>
      <c r="T103" s="5">
        <f t="shared" si="63"/>
        <v>8</v>
      </c>
      <c r="U103" s="5">
        <f t="shared" si="63"/>
        <v>27</v>
      </c>
      <c r="V103" s="5">
        <f t="shared" si="63"/>
        <v>14</v>
      </c>
      <c r="W103" s="5">
        <f t="shared" si="63"/>
        <v>10</v>
      </c>
      <c r="X103" s="5">
        <f t="shared" si="63"/>
        <v>9</v>
      </c>
      <c r="Y103" s="5">
        <f t="shared" si="63"/>
        <v>4</v>
      </c>
      <c r="Z103" s="5">
        <f t="shared" si="63"/>
        <v>8</v>
      </c>
      <c r="AA103" s="5">
        <f t="shared" si="63"/>
        <v>1</v>
      </c>
      <c r="AB103" s="5">
        <f t="shared" si="63"/>
        <v>1</v>
      </c>
      <c r="AC103" s="5">
        <f t="shared" si="63"/>
        <v>36</v>
      </c>
      <c r="AD103" s="5">
        <f t="shared" si="63"/>
        <v>6</v>
      </c>
      <c r="AE103" s="5">
        <f t="shared" si="63"/>
        <v>15</v>
      </c>
      <c r="AF103" s="5">
        <f t="shared" si="63"/>
        <v>1</v>
      </c>
      <c r="AG103" s="5">
        <f t="shared" si="63"/>
        <v>9</v>
      </c>
      <c r="AH103" s="5">
        <f t="shared" si="63"/>
        <v>14</v>
      </c>
      <c r="AI103" s="5">
        <f t="shared" si="63"/>
        <v>4</v>
      </c>
      <c r="AJ103" s="5">
        <f t="shared" si="63"/>
        <v>7</v>
      </c>
      <c r="AK103" s="5">
        <f t="shared" si="63"/>
        <v>6</v>
      </c>
      <c r="AL103" s="5">
        <f t="shared" si="63"/>
        <v>2</v>
      </c>
      <c r="AM103" s="5">
        <f t="shared" si="63"/>
        <v>10</v>
      </c>
      <c r="AN103" s="5">
        <f t="shared" si="63"/>
        <v>3</v>
      </c>
      <c r="AO103" s="5">
        <f t="shared" si="63"/>
        <v>7</v>
      </c>
      <c r="AP103" s="5">
        <f t="shared" si="63"/>
        <v>18</v>
      </c>
      <c r="AQ103" s="5">
        <f t="shared" si="63"/>
        <v>17</v>
      </c>
      <c r="AR103" s="5">
        <f t="shared" si="63"/>
        <v>8</v>
      </c>
      <c r="AS103" s="5">
        <f t="shared" si="63"/>
        <v>8</v>
      </c>
      <c r="AT103" s="5">
        <f t="shared" si="63"/>
        <v>3</v>
      </c>
      <c r="AU103" s="5">
        <f t="shared" si="63"/>
        <v>6</v>
      </c>
      <c r="AV103" s="5">
        <f t="shared" si="63"/>
        <v>2</v>
      </c>
      <c r="AW103" s="5">
        <f t="shared" si="63"/>
        <v>6</v>
      </c>
      <c r="AX103" s="5">
        <f t="shared" si="63"/>
        <v>8</v>
      </c>
      <c r="AY103" s="5">
        <f t="shared" si="63"/>
        <v>7</v>
      </c>
      <c r="AZ103" s="5">
        <f t="shared" si="63"/>
        <v>5</v>
      </c>
      <c r="BA103" s="5">
        <f t="shared" si="63"/>
        <v>2</v>
      </c>
      <c r="BB103" s="5">
        <f t="shared" si="63"/>
        <v>7</v>
      </c>
      <c r="BC103" s="5">
        <f t="shared" si="63"/>
        <v>1</v>
      </c>
      <c r="BD103" s="5">
        <f t="shared" si="63"/>
        <v>6</v>
      </c>
      <c r="BE103" s="5">
        <f t="shared" si="63"/>
        <v>5</v>
      </c>
      <c r="BF103" s="5">
        <f t="shared" si="63"/>
        <v>3</v>
      </c>
      <c r="BG103" s="5">
        <f t="shared" si="63"/>
        <v>4</v>
      </c>
      <c r="BH103" s="5">
        <f t="shared" si="63"/>
        <v>5</v>
      </c>
      <c r="BI103" s="5">
        <f t="shared" si="63"/>
        <v>11</v>
      </c>
      <c r="BJ103" s="5">
        <f t="shared" si="63"/>
        <v>2</v>
      </c>
      <c r="BK103" s="5">
        <f t="shared" si="63"/>
        <v>402</v>
      </c>
    </row>
    <row r="104" spans="1:63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</row>
    <row r="105" spans="1:63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2</v>
      </c>
      <c r="R105" s="6">
        <v>0</v>
      </c>
      <c r="S105" s="6">
        <v>0</v>
      </c>
      <c r="T105" s="6">
        <v>0</v>
      </c>
      <c r="U105" s="6">
        <v>0</v>
      </c>
      <c r="V105" s="6">
        <v>1</v>
      </c>
      <c r="W105" s="6">
        <v>0</v>
      </c>
      <c r="X105" s="6">
        <v>0</v>
      </c>
      <c r="Y105" s="6">
        <v>1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1</v>
      </c>
      <c r="AK105" s="6">
        <v>0</v>
      </c>
      <c r="AL105" s="6">
        <v>1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1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1</v>
      </c>
      <c r="BK105" s="5">
        <f>SUM(E105:BJ105)</f>
        <v>9</v>
      </c>
    </row>
    <row r="106" spans="1:63" x14ac:dyDescent="0.4">
      <c r="A106" s="11" t="s">
        <v>50</v>
      </c>
      <c r="B106" s="52"/>
      <c r="C106" s="24" t="s">
        <v>167</v>
      </c>
      <c r="D106" s="50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2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1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1</v>
      </c>
      <c r="AL106" s="6">
        <v>0</v>
      </c>
      <c r="AM106" s="6">
        <v>1</v>
      </c>
      <c r="AN106" s="6">
        <v>0</v>
      </c>
      <c r="AO106" s="6">
        <v>1</v>
      </c>
      <c r="AP106" s="6">
        <v>0</v>
      </c>
      <c r="AQ106" s="6">
        <v>1</v>
      </c>
      <c r="AR106" s="6">
        <v>2</v>
      </c>
      <c r="AS106" s="6">
        <v>0</v>
      </c>
      <c r="AT106" s="6">
        <v>0</v>
      </c>
      <c r="AU106" s="6">
        <v>1</v>
      </c>
      <c r="AV106" s="6">
        <v>0</v>
      </c>
      <c r="AW106" s="6">
        <v>1</v>
      </c>
      <c r="AX106" s="6">
        <v>1</v>
      </c>
      <c r="AY106" s="6">
        <v>1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3</v>
      </c>
      <c r="BK106" s="5">
        <f>SUM(E106:BJ106)</f>
        <v>19</v>
      </c>
    </row>
    <row r="107" spans="1:63" ht="13.15" customHeight="1" x14ac:dyDescent="0.4">
      <c r="A107" s="7"/>
      <c r="B107" s="52"/>
      <c r="C107" s="24" t="s">
        <v>168</v>
      </c>
      <c r="D107" s="50"/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1</v>
      </c>
      <c r="Y107" s="6">
        <v>1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2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1</v>
      </c>
      <c r="BD107" s="6">
        <v>1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5">
        <f>SUM(E107:BJ107)</f>
        <v>8</v>
      </c>
    </row>
    <row r="108" spans="1:63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49"/>
    </row>
    <row r="109" spans="1:63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49"/>
    </row>
    <row r="110" spans="1:63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49"/>
    </row>
    <row r="111" spans="1:63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49"/>
    </row>
    <row r="112" spans="1:63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49"/>
    </row>
    <row r="113" spans="1:65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49"/>
    </row>
    <row r="114" spans="1:65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49"/>
    </row>
    <row r="115" spans="1:65" ht="13.15" customHeight="1" x14ac:dyDescent="0.4">
      <c r="A115" s="6" t="s">
        <v>26</v>
      </c>
      <c r="B115" s="67" t="s">
        <v>51</v>
      </c>
      <c r="C115" s="68"/>
      <c r="D115" s="69"/>
      <c r="E115" s="5">
        <f t="shared" ref="E115:BK115" si="64">SUM(E105:E114)</f>
        <v>1</v>
      </c>
      <c r="F115" s="5">
        <f t="shared" si="64"/>
        <v>0</v>
      </c>
      <c r="G115" s="5">
        <f t="shared" si="64"/>
        <v>0</v>
      </c>
      <c r="H115" s="5">
        <f t="shared" si="64"/>
        <v>1</v>
      </c>
      <c r="I115" s="5">
        <f t="shared" si="64"/>
        <v>0</v>
      </c>
      <c r="J115" s="5">
        <f t="shared" si="64"/>
        <v>0</v>
      </c>
      <c r="K115" s="5">
        <f t="shared" si="64"/>
        <v>0</v>
      </c>
      <c r="L115" s="5">
        <f t="shared" si="64"/>
        <v>3</v>
      </c>
      <c r="M115" s="5">
        <f t="shared" si="64"/>
        <v>1</v>
      </c>
      <c r="N115" s="5">
        <f t="shared" si="64"/>
        <v>0</v>
      </c>
      <c r="O115" s="5">
        <f t="shared" si="64"/>
        <v>0</v>
      </c>
      <c r="P115" s="5">
        <f t="shared" si="64"/>
        <v>0</v>
      </c>
      <c r="Q115" s="5">
        <f t="shared" si="64"/>
        <v>2</v>
      </c>
      <c r="R115" s="5">
        <f t="shared" si="64"/>
        <v>0</v>
      </c>
      <c r="S115" s="5">
        <f t="shared" si="64"/>
        <v>0</v>
      </c>
      <c r="T115" s="5">
        <f t="shared" si="64"/>
        <v>0</v>
      </c>
      <c r="U115" s="5">
        <f t="shared" si="64"/>
        <v>0</v>
      </c>
      <c r="V115" s="5">
        <f t="shared" si="64"/>
        <v>1</v>
      </c>
      <c r="W115" s="5">
        <f t="shared" si="64"/>
        <v>1</v>
      </c>
      <c r="X115" s="5">
        <f t="shared" si="64"/>
        <v>2</v>
      </c>
      <c r="Y115" s="5">
        <f t="shared" si="64"/>
        <v>2</v>
      </c>
      <c r="Z115" s="5">
        <f t="shared" si="64"/>
        <v>0</v>
      </c>
      <c r="AA115" s="5">
        <f t="shared" si="64"/>
        <v>0</v>
      </c>
      <c r="AB115" s="5">
        <f t="shared" si="64"/>
        <v>0</v>
      </c>
      <c r="AC115" s="5">
        <f t="shared" si="64"/>
        <v>0</v>
      </c>
      <c r="AD115" s="5">
        <f t="shared" si="64"/>
        <v>0</v>
      </c>
      <c r="AE115" s="5">
        <f t="shared" si="64"/>
        <v>0</v>
      </c>
      <c r="AF115" s="5">
        <f t="shared" si="64"/>
        <v>0</v>
      </c>
      <c r="AG115" s="5">
        <f t="shared" si="64"/>
        <v>0</v>
      </c>
      <c r="AH115" s="5">
        <f t="shared" si="64"/>
        <v>1</v>
      </c>
      <c r="AI115" s="5">
        <f t="shared" si="64"/>
        <v>0</v>
      </c>
      <c r="AJ115" s="5">
        <f t="shared" si="64"/>
        <v>1</v>
      </c>
      <c r="AK115" s="5">
        <f t="shared" si="64"/>
        <v>3</v>
      </c>
      <c r="AL115" s="5">
        <f t="shared" si="64"/>
        <v>1</v>
      </c>
      <c r="AM115" s="5">
        <f t="shared" si="64"/>
        <v>1</v>
      </c>
      <c r="AN115" s="5">
        <f t="shared" si="64"/>
        <v>0</v>
      </c>
      <c r="AO115" s="5">
        <f t="shared" si="64"/>
        <v>1</v>
      </c>
      <c r="AP115" s="5">
        <f t="shared" si="64"/>
        <v>0</v>
      </c>
      <c r="AQ115" s="5">
        <f t="shared" si="64"/>
        <v>1</v>
      </c>
      <c r="AR115" s="5">
        <f t="shared" si="64"/>
        <v>2</v>
      </c>
      <c r="AS115" s="5">
        <f t="shared" si="64"/>
        <v>1</v>
      </c>
      <c r="AT115" s="5">
        <f t="shared" si="64"/>
        <v>0</v>
      </c>
      <c r="AU115" s="5">
        <f t="shared" si="64"/>
        <v>1</v>
      </c>
      <c r="AV115" s="5">
        <f t="shared" si="64"/>
        <v>0</v>
      </c>
      <c r="AW115" s="5">
        <f t="shared" si="64"/>
        <v>1</v>
      </c>
      <c r="AX115" s="5">
        <f t="shared" si="64"/>
        <v>1</v>
      </c>
      <c r="AY115" s="5">
        <f t="shared" si="64"/>
        <v>1</v>
      </c>
      <c r="AZ115" s="5">
        <f t="shared" si="64"/>
        <v>0</v>
      </c>
      <c r="BA115" s="5">
        <f t="shared" si="64"/>
        <v>0</v>
      </c>
      <c r="BB115" s="5">
        <f t="shared" si="64"/>
        <v>0</v>
      </c>
      <c r="BC115" s="5">
        <f t="shared" si="64"/>
        <v>1</v>
      </c>
      <c r="BD115" s="5">
        <f t="shared" si="64"/>
        <v>1</v>
      </c>
      <c r="BE115" s="5">
        <f t="shared" si="64"/>
        <v>0</v>
      </c>
      <c r="BF115" s="5">
        <f t="shared" si="64"/>
        <v>0</v>
      </c>
      <c r="BG115" s="5">
        <f t="shared" si="64"/>
        <v>0</v>
      </c>
      <c r="BH115" s="5">
        <f t="shared" si="64"/>
        <v>0</v>
      </c>
      <c r="BI115" s="5">
        <f t="shared" si="64"/>
        <v>0</v>
      </c>
      <c r="BJ115" s="5">
        <f t="shared" si="64"/>
        <v>4</v>
      </c>
      <c r="BK115" s="5">
        <f t="shared" si="64"/>
        <v>36</v>
      </c>
    </row>
    <row r="116" spans="1:65" x14ac:dyDescent="0.4">
      <c r="A116" s="70"/>
      <c r="B116" s="71"/>
      <c r="C116" s="71"/>
      <c r="D116" s="71"/>
      <c r="E116" s="7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5"/>
    </row>
    <row r="117" spans="1:65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0</v>
      </c>
      <c r="G117" s="6">
        <v>3</v>
      </c>
      <c r="H117" s="6">
        <v>0</v>
      </c>
      <c r="I117" s="6">
        <v>1</v>
      </c>
      <c r="J117" s="6">
        <v>1</v>
      </c>
      <c r="K117" s="6">
        <v>0</v>
      </c>
      <c r="L117" s="6">
        <v>1</v>
      </c>
      <c r="M117" s="6">
        <v>0</v>
      </c>
      <c r="N117" s="6">
        <v>0</v>
      </c>
      <c r="O117" s="6">
        <v>3</v>
      </c>
      <c r="P117" s="6">
        <v>2</v>
      </c>
      <c r="Q117" s="6">
        <v>10</v>
      </c>
      <c r="R117" s="6">
        <v>3</v>
      </c>
      <c r="S117" s="6">
        <v>0</v>
      </c>
      <c r="T117" s="6">
        <v>0</v>
      </c>
      <c r="U117" s="6">
        <v>1</v>
      </c>
      <c r="V117" s="6">
        <v>1</v>
      </c>
      <c r="W117" s="6">
        <v>1</v>
      </c>
      <c r="X117" s="6">
        <v>0</v>
      </c>
      <c r="Y117" s="6">
        <v>2</v>
      </c>
      <c r="Z117" s="6">
        <v>2</v>
      </c>
      <c r="AA117" s="6">
        <v>1</v>
      </c>
      <c r="AB117" s="6">
        <v>2</v>
      </c>
      <c r="AC117" s="6">
        <v>1</v>
      </c>
      <c r="AD117" s="6">
        <v>2</v>
      </c>
      <c r="AE117" s="6">
        <v>5</v>
      </c>
      <c r="AF117" s="6">
        <v>1</v>
      </c>
      <c r="AG117" s="6">
        <v>2</v>
      </c>
      <c r="AH117" s="6">
        <v>8</v>
      </c>
      <c r="AI117" s="6">
        <v>1</v>
      </c>
      <c r="AJ117" s="6">
        <v>2</v>
      </c>
      <c r="AK117" s="6">
        <v>2</v>
      </c>
      <c r="AL117" s="6">
        <v>2</v>
      </c>
      <c r="AM117" s="6">
        <v>0</v>
      </c>
      <c r="AN117" s="6">
        <v>0</v>
      </c>
      <c r="AO117" s="6">
        <v>4</v>
      </c>
      <c r="AP117" s="6">
        <v>0</v>
      </c>
      <c r="AQ117" s="6">
        <v>2</v>
      </c>
      <c r="AR117" s="6">
        <v>0</v>
      </c>
      <c r="AS117" s="6">
        <v>3</v>
      </c>
      <c r="AT117" s="6">
        <v>2</v>
      </c>
      <c r="AU117" s="6">
        <v>1</v>
      </c>
      <c r="AV117" s="6">
        <v>3</v>
      </c>
      <c r="AW117" s="6">
        <v>0</v>
      </c>
      <c r="AX117" s="6">
        <v>1</v>
      </c>
      <c r="AY117" s="6">
        <v>2</v>
      </c>
      <c r="AZ117" s="6">
        <v>0</v>
      </c>
      <c r="BA117" s="6">
        <v>1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2</v>
      </c>
      <c r="BK117" s="5">
        <f t="shared" ref="BK117:BK122" si="65">SUM(E117:BJ117)</f>
        <v>81</v>
      </c>
      <c r="BL117" s="20"/>
      <c r="BM117" s="20"/>
    </row>
    <row r="118" spans="1:65" x14ac:dyDescent="0.4">
      <c r="A118" s="11" t="s">
        <v>50</v>
      </c>
      <c r="B118" s="52"/>
      <c r="C118" s="24" t="s">
        <v>169</v>
      </c>
      <c r="D118" s="50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2</v>
      </c>
      <c r="M118" s="6">
        <v>1</v>
      </c>
      <c r="N118" s="6">
        <v>0</v>
      </c>
      <c r="O118" s="6">
        <v>0</v>
      </c>
      <c r="P118" s="6">
        <v>0</v>
      </c>
      <c r="Q118" s="6">
        <v>1</v>
      </c>
      <c r="R118" s="6">
        <v>0</v>
      </c>
      <c r="S118" s="6">
        <v>0</v>
      </c>
      <c r="T118" s="6">
        <v>0</v>
      </c>
      <c r="U118" s="6">
        <v>1</v>
      </c>
      <c r="V118" s="6">
        <v>1</v>
      </c>
      <c r="W118" s="6">
        <v>0</v>
      </c>
      <c r="X118" s="6">
        <v>2</v>
      </c>
      <c r="Y118" s="6">
        <v>1</v>
      </c>
      <c r="Z118" s="6">
        <v>0</v>
      </c>
      <c r="AA118" s="6">
        <v>0</v>
      </c>
      <c r="AB118" s="6">
        <v>0</v>
      </c>
      <c r="AC118" s="6">
        <v>0</v>
      </c>
      <c r="AD118" s="6">
        <v>1</v>
      </c>
      <c r="AE118" s="6">
        <v>0</v>
      </c>
      <c r="AF118" s="6">
        <v>0</v>
      </c>
      <c r="AG118" s="6">
        <v>0</v>
      </c>
      <c r="AH118" s="6">
        <v>2</v>
      </c>
      <c r="AI118" s="6">
        <v>1</v>
      </c>
      <c r="AJ118" s="6">
        <v>2</v>
      </c>
      <c r="AK118" s="6">
        <v>2</v>
      </c>
      <c r="AL118" s="6">
        <v>0</v>
      </c>
      <c r="AM118" s="6">
        <v>1</v>
      </c>
      <c r="AN118" s="6">
        <v>0</v>
      </c>
      <c r="AO118" s="6">
        <v>1</v>
      </c>
      <c r="AP118" s="6">
        <v>2</v>
      </c>
      <c r="AQ118" s="6">
        <v>0</v>
      </c>
      <c r="AR118" s="6">
        <v>0</v>
      </c>
      <c r="AS118" s="6">
        <v>0</v>
      </c>
      <c r="AT118" s="6">
        <v>1</v>
      </c>
      <c r="AU118" s="6">
        <v>0</v>
      </c>
      <c r="AV118" s="6">
        <v>1</v>
      </c>
      <c r="AW118" s="6">
        <v>1</v>
      </c>
      <c r="AX118" s="6">
        <v>0</v>
      </c>
      <c r="AY118" s="6">
        <v>1</v>
      </c>
      <c r="AZ118" s="6">
        <v>0</v>
      </c>
      <c r="BA118" s="6">
        <v>1</v>
      </c>
      <c r="BB118" s="6">
        <v>1</v>
      </c>
      <c r="BC118" s="6">
        <v>0</v>
      </c>
      <c r="BD118" s="6">
        <v>2</v>
      </c>
      <c r="BE118" s="6">
        <v>0</v>
      </c>
      <c r="BF118" s="6">
        <v>0</v>
      </c>
      <c r="BG118" s="6">
        <v>3</v>
      </c>
      <c r="BH118" s="6">
        <v>1</v>
      </c>
      <c r="BI118" s="6">
        <v>0</v>
      </c>
      <c r="BJ118" s="6">
        <v>0</v>
      </c>
      <c r="BK118" s="5">
        <f t="shared" si="65"/>
        <v>35</v>
      </c>
      <c r="BL118" s="20"/>
      <c r="BM118" s="20"/>
    </row>
    <row r="119" spans="1:65" x14ac:dyDescent="0.4">
      <c r="A119" s="7"/>
      <c r="B119" s="52"/>
      <c r="C119" s="24" t="s">
        <v>170</v>
      </c>
      <c r="D119" s="50"/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1</v>
      </c>
      <c r="V119" s="6">
        <v>0</v>
      </c>
      <c r="W119" s="6">
        <v>1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1</v>
      </c>
      <c r="AQ119" s="6">
        <v>0</v>
      </c>
      <c r="AR119" s="6">
        <v>1</v>
      </c>
      <c r="AS119" s="6">
        <v>1</v>
      </c>
      <c r="AT119" s="6">
        <v>0</v>
      </c>
      <c r="AU119" s="6">
        <v>3</v>
      </c>
      <c r="AV119" s="6">
        <v>0</v>
      </c>
      <c r="AW119" s="6">
        <v>0</v>
      </c>
      <c r="AX119" s="6">
        <v>0</v>
      </c>
      <c r="AY119" s="6">
        <v>1</v>
      </c>
      <c r="AZ119" s="6">
        <v>0</v>
      </c>
      <c r="BA119" s="6">
        <v>0</v>
      </c>
      <c r="BB119" s="6">
        <v>1</v>
      </c>
      <c r="BC119" s="6">
        <v>0</v>
      </c>
      <c r="BD119" s="6">
        <v>0</v>
      </c>
      <c r="BE119" s="6">
        <v>0</v>
      </c>
      <c r="BF119" s="6">
        <v>0</v>
      </c>
      <c r="BG119" s="6">
        <v>1</v>
      </c>
      <c r="BH119" s="6">
        <v>1</v>
      </c>
      <c r="BI119" s="6">
        <v>0</v>
      </c>
      <c r="BJ119" s="6">
        <v>0</v>
      </c>
      <c r="BK119" s="5">
        <f t="shared" si="65"/>
        <v>16</v>
      </c>
      <c r="BL119" s="20"/>
      <c r="BM119" s="20"/>
    </row>
    <row r="120" spans="1:65" x14ac:dyDescent="0.4">
      <c r="A120" s="7"/>
      <c r="B120" s="52"/>
      <c r="C120" s="24" t="s">
        <v>171</v>
      </c>
      <c r="D120" s="50"/>
      <c r="E120" s="6">
        <v>0</v>
      </c>
      <c r="F120" s="6">
        <v>0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6">
        <v>1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1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1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1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5">
        <f t="shared" si="65"/>
        <v>6</v>
      </c>
      <c r="BL120" s="20"/>
      <c r="BM120" s="20"/>
    </row>
    <row r="121" spans="1:65" x14ac:dyDescent="0.4">
      <c r="A121" s="7"/>
      <c r="B121" s="52"/>
      <c r="C121" s="24" t="s">
        <v>172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1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2</v>
      </c>
      <c r="AA121" s="6">
        <v>0</v>
      </c>
      <c r="AB121" s="6">
        <v>1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1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1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1</v>
      </c>
      <c r="BJ121" s="6">
        <v>0</v>
      </c>
      <c r="BK121" s="5">
        <f t="shared" si="65"/>
        <v>7</v>
      </c>
      <c r="BL121" s="20"/>
      <c r="BM121" s="20"/>
    </row>
    <row r="122" spans="1:65" x14ac:dyDescent="0.4">
      <c r="A122" s="7"/>
      <c r="B122" s="52"/>
      <c r="C122" s="24" t="s">
        <v>173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1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5">
        <f t="shared" si="65"/>
        <v>1</v>
      </c>
      <c r="BL122" s="20"/>
      <c r="BM122" s="20"/>
    </row>
    <row r="123" spans="1:65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49"/>
      <c r="BL123" s="20"/>
      <c r="BM123" s="20"/>
    </row>
    <row r="124" spans="1:65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49"/>
      <c r="BL124" s="20"/>
      <c r="BM124" s="20"/>
    </row>
    <row r="125" spans="1:65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49"/>
      <c r="BL125" s="20"/>
      <c r="BM125" s="20"/>
    </row>
    <row r="126" spans="1:65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49"/>
      <c r="BL126" s="20"/>
      <c r="BM126" s="20"/>
    </row>
    <row r="127" spans="1:65" x14ac:dyDescent="0.4">
      <c r="A127" s="6" t="s">
        <v>26</v>
      </c>
      <c r="B127" s="67" t="s">
        <v>51</v>
      </c>
      <c r="C127" s="68"/>
      <c r="D127" s="69"/>
      <c r="E127" s="5">
        <f t="shared" ref="E127:BK127" si="66">SUM(E117:E126)</f>
        <v>1</v>
      </c>
      <c r="F127" s="5">
        <f t="shared" si="66"/>
        <v>1</v>
      </c>
      <c r="G127" s="5">
        <f t="shared" si="66"/>
        <v>4</v>
      </c>
      <c r="H127" s="5">
        <f t="shared" si="66"/>
        <v>0</v>
      </c>
      <c r="I127" s="5">
        <f t="shared" si="66"/>
        <v>1</v>
      </c>
      <c r="J127" s="5">
        <f t="shared" si="66"/>
        <v>1</v>
      </c>
      <c r="K127" s="5">
        <f t="shared" si="66"/>
        <v>1</v>
      </c>
      <c r="L127" s="5">
        <f t="shared" si="66"/>
        <v>4</v>
      </c>
      <c r="M127" s="5">
        <f t="shared" si="66"/>
        <v>1</v>
      </c>
      <c r="N127" s="5">
        <f t="shared" si="66"/>
        <v>1</v>
      </c>
      <c r="O127" s="5">
        <f t="shared" si="66"/>
        <v>4</v>
      </c>
      <c r="P127" s="5">
        <f t="shared" si="66"/>
        <v>2</v>
      </c>
      <c r="Q127" s="5">
        <f t="shared" si="66"/>
        <v>12</v>
      </c>
      <c r="R127" s="5">
        <f t="shared" si="66"/>
        <v>3</v>
      </c>
      <c r="S127" s="5">
        <f t="shared" si="66"/>
        <v>0</v>
      </c>
      <c r="T127" s="5">
        <f t="shared" si="66"/>
        <v>0</v>
      </c>
      <c r="U127" s="5">
        <f t="shared" si="66"/>
        <v>3</v>
      </c>
      <c r="V127" s="5">
        <f t="shared" si="66"/>
        <v>2</v>
      </c>
      <c r="W127" s="5">
        <f t="shared" si="66"/>
        <v>3</v>
      </c>
      <c r="X127" s="5">
        <f t="shared" si="66"/>
        <v>2</v>
      </c>
      <c r="Y127" s="5">
        <f t="shared" si="66"/>
        <v>3</v>
      </c>
      <c r="Z127" s="5">
        <f t="shared" si="66"/>
        <v>4</v>
      </c>
      <c r="AA127" s="5">
        <f t="shared" si="66"/>
        <v>1</v>
      </c>
      <c r="AB127" s="5">
        <f t="shared" si="66"/>
        <v>3</v>
      </c>
      <c r="AC127" s="5">
        <f t="shared" si="66"/>
        <v>1</v>
      </c>
      <c r="AD127" s="5">
        <f t="shared" si="66"/>
        <v>3</v>
      </c>
      <c r="AE127" s="5">
        <f t="shared" si="66"/>
        <v>5</v>
      </c>
      <c r="AF127" s="5">
        <f t="shared" si="66"/>
        <v>1</v>
      </c>
      <c r="AG127" s="5">
        <f t="shared" si="66"/>
        <v>2</v>
      </c>
      <c r="AH127" s="5">
        <f t="shared" si="66"/>
        <v>13</v>
      </c>
      <c r="AI127" s="5">
        <f t="shared" si="66"/>
        <v>3</v>
      </c>
      <c r="AJ127" s="5">
        <f t="shared" si="66"/>
        <v>4</v>
      </c>
      <c r="AK127" s="5">
        <f t="shared" si="66"/>
        <v>4</v>
      </c>
      <c r="AL127" s="5">
        <f t="shared" si="66"/>
        <v>2</v>
      </c>
      <c r="AM127" s="5">
        <f t="shared" si="66"/>
        <v>1</v>
      </c>
      <c r="AN127" s="5">
        <f t="shared" si="66"/>
        <v>0</v>
      </c>
      <c r="AO127" s="5">
        <f t="shared" si="66"/>
        <v>5</v>
      </c>
      <c r="AP127" s="5">
        <f t="shared" si="66"/>
        <v>3</v>
      </c>
      <c r="AQ127" s="5">
        <f t="shared" si="66"/>
        <v>2</v>
      </c>
      <c r="AR127" s="5">
        <f t="shared" si="66"/>
        <v>1</v>
      </c>
      <c r="AS127" s="5">
        <f t="shared" si="66"/>
        <v>4</v>
      </c>
      <c r="AT127" s="5">
        <f t="shared" si="66"/>
        <v>5</v>
      </c>
      <c r="AU127" s="5">
        <f t="shared" si="66"/>
        <v>4</v>
      </c>
      <c r="AV127" s="5">
        <f t="shared" si="66"/>
        <v>4</v>
      </c>
      <c r="AW127" s="5">
        <f t="shared" si="66"/>
        <v>1</v>
      </c>
      <c r="AX127" s="5">
        <f t="shared" si="66"/>
        <v>1</v>
      </c>
      <c r="AY127" s="5">
        <f t="shared" si="66"/>
        <v>4</v>
      </c>
      <c r="AZ127" s="5">
        <f t="shared" si="66"/>
        <v>0</v>
      </c>
      <c r="BA127" s="5">
        <f t="shared" si="66"/>
        <v>2</v>
      </c>
      <c r="BB127" s="5">
        <f t="shared" si="66"/>
        <v>2</v>
      </c>
      <c r="BC127" s="5">
        <f t="shared" si="66"/>
        <v>1</v>
      </c>
      <c r="BD127" s="5">
        <f t="shared" si="66"/>
        <v>2</v>
      </c>
      <c r="BE127" s="5">
        <f t="shared" si="66"/>
        <v>0</v>
      </c>
      <c r="BF127" s="5">
        <f t="shared" si="66"/>
        <v>0</v>
      </c>
      <c r="BG127" s="5">
        <f t="shared" si="66"/>
        <v>4</v>
      </c>
      <c r="BH127" s="5">
        <f t="shared" si="66"/>
        <v>2</v>
      </c>
      <c r="BI127" s="5">
        <f t="shared" si="66"/>
        <v>1</v>
      </c>
      <c r="BJ127" s="5">
        <f t="shared" si="66"/>
        <v>2</v>
      </c>
      <c r="BK127" s="5">
        <f t="shared" si="66"/>
        <v>146</v>
      </c>
      <c r="BL127" s="20"/>
      <c r="BM127" s="20"/>
    </row>
    <row r="128" spans="1:65" x14ac:dyDescent="0.4">
      <c r="A128" s="70"/>
      <c r="B128" s="71"/>
      <c r="C128" s="71"/>
      <c r="D128" s="71"/>
      <c r="E128" s="7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20"/>
      <c r="BM128" s="20"/>
    </row>
    <row r="129" spans="1:65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1</v>
      </c>
      <c r="Q129" s="6">
        <v>0</v>
      </c>
      <c r="R129" s="6">
        <v>0</v>
      </c>
      <c r="S129" s="6">
        <v>0</v>
      </c>
      <c r="T129" s="6">
        <v>0</v>
      </c>
      <c r="U129" s="6">
        <v>1</v>
      </c>
      <c r="V129" s="6">
        <v>1</v>
      </c>
      <c r="W129" s="6">
        <v>6</v>
      </c>
      <c r="X129" s="6">
        <v>0</v>
      </c>
      <c r="Y129" s="6">
        <v>2</v>
      </c>
      <c r="Z129" s="6">
        <v>1</v>
      </c>
      <c r="AA129" s="6">
        <v>2</v>
      </c>
      <c r="AB129" s="6">
        <v>3</v>
      </c>
      <c r="AC129" s="6">
        <v>1</v>
      </c>
      <c r="AD129" s="6">
        <v>0</v>
      </c>
      <c r="AE129" s="6">
        <v>0</v>
      </c>
      <c r="AF129" s="6">
        <v>0</v>
      </c>
      <c r="AG129" s="6">
        <v>0</v>
      </c>
      <c r="AH129" s="6">
        <v>5</v>
      </c>
      <c r="AI129" s="6">
        <v>1</v>
      </c>
      <c r="AJ129" s="6">
        <v>11</v>
      </c>
      <c r="AK129" s="6">
        <v>4</v>
      </c>
      <c r="AL129" s="6">
        <v>2</v>
      </c>
      <c r="AM129" s="6">
        <v>6</v>
      </c>
      <c r="AN129" s="6">
        <v>1</v>
      </c>
      <c r="AO129" s="6">
        <v>0</v>
      </c>
      <c r="AP129" s="6">
        <v>0</v>
      </c>
      <c r="AQ129" s="6">
        <v>2</v>
      </c>
      <c r="AR129" s="6">
        <v>1</v>
      </c>
      <c r="AS129" s="6">
        <v>0</v>
      </c>
      <c r="AT129" s="6">
        <v>0</v>
      </c>
      <c r="AU129" s="6">
        <v>1</v>
      </c>
      <c r="AV129" s="6">
        <v>1</v>
      </c>
      <c r="AW129" s="6">
        <v>0</v>
      </c>
      <c r="AX129" s="6">
        <v>0</v>
      </c>
      <c r="AY129" s="6">
        <v>2</v>
      </c>
      <c r="AZ129" s="6">
        <v>0</v>
      </c>
      <c r="BA129" s="6">
        <v>0</v>
      </c>
      <c r="BB129" s="6">
        <v>0</v>
      </c>
      <c r="BC129" s="6">
        <v>3</v>
      </c>
      <c r="BD129" s="6">
        <v>1</v>
      </c>
      <c r="BE129" s="6">
        <v>5</v>
      </c>
      <c r="BF129" s="6">
        <v>2</v>
      </c>
      <c r="BG129" s="6">
        <v>1</v>
      </c>
      <c r="BH129" s="6">
        <v>1</v>
      </c>
      <c r="BI129" s="6">
        <v>0</v>
      </c>
      <c r="BJ129" s="6">
        <v>2</v>
      </c>
      <c r="BK129" s="5">
        <f t="shared" ref="BK129:BK139" si="67">SUM(E129:BJ129)</f>
        <v>70</v>
      </c>
      <c r="BL129" s="20"/>
      <c r="BM129" s="20"/>
    </row>
    <row r="130" spans="1:65" ht="13.15" customHeight="1" x14ac:dyDescent="0.4">
      <c r="A130" s="11" t="s">
        <v>50</v>
      </c>
      <c r="B130" s="52"/>
      <c r="C130" s="24" t="s">
        <v>174</v>
      </c>
      <c r="D130" s="53"/>
      <c r="E130" s="6">
        <v>1</v>
      </c>
      <c r="F130" s="6">
        <v>2</v>
      </c>
      <c r="G130" s="6">
        <v>0</v>
      </c>
      <c r="H130" s="6">
        <v>0</v>
      </c>
      <c r="I130" s="6">
        <v>2</v>
      </c>
      <c r="J130" s="6">
        <v>1</v>
      </c>
      <c r="K130" s="6">
        <v>1</v>
      </c>
      <c r="L130" s="6">
        <v>1</v>
      </c>
      <c r="M130" s="6">
        <v>2</v>
      </c>
      <c r="N130" s="6">
        <v>0</v>
      </c>
      <c r="O130" s="6">
        <v>3</v>
      </c>
      <c r="P130" s="6">
        <v>1</v>
      </c>
      <c r="Q130" s="6">
        <v>3</v>
      </c>
      <c r="R130" s="6">
        <v>0</v>
      </c>
      <c r="S130" s="6">
        <v>1</v>
      </c>
      <c r="T130" s="6">
        <v>0</v>
      </c>
      <c r="U130" s="6">
        <v>4</v>
      </c>
      <c r="V130" s="6">
        <v>3</v>
      </c>
      <c r="W130" s="6">
        <v>8</v>
      </c>
      <c r="X130" s="6">
        <v>0</v>
      </c>
      <c r="Y130" s="6">
        <v>3</v>
      </c>
      <c r="Z130" s="6">
        <v>5</v>
      </c>
      <c r="AA130" s="6">
        <v>2</v>
      </c>
      <c r="AB130" s="6">
        <v>3</v>
      </c>
      <c r="AC130" s="6">
        <v>2</v>
      </c>
      <c r="AD130" s="6">
        <v>1</v>
      </c>
      <c r="AE130" s="6">
        <v>1</v>
      </c>
      <c r="AF130" s="6">
        <v>0</v>
      </c>
      <c r="AG130" s="6">
        <v>0</v>
      </c>
      <c r="AH130" s="6">
        <v>3</v>
      </c>
      <c r="AI130" s="6">
        <v>4</v>
      </c>
      <c r="AJ130" s="6">
        <v>5</v>
      </c>
      <c r="AK130" s="6">
        <v>1</v>
      </c>
      <c r="AL130" s="6">
        <v>2</v>
      </c>
      <c r="AM130" s="6">
        <v>14</v>
      </c>
      <c r="AN130" s="6">
        <v>15</v>
      </c>
      <c r="AO130" s="6">
        <v>1</v>
      </c>
      <c r="AP130" s="6">
        <v>1</v>
      </c>
      <c r="AQ130" s="6">
        <v>3</v>
      </c>
      <c r="AR130" s="6">
        <v>2</v>
      </c>
      <c r="AS130" s="6">
        <v>0</v>
      </c>
      <c r="AT130" s="6">
        <v>1</v>
      </c>
      <c r="AU130" s="6">
        <v>2</v>
      </c>
      <c r="AV130" s="6">
        <v>1</v>
      </c>
      <c r="AW130" s="6">
        <v>1</v>
      </c>
      <c r="AX130" s="6">
        <v>1</v>
      </c>
      <c r="AY130" s="6">
        <v>3</v>
      </c>
      <c r="AZ130" s="6">
        <v>1</v>
      </c>
      <c r="BA130" s="6">
        <v>2</v>
      </c>
      <c r="BB130" s="6">
        <v>1</v>
      </c>
      <c r="BC130" s="6">
        <v>2</v>
      </c>
      <c r="BD130" s="6">
        <v>1</v>
      </c>
      <c r="BE130" s="6">
        <v>2</v>
      </c>
      <c r="BF130" s="6">
        <v>1</v>
      </c>
      <c r="BG130" s="6">
        <v>3</v>
      </c>
      <c r="BH130" s="6">
        <v>5</v>
      </c>
      <c r="BI130" s="6">
        <v>0</v>
      </c>
      <c r="BJ130" s="6">
        <v>4</v>
      </c>
      <c r="BK130" s="5">
        <f t="shared" si="67"/>
        <v>132</v>
      </c>
      <c r="BL130" s="1"/>
      <c r="BM130" s="1"/>
    </row>
    <row r="131" spans="1:65" x14ac:dyDescent="0.4">
      <c r="A131" s="7"/>
      <c r="B131" s="52"/>
      <c r="C131" s="24" t="s">
        <v>175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1</v>
      </c>
      <c r="Q131" s="6">
        <v>2</v>
      </c>
      <c r="R131" s="6">
        <v>0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1</v>
      </c>
      <c r="Z131" s="6">
        <v>0</v>
      </c>
      <c r="AA131" s="6">
        <v>0</v>
      </c>
      <c r="AB131" s="6">
        <v>0</v>
      </c>
      <c r="AC131" s="6">
        <v>1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1</v>
      </c>
      <c r="AW131" s="6">
        <v>0</v>
      </c>
      <c r="AX131" s="6">
        <v>1</v>
      </c>
      <c r="AY131" s="6">
        <v>0</v>
      </c>
      <c r="AZ131" s="6">
        <v>1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1</v>
      </c>
      <c r="BG131" s="6">
        <v>1</v>
      </c>
      <c r="BH131" s="6">
        <v>0</v>
      </c>
      <c r="BI131" s="6">
        <v>0</v>
      </c>
      <c r="BJ131" s="6">
        <v>2</v>
      </c>
      <c r="BK131" s="5">
        <f t="shared" si="67"/>
        <v>13</v>
      </c>
      <c r="BL131" s="27"/>
      <c r="BM131" s="27"/>
    </row>
    <row r="132" spans="1:65" x14ac:dyDescent="0.4">
      <c r="A132" s="7"/>
      <c r="B132" s="52"/>
      <c r="C132" s="24" t="s">
        <v>176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1</v>
      </c>
      <c r="R132" s="6">
        <v>0</v>
      </c>
      <c r="S132" s="6">
        <v>0</v>
      </c>
      <c r="T132" s="6">
        <v>0</v>
      </c>
      <c r="U132" s="6">
        <v>2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3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5">
        <f t="shared" si="67"/>
        <v>7</v>
      </c>
      <c r="BL132" s="20"/>
      <c r="BM132" s="20"/>
    </row>
    <row r="133" spans="1:65" x14ac:dyDescent="0.4">
      <c r="A133" s="7"/>
      <c r="B133" s="52"/>
      <c r="C133" s="24" t="s">
        <v>177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2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1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1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1</v>
      </c>
      <c r="BG133" s="6">
        <v>0</v>
      </c>
      <c r="BH133" s="6">
        <v>0</v>
      </c>
      <c r="BI133" s="6">
        <v>0</v>
      </c>
      <c r="BJ133" s="6">
        <v>0</v>
      </c>
      <c r="BK133" s="5">
        <f t="shared" si="67"/>
        <v>5</v>
      </c>
      <c r="BL133" s="20"/>
      <c r="BM133" s="20"/>
    </row>
    <row r="134" spans="1:65" x14ac:dyDescent="0.4">
      <c r="A134" s="7"/>
      <c r="B134" s="52"/>
      <c r="C134" s="24" t="s">
        <v>178</v>
      </c>
      <c r="D134" s="53"/>
      <c r="E134" s="6">
        <v>0</v>
      </c>
      <c r="F134" s="6">
        <v>0</v>
      </c>
      <c r="G134" s="6">
        <v>1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1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  <c r="AF134" s="6">
        <v>0</v>
      </c>
      <c r="AG134" s="6">
        <v>0</v>
      </c>
      <c r="AH134" s="6">
        <v>0</v>
      </c>
      <c r="AI134" s="6">
        <v>0</v>
      </c>
      <c r="AJ134" s="6">
        <v>1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1</v>
      </c>
      <c r="AU134" s="6">
        <v>0</v>
      </c>
      <c r="AV134" s="6">
        <v>1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1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1</v>
      </c>
      <c r="BK134" s="5">
        <f t="shared" si="67"/>
        <v>8</v>
      </c>
      <c r="BL134" s="20"/>
      <c r="BM134" s="20"/>
    </row>
    <row r="135" spans="1:65" x14ac:dyDescent="0.4">
      <c r="A135" s="7"/>
      <c r="B135" s="52"/>
      <c r="C135" s="24" t="s">
        <v>179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1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1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5">
        <f t="shared" si="67"/>
        <v>2</v>
      </c>
      <c r="BL135" s="20"/>
      <c r="BM135" s="20"/>
    </row>
    <row r="136" spans="1:65" x14ac:dyDescent="0.4">
      <c r="A136" s="7"/>
      <c r="B136" s="52"/>
      <c r="C136" s="24" t="s">
        <v>180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1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5">
        <f t="shared" si="67"/>
        <v>1</v>
      </c>
      <c r="BL136" s="20"/>
      <c r="BM136" s="20"/>
    </row>
    <row r="137" spans="1:65" x14ac:dyDescent="0.4">
      <c r="A137" s="7"/>
      <c r="B137" s="52"/>
      <c r="C137" s="24" t="s">
        <v>181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1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1</v>
      </c>
      <c r="AJ137" s="6">
        <v>0</v>
      </c>
      <c r="AK137" s="6">
        <v>0</v>
      </c>
      <c r="AL137" s="6">
        <v>0</v>
      </c>
      <c r="AM137" s="6">
        <v>2</v>
      </c>
      <c r="AN137" s="6">
        <v>1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1</v>
      </c>
      <c r="BD137" s="6">
        <v>1</v>
      </c>
      <c r="BE137" s="6">
        <v>1</v>
      </c>
      <c r="BF137" s="6">
        <v>1</v>
      </c>
      <c r="BG137" s="6">
        <v>1</v>
      </c>
      <c r="BH137" s="6">
        <v>1</v>
      </c>
      <c r="BI137" s="6">
        <v>0</v>
      </c>
      <c r="BJ137" s="6">
        <v>0</v>
      </c>
      <c r="BK137" s="5">
        <f t="shared" si="67"/>
        <v>12</v>
      </c>
      <c r="BL137" s="20"/>
      <c r="BM137" s="20"/>
    </row>
    <row r="138" spans="1:65" x14ac:dyDescent="0.4">
      <c r="A138" s="7"/>
      <c r="B138" s="52"/>
      <c r="C138" s="24" t="s">
        <v>182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1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1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5">
        <f t="shared" si="67"/>
        <v>2</v>
      </c>
      <c r="BL138" s="20"/>
      <c r="BM138" s="20"/>
    </row>
    <row r="139" spans="1:65" x14ac:dyDescent="0.4">
      <c r="A139" s="6" t="s">
        <v>26</v>
      </c>
      <c r="B139" s="67" t="s">
        <v>51</v>
      </c>
      <c r="C139" s="68"/>
      <c r="D139" s="69"/>
      <c r="E139" s="5">
        <f t="shared" ref="E139:BK139" si="68">SUM(E129:E138)</f>
        <v>1</v>
      </c>
      <c r="F139" s="5">
        <f t="shared" si="68"/>
        <v>2</v>
      </c>
      <c r="G139" s="5">
        <f t="shared" si="68"/>
        <v>1</v>
      </c>
      <c r="H139" s="5">
        <f t="shared" si="68"/>
        <v>0</v>
      </c>
      <c r="I139" s="5">
        <f t="shared" si="68"/>
        <v>2</v>
      </c>
      <c r="J139" s="5">
        <f t="shared" si="68"/>
        <v>2</v>
      </c>
      <c r="K139" s="5">
        <f t="shared" si="68"/>
        <v>2</v>
      </c>
      <c r="L139" s="5">
        <f t="shared" si="68"/>
        <v>1</v>
      </c>
      <c r="M139" s="5">
        <f t="shared" si="68"/>
        <v>2</v>
      </c>
      <c r="N139" s="5">
        <f t="shared" si="68"/>
        <v>0</v>
      </c>
      <c r="O139" s="5">
        <f t="shared" si="68"/>
        <v>3</v>
      </c>
      <c r="P139" s="5">
        <f t="shared" si="68"/>
        <v>3</v>
      </c>
      <c r="Q139" s="5">
        <f t="shared" si="68"/>
        <v>6</v>
      </c>
      <c r="R139" s="5">
        <f t="shared" si="68"/>
        <v>0</v>
      </c>
      <c r="S139" s="5">
        <f t="shared" si="68"/>
        <v>2</v>
      </c>
      <c r="T139" s="5">
        <f t="shared" si="68"/>
        <v>0</v>
      </c>
      <c r="U139" s="5">
        <f t="shared" si="68"/>
        <v>7</v>
      </c>
      <c r="V139" s="5">
        <f t="shared" si="68"/>
        <v>4</v>
      </c>
      <c r="W139" s="5">
        <f t="shared" si="68"/>
        <v>16</v>
      </c>
      <c r="X139" s="5">
        <f t="shared" si="68"/>
        <v>0</v>
      </c>
      <c r="Y139" s="5">
        <f t="shared" si="68"/>
        <v>6</v>
      </c>
      <c r="Z139" s="5">
        <f t="shared" si="68"/>
        <v>7</v>
      </c>
      <c r="AA139" s="5">
        <f t="shared" si="68"/>
        <v>4</v>
      </c>
      <c r="AB139" s="5">
        <f t="shared" si="68"/>
        <v>6</v>
      </c>
      <c r="AC139" s="5">
        <f t="shared" si="68"/>
        <v>5</v>
      </c>
      <c r="AD139" s="5">
        <f t="shared" si="68"/>
        <v>2</v>
      </c>
      <c r="AE139" s="5">
        <f t="shared" si="68"/>
        <v>2</v>
      </c>
      <c r="AF139" s="5">
        <f t="shared" si="68"/>
        <v>0</v>
      </c>
      <c r="AG139" s="5">
        <f t="shared" si="68"/>
        <v>0</v>
      </c>
      <c r="AH139" s="5">
        <f t="shared" si="68"/>
        <v>8</v>
      </c>
      <c r="AI139" s="5">
        <f t="shared" si="68"/>
        <v>7</v>
      </c>
      <c r="AJ139" s="5">
        <f t="shared" si="68"/>
        <v>17</v>
      </c>
      <c r="AK139" s="5">
        <f t="shared" si="68"/>
        <v>5</v>
      </c>
      <c r="AL139" s="5">
        <f t="shared" si="68"/>
        <v>4</v>
      </c>
      <c r="AM139" s="5">
        <f t="shared" si="68"/>
        <v>23</v>
      </c>
      <c r="AN139" s="5">
        <f t="shared" si="68"/>
        <v>18</v>
      </c>
      <c r="AO139" s="5">
        <f t="shared" si="68"/>
        <v>1</v>
      </c>
      <c r="AP139" s="5">
        <f t="shared" si="68"/>
        <v>1</v>
      </c>
      <c r="AQ139" s="5">
        <f t="shared" si="68"/>
        <v>5</v>
      </c>
      <c r="AR139" s="5">
        <f t="shared" si="68"/>
        <v>6</v>
      </c>
      <c r="AS139" s="5">
        <f t="shared" si="68"/>
        <v>0</v>
      </c>
      <c r="AT139" s="5">
        <f t="shared" si="68"/>
        <v>2</v>
      </c>
      <c r="AU139" s="5">
        <f t="shared" si="68"/>
        <v>3</v>
      </c>
      <c r="AV139" s="5">
        <f t="shared" si="68"/>
        <v>4</v>
      </c>
      <c r="AW139" s="5">
        <f t="shared" si="68"/>
        <v>1</v>
      </c>
      <c r="AX139" s="5">
        <f t="shared" si="68"/>
        <v>2</v>
      </c>
      <c r="AY139" s="5">
        <f t="shared" si="68"/>
        <v>6</v>
      </c>
      <c r="AZ139" s="5">
        <f t="shared" si="68"/>
        <v>2</v>
      </c>
      <c r="BA139" s="5">
        <f t="shared" si="68"/>
        <v>2</v>
      </c>
      <c r="BB139" s="5">
        <f t="shared" si="68"/>
        <v>2</v>
      </c>
      <c r="BC139" s="5">
        <f t="shared" si="68"/>
        <v>8</v>
      </c>
      <c r="BD139" s="5">
        <f t="shared" si="68"/>
        <v>3</v>
      </c>
      <c r="BE139" s="5">
        <f t="shared" si="68"/>
        <v>8</v>
      </c>
      <c r="BF139" s="5">
        <f t="shared" si="68"/>
        <v>6</v>
      </c>
      <c r="BG139" s="5">
        <f t="shared" si="68"/>
        <v>6</v>
      </c>
      <c r="BH139" s="5">
        <f t="shared" si="68"/>
        <v>7</v>
      </c>
      <c r="BI139" s="5">
        <f t="shared" si="68"/>
        <v>0</v>
      </c>
      <c r="BJ139" s="5">
        <f t="shared" si="68"/>
        <v>9</v>
      </c>
      <c r="BK139" s="5">
        <f t="shared" si="68"/>
        <v>252</v>
      </c>
      <c r="BL139" s="20"/>
      <c r="BM139" s="20"/>
    </row>
    <row r="140" spans="1:65" x14ac:dyDescent="0.4">
      <c r="A140" s="70"/>
      <c r="B140" s="71"/>
      <c r="C140" s="71"/>
      <c r="D140" s="71"/>
      <c r="E140" s="72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20"/>
      <c r="BM140" s="20"/>
    </row>
    <row r="141" spans="1:65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1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1</v>
      </c>
      <c r="BK141" s="5">
        <f>SUM(E141:BJ141)</f>
        <v>2</v>
      </c>
      <c r="BL141" s="1"/>
      <c r="BM141" s="1"/>
    </row>
    <row r="142" spans="1:65" x14ac:dyDescent="0.4">
      <c r="A142" s="11" t="s">
        <v>50</v>
      </c>
      <c r="B142" s="52"/>
      <c r="C142" s="24" t="s">
        <v>183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1</v>
      </c>
      <c r="AH142" s="6">
        <v>0</v>
      </c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5">
        <f>SUM(E142:BJ142)</f>
        <v>1</v>
      </c>
      <c r="BL142" s="27"/>
      <c r="BM142" s="27"/>
    </row>
    <row r="143" spans="1:65" x14ac:dyDescent="0.4">
      <c r="A143" s="7"/>
      <c r="B143" s="52"/>
      <c r="C143" s="24" t="s">
        <v>184</v>
      </c>
      <c r="D143" s="50"/>
      <c r="E143" s="6">
        <v>0</v>
      </c>
      <c r="F143" s="6">
        <v>1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5">
        <f>SUM(E143:BJ143)</f>
        <v>2</v>
      </c>
      <c r="BL143" s="20"/>
      <c r="BM143" s="20"/>
    </row>
    <row r="144" spans="1:65" x14ac:dyDescent="0.4">
      <c r="A144" s="7"/>
      <c r="B144" s="52"/>
      <c r="C144" s="24" t="s">
        <v>185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5">
        <f>SUM(E144:BJ144)</f>
        <v>0</v>
      </c>
      <c r="BL144" s="20"/>
      <c r="BM144" s="20"/>
    </row>
    <row r="145" spans="1:65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49"/>
      <c r="BL145" s="20"/>
      <c r="BM145" s="20"/>
    </row>
    <row r="146" spans="1:65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49"/>
      <c r="BL146" s="20"/>
      <c r="BM146" s="20"/>
    </row>
    <row r="147" spans="1:65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49"/>
      <c r="BL147" s="20"/>
      <c r="BM147" s="20"/>
    </row>
    <row r="148" spans="1:65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49"/>
      <c r="BL148" s="20"/>
      <c r="BM148" s="20"/>
    </row>
    <row r="149" spans="1:65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49"/>
      <c r="BL149" s="20"/>
      <c r="BM149" s="20"/>
    </row>
    <row r="150" spans="1:65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49"/>
      <c r="BL150" s="20"/>
      <c r="BM150" s="20"/>
    </row>
    <row r="151" spans="1:65" ht="13.15" customHeight="1" x14ac:dyDescent="0.4">
      <c r="A151" s="6" t="s">
        <v>26</v>
      </c>
      <c r="B151" s="67" t="s">
        <v>51</v>
      </c>
      <c r="C151" s="68"/>
      <c r="D151" s="69"/>
      <c r="E151" s="5">
        <f t="shared" ref="E151:BK151" si="69">SUM(E141:E150)</f>
        <v>0</v>
      </c>
      <c r="F151" s="5">
        <f t="shared" si="69"/>
        <v>1</v>
      </c>
      <c r="G151" s="5">
        <f t="shared" si="69"/>
        <v>0</v>
      </c>
      <c r="H151" s="5">
        <f t="shared" si="69"/>
        <v>0</v>
      </c>
      <c r="I151" s="5">
        <f t="shared" si="69"/>
        <v>0</v>
      </c>
      <c r="J151" s="5">
        <f t="shared" si="69"/>
        <v>0</v>
      </c>
      <c r="K151" s="5">
        <f t="shared" si="69"/>
        <v>0</v>
      </c>
      <c r="L151" s="5">
        <f t="shared" si="69"/>
        <v>0</v>
      </c>
      <c r="M151" s="5">
        <f t="shared" si="69"/>
        <v>1</v>
      </c>
      <c r="N151" s="5">
        <f t="shared" si="69"/>
        <v>0</v>
      </c>
      <c r="O151" s="5">
        <f t="shared" si="69"/>
        <v>0</v>
      </c>
      <c r="P151" s="5">
        <f t="shared" si="69"/>
        <v>0</v>
      </c>
      <c r="Q151" s="5">
        <f t="shared" si="69"/>
        <v>0</v>
      </c>
      <c r="R151" s="5">
        <f t="shared" si="69"/>
        <v>0</v>
      </c>
      <c r="S151" s="5">
        <f t="shared" si="69"/>
        <v>0</v>
      </c>
      <c r="T151" s="5">
        <f t="shared" si="69"/>
        <v>1</v>
      </c>
      <c r="U151" s="5">
        <f t="shared" si="69"/>
        <v>0</v>
      </c>
      <c r="V151" s="5">
        <f t="shared" si="69"/>
        <v>0</v>
      </c>
      <c r="W151" s="5">
        <f t="shared" si="69"/>
        <v>0</v>
      </c>
      <c r="X151" s="5">
        <f t="shared" si="69"/>
        <v>0</v>
      </c>
      <c r="Y151" s="5">
        <f t="shared" si="69"/>
        <v>0</v>
      </c>
      <c r="Z151" s="5">
        <f t="shared" si="69"/>
        <v>0</v>
      </c>
      <c r="AA151" s="5">
        <f t="shared" si="69"/>
        <v>0</v>
      </c>
      <c r="AB151" s="5">
        <f t="shared" si="69"/>
        <v>0</v>
      </c>
      <c r="AC151" s="5">
        <f t="shared" si="69"/>
        <v>0</v>
      </c>
      <c r="AD151" s="5">
        <f t="shared" si="69"/>
        <v>0</v>
      </c>
      <c r="AE151" s="5">
        <f t="shared" si="69"/>
        <v>0</v>
      </c>
      <c r="AF151" s="5">
        <f t="shared" si="69"/>
        <v>0</v>
      </c>
      <c r="AG151" s="5">
        <f t="shared" si="69"/>
        <v>1</v>
      </c>
      <c r="AH151" s="5">
        <f t="shared" si="69"/>
        <v>0</v>
      </c>
      <c r="AI151" s="5">
        <f t="shared" si="69"/>
        <v>0</v>
      </c>
      <c r="AJ151" s="5">
        <f t="shared" si="69"/>
        <v>0</v>
      </c>
      <c r="AK151" s="5">
        <f t="shared" si="69"/>
        <v>0</v>
      </c>
      <c r="AL151" s="5">
        <f t="shared" si="69"/>
        <v>0</v>
      </c>
      <c r="AM151" s="5">
        <f t="shared" si="69"/>
        <v>0</v>
      </c>
      <c r="AN151" s="5">
        <f t="shared" si="69"/>
        <v>0</v>
      </c>
      <c r="AO151" s="5">
        <f t="shared" si="69"/>
        <v>0</v>
      </c>
      <c r="AP151" s="5">
        <f t="shared" si="69"/>
        <v>0</v>
      </c>
      <c r="AQ151" s="5">
        <f t="shared" si="69"/>
        <v>0</v>
      </c>
      <c r="AR151" s="5">
        <f t="shared" si="69"/>
        <v>0</v>
      </c>
      <c r="AS151" s="5">
        <f t="shared" si="69"/>
        <v>0</v>
      </c>
      <c r="AT151" s="5">
        <f t="shared" si="69"/>
        <v>0</v>
      </c>
      <c r="AU151" s="5">
        <f t="shared" si="69"/>
        <v>0</v>
      </c>
      <c r="AV151" s="5">
        <f t="shared" si="69"/>
        <v>0</v>
      </c>
      <c r="AW151" s="5">
        <f t="shared" si="69"/>
        <v>0</v>
      </c>
      <c r="AX151" s="5">
        <f t="shared" si="69"/>
        <v>0</v>
      </c>
      <c r="AY151" s="5">
        <f t="shared" si="69"/>
        <v>0</v>
      </c>
      <c r="AZ151" s="5">
        <f t="shared" si="69"/>
        <v>0</v>
      </c>
      <c r="BA151" s="5">
        <f t="shared" si="69"/>
        <v>0</v>
      </c>
      <c r="BB151" s="5">
        <f t="shared" si="69"/>
        <v>0</v>
      </c>
      <c r="BC151" s="5">
        <f t="shared" si="69"/>
        <v>0</v>
      </c>
      <c r="BD151" s="5">
        <f t="shared" si="69"/>
        <v>0</v>
      </c>
      <c r="BE151" s="5">
        <f t="shared" si="69"/>
        <v>0</v>
      </c>
      <c r="BF151" s="5">
        <f t="shared" si="69"/>
        <v>0</v>
      </c>
      <c r="BG151" s="5">
        <f t="shared" si="69"/>
        <v>0</v>
      </c>
      <c r="BH151" s="5">
        <f t="shared" si="69"/>
        <v>0</v>
      </c>
      <c r="BI151" s="5">
        <f t="shared" si="69"/>
        <v>0</v>
      </c>
      <c r="BJ151" s="5">
        <f t="shared" si="69"/>
        <v>1</v>
      </c>
      <c r="BK151" s="5">
        <f t="shared" si="69"/>
        <v>5</v>
      </c>
      <c r="BL151" s="1"/>
      <c r="BM151" s="1"/>
    </row>
    <row r="152" spans="1:65" x14ac:dyDescent="0.4">
      <c r="A152" s="70"/>
      <c r="B152" s="71"/>
      <c r="C152" s="71"/>
      <c r="D152" s="71"/>
      <c r="E152" s="72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5"/>
      <c r="BL152" s="27"/>
      <c r="BM152" s="27"/>
    </row>
    <row r="153" spans="1:65" x14ac:dyDescent="0.4">
      <c r="A153" s="11" t="s">
        <v>48</v>
      </c>
      <c r="B153" s="44" t="s">
        <v>65</v>
      </c>
      <c r="C153" s="78" t="s">
        <v>66</v>
      </c>
      <c r="D153" s="79"/>
      <c r="E153" s="6">
        <v>0</v>
      </c>
      <c r="F153" s="6">
        <v>1</v>
      </c>
      <c r="G153" s="6">
        <v>2</v>
      </c>
      <c r="H153" s="6">
        <v>0</v>
      </c>
      <c r="I153" s="6">
        <v>0</v>
      </c>
      <c r="J153" s="6">
        <v>0</v>
      </c>
      <c r="K153" s="6">
        <v>1</v>
      </c>
      <c r="L153" s="6">
        <v>1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1</v>
      </c>
      <c r="U153" s="6">
        <v>1</v>
      </c>
      <c r="V153" s="6">
        <v>1</v>
      </c>
      <c r="W153" s="6">
        <v>1</v>
      </c>
      <c r="X153" s="6">
        <v>1</v>
      </c>
      <c r="Y153" s="6">
        <v>1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1</v>
      </c>
      <c r="AF153" s="6">
        <v>1</v>
      </c>
      <c r="AG153" s="6">
        <v>0</v>
      </c>
      <c r="AH153" s="6">
        <v>0</v>
      </c>
      <c r="AI153" s="6">
        <v>0</v>
      </c>
      <c r="AJ153" s="6">
        <v>2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2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1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3</v>
      </c>
      <c r="BD153" s="6">
        <v>0</v>
      </c>
      <c r="BE153" s="6">
        <v>0</v>
      </c>
      <c r="BF153" s="6">
        <v>0</v>
      </c>
      <c r="BG153" s="6">
        <v>3</v>
      </c>
      <c r="BH153" s="6">
        <v>1</v>
      </c>
      <c r="BI153" s="6">
        <v>0</v>
      </c>
      <c r="BJ153" s="6">
        <v>0</v>
      </c>
      <c r="BK153" s="5">
        <f t="shared" ref="BK153:BK160" si="70">SUM(E153:BJ153)</f>
        <v>26</v>
      </c>
      <c r="BL153" s="20"/>
      <c r="BM153" s="20"/>
    </row>
    <row r="154" spans="1:65" x14ac:dyDescent="0.4">
      <c r="A154" s="54" t="s">
        <v>50</v>
      </c>
      <c r="B154" s="56"/>
      <c r="C154" s="24" t="s">
        <v>186</v>
      </c>
      <c r="D154" s="57"/>
      <c r="E154" s="55">
        <v>0</v>
      </c>
      <c r="F154" s="6">
        <v>1</v>
      </c>
      <c r="G154" s="6">
        <v>2</v>
      </c>
      <c r="H154" s="6">
        <v>1</v>
      </c>
      <c r="I154" s="6">
        <v>0</v>
      </c>
      <c r="J154" s="6">
        <v>0</v>
      </c>
      <c r="K154" s="6">
        <v>1</v>
      </c>
      <c r="L154" s="6">
        <v>2</v>
      </c>
      <c r="M154" s="6">
        <v>0</v>
      </c>
      <c r="N154" s="6">
        <v>0</v>
      </c>
      <c r="O154" s="6">
        <v>1</v>
      </c>
      <c r="P154" s="6">
        <v>2</v>
      </c>
      <c r="Q154" s="6">
        <v>0</v>
      </c>
      <c r="R154" s="6">
        <v>3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1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2</v>
      </c>
      <c r="AK154" s="6">
        <v>0</v>
      </c>
      <c r="AL154" s="6">
        <v>1</v>
      </c>
      <c r="AM154" s="6">
        <v>0</v>
      </c>
      <c r="AN154" s="6">
        <v>1</v>
      </c>
      <c r="AO154" s="6">
        <v>1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1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1</v>
      </c>
      <c r="BE154" s="6">
        <v>2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5">
        <f t="shared" si="70"/>
        <v>23</v>
      </c>
      <c r="BL154" s="20"/>
      <c r="BM154" s="20"/>
    </row>
    <row r="155" spans="1:65" x14ac:dyDescent="0.4">
      <c r="A155" s="7"/>
      <c r="B155" s="56"/>
      <c r="C155" s="24" t="s">
        <v>187</v>
      </c>
      <c r="D155" s="57"/>
      <c r="E155" s="55">
        <v>0</v>
      </c>
      <c r="F155" s="6">
        <v>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1</v>
      </c>
      <c r="Q155" s="6">
        <v>0</v>
      </c>
      <c r="R155" s="6">
        <v>2</v>
      </c>
      <c r="S155" s="6">
        <v>1</v>
      </c>
      <c r="T155" s="6">
        <v>0</v>
      </c>
      <c r="U155" s="6">
        <v>0</v>
      </c>
      <c r="V155" s="6">
        <v>1</v>
      </c>
      <c r="W155" s="6">
        <v>0</v>
      </c>
      <c r="X155" s="6">
        <v>2</v>
      </c>
      <c r="Y155" s="6">
        <v>2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1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1</v>
      </c>
      <c r="BJ155" s="6">
        <v>1</v>
      </c>
      <c r="BK155" s="5">
        <f t="shared" si="70"/>
        <v>14</v>
      </c>
      <c r="BL155" s="20"/>
      <c r="BM155" s="20"/>
    </row>
    <row r="156" spans="1:65" x14ac:dyDescent="0.4">
      <c r="A156" s="7"/>
      <c r="B156" s="56"/>
      <c r="C156" s="24" t="s">
        <v>188</v>
      </c>
      <c r="D156" s="57"/>
      <c r="E156" s="55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1</v>
      </c>
      <c r="V156" s="6">
        <v>0</v>
      </c>
      <c r="W156" s="6">
        <v>0</v>
      </c>
      <c r="X156" s="6">
        <v>0</v>
      </c>
      <c r="Y156" s="6">
        <v>1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2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1</v>
      </c>
      <c r="BK156" s="5">
        <f t="shared" si="70"/>
        <v>6</v>
      </c>
      <c r="BL156" s="20"/>
      <c r="BM156" s="20"/>
    </row>
    <row r="157" spans="1:65" x14ac:dyDescent="0.4">
      <c r="A157" s="7"/>
      <c r="B157" s="56"/>
      <c r="C157" s="24" t="s">
        <v>189</v>
      </c>
      <c r="D157" s="57"/>
      <c r="E157" s="5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1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5">
        <f t="shared" si="70"/>
        <v>2</v>
      </c>
      <c r="BL157" s="20"/>
      <c r="BM157" s="20"/>
    </row>
    <row r="158" spans="1:65" x14ac:dyDescent="0.4">
      <c r="A158" s="7"/>
      <c r="B158" s="56"/>
      <c r="C158" s="24" t="s">
        <v>190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5">
        <f t="shared" si="70"/>
        <v>1</v>
      </c>
      <c r="BL158" s="20"/>
      <c r="BM158" s="20"/>
    </row>
    <row r="159" spans="1:65" x14ac:dyDescent="0.4">
      <c r="A159" s="7"/>
      <c r="B159" s="56"/>
      <c r="C159" s="24" t="s">
        <v>191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1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5">
        <f t="shared" si="70"/>
        <v>1</v>
      </c>
      <c r="BL159" s="20"/>
      <c r="BM159" s="20"/>
    </row>
    <row r="160" spans="1:65" x14ac:dyDescent="0.4">
      <c r="A160" s="7"/>
      <c r="B160" s="56"/>
      <c r="C160" s="24" t="s">
        <v>192</v>
      </c>
      <c r="D160" s="57"/>
      <c r="E160" s="5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5">
        <f t="shared" si="70"/>
        <v>0</v>
      </c>
      <c r="BL160" s="20"/>
      <c r="BM160" s="20"/>
    </row>
    <row r="161" spans="1:65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49"/>
      <c r="BL161" s="20"/>
      <c r="BM161" s="20"/>
    </row>
    <row r="162" spans="1:65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49"/>
      <c r="BL162" s="20"/>
      <c r="BM162" s="20"/>
    </row>
    <row r="163" spans="1:65" x14ac:dyDescent="0.4">
      <c r="A163" s="6" t="s">
        <v>26</v>
      </c>
      <c r="B163" s="80" t="s">
        <v>51</v>
      </c>
      <c r="C163" s="81"/>
      <c r="D163" s="82"/>
      <c r="E163" s="5">
        <f t="shared" ref="E163:BK163" si="71">SUM(E153:E162)</f>
        <v>0</v>
      </c>
      <c r="F163" s="5">
        <f t="shared" si="71"/>
        <v>3</v>
      </c>
      <c r="G163" s="5">
        <f t="shared" si="71"/>
        <v>4</v>
      </c>
      <c r="H163" s="5">
        <f t="shared" si="71"/>
        <v>1</v>
      </c>
      <c r="I163" s="5">
        <f t="shared" si="71"/>
        <v>0</v>
      </c>
      <c r="J163" s="5">
        <f t="shared" si="71"/>
        <v>0</v>
      </c>
      <c r="K163" s="5">
        <f t="shared" si="71"/>
        <v>2</v>
      </c>
      <c r="L163" s="5">
        <f t="shared" si="71"/>
        <v>6</v>
      </c>
      <c r="M163" s="5">
        <f t="shared" si="71"/>
        <v>2</v>
      </c>
      <c r="N163" s="5">
        <f t="shared" si="71"/>
        <v>0</v>
      </c>
      <c r="O163" s="5">
        <f t="shared" si="71"/>
        <v>1</v>
      </c>
      <c r="P163" s="5">
        <f t="shared" si="71"/>
        <v>3</v>
      </c>
      <c r="Q163" s="5">
        <f t="shared" si="71"/>
        <v>0</v>
      </c>
      <c r="R163" s="5">
        <f t="shared" si="71"/>
        <v>5</v>
      </c>
      <c r="S163" s="5">
        <f t="shared" si="71"/>
        <v>1</v>
      </c>
      <c r="T163" s="5">
        <f t="shared" si="71"/>
        <v>1</v>
      </c>
      <c r="U163" s="5">
        <f t="shared" si="71"/>
        <v>2</v>
      </c>
      <c r="V163" s="5">
        <f t="shared" si="71"/>
        <v>2</v>
      </c>
      <c r="W163" s="5">
        <f t="shared" si="71"/>
        <v>1</v>
      </c>
      <c r="X163" s="5">
        <f t="shared" si="71"/>
        <v>3</v>
      </c>
      <c r="Y163" s="5">
        <f t="shared" si="71"/>
        <v>4</v>
      </c>
      <c r="Z163" s="5">
        <f t="shared" si="71"/>
        <v>0</v>
      </c>
      <c r="AA163" s="5">
        <f t="shared" si="71"/>
        <v>0</v>
      </c>
      <c r="AB163" s="5">
        <f t="shared" si="71"/>
        <v>0</v>
      </c>
      <c r="AC163" s="5">
        <f t="shared" si="71"/>
        <v>1</v>
      </c>
      <c r="AD163" s="5">
        <f t="shared" si="71"/>
        <v>0</v>
      </c>
      <c r="AE163" s="5">
        <f t="shared" si="71"/>
        <v>1</v>
      </c>
      <c r="AF163" s="5">
        <f t="shared" si="71"/>
        <v>1</v>
      </c>
      <c r="AG163" s="5">
        <f t="shared" si="71"/>
        <v>0</v>
      </c>
      <c r="AH163" s="5">
        <f t="shared" si="71"/>
        <v>1</v>
      </c>
      <c r="AI163" s="5">
        <f t="shared" si="71"/>
        <v>0</v>
      </c>
      <c r="AJ163" s="5">
        <f t="shared" si="71"/>
        <v>4</v>
      </c>
      <c r="AK163" s="5">
        <f t="shared" si="71"/>
        <v>0</v>
      </c>
      <c r="AL163" s="5">
        <f t="shared" si="71"/>
        <v>1</v>
      </c>
      <c r="AM163" s="5">
        <f t="shared" si="71"/>
        <v>0</v>
      </c>
      <c r="AN163" s="5">
        <f t="shared" si="71"/>
        <v>1</v>
      </c>
      <c r="AO163" s="5">
        <f t="shared" si="71"/>
        <v>1</v>
      </c>
      <c r="AP163" s="5">
        <f t="shared" si="71"/>
        <v>3</v>
      </c>
      <c r="AQ163" s="5">
        <f t="shared" si="71"/>
        <v>0</v>
      </c>
      <c r="AR163" s="5">
        <f t="shared" si="71"/>
        <v>0</v>
      </c>
      <c r="AS163" s="5">
        <f t="shared" si="71"/>
        <v>0</v>
      </c>
      <c r="AT163" s="5">
        <f t="shared" si="71"/>
        <v>1</v>
      </c>
      <c r="AU163" s="5">
        <f t="shared" si="71"/>
        <v>1</v>
      </c>
      <c r="AV163" s="5">
        <f t="shared" si="71"/>
        <v>1</v>
      </c>
      <c r="AW163" s="5">
        <f t="shared" si="71"/>
        <v>2</v>
      </c>
      <c r="AX163" s="5">
        <f t="shared" si="71"/>
        <v>0</v>
      </c>
      <c r="AY163" s="5">
        <f t="shared" si="71"/>
        <v>0</v>
      </c>
      <c r="AZ163" s="5">
        <f t="shared" si="71"/>
        <v>0</v>
      </c>
      <c r="BA163" s="5">
        <f t="shared" si="71"/>
        <v>0</v>
      </c>
      <c r="BB163" s="5">
        <f t="shared" si="71"/>
        <v>0</v>
      </c>
      <c r="BC163" s="5">
        <f t="shared" si="71"/>
        <v>3</v>
      </c>
      <c r="BD163" s="5">
        <f t="shared" si="71"/>
        <v>1</v>
      </c>
      <c r="BE163" s="5">
        <f t="shared" si="71"/>
        <v>2</v>
      </c>
      <c r="BF163" s="5">
        <f t="shared" si="71"/>
        <v>0</v>
      </c>
      <c r="BG163" s="5">
        <f t="shared" si="71"/>
        <v>3</v>
      </c>
      <c r="BH163" s="5">
        <f t="shared" si="71"/>
        <v>1</v>
      </c>
      <c r="BI163" s="5">
        <f t="shared" si="71"/>
        <v>1</v>
      </c>
      <c r="BJ163" s="5">
        <f t="shared" si="71"/>
        <v>2</v>
      </c>
      <c r="BK163" s="5">
        <f t="shared" si="71"/>
        <v>73</v>
      </c>
      <c r="BL163" s="20"/>
      <c r="BM163" s="20"/>
    </row>
    <row r="164" spans="1:65" x14ac:dyDescent="0.4">
      <c r="A164" s="70"/>
      <c r="B164" s="71"/>
      <c r="C164" s="71"/>
      <c r="D164" s="71"/>
      <c r="E164" s="7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20"/>
      <c r="BM164" s="20"/>
    </row>
    <row r="165" spans="1:65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2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0</v>
      </c>
      <c r="T165" s="6">
        <v>1</v>
      </c>
      <c r="U165" s="6">
        <v>1</v>
      </c>
      <c r="V165" s="6">
        <v>0</v>
      </c>
      <c r="W165" s="6">
        <v>0</v>
      </c>
      <c r="X165" s="6">
        <v>1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1</v>
      </c>
      <c r="AY165" s="6">
        <v>1</v>
      </c>
      <c r="AZ165" s="6">
        <v>1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5">
        <f>SUM(E165:BJ165)</f>
        <v>11</v>
      </c>
      <c r="BL165" s="1"/>
      <c r="BM165" s="1"/>
    </row>
    <row r="166" spans="1:65" x14ac:dyDescent="0.4">
      <c r="A166" s="11" t="s">
        <v>50</v>
      </c>
      <c r="B166" s="52"/>
      <c r="C166" s="24" t="s">
        <v>193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3</v>
      </c>
      <c r="L166" s="6">
        <v>1</v>
      </c>
      <c r="M166" s="6">
        <v>0</v>
      </c>
      <c r="N166" s="6">
        <v>0</v>
      </c>
      <c r="O166" s="6">
        <v>1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2</v>
      </c>
      <c r="Z166" s="6">
        <v>2</v>
      </c>
      <c r="AA166" s="6">
        <v>0</v>
      </c>
      <c r="AB166" s="6">
        <v>0</v>
      </c>
      <c r="AC166" s="6">
        <v>0</v>
      </c>
      <c r="AD166" s="6">
        <v>0</v>
      </c>
      <c r="AE166" s="6">
        <v>1</v>
      </c>
      <c r="AF166" s="6">
        <v>0</v>
      </c>
      <c r="AG166" s="6">
        <v>1</v>
      </c>
      <c r="AH166" s="6">
        <v>0</v>
      </c>
      <c r="AI166" s="6">
        <v>0</v>
      </c>
      <c r="AJ166" s="6">
        <v>0</v>
      </c>
      <c r="AK166" s="6">
        <v>2</v>
      </c>
      <c r="AL166" s="6">
        <v>1</v>
      </c>
      <c r="AM166" s="6">
        <v>0</v>
      </c>
      <c r="AN166" s="6">
        <v>0</v>
      </c>
      <c r="AO166" s="6">
        <v>0</v>
      </c>
      <c r="AP166" s="6">
        <v>2</v>
      </c>
      <c r="AQ166" s="6">
        <v>0</v>
      </c>
      <c r="AR166" s="6">
        <v>3</v>
      </c>
      <c r="AS166" s="6">
        <v>0</v>
      </c>
      <c r="AT166" s="6">
        <v>1</v>
      </c>
      <c r="AU166" s="6">
        <v>1</v>
      </c>
      <c r="AV166" s="6">
        <v>2</v>
      </c>
      <c r="AW166" s="6">
        <v>1</v>
      </c>
      <c r="AX166" s="6">
        <v>0</v>
      </c>
      <c r="AY166" s="6">
        <v>0</v>
      </c>
      <c r="AZ166" s="6">
        <v>0</v>
      </c>
      <c r="BA166" s="6">
        <v>1</v>
      </c>
      <c r="BB166" s="6">
        <v>0</v>
      </c>
      <c r="BC166" s="6">
        <v>0</v>
      </c>
      <c r="BD166" s="6">
        <v>1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5">
        <f>SUM(E166:BJ166)</f>
        <v>26</v>
      </c>
      <c r="BL166" s="27"/>
      <c r="BM166" s="27"/>
    </row>
    <row r="167" spans="1:65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49"/>
      <c r="BL167" s="20"/>
      <c r="BM167" s="20"/>
    </row>
    <row r="168" spans="1:65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49"/>
      <c r="BL168" s="20"/>
      <c r="BM168" s="20"/>
    </row>
    <row r="169" spans="1:65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49"/>
      <c r="BL169" s="20"/>
      <c r="BM169" s="20"/>
    </row>
    <row r="170" spans="1:65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49"/>
      <c r="BL170" s="20"/>
      <c r="BM170" s="20"/>
    </row>
    <row r="171" spans="1:65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49"/>
      <c r="BL171" s="20"/>
      <c r="BM171" s="20"/>
    </row>
    <row r="172" spans="1:65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49"/>
      <c r="BL172" s="20"/>
      <c r="BM172" s="20"/>
    </row>
    <row r="173" spans="1:65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49"/>
      <c r="BL173" s="20"/>
      <c r="BM173" s="20"/>
    </row>
    <row r="174" spans="1:65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49"/>
      <c r="BL174" s="20"/>
      <c r="BM174" s="20"/>
    </row>
    <row r="175" spans="1:65" x14ac:dyDescent="0.4">
      <c r="A175" s="6" t="s">
        <v>26</v>
      </c>
      <c r="B175" s="67" t="s">
        <v>51</v>
      </c>
      <c r="C175" s="68"/>
      <c r="D175" s="69"/>
      <c r="E175" s="5">
        <f t="shared" ref="E175:BK175" si="72">SUM(E165:E174)</f>
        <v>2</v>
      </c>
      <c r="F175" s="5">
        <f t="shared" si="72"/>
        <v>1</v>
      </c>
      <c r="G175" s="5">
        <f t="shared" si="72"/>
        <v>0</v>
      </c>
      <c r="H175" s="5">
        <f t="shared" si="72"/>
        <v>0</v>
      </c>
      <c r="I175" s="5">
        <f t="shared" si="72"/>
        <v>0</v>
      </c>
      <c r="J175" s="5">
        <f t="shared" si="72"/>
        <v>0</v>
      </c>
      <c r="K175" s="5">
        <f t="shared" si="72"/>
        <v>3</v>
      </c>
      <c r="L175" s="5">
        <f t="shared" si="72"/>
        <v>1</v>
      </c>
      <c r="M175" s="5">
        <f t="shared" si="72"/>
        <v>0</v>
      </c>
      <c r="N175" s="5">
        <f t="shared" si="72"/>
        <v>0</v>
      </c>
      <c r="O175" s="5">
        <f t="shared" si="72"/>
        <v>1</v>
      </c>
      <c r="P175" s="5">
        <f t="shared" si="72"/>
        <v>0</v>
      </c>
      <c r="Q175" s="5">
        <f t="shared" si="72"/>
        <v>0</v>
      </c>
      <c r="R175" s="5">
        <f t="shared" si="72"/>
        <v>1</v>
      </c>
      <c r="S175" s="5">
        <f t="shared" si="72"/>
        <v>0</v>
      </c>
      <c r="T175" s="5">
        <f t="shared" si="72"/>
        <v>1</v>
      </c>
      <c r="U175" s="5">
        <f t="shared" si="72"/>
        <v>1</v>
      </c>
      <c r="V175" s="5">
        <f t="shared" si="72"/>
        <v>0</v>
      </c>
      <c r="W175" s="5">
        <f t="shared" si="72"/>
        <v>0</v>
      </c>
      <c r="X175" s="5">
        <f t="shared" si="72"/>
        <v>1</v>
      </c>
      <c r="Y175" s="5">
        <f t="shared" si="72"/>
        <v>2</v>
      </c>
      <c r="Z175" s="5">
        <f t="shared" si="72"/>
        <v>2</v>
      </c>
      <c r="AA175" s="5">
        <f t="shared" si="72"/>
        <v>0</v>
      </c>
      <c r="AB175" s="5">
        <f t="shared" si="72"/>
        <v>0</v>
      </c>
      <c r="AC175" s="5">
        <f t="shared" si="72"/>
        <v>0</v>
      </c>
      <c r="AD175" s="5">
        <f t="shared" si="72"/>
        <v>0</v>
      </c>
      <c r="AE175" s="5">
        <f t="shared" si="72"/>
        <v>1</v>
      </c>
      <c r="AF175" s="5">
        <f t="shared" si="72"/>
        <v>1</v>
      </c>
      <c r="AG175" s="5">
        <f t="shared" si="72"/>
        <v>1</v>
      </c>
      <c r="AH175" s="5">
        <f t="shared" si="72"/>
        <v>0</v>
      </c>
      <c r="AI175" s="5">
        <f t="shared" si="72"/>
        <v>0</v>
      </c>
      <c r="AJ175" s="5">
        <f t="shared" si="72"/>
        <v>0</v>
      </c>
      <c r="AK175" s="5">
        <f t="shared" si="72"/>
        <v>2</v>
      </c>
      <c r="AL175" s="5">
        <f t="shared" si="72"/>
        <v>1</v>
      </c>
      <c r="AM175" s="5">
        <f t="shared" si="72"/>
        <v>0</v>
      </c>
      <c r="AN175" s="5">
        <f t="shared" si="72"/>
        <v>0</v>
      </c>
      <c r="AO175" s="5">
        <f t="shared" si="72"/>
        <v>0</v>
      </c>
      <c r="AP175" s="5">
        <f t="shared" si="72"/>
        <v>2</v>
      </c>
      <c r="AQ175" s="5">
        <f t="shared" si="72"/>
        <v>0</v>
      </c>
      <c r="AR175" s="5">
        <f t="shared" si="72"/>
        <v>3</v>
      </c>
      <c r="AS175" s="5">
        <f t="shared" si="72"/>
        <v>0</v>
      </c>
      <c r="AT175" s="5">
        <f t="shared" si="72"/>
        <v>1</v>
      </c>
      <c r="AU175" s="5">
        <f t="shared" si="72"/>
        <v>1</v>
      </c>
      <c r="AV175" s="5">
        <f t="shared" si="72"/>
        <v>2</v>
      </c>
      <c r="AW175" s="5">
        <f t="shared" si="72"/>
        <v>1</v>
      </c>
      <c r="AX175" s="5">
        <f t="shared" si="72"/>
        <v>1</v>
      </c>
      <c r="AY175" s="5">
        <f t="shared" si="72"/>
        <v>1</v>
      </c>
      <c r="AZ175" s="5">
        <f t="shared" si="72"/>
        <v>1</v>
      </c>
      <c r="BA175" s="5">
        <f t="shared" si="72"/>
        <v>1</v>
      </c>
      <c r="BB175" s="5">
        <f t="shared" si="72"/>
        <v>0</v>
      </c>
      <c r="BC175" s="5">
        <f t="shared" si="72"/>
        <v>0</v>
      </c>
      <c r="BD175" s="5">
        <f t="shared" si="72"/>
        <v>1</v>
      </c>
      <c r="BE175" s="5">
        <f t="shared" si="72"/>
        <v>0</v>
      </c>
      <c r="BF175" s="5">
        <f t="shared" si="72"/>
        <v>0</v>
      </c>
      <c r="BG175" s="5">
        <f t="shared" si="72"/>
        <v>0</v>
      </c>
      <c r="BH175" s="5">
        <f t="shared" si="72"/>
        <v>0</v>
      </c>
      <c r="BI175" s="5">
        <f t="shared" si="72"/>
        <v>0</v>
      </c>
      <c r="BJ175" s="5">
        <f t="shared" si="72"/>
        <v>0</v>
      </c>
      <c r="BK175" s="5">
        <f t="shared" si="72"/>
        <v>37</v>
      </c>
      <c r="BL175" s="20"/>
      <c r="BM175" s="20"/>
    </row>
    <row r="176" spans="1:65" ht="13.15" customHeight="1" x14ac:dyDescent="0.4">
      <c r="A176" s="70"/>
      <c r="B176" s="71"/>
      <c r="C176" s="71"/>
      <c r="D176" s="71"/>
      <c r="E176" s="7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"/>
      <c r="BM176" s="1"/>
    </row>
    <row r="177" spans="1:65" x14ac:dyDescent="0.4">
      <c r="A177" s="11" t="s">
        <v>48</v>
      </c>
      <c r="B177" s="17" t="s">
        <v>69</v>
      </c>
      <c r="C177" s="73" t="s">
        <v>70</v>
      </c>
      <c r="D177" s="74"/>
      <c r="E177" s="6">
        <v>1</v>
      </c>
      <c r="F177" s="6">
        <v>0</v>
      </c>
      <c r="G177" s="6">
        <v>2</v>
      </c>
      <c r="H177" s="6">
        <v>0</v>
      </c>
      <c r="I177" s="6">
        <v>0</v>
      </c>
      <c r="J177" s="6">
        <v>1</v>
      </c>
      <c r="K177" s="6">
        <v>0</v>
      </c>
      <c r="L177" s="6">
        <v>0</v>
      </c>
      <c r="M177" s="6">
        <v>1</v>
      </c>
      <c r="N177" s="6">
        <v>0</v>
      </c>
      <c r="O177" s="6">
        <v>0</v>
      </c>
      <c r="P177" s="6">
        <v>1</v>
      </c>
      <c r="Q177" s="6">
        <v>7</v>
      </c>
      <c r="R177" s="6">
        <v>1</v>
      </c>
      <c r="S177" s="6">
        <v>3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2</v>
      </c>
      <c r="Z177" s="6">
        <v>0</v>
      </c>
      <c r="AA177" s="6">
        <v>2</v>
      </c>
      <c r="AB177" s="6">
        <v>0</v>
      </c>
      <c r="AC177" s="6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6</v>
      </c>
      <c r="AL177" s="6">
        <v>1</v>
      </c>
      <c r="AM177" s="6">
        <v>1</v>
      </c>
      <c r="AN177" s="6">
        <v>0</v>
      </c>
      <c r="AO177" s="6">
        <v>1</v>
      </c>
      <c r="AP177" s="6">
        <v>0</v>
      </c>
      <c r="AQ177" s="6">
        <v>1</v>
      </c>
      <c r="AR177" s="6">
        <v>1</v>
      </c>
      <c r="AS177" s="6">
        <v>0</v>
      </c>
      <c r="AT177" s="6">
        <v>2</v>
      </c>
      <c r="AU177" s="6">
        <v>0</v>
      </c>
      <c r="AV177" s="6">
        <v>0</v>
      </c>
      <c r="AW177" s="6">
        <v>1</v>
      </c>
      <c r="AX177" s="6">
        <v>0</v>
      </c>
      <c r="AY177" s="6">
        <v>0</v>
      </c>
      <c r="AZ177" s="6">
        <v>0</v>
      </c>
      <c r="BA177" s="6">
        <v>0</v>
      </c>
      <c r="BB177" s="6">
        <v>2</v>
      </c>
      <c r="BC177" s="6">
        <v>2</v>
      </c>
      <c r="BD177" s="6">
        <v>0</v>
      </c>
      <c r="BE177" s="6">
        <v>1</v>
      </c>
      <c r="BF177" s="6">
        <v>0</v>
      </c>
      <c r="BG177" s="6">
        <v>1</v>
      </c>
      <c r="BH177" s="6">
        <v>1</v>
      </c>
      <c r="BI177" s="6">
        <v>0</v>
      </c>
      <c r="BJ177" s="6">
        <v>0</v>
      </c>
      <c r="BK177" s="5">
        <f t="shared" ref="BK177:BK187" si="73">SUM(E177:BJ177)</f>
        <v>44</v>
      </c>
    </row>
    <row r="178" spans="1:65" x14ac:dyDescent="0.4">
      <c r="A178" s="11" t="s">
        <v>50</v>
      </c>
      <c r="B178" s="52"/>
      <c r="C178" s="24" t="s">
        <v>194</v>
      </c>
      <c r="D178" s="50"/>
      <c r="E178" s="6">
        <v>1</v>
      </c>
      <c r="F178" s="6">
        <v>0</v>
      </c>
      <c r="G178" s="6">
        <v>1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1</v>
      </c>
      <c r="N178" s="6">
        <v>0</v>
      </c>
      <c r="O178" s="6">
        <v>1</v>
      </c>
      <c r="P178" s="6">
        <v>1</v>
      </c>
      <c r="Q178" s="6">
        <v>6</v>
      </c>
      <c r="R178" s="6">
        <v>0</v>
      </c>
      <c r="S178" s="6">
        <v>0</v>
      </c>
      <c r="T178" s="6">
        <v>1</v>
      </c>
      <c r="U178" s="6">
        <v>0</v>
      </c>
      <c r="V178" s="6">
        <v>0</v>
      </c>
      <c r="W178" s="6">
        <v>0</v>
      </c>
      <c r="X178" s="6">
        <v>3</v>
      </c>
      <c r="Y178" s="6">
        <v>1</v>
      </c>
      <c r="Z178" s="6">
        <v>0</v>
      </c>
      <c r="AA178" s="6">
        <v>2</v>
      </c>
      <c r="AB178" s="6">
        <v>0</v>
      </c>
      <c r="AC178" s="6">
        <v>1</v>
      </c>
      <c r="AD178" s="6">
        <v>1</v>
      </c>
      <c r="AE178" s="6">
        <v>1</v>
      </c>
      <c r="AF178" s="6">
        <v>0</v>
      </c>
      <c r="AG178" s="6">
        <v>5</v>
      </c>
      <c r="AH178" s="6">
        <v>4</v>
      </c>
      <c r="AI178" s="6">
        <v>1</v>
      </c>
      <c r="AJ178" s="6">
        <v>1</v>
      </c>
      <c r="AK178" s="6">
        <v>0</v>
      </c>
      <c r="AL178" s="6">
        <v>3</v>
      </c>
      <c r="AM178" s="6">
        <v>0</v>
      </c>
      <c r="AN178" s="6">
        <v>0</v>
      </c>
      <c r="AO178" s="6">
        <v>21</v>
      </c>
      <c r="AP178" s="6">
        <v>0</v>
      </c>
      <c r="AQ178" s="6">
        <v>0</v>
      </c>
      <c r="AR178" s="6">
        <v>1</v>
      </c>
      <c r="AS178" s="6">
        <v>2</v>
      </c>
      <c r="AT178" s="6">
        <v>1</v>
      </c>
      <c r="AU178" s="6">
        <v>0</v>
      </c>
      <c r="AV178" s="6">
        <v>0</v>
      </c>
      <c r="AW178" s="6">
        <v>0</v>
      </c>
      <c r="AX178" s="6">
        <v>0</v>
      </c>
      <c r="AY178" s="6">
        <v>1</v>
      </c>
      <c r="AZ178" s="6">
        <v>2</v>
      </c>
      <c r="BA178" s="6">
        <v>0</v>
      </c>
      <c r="BB178" s="6">
        <v>1</v>
      </c>
      <c r="BC178" s="6">
        <v>2</v>
      </c>
      <c r="BD178" s="6">
        <v>0</v>
      </c>
      <c r="BE178" s="6">
        <v>3</v>
      </c>
      <c r="BF178" s="6">
        <v>0</v>
      </c>
      <c r="BG178" s="6">
        <v>1</v>
      </c>
      <c r="BH178" s="6">
        <v>1</v>
      </c>
      <c r="BI178" s="6">
        <v>1</v>
      </c>
      <c r="BJ178" s="6">
        <v>0</v>
      </c>
      <c r="BK178" s="5">
        <f t="shared" si="73"/>
        <v>72</v>
      </c>
      <c r="BL178" s="20"/>
      <c r="BM178" s="20"/>
    </row>
    <row r="179" spans="1:65" x14ac:dyDescent="0.4">
      <c r="A179" s="7"/>
      <c r="B179" s="52"/>
      <c r="C179" s="24" t="s">
        <v>195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1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1</v>
      </c>
      <c r="Z179" s="6">
        <v>1</v>
      </c>
      <c r="AA179" s="6">
        <v>0</v>
      </c>
      <c r="AB179" s="6">
        <v>1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2</v>
      </c>
      <c r="BH179" s="6">
        <v>0</v>
      </c>
      <c r="BI179" s="6">
        <v>0</v>
      </c>
      <c r="BJ179" s="6">
        <v>1</v>
      </c>
      <c r="BK179" s="5">
        <f t="shared" si="73"/>
        <v>8</v>
      </c>
      <c r="BL179" s="20"/>
      <c r="BM179" s="20"/>
    </row>
    <row r="180" spans="1:65" x14ac:dyDescent="0.4">
      <c r="A180" s="7"/>
      <c r="B180" s="52"/>
      <c r="C180" s="24" t="s">
        <v>196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1</v>
      </c>
      <c r="N180" s="6">
        <v>0</v>
      </c>
      <c r="O180" s="6">
        <v>0</v>
      </c>
      <c r="P180" s="6">
        <v>0</v>
      </c>
      <c r="Q180" s="6">
        <v>3</v>
      </c>
      <c r="R180" s="6">
        <v>0</v>
      </c>
      <c r="S180" s="6">
        <v>1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1</v>
      </c>
      <c r="Z180" s="6">
        <v>0</v>
      </c>
      <c r="AA180" s="6">
        <v>0</v>
      </c>
      <c r="AB180" s="6">
        <v>0</v>
      </c>
      <c r="AC180" s="6">
        <v>0</v>
      </c>
      <c r="AD180" s="6">
        <v>1</v>
      </c>
      <c r="AE180" s="6">
        <v>1</v>
      </c>
      <c r="AF180" s="6">
        <v>0</v>
      </c>
      <c r="AG180" s="6">
        <v>0</v>
      </c>
      <c r="AH180" s="6">
        <v>2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1</v>
      </c>
      <c r="AR180" s="6">
        <v>1</v>
      </c>
      <c r="AS180" s="6">
        <v>2</v>
      </c>
      <c r="AT180" s="6">
        <v>0</v>
      </c>
      <c r="AU180" s="6">
        <v>0</v>
      </c>
      <c r="AV180" s="6">
        <v>1</v>
      </c>
      <c r="AW180" s="6">
        <v>2</v>
      </c>
      <c r="AX180" s="6">
        <v>2</v>
      </c>
      <c r="AY180" s="6">
        <v>0</v>
      </c>
      <c r="AZ180" s="6">
        <v>0</v>
      </c>
      <c r="BA180" s="6">
        <v>0</v>
      </c>
      <c r="BB180" s="6">
        <v>0</v>
      </c>
      <c r="BC180" s="6">
        <v>1</v>
      </c>
      <c r="BD180" s="6">
        <v>1</v>
      </c>
      <c r="BE180" s="6">
        <v>0</v>
      </c>
      <c r="BF180" s="6">
        <v>0</v>
      </c>
      <c r="BG180" s="6">
        <v>0</v>
      </c>
      <c r="BH180" s="6">
        <v>0</v>
      </c>
      <c r="BI180" s="6">
        <v>1</v>
      </c>
      <c r="BJ180" s="6">
        <v>1</v>
      </c>
      <c r="BK180" s="5">
        <f t="shared" si="73"/>
        <v>23</v>
      </c>
      <c r="BL180" s="20"/>
      <c r="BM180" s="20"/>
    </row>
    <row r="181" spans="1:65" x14ac:dyDescent="0.4">
      <c r="A181" s="7"/>
      <c r="B181" s="52"/>
      <c r="C181" s="24" t="s">
        <v>197</v>
      </c>
      <c r="D181" s="50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2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1</v>
      </c>
      <c r="AB181" s="6">
        <v>0</v>
      </c>
      <c r="AC181" s="6">
        <v>0</v>
      </c>
      <c r="AD181" s="6">
        <v>0</v>
      </c>
      <c r="AE181" s="6">
        <v>0</v>
      </c>
      <c r="AF181" s="6">
        <v>1</v>
      </c>
      <c r="AG181" s="6">
        <v>0</v>
      </c>
      <c r="AH181" s="6">
        <v>0</v>
      </c>
      <c r="AI181" s="6">
        <v>1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1</v>
      </c>
      <c r="BI181" s="6">
        <v>0</v>
      </c>
      <c r="BJ181" s="6">
        <v>0</v>
      </c>
      <c r="BK181" s="5">
        <f t="shared" si="73"/>
        <v>6</v>
      </c>
      <c r="BL181" s="20"/>
      <c r="BM181" s="20"/>
    </row>
    <row r="182" spans="1:65" x14ac:dyDescent="0.4">
      <c r="A182" s="7"/>
      <c r="B182" s="52"/>
      <c r="C182" s="24" t="s">
        <v>198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6">
        <v>0</v>
      </c>
      <c r="U182" s="6">
        <v>1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3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5">
        <f t="shared" si="73"/>
        <v>5</v>
      </c>
      <c r="BL182" s="20"/>
      <c r="BM182" s="20"/>
    </row>
    <row r="183" spans="1:65" x14ac:dyDescent="0.4">
      <c r="A183" s="7"/>
      <c r="B183" s="52"/>
      <c r="C183" s="24" t="s">
        <v>199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1</v>
      </c>
      <c r="BF183" s="6">
        <v>0</v>
      </c>
      <c r="BG183" s="6">
        <v>1</v>
      </c>
      <c r="BH183" s="6">
        <v>0</v>
      </c>
      <c r="BI183" s="6">
        <v>0</v>
      </c>
      <c r="BJ183" s="6">
        <v>0</v>
      </c>
      <c r="BK183" s="5">
        <f t="shared" si="73"/>
        <v>4</v>
      </c>
      <c r="BL183" s="20"/>
      <c r="BM183" s="20"/>
    </row>
    <row r="184" spans="1:65" x14ac:dyDescent="0.4">
      <c r="A184" s="7"/>
      <c r="B184" s="52"/>
      <c r="C184" s="24" t="s">
        <v>200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2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2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5">
        <f t="shared" si="73"/>
        <v>4</v>
      </c>
      <c r="BL184" s="20"/>
      <c r="BM184" s="20"/>
    </row>
    <row r="185" spans="1:65" x14ac:dyDescent="0.4">
      <c r="A185" s="7"/>
      <c r="B185" s="52"/>
      <c r="C185" s="24" t="s">
        <v>201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1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1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1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1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1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5">
        <f t="shared" si="73"/>
        <v>5</v>
      </c>
      <c r="BL185" s="20"/>
      <c r="BM185" s="20"/>
    </row>
    <row r="186" spans="1:65" x14ac:dyDescent="0.4">
      <c r="A186" s="7"/>
      <c r="B186" s="52"/>
      <c r="C186" s="24" t="s">
        <v>202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1</v>
      </c>
      <c r="P186" s="6">
        <v>0</v>
      </c>
      <c r="Q186" s="6">
        <v>5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2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1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5">
        <f t="shared" si="73"/>
        <v>9</v>
      </c>
      <c r="BL186" s="20"/>
      <c r="BM186" s="20"/>
    </row>
    <row r="187" spans="1:65" ht="13.15" customHeight="1" x14ac:dyDescent="0.4">
      <c r="A187" s="6" t="s">
        <v>26</v>
      </c>
      <c r="B187" s="67" t="s">
        <v>51</v>
      </c>
      <c r="C187" s="68"/>
      <c r="D187" s="69"/>
      <c r="E187" s="5">
        <f t="shared" ref="E187:BK187" si="74">SUM(E177:E186)</f>
        <v>2</v>
      </c>
      <c r="F187" s="5">
        <f t="shared" si="74"/>
        <v>0</v>
      </c>
      <c r="G187" s="5">
        <f t="shared" si="74"/>
        <v>3</v>
      </c>
      <c r="H187" s="5">
        <f t="shared" si="74"/>
        <v>0</v>
      </c>
      <c r="I187" s="5">
        <f t="shared" si="74"/>
        <v>0</v>
      </c>
      <c r="J187" s="5">
        <f t="shared" si="74"/>
        <v>1</v>
      </c>
      <c r="K187" s="5">
        <f t="shared" si="74"/>
        <v>1</v>
      </c>
      <c r="L187" s="5">
        <f t="shared" si="74"/>
        <v>1</v>
      </c>
      <c r="M187" s="5">
        <f t="shared" si="74"/>
        <v>3</v>
      </c>
      <c r="N187" s="5">
        <f t="shared" si="74"/>
        <v>0</v>
      </c>
      <c r="O187" s="5">
        <f t="shared" si="74"/>
        <v>3</v>
      </c>
      <c r="P187" s="5">
        <f t="shared" si="74"/>
        <v>5</v>
      </c>
      <c r="Q187" s="5">
        <f t="shared" si="74"/>
        <v>24</v>
      </c>
      <c r="R187" s="5">
        <f t="shared" si="74"/>
        <v>1</v>
      </c>
      <c r="S187" s="5">
        <f t="shared" si="74"/>
        <v>5</v>
      </c>
      <c r="T187" s="5">
        <f t="shared" si="74"/>
        <v>1</v>
      </c>
      <c r="U187" s="5">
        <f t="shared" si="74"/>
        <v>1</v>
      </c>
      <c r="V187" s="5">
        <f t="shared" si="74"/>
        <v>0</v>
      </c>
      <c r="W187" s="5">
        <f t="shared" si="74"/>
        <v>0</v>
      </c>
      <c r="X187" s="5">
        <f t="shared" si="74"/>
        <v>4</v>
      </c>
      <c r="Y187" s="5">
        <f t="shared" si="74"/>
        <v>5</v>
      </c>
      <c r="Z187" s="5">
        <f t="shared" si="74"/>
        <v>1</v>
      </c>
      <c r="AA187" s="5">
        <f t="shared" si="74"/>
        <v>5</v>
      </c>
      <c r="AB187" s="5">
        <f t="shared" si="74"/>
        <v>1</v>
      </c>
      <c r="AC187" s="5">
        <f t="shared" si="74"/>
        <v>1</v>
      </c>
      <c r="AD187" s="5">
        <f t="shared" si="74"/>
        <v>3</v>
      </c>
      <c r="AE187" s="5">
        <f t="shared" si="74"/>
        <v>3</v>
      </c>
      <c r="AF187" s="5">
        <f t="shared" si="74"/>
        <v>1</v>
      </c>
      <c r="AG187" s="5">
        <f t="shared" si="74"/>
        <v>6</v>
      </c>
      <c r="AH187" s="5">
        <f t="shared" si="74"/>
        <v>11</v>
      </c>
      <c r="AI187" s="5">
        <f t="shared" si="74"/>
        <v>2</v>
      </c>
      <c r="AJ187" s="5">
        <f t="shared" si="74"/>
        <v>1</v>
      </c>
      <c r="AK187" s="5">
        <f t="shared" si="74"/>
        <v>6</v>
      </c>
      <c r="AL187" s="5">
        <f t="shared" si="74"/>
        <v>4</v>
      </c>
      <c r="AM187" s="5">
        <f t="shared" si="74"/>
        <v>1</v>
      </c>
      <c r="AN187" s="5">
        <f t="shared" si="74"/>
        <v>0</v>
      </c>
      <c r="AO187" s="5">
        <f t="shared" si="74"/>
        <v>25</v>
      </c>
      <c r="AP187" s="5">
        <f t="shared" si="74"/>
        <v>0</v>
      </c>
      <c r="AQ187" s="5">
        <f t="shared" si="74"/>
        <v>2</v>
      </c>
      <c r="AR187" s="5">
        <f t="shared" si="74"/>
        <v>4</v>
      </c>
      <c r="AS187" s="5">
        <f t="shared" si="74"/>
        <v>4</v>
      </c>
      <c r="AT187" s="5">
        <f t="shared" si="74"/>
        <v>3</v>
      </c>
      <c r="AU187" s="5">
        <f t="shared" si="74"/>
        <v>0</v>
      </c>
      <c r="AV187" s="5">
        <f t="shared" si="74"/>
        <v>1</v>
      </c>
      <c r="AW187" s="5">
        <f t="shared" si="74"/>
        <v>3</v>
      </c>
      <c r="AX187" s="5">
        <f t="shared" si="74"/>
        <v>2</v>
      </c>
      <c r="AY187" s="5">
        <f t="shared" si="74"/>
        <v>1</v>
      </c>
      <c r="AZ187" s="5">
        <f t="shared" si="74"/>
        <v>2</v>
      </c>
      <c r="BA187" s="5">
        <f t="shared" si="74"/>
        <v>0</v>
      </c>
      <c r="BB187" s="5">
        <f t="shared" si="74"/>
        <v>3</v>
      </c>
      <c r="BC187" s="5">
        <f t="shared" si="74"/>
        <v>5</v>
      </c>
      <c r="BD187" s="5">
        <f t="shared" si="74"/>
        <v>2</v>
      </c>
      <c r="BE187" s="5">
        <f t="shared" si="74"/>
        <v>5</v>
      </c>
      <c r="BF187" s="5">
        <f t="shared" si="74"/>
        <v>0</v>
      </c>
      <c r="BG187" s="5">
        <f t="shared" si="74"/>
        <v>5</v>
      </c>
      <c r="BH187" s="5">
        <f t="shared" si="74"/>
        <v>3</v>
      </c>
      <c r="BI187" s="5">
        <f t="shared" si="74"/>
        <v>2</v>
      </c>
      <c r="BJ187" s="5">
        <f t="shared" si="74"/>
        <v>2</v>
      </c>
      <c r="BK187" s="5">
        <f t="shared" si="74"/>
        <v>180</v>
      </c>
      <c r="BL187" s="1"/>
      <c r="BM187" s="1"/>
    </row>
    <row r="188" spans="1:65" x14ac:dyDescent="0.4">
      <c r="A188" s="70"/>
      <c r="B188" s="71"/>
      <c r="C188" s="71"/>
      <c r="D188" s="71"/>
      <c r="E188" s="7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5"/>
    </row>
    <row r="189" spans="1:65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2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1</v>
      </c>
      <c r="AQ189" s="6">
        <v>1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5">
        <f t="shared" ref="BK189:BK199" si="75">SUM(E189:BJ189)</f>
        <v>4</v>
      </c>
      <c r="BL189" s="20"/>
      <c r="BM189" s="20"/>
    </row>
    <row r="190" spans="1:65" x14ac:dyDescent="0.4">
      <c r="A190" s="11" t="s">
        <v>50</v>
      </c>
      <c r="B190" s="52"/>
      <c r="C190" s="24" t="s">
        <v>203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1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5">
        <f t="shared" si="75"/>
        <v>1</v>
      </c>
      <c r="BL190" s="20"/>
      <c r="BM190" s="20"/>
    </row>
    <row r="191" spans="1:65" x14ac:dyDescent="0.4">
      <c r="A191" s="7"/>
      <c r="B191" s="52"/>
      <c r="C191" s="24" t="s">
        <v>204</v>
      </c>
      <c r="D191" s="50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1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3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1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1</v>
      </c>
      <c r="AW191" s="6">
        <v>0</v>
      </c>
      <c r="AX191" s="6">
        <v>0</v>
      </c>
      <c r="AY191" s="6">
        <v>1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1</v>
      </c>
      <c r="BG191" s="6">
        <v>0</v>
      </c>
      <c r="BH191" s="6">
        <v>0</v>
      </c>
      <c r="BI191" s="6">
        <v>0</v>
      </c>
      <c r="BJ191" s="6">
        <v>1</v>
      </c>
      <c r="BK191" s="5">
        <f t="shared" si="75"/>
        <v>9</v>
      </c>
      <c r="BL191" s="20"/>
      <c r="BM191" s="20"/>
    </row>
    <row r="192" spans="1:65" x14ac:dyDescent="0.4">
      <c r="A192" s="7"/>
      <c r="B192" s="52"/>
      <c r="C192" s="24" t="s">
        <v>205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5">
        <f t="shared" si="75"/>
        <v>0</v>
      </c>
      <c r="BL192" s="20"/>
      <c r="BM192" s="20"/>
    </row>
    <row r="193" spans="1:65" x14ac:dyDescent="0.4">
      <c r="A193" s="7"/>
      <c r="B193" s="52"/>
      <c r="C193" s="24" t="s">
        <v>206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1</v>
      </c>
      <c r="V193" s="6">
        <v>0</v>
      </c>
      <c r="W193" s="6">
        <v>0</v>
      </c>
      <c r="X193" s="6">
        <v>0</v>
      </c>
      <c r="Y193" s="6">
        <v>1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1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5">
        <f t="shared" si="75"/>
        <v>3</v>
      </c>
      <c r="BL193" s="20"/>
      <c r="BM193" s="20"/>
    </row>
    <row r="194" spans="1:65" x14ac:dyDescent="0.4">
      <c r="A194" s="7"/>
      <c r="B194" s="52"/>
      <c r="C194" s="24" t="s">
        <v>207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1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1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5">
        <f t="shared" si="75"/>
        <v>2</v>
      </c>
      <c r="BL194" s="20"/>
      <c r="BM194" s="20"/>
    </row>
    <row r="195" spans="1:65" x14ac:dyDescent="0.4">
      <c r="A195" s="7"/>
      <c r="B195" s="52"/>
      <c r="C195" s="24" t="s">
        <v>208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1</v>
      </c>
      <c r="AW195" s="6">
        <v>1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5">
        <f t="shared" si="75"/>
        <v>2</v>
      </c>
      <c r="BL195" s="20"/>
      <c r="BM195" s="20"/>
    </row>
    <row r="196" spans="1:65" ht="13.15" customHeight="1" x14ac:dyDescent="0.4">
      <c r="A196" s="7"/>
      <c r="B196" s="52"/>
      <c r="C196" s="24" t="s">
        <v>209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5">
        <f t="shared" si="75"/>
        <v>0</v>
      </c>
      <c r="BL196" s="1"/>
      <c r="BM196" s="1"/>
    </row>
    <row r="197" spans="1:65" ht="13.15" customHeight="1" x14ac:dyDescent="0.4">
      <c r="A197" s="7"/>
      <c r="B197" s="52"/>
      <c r="C197" s="24" t="s">
        <v>210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5">
        <f t="shared" si="75"/>
        <v>0</v>
      </c>
      <c r="BL197" s="1"/>
      <c r="BM197" s="1"/>
    </row>
    <row r="198" spans="1:65" ht="13.15" customHeight="1" x14ac:dyDescent="0.4">
      <c r="A198" s="7"/>
      <c r="B198" s="52"/>
      <c r="C198" s="24" t="s">
        <v>211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5">
        <f t="shared" si="75"/>
        <v>0</v>
      </c>
      <c r="BL198" s="1"/>
      <c r="BM198" s="1"/>
    </row>
    <row r="199" spans="1:65" x14ac:dyDescent="0.4">
      <c r="A199" s="6" t="s">
        <v>26</v>
      </c>
      <c r="B199" s="67" t="s">
        <v>51</v>
      </c>
      <c r="C199" s="68"/>
      <c r="D199" s="69"/>
      <c r="E199" s="5">
        <f t="shared" ref="E199:BK199" si="76">SUM(E189:E198)</f>
        <v>0</v>
      </c>
      <c r="F199" s="5">
        <f t="shared" si="76"/>
        <v>0</v>
      </c>
      <c r="G199" s="5">
        <f t="shared" si="76"/>
        <v>0</v>
      </c>
      <c r="H199" s="5">
        <f t="shared" si="76"/>
        <v>0</v>
      </c>
      <c r="I199" s="5">
        <f t="shared" si="76"/>
        <v>0</v>
      </c>
      <c r="J199" s="5">
        <f t="shared" si="76"/>
        <v>0</v>
      </c>
      <c r="K199" s="5">
        <f t="shared" si="76"/>
        <v>0</v>
      </c>
      <c r="L199" s="5">
        <f t="shared" si="76"/>
        <v>3</v>
      </c>
      <c r="M199" s="5">
        <f t="shared" si="76"/>
        <v>0</v>
      </c>
      <c r="N199" s="5">
        <f t="shared" si="76"/>
        <v>0</v>
      </c>
      <c r="O199" s="5">
        <f t="shared" si="76"/>
        <v>0</v>
      </c>
      <c r="P199" s="5">
        <f t="shared" si="76"/>
        <v>0</v>
      </c>
      <c r="Q199" s="5">
        <f t="shared" si="76"/>
        <v>0</v>
      </c>
      <c r="R199" s="5">
        <f t="shared" si="76"/>
        <v>0</v>
      </c>
      <c r="S199" s="5">
        <f t="shared" si="76"/>
        <v>0</v>
      </c>
      <c r="T199" s="5">
        <f t="shared" si="76"/>
        <v>1</v>
      </c>
      <c r="U199" s="5">
        <f t="shared" si="76"/>
        <v>1</v>
      </c>
      <c r="V199" s="5">
        <f t="shared" si="76"/>
        <v>0</v>
      </c>
      <c r="W199" s="5">
        <f t="shared" si="76"/>
        <v>0</v>
      </c>
      <c r="X199" s="5">
        <f t="shared" si="76"/>
        <v>0</v>
      </c>
      <c r="Y199" s="5">
        <f t="shared" si="76"/>
        <v>1</v>
      </c>
      <c r="Z199" s="5">
        <f t="shared" si="76"/>
        <v>0</v>
      </c>
      <c r="AA199" s="5">
        <f t="shared" si="76"/>
        <v>3</v>
      </c>
      <c r="AB199" s="5">
        <f t="shared" si="76"/>
        <v>0</v>
      </c>
      <c r="AC199" s="5">
        <f t="shared" si="76"/>
        <v>0</v>
      </c>
      <c r="AD199" s="5">
        <f t="shared" si="76"/>
        <v>0</v>
      </c>
      <c r="AE199" s="5">
        <f t="shared" si="76"/>
        <v>0</v>
      </c>
      <c r="AF199" s="5">
        <f t="shared" si="76"/>
        <v>0</v>
      </c>
      <c r="AG199" s="5">
        <f t="shared" si="76"/>
        <v>0</v>
      </c>
      <c r="AH199" s="5">
        <f t="shared" si="76"/>
        <v>0</v>
      </c>
      <c r="AI199" s="5">
        <f t="shared" si="76"/>
        <v>1</v>
      </c>
      <c r="AJ199" s="5">
        <f t="shared" si="76"/>
        <v>0</v>
      </c>
      <c r="AK199" s="5">
        <f t="shared" si="76"/>
        <v>0</v>
      </c>
      <c r="AL199" s="5">
        <f t="shared" si="76"/>
        <v>0</v>
      </c>
      <c r="AM199" s="5">
        <f t="shared" si="76"/>
        <v>1</v>
      </c>
      <c r="AN199" s="5">
        <f t="shared" si="76"/>
        <v>0</v>
      </c>
      <c r="AO199" s="5">
        <f t="shared" si="76"/>
        <v>0</v>
      </c>
      <c r="AP199" s="5">
        <f t="shared" si="76"/>
        <v>1</v>
      </c>
      <c r="AQ199" s="5">
        <f t="shared" si="76"/>
        <v>2</v>
      </c>
      <c r="AR199" s="5">
        <f t="shared" si="76"/>
        <v>0</v>
      </c>
      <c r="AS199" s="5">
        <f t="shared" si="76"/>
        <v>0</v>
      </c>
      <c r="AT199" s="5">
        <f t="shared" si="76"/>
        <v>0</v>
      </c>
      <c r="AU199" s="5">
        <f t="shared" si="76"/>
        <v>0</v>
      </c>
      <c r="AV199" s="5">
        <f t="shared" si="76"/>
        <v>2</v>
      </c>
      <c r="AW199" s="5">
        <f t="shared" si="76"/>
        <v>1</v>
      </c>
      <c r="AX199" s="5">
        <f t="shared" si="76"/>
        <v>0</v>
      </c>
      <c r="AY199" s="5">
        <f t="shared" si="76"/>
        <v>1</v>
      </c>
      <c r="AZ199" s="5">
        <f t="shared" si="76"/>
        <v>0</v>
      </c>
      <c r="BA199" s="5">
        <f t="shared" si="76"/>
        <v>0</v>
      </c>
      <c r="BB199" s="5">
        <f t="shared" si="76"/>
        <v>1</v>
      </c>
      <c r="BC199" s="5">
        <f t="shared" si="76"/>
        <v>0</v>
      </c>
      <c r="BD199" s="5">
        <f t="shared" si="76"/>
        <v>0</v>
      </c>
      <c r="BE199" s="5">
        <f t="shared" si="76"/>
        <v>0</v>
      </c>
      <c r="BF199" s="5">
        <f t="shared" si="76"/>
        <v>1</v>
      </c>
      <c r="BG199" s="5">
        <f t="shared" si="76"/>
        <v>0</v>
      </c>
      <c r="BH199" s="5">
        <f t="shared" si="76"/>
        <v>0</v>
      </c>
      <c r="BI199" s="5">
        <f t="shared" si="76"/>
        <v>0</v>
      </c>
      <c r="BJ199" s="5">
        <f t="shared" si="76"/>
        <v>1</v>
      </c>
      <c r="BK199" s="5">
        <f t="shared" si="76"/>
        <v>21</v>
      </c>
      <c r="BL199" s="27"/>
      <c r="BM199" s="27"/>
    </row>
    <row r="200" spans="1:65" x14ac:dyDescent="0.4">
      <c r="A200" s="70"/>
      <c r="B200" s="71"/>
      <c r="C200" s="71"/>
      <c r="D200" s="71"/>
      <c r="E200" s="7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20"/>
      <c r="BM200" s="20"/>
    </row>
    <row r="201" spans="1:65" x14ac:dyDescent="0.4">
      <c r="A201" s="11" t="s">
        <v>48</v>
      </c>
      <c r="B201" s="17" t="s">
        <v>73</v>
      </c>
      <c r="C201" s="73" t="s">
        <v>74</v>
      </c>
      <c r="D201" s="74"/>
      <c r="E201" s="6">
        <v>7</v>
      </c>
      <c r="F201" s="6">
        <v>9</v>
      </c>
      <c r="G201" s="6">
        <v>2</v>
      </c>
      <c r="H201" s="6">
        <v>2</v>
      </c>
      <c r="I201" s="6">
        <v>11</v>
      </c>
      <c r="J201" s="6">
        <v>14</v>
      </c>
      <c r="K201" s="6">
        <v>15</v>
      </c>
      <c r="L201" s="6">
        <v>34</v>
      </c>
      <c r="M201" s="6">
        <v>12</v>
      </c>
      <c r="N201" s="6">
        <v>1</v>
      </c>
      <c r="O201" s="6">
        <v>4</v>
      </c>
      <c r="P201" s="6">
        <v>8</v>
      </c>
      <c r="Q201" s="6">
        <v>9</v>
      </c>
      <c r="R201" s="6">
        <v>8</v>
      </c>
      <c r="S201" s="6">
        <v>7</v>
      </c>
      <c r="T201" s="6">
        <v>1</v>
      </c>
      <c r="U201" s="6">
        <v>8</v>
      </c>
      <c r="V201" s="6">
        <v>9</v>
      </c>
      <c r="W201" s="6">
        <v>13</v>
      </c>
      <c r="X201" s="6">
        <v>9</v>
      </c>
      <c r="Y201" s="6">
        <v>4</v>
      </c>
      <c r="Z201" s="6">
        <v>6</v>
      </c>
      <c r="AA201" s="6">
        <v>3</v>
      </c>
      <c r="AB201" s="6">
        <v>4</v>
      </c>
      <c r="AC201" s="6">
        <v>3</v>
      </c>
      <c r="AD201" s="6">
        <v>6</v>
      </c>
      <c r="AE201" s="6">
        <v>2</v>
      </c>
      <c r="AF201" s="6">
        <v>5</v>
      </c>
      <c r="AG201" s="6">
        <v>2</v>
      </c>
      <c r="AH201" s="6">
        <v>7</v>
      </c>
      <c r="AI201" s="6">
        <v>13</v>
      </c>
      <c r="AJ201" s="6">
        <v>9</v>
      </c>
      <c r="AK201" s="6">
        <v>13</v>
      </c>
      <c r="AL201" s="6">
        <v>12</v>
      </c>
      <c r="AM201" s="6">
        <v>9</v>
      </c>
      <c r="AN201" s="6">
        <v>9</v>
      </c>
      <c r="AO201" s="6">
        <v>2</v>
      </c>
      <c r="AP201" s="6">
        <v>20</v>
      </c>
      <c r="AQ201" s="6">
        <v>16</v>
      </c>
      <c r="AR201" s="6">
        <v>4</v>
      </c>
      <c r="AS201" s="6">
        <v>3</v>
      </c>
      <c r="AT201" s="6">
        <v>5</v>
      </c>
      <c r="AU201" s="6">
        <v>3</v>
      </c>
      <c r="AV201" s="6">
        <v>9</v>
      </c>
      <c r="AW201" s="6">
        <v>13</v>
      </c>
      <c r="AX201" s="6">
        <v>3</v>
      </c>
      <c r="AY201" s="6">
        <v>4</v>
      </c>
      <c r="AZ201" s="6">
        <v>7</v>
      </c>
      <c r="BA201" s="6">
        <v>13</v>
      </c>
      <c r="BB201" s="6">
        <v>5</v>
      </c>
      <c r="BC201" s="6">
        <v>11</v>
      </c>
      <c r="BD201" s="6">
        <v>10</v>
      </c>
      <c r="BE201" s="6">
        <v>5</v>
      </c>
      <c r="BF201" s="6">
        <v>6</v>
      </c>
      <c r="BG201" s="6">
        <v>4</v>
      </c>
      <c r="BH201" s="6">
        <v>6</v>
      </c>
      <c r="BI201" s="6">
        <v>3</v>
      </c>
      <c r="BJ201" s="6">
        <v>11</v>
      </c>
      <c r="BK201" s="5">
        <f t="shared" ref="BK201:BK211" si="77">SUM(E201:BJ201)</f>
        <v>453</v>
      </c>
      <c r="BL201" s="20"/>
      <c r="BM201" s="20"/>
    </row>
    <row r="202" spans="1:65" x14ac:dyDescent="0.4">
      <c r="A202" s="11" t="s">
        <v>50</v>
      </c>
      <c r="B202" s="52"/>
      <c r="C202" s="24" t="s">
        <v>212</v>
      </c>
      <c r="D202" s="50"/>
      <c r="E202" s="6">
        <v>10</v>
      </c>
      <c r="F202" s="6">
        <v>10</v>
      </c>
      <c r="G202" s="6">
        <v>20</v>
      </c>
      <c r="H202" s="6">
        <v>4</v>
      </c>
      <c r="I202" s="6">
        <v>10</v>
      </c>
      <c r="J202" s="6">
        <v>16</v>
      </c>
      <c r="K202" s="6">
        <v>19</v>
      </c>
      <c r="L202" s="6">
        <v>33</v>
      </c>
      <c r="M202" s="6">
        <v>13</v>
      </c>
      <c r="N202" s="6">
        <v>2</v>
      </c>
      <c r="O202" s="6">
        <v>16</v>
      </c>
      <c r="P202" s="6">
        <v>10</v>
      </c>
      <c r="Q202" s="6">
        <v>6</v>
      </c>
      <c r="R202" s="6">
        <v>9</v>
      </c>
      <c r="S202" s="6">
        <v>6</v>
      </c>
      <c r="T202" s="6">
        <v>7</v>
      </c>
      <c r="U202" s="6">
        <v>18</v>
      </c>
      <c r="V202" s="6">
        <v>9</v>
      </c>
      <c r="W202" s="6">
        <v>31</v>
      </c>
      <c r="X202" s="6">
        <v>21</v>
      </c>
      <c r="Y202" s="6">
        <v>13</v>
      </c>
      <c r="Z202" s="6">
        <v>16</v>
      </c>
      <c r="AA202" s="6">
        <v>3</v>
      </c>
      <c r="AB202" s="6">
        <v>6</v>
      </c>
      <c r="AC202" s="6">
        <v>21</v>
      </c>
      <c r="AD202" s="6">
        <v>6</v>
      </c>
      <c r="AE202" s="6">
        <v>8</v>
      </c>
      <c r="AF202" s="6">
        <v>39</v>
      </c>
      <c r="AG202" s="6">
        <v>9</v>
      </c>
      <c r="AH202" s="6">
        <v>16</v>
      </c>
      <c r="AI202" s="6">
        <v>15</v>
      </c>
      <c r="AJ202" s="6">
        <v>13</v>
      </c>
      <c r="AK202" s="6">
        <v>19</v>
      </c>
      <c r="AL202" s="6">
        <v>16</v>
      </c>
      <c r="AM202" s="6">
        <v>14</v>
      </c>
      <c r="AN202" s="6">
        <v>14</v>
      </c>
      <c r="AO202" s="6">
        <v>4</v>
      </c>
      <c r="AP202" s="6">
        <v>19</v>
      </c>
      <c r="AQ202" s="6">
        <v>16</v>
      </c>
      <c r="AR202" s="6">
        <v>1</v>
      </c>
      <c r="AS202" s="6">
        <v>7</v>
      </c>
      <c r="AT202" s="6">
        <v>46</v>
      </c>
      <c r="AU202" s="6">
        <v>57</v>
      </c>
      <c r="AV202" s="6">
        <v>18</v>
      </c>
      <c r="AW202" s="6">
        <v>29</v>
      </c>
      <c r="AX202" s="6">
        <v>11</v>
      </c>
      <c r="AY202" s="6">
        <v>25</v>
      </c>
      <c r="AZ202" s="6">
        <v>9</v>
      </c>
      <c r="BA202" s="6">
        <v>15</v>
      </c>
      <c r="BB202" s="6">
        <v>15</v>
      </c>
      <c r="BC202" s="6">
        <v>17</v>
      </c>
      <c r="BD202" s="6">
        <v>14</v>
      </c>
      <c r="BE202" s="6">
        <v>8</v>
      </c>
      <c r="BF202" s="6">
        <v>62</v>
      </c>
      <c r="BG202" s="6">
        <v>70</v>
      </c>
      <c r="BH202" s="6">
        <v>22</v>
      </c>
      <c r="BI202" s="6">
        <v>18</v>
      </c>
      <c r="BJ202" s="6">
        <v>27</v>
      </c>
      <c r="BK202" s="5">
        <f t="shared" si="77"/>
        <v>1008</v>
      </c>
      <c r="BL202" s="20"/>
      <c r="BM202" s="20"/>
    </row>
    <row r="203" spans="1:65" x14ac:dyDescent="0.4">
      <c r="A203" s="7"/>
      <c r="B203" s="52"/>
      <c r="C203" s="24" t="s">
        <v>213</v>
      </c>
      <c r="D203" s="50"/>
      <c r="E203" s="6">
        <v>1</v>
      </c>
      <c r="F203" s="6">
        <v>3</v>
      </c>
      <c r="G203" s="6">
        <v>0</v>
      </c>
      <c r="H203" s="6">
        <v>0</v>
      </c>
      <c r="I203" s="6">
        <v>5</v>
      </c>
      <c r="J203" s="6">
        <v>3</v>
      </c>
      <c r="K203" s="6">
        <v>3</v>
      </c>
      <c r="L203" s="6">
        <v>2</v>
      </c>
      <c r="M203" s="6">
        <v>2</v>
      </c>
      <c r="N203" s="6">
        <v>75</v>
      </c>
      <c r="O203" s="6">
        <v>0</v>
      </c>
      <c r="P203" s="6">
        <v>2</v>
      </c>
      <c r="Q203" s="6">
        <v>0</v>
      </c>
      <c r="R203" s="6">
        <v>0</v>
      </c>
      <c r="S203" s="6">
        <v>1</v>
      </c>
      <c r="T203" s="6">
        <v>3</v>
      </c>
      <c r="U203" s="6">
        <v>0</v>
      </c>
      <c r="V203" s="6">
        <v>2</v>
      </c>
      <c r="W203" s="6">
        <v>4</v>
      </c>
      <c r="X203" s="6">
        <v>0</v>
      </c>
      <c r="Y203" s="6">
        <v>3</v>
      </c>
      <c r="Z203" s="6">
        <v>1</v>
      </c>
      <c r="AA203" s="6">
        <v>0</v>
      </c>
      <c r="AB203" s="6">
        <v>5</v>
      </c>
      <c r="AC203" s="6">
        <v>1</v>
      </c>
      <c r="AD203" s="6">
        <v>6</v>
      </c>
      <c r="AE203" s="6">
        <v>0</v>
      </c>
      <c r="AF203" s="6">
        <v>1</v>
      </c>
      <c r="AG203" s="6">
        <v>0</v>
      </c>
      <c r="AH203" s="6">
        <v>3</v>
      </c>
      <c r="AI203" s="6">
        <v>0</v>
      </c>
      <c r="AJ203" s="6">
        <v>0</v>
      </c>
      <c r="AK203" s="6">
        <v>3</v>
      </c>
      <c r="AL203" s="6">
        <v>2</v>
      </c>
      <c r="AM203" s="6">
        <v>3</v>
      </c>
      <c r="AN203" s="6">
        <v>2</v>
      </c>
      <c r="AO203" s="6">
        <v>1</v>
      </c>
      <c r="AP203" s="6">
        <v>4</v>
      </c>
      <c r="AQ203" s="6">
        <v>4</v>
      </c>
      <c r="AR203" s="6">
        <v>0</v>
      </c>
      <c r="AS203" s="6">
        <v>5</v>
      </c>
      <c r="AT203" s="6">
        <v>1</v>
      </c>
      <c r="AU203" s="6">
        <v>1</v>
      </c>
      <c r="AV203" s="6">
        <v>9</v>
      </c>
      <c r="AW203" s="6">
        <v>1</v>
      </c>
      <c r="AX203" s="6">
        <v>1</v>
      </c>
      <c r="AY203" s="6">
        <v>1</v>
      </c>
      <c r="AZ203" s="6">
        <v>1</v>
      </c>
      <c r="BA203" s="6">
        <v>2</v>
      </c>
      <c r="BB203" s="6">
        <v>1</v>
      </c>
      <c r="BC203" s="6">
        <v>4</v>
      </c>
      <c r="BD203" s="6">
        <v>5</v>
      </c>
      <c r="BE203" s="6">
        <v>0</v>
      </c>
      <c r="BF203" s="6">
        <v>2</v>
      </c>
      <c r="BG203" s="6">
        <v>1</v>
      </c>
      <c r="BH203" s="6">
        <v>1</v>
      </c>
      <c r="BI203" s="6">
        <v>3</v>
      </c>
      <c r="BJ203" s="6">
        <v>1</v>
      </c>
      <c r="BK203" s="5">
        <f t="shared" si="77"/>
        <v>185</v>
      </c>
      <c r="BL203" s="20"/>
      <c r="BM203" s="20"/>
    </row>
    <row r="204" spans="1:65" x14ac:dyDescent="0.4">
      <c r="A204" s="7"/>
      <c r="B204" s="52"/>
      <c r="C204" s="24" t="s">
        <v>214</v>
      </c>
      <c r="D204" s="50"/>
      <c r="E204" s="6">
        <v>0</v>
      </c>
      <c r="F204" s="6">
        <v>0</v>
      </c>
      <c r="G204" s="6">
        <v>2</v>
      </c>
      <c r="H204" s="6">
        <v>1</v>
      </c>
      <c r="I204" s="6">
        <v>0</v>
      </c>
      <c r="J204" s="6">
        <v>1</v>
      </c>
      <c r="K204" s="6">
        <v>2</v>
      </c>
      <c r="L204" s="6">
        <v>1</v>
      </c>
      <c r="M204" s="6">
        <v>1</v>
      </c>
      <c r="N204" s="6">
        <v>0</v>
      </c>
      <c r="O204" s="6">
        <v>1</v>
      </c>
      <c r="P204" s="6">
        <v>0</v>
      </c>
      <c r="Q204" s="6">
        <v>1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1</v>
      </c>
      <c r="Y204" s="6">
        <v>1</v>
      </c>
      <c r="Z204" s="6">
        <v>1</v>
      </c>
      <c r="AA204" s="6">
        <v>0</v>
      </c>
      <c r="AB204" s="6">
        <v>0</v>
      </c>
      <c r="AC204" s="6">
        <v>0</v>
      </c>
      <c r="AD204" s="6">
        <v>1</v>
      </c>
      <c r="AE204" s="6">
        <v>0</v>
      </c>
      <c r="AF204" s="6">
        <v>0</v>
      </c>
      <c r="AG204" s="6">
        <v>0</v>
      </c>
      <c r="AH204" s="6">
        <v>2</v>
      </c>
      <c r="AI204" s="6">
        <v>1</v>
      </c>
      <c r="AJ204" s="6">
        <v>1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4</v>
      </c>
      <c r="AQ204" s="6">
        <v>1</v>
      </c>
      <c r="AR204" s="6">
        <v>2</v>
      </c>
      <c r="AS204" s="6">
        <v>1</v>
      </c>
      <c r="AT204" s="6">
        <v>2</v>
      </c>
      <c r="AU204" s="6">
        <v>0</v>
      </c>
      <c r="AV204" s="6">
        <v>0</v>
      </c>
      <c r="AW204" s="6">
        <v>1</v>
      </c>
      <c r="AX204" s="6">
        <v>2</v>
      </c>
      <c r="AY204" s="6">
        <v>0</v>
      </c>
      <c r="AZ204" s="6">
        <v>0</v>
      </c>
      <c r="BA204" s="6">
        <v>1</v>
      </c>
      <c r="BB204" s="6">
        <v>0</v>
      </c>
      <c r="BC204" s="6">
        <v>1</v>
      </c>
      <c r="BD204" s="6">
        <v>1</v>
      </c>
      <c r="BE204" s="6">
        <v>0</v>
      </c>
      <c r="BF204" s="6">
        <v>1</v>
      </c>
      <c r="BG204" s="6">
        <v>1</v>
      </c>
      <c r="BH204" s="6">
        <v>0</v>
      </c>
      <c r="BI204" s="6">
        <v>1</v>
      </c>
      <c r="BJ204" s="6">
        <v>1</v>
      </c>
      <c r="BK204" s="5">
        <f t="shared" si="77"/>
        <v>38</v>
      </c>
      <c r="BL204" s="20"/>
      <c r="BM204" s="20"/>
    </row>
    <row r="205" spans="1:65" x14ac:dyDescent="0.4">
      <c r="A205" s="7"/>
      <c r="B205" s="52"/>
      <c r="C205" s="24" t="s">
        <v>215</v>
      </c>
      <c r="D205" s="50"/>
      <c r="E205" s="6">
        <v>0</v>
      </c>
      <c r="F205" s="6">
        <v>0</v>
      </c>
      <c r="G205" s="6">
        <v>1</v>
      </c>
      <c r="H205" s="6">
        <v>0</v>
      </c>
      <c r="I205" s="6">
        <v>0</v>
      </c>
      <c r="J205" s="6">
        <v>0</v>
      </c>
      <c r="K205" s="6">
        <v>1</v>
      </c>
      <c r="L205" s="6">
        <v>2</v>
      </c>
      <c r="M205" s="6">
        <v>1</v>
      </c>
      <c r="N205" s="6">
        <v>0</v>
      </c>
      <c r="O205" s="6">
        <v>0</v>
      </c>
      <c r="P205" s="6">
        <v>0</v>
      </c>
      <c r="Q205" s="6">
        <v>1</v>
      </c>
      <c r="R205" s="6">
        <v>0</v>
      </c>
      <c r="S205" s="6">
        <v>0</v>
      </c>
      <c r="T205" s="6">
        <v>0</v>
      </c>
      <c r="U205" s="6">
        <v>0</v>
      </c>
      <c r="V205" s="6">
        <v>1</v>
      </c>
      <c r="W205" s="6">
        <v>0</v>
      </c>
      <c r="X205" s="6">
        <v>2</v>
      </c>
      <c r="Y205" s="6">
        <v>1</v>
      </c>
      <c r="Z205" s="6">
        <v>1</v>
      </c>
      <c r="AA205" s="6">
        <v>0</v>
      </c>
      <c r="AB205" s="6">
        <v>0</v>
      </c>
      <c r="AC205" s="6">
        <v>0</v>
      </c>
      <c r="AD205" s="6">
        <v>1</v>
      </c>
      <c r="AE205" s="6">
        <v>1</v>
      </c>
      <c r="AF205" s="6">
        <v>0</v>
      </c>
      <c r="AG205" s="6">
        <v>1</v>
      </c>
      <c r="AH205" s="6">
        <v>2</v>
      </c>
      <c r="AI205" s="6">
        <v>1</v>
      </c>
      <c r="AJ205" s="6">
        <v>1</v>
      </c>
      <c r="AK205" s="6">
        <v>0</v>
      </c>
      <c r="AL205" s="6">
        <v>0</v>
      </c>
      <c r="AM205" s="6">
        <v>0</v>
      </c>
      <c r="AN205" s="6">
        <v>1</v>
      </c>
      <c r="AO205" s="6">
        <v>1</v>
      </c>
      <c r="AP205" s="6">
        <v>1</v>
      </c>
      <c r="AQ205" s="6">
        <v>0</v>
      </c>
      <c r="AR205" s="6">
        <v>1</v>
      </c>
      <c r="AS205" s="6">
        <v>0</v>
      </c>
      <c r="AT205" s="6">
        <v>0</v>
      </c>
      <c r="AU205" s="6">
        <v>1</v>
      </c>
      <c r="AV205" s="6">
        <v>0</v>
      </c>
      <c r="AW205" s="6">
        <v>1</v>
      </c>
      <c r="AX205" s="6">
        <v>0</v>
      </c>
      <c r="AY205" s="6">
        <v>0</v>
      </c>
      <c r="AZ205" s="6">
        <v>0</v>
      </c>
      <c r="BA205" s="6">
        <v>0</v>
      </c>
      <c r="BB205" s="6">
        <v>1</v>
      </c>
      <c r="BC205" s="6">
        <v>0</v>
      </c>
      <c r="BD205" s="6">
        <v>0</v>
      </c>
      <c r="BE205" s="6">
        <v>2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5">
        <f t="shared" si="77"/>
        <v>27</v>
      </c>
      <c r="BL205" s="20"/>
      <c r="BM205" s="20"/>
    </row>
    <row r="206" spans="1:65" x14ac:dyDescent="0.4">
      <c r="A206" s="7"/>
      <c r="B206" s="52"/>
      <c r="C206" s="24" t="s">
        <v>216</v>
      </c>
      <c r="D206" s="50"/>
      <c r="E206" s="6">
        <v>0</v>
      </c>
      <c r="F206" s="6">
        <v>0</v>
      </c>
      <c r="G206" s="6">
        <v>2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2</v>
      </c>
      <c r="AE206" s="6">
        <v>0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1</v>
      </c>
      <c r="AQ206" s="6">
        <v>2</v>
      </c>
      <c r="AR206" s="6">
        <v>1</v>
      </c>
      <c r="AS206" s="6">
        <v>0</v>
      </c>
      <c r="AT206" s="6">
        <v>2</v>
      </c>
      <c r="AU206" s="6">
        <v>0</v>
      </c>
      <c r="AV206" s="6">
        <v>2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5">
        <f t="shared" si="77"/>
        <v>14</v>
      </c>
      <c r="BL206" s="20"/>
      <c r="BM206" s="20"/>
    </row>
    <row r="207" spans="1:65" ht="13.15" customHeight="1" x14ac:dyDescent="0.4">
      <c r="A207" s="7"/>
      <c r="B207" s="52"/>
      <c r="C207" s="24" t="s">
        <v>217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6">
        <v>0</v>
      </c>
      <c r="P207" s="6">
        <v>1</v>
      </c>
      <c r="Q207" s="6">
        <v>1</v>
      </c>
      <c r="R207" s="6">
        <v>0</v>
      </c>
      <c r="S207" s="6">
        <v>0</v>
      </c>
      <c r="T207" s="6">
        <v>1</v>
      </c>
      <c r="U207" s="6">
        <v>1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1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1</v>
      </c>
      <c r="AP207" s="6">
        <v>0</v>
      </c>
      <c r="AQ207" s="6">
        <v>0</v>
      </c>
      <c r="AR207" s="6">
        <v>0</v>
      </c>
      <c r="AS207" s="6">
        <v>0</v>
      </c>
      <c r="AT207" s="6">
        <v>1</v>
      </c>
      <c r="AU207" s="6">
        <v>2</v>
      </c>
      <c r="AV207" s="6">
        <v>2</v>
      </c>
      <c r="AW207" s="6">
        <v>1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1</v>
      </c>
      <c r="BJ207" s="6">
        <v>0</v>
      </c>
      <c r="BK207" s="5">
        <f t="shared" si="77"/>
        <v>14</v>
      </c>
      <c r="BL207" s="1"/>
      <c r="BM207" s="1"/>
    </row>
    <row r="208" spans="1:65" x14ac:dyDescent="0.4">
      <c r="A208" s="7"/>
      <c r="B208" s="52"/>
      <c r="C208" s="24" t="s">
        <v>218</v>
      </c>
      <c r="D208" s="50"/>
      <c r="E208" s="6">
        <v>0</v>
      </c>
      <c r="F208" s="6">
        <v>2</v>
      </c>
      <c r="G208" s="6">
        <v>1</v>
      </c>
      <c r="H208" s="6">
        <v>1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1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1</v>
      </c>
      <c r="AE208" s="6">
        <v>0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1</v>
      </c>
      <c r="AM208" s="6">
        <v>0</v>
      </c>
      <c r="AN208" s="6">
        <v>1</v>
      </c>
      <c r="AO208" s="6">
        <v>0</v>
      </c>
      <c r="AP208" s="6">
        <v>0</v>
      </c>
      <c r="AQ208" s="6">
        <v>1</v>
      </c>
      <c r="AR208" s="6">
        <v>1</v>
      </c>
      <c r="AS208" s="6">
        <v>0</v>
      </c>
      <c r="AT208" s="6">
        <v>0</v>
      </c>
      <c r="AU208" s="6">
        <v>0</v>
      </c>
      <c r="AV208" s="6">
        <v>1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1</v>
      </c>
      <c r="BD208" s="6">
        <v>2</v>
      </c>
      <c r="BE208" s="6">
        <v>0</v>
      </c>
      <c r="BF208" s="6">
        <v>0</v>
      </c>
      <c r="BG208" s="6">
        <v>1</v>
      </c>
      <c r="BH208" s="6">
        <v>0</v>
      </c>
      <c r="BI208" s="6">
        <v>1</v>
      </c>
      <c r="BJ208" s="6">
        <v>0</v>
      </c>
      <c r="BK208" s="5">
        <f t="shared" si="77"/>
        <v>19</v>
      </c>
      <c r="BL208" s="27"/>
      <c r="BM208" s="27"/>
    </row>
    <row r="209" spans="1:65" x14ac:dyDescent="0.4">
      <c r="A209" s="7"/>
      <c r="B209" s="52"/>
      <c r="C209" s="24" t="s">
        <v>219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1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1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1</v>
      </c>
      <c r="BK209" s="5">
        <f t="shared" si="77"/>
        <v>3</v>
      </c>
      <c r="BL209" s="27"/>
      <c r="BM209" s="27"/>
    </row>
    <row r="210" spans="1:65" x14ac:dyDescent="0.4">
      <c r="A210" s="7"/>
      <c r="B210" s="52"/>
      <c r="C210" s="24" t="s">
        <v>220</v>
      </c>
      <c r="D210" s="50"/>
      <c r="E210" s="6">
        <v>0</v>
      </c>
      <c r="F210" s="6">
        <v>0</v>
      </c>
      <c r="G210" s="6">
        <v>1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1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1</v>
      </c>
      <c r="Y210" s="6">
        <v>1</v>
      </c>
      <c r="Z210" s="6">
        <v>0</v>
      </c>
      <c r="AA210" s="6">
        <v>0</v>
      </c>
      <c r="AB210" s="6">
        <v>0</v>
      </c>
      <c r="AC210" s="6">
        <v>1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1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1</v>
      </c>
      <c r="AP210" s="6">
        <v>0</v>
      </c>
      <c r="AQ210" s="6">
        <v>0</v>
      </c>
      <c r="AR210" s="6">
        <v>0</v>
      </c>
      <c r="AS210" s="6">
        <v>0</v>
      </c>
      <c r="AT210" s="6">
        <v>1</v>
      </c>
      <c r="AU210" s="6">
        <v>0</v>
      </c>
      <c r="AV210" s="6">
        <v>0</v>
      </c>
      <c r="AW210" s="6">
        <v>0</v>
      </c>
      <c r="AX210" s="6">
        <v>0</v>
      </c>
      <c r="AY210" s="6">
        <v>1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5">
        <f t="shared" si="77"/>
        <v>9</v>
      </c>
      <c r="BL210" s="27"/>
      <c r="BM210" s="27"/>
    </row>
    <row r="211" spans="1:65" x14ac:dyDescent="0.4">
      <c r="A211" s="6" t="s">
        <v>26</v>
      </c>
      <c r="B211" s="67" t="s">
        <v>51</v>
      </c>
      <c r="C211" s="68"/>
      <c r="D211" s="69"/>
      <c r="E211" s="5">
        <f t="shared" ref="E211:BK211" si="78">SUM(E201:E210)</f>
        <v>18</v>
      </c>
      <c r="F211" s="5">
        <f t="shared" si="78"/>
        <v>24</v>
      </c>
      <c r="G211" s="5">
        <f t="shared" si="78"/>
        <v>29</v>
      </c>
      <c r="H211" s="5">
        <f t="shared" si="78"/>
        <v>8</v>
      </c>
      <c r="I211" s="5">
        <f t="shared" si="78"/>
        <v>27</v>
      </c>
      <c r="J211" s="5">
        <f t="shared" si="78"/>
        <v>34</v>
      </c>
      <c r="K211" s="5">
        <f t="shared" si="78"/>
        <v>40</v>
      </c>
      <c r="L211" s="5">
        <f t="shared" si="78"/>
        <v>72</v>
      </c>
      <c r="M211" s="5">
        <f t="shared" si="78"/>
        <v>30</v>
      </c>
      <c r="N211" s="5">
        <f t="shared" si="78"/>
        <v>79</v>
      </c>
      <c r="O211" s="5">
        <f t="shared" si="78"/>
        <v>21</v>
      </c>
      <c r="P211" s="5">
        <f t="shared" si="78"/>
        <v>21</v>
      </c>
      <c r="Q211" s="5">
        <f t="shared" si="78"/>
        <v>19</v>
      </c>
      <c r="R211" s="5">
        <f t="shared" si="78"/>
        <v>17</v>
      </c>
      <c r="S211" s="5">
        <f t="shared" si="78"/>
        <v>14</v>
      </c>
      <c r="T211" s="5">
        <f t="shared" si="78"/>
        <v>12</v>
      </c>
      <c r="U211" s="5">
        <f t="shared" si="78"/>
        <v>27</v>
      </c>
      <c r="V211" s="5">
        <f t="shared" si="78"/>
        <v>21</v>
      </c>
      <c r="W211" s="5">
        <f t="shared" si="78"/>
        <v>48</v>
      </c>
      <c r="X211" s="5">
        <f t="shared" si="78"/>
        <v>35</v>
      </c>
      <c r="Y211" s="5">
        <f t="shared" si="78"/>
        <v>23</v>
      </c>
      <c r="Z211" s="5">
        <f t="shared" si="78"/>
        <v>25</v>
      </c>
      <c r="AA211" s="5">
        <f t="shared" si="78"/>
        <v>6</v>
      </c>
      <c r="AB211" s="5">
        <f t="shared" si="78"/>
        <v>15</v>
      </c>
      <c r="AC211" s="5">
        <f t="shared" si="78"/>
        <v>27</v>
      </c>
      <c r="AD211" s="5">
        <f t="shared" si="78"/>
        <v>23</v>
      </c>
      <c r="AE211" s="5">
        <f t="shared" si="78"/>
        <v>11</v>
      </c>
      <c r="AF211" s="5">
        <f t="shared" si="78"/>
        <v>46</v>
      </c>
      <c r="AG211" s="5">
        <f t="shared" si="78"/>
        <v>12</v>
      </c>
      <c r="AH211" s="5">
        <f t="shared" si="78"/>
        <v>31</v>
      </c>
      <c r="AI211" s="5">
        <f t="shared" si="78"/>
        <v>31</v>
      </c>
      <c r="AJ211" s="5">
        <f t="shared" si="78"/>
        <v>24</v>
      </c>
      <c r="AK211" s="5">
        <f t="shared" si="78"/>
        <v>36</v>
      </c>
      <c r="AL211" s="5">
        <f t="shared" si="78"/>
        <v>31</v>
      </c>
      <c r="AM211" s="5">
        <f t="shared" si="78"/>
        <v>26</v>
      </c>
      <c r="AN211" s="5">
        <f t="shared" si="78"/>
        <v>27</v>
      </c>
      <c r="AO211" s="5">
        <f t="shared" si="78"/>
        <v>10</v>
      </c>
      <c r="AP211" s="5">
        <f t="shared" si="78"/>
        <v>49</v>
      </c>
      <c r="AQ211" s="5">
        <f t="shared" si="78"/>
        <v>40</v>
      </c>
      <c r="AR211" s="5">
        <f t="shared" si="78"/>
        <v>10</v>
      </c>
      <c r="AS211" s="5">
        <f t="shared" si="78"/>
        <v>16</v>
      </c>
      <c r="AT211" s="5">
        <f t="shared" si="78"/>
        <v>58</v>
      </c>
      <c r="AU211" s="5">
        <f t="shared" si="78"/>
        <v>64</v>
      </c>
      <c r="AV211" s="5">
        <f t="shared" si="78"/>
        <v>42</v>
      </c>
      <c r="AW211" s="5">
        <f t="shared" si="78"/>
        <v>46</v>
      </c>
      <c r="AX211" s="5">
        <f t="shared" si="78"/>
        <v>17</v>
      </c>
      <c r="AY211" s="5">
        <f t="shared" si="78"/>
        <v>31</v>
      </c>
      <c r="AZ211" s="5">
        <f t="shared" si="78"/>
        <v>17</v>
      </c>
      <c r="BA211" s="5">
        <f t="shared" si="78"/>
        <v>31</v>
      </c>
      <c r="BB211" s="5">
        <f t="shared" si="78"/>
        <v>22</v>
      </c>
      <c r="BC211" s="5">
        <f t="shared" si="78"/>
        <v>35</v>
      </c>
      <c r="BD211" s="5">
        <f t="shared" si="78"/>
        <v>32</v>
      </c>
      <c r="BE211" s="5">
        <f t="shared" si="78"/>
        <v>15</v>
      </c>
      <c r="BF211" s="5">
        <f t="shared" si="78"/>
        <v>71</v>
      </c>
      <c r="BG211" s="5">
        <f t="shared" si="78"/>
        <v>77</v>
      </c>
      <c r="BH211" s="5">
        <f t="shared" si="78"/>
        <v>29</v>
      </c>
      <c r="BI211" s="5">
        <f t="shared" si="78"/>
        <v>27</v>
      </c>
      <c r="BJ211" s="5">
        <f t="shared" si="78"/>
        <v>41</v>
      </c>
      <c r="BK211" s="5">
        <f t="shared" si="78"/>
        <v>1770</v>
      </c>
      <c r="BL211" s="20"/>
      <c r="BM211" s="20"/>
    </row>
    <row r="212" spans="1:65" x14ac:dyDescent="0.4">
      <c r="A212" s="70"/>
      <c r="B212" s="71"/>
      <c r="C212" s="71"/>
      <c r="D212" s="71"/>
      <c r="E212" s="7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20"/>
      <c r="BM212" s="20"/>
    </row>
    <row r="213" spans="1:65" x14ac:dyDescent="0.4">
      <c r="A213" s="11" t="s">
        <v>48</v>
      </c>
      <c r="B213" s="17" t="s">
        <v>75</v>
      </c>
      <c r="C213" s="73" t="s">
        <v>76</v>
      </c>
      <c r="D213" s="74"/>
      <c r="E213" s="6"/>
      <c r="F213" s="6"/>
      <c r="G213" s="6"/>
      <c r="H213" s="6">
        <v>1</v>
      </c>
      <c r="I213" s="6"/>
      <c r="J213" s="6"/>
      <c r="K213" s="6">
        <v>1</v>
      </c>
      <c r="L213" s="6">
        <v>1</v>
      </c>
      <c r="M213" s="6"/>
      <c r="N213" s="6"/>
      <c r="O213" s="6">
        <v>1</v>
      </c>
      <c r="P213" s="6"/>
      <c r="Q213" s="6"/>
      <c r="R213" s="6"/>
      <c r="S213" s="6"/>
      <c r="T213" s="6">
        <v>1</v>
      </c>
      <c r="U213" s="6">
        <v>1</v>
      </c>
      <c r="V213" s="6">
        <v>1</v>
      </c>
      <c r="W213" s="6"/>
      <c r="X213" s="6">
        <v>1</v>
      </c>
      <c r="Y213" s="6"/>
      <c r="Z213" s="6">
        <v>1</v>
      </c>
      <c r="AA213" s="6"/>
      <c r="AB213" s="6">
        <v>1</v>
      </c>
      <c r="AC213" s="6"/>
      <c r="AD213" s="6"/>
      <c r="AE213" s="6"/>
      <c r="AF213" s="6"/>
      <c r="AG213" s="6">
        <v>2</v>
      </c>
      <c r="AH213" s="6">
        <v>1</v>
      </c>
      <c r="AI213" s="6"/>
      <c r="AJ213" s="6">
        <v>2</v>
      </c>
      <c r="AK213" s="6">
        <v>1</v>
      </c>
      <c r="AL213" s="6"/>
      <c r="AM213" s="6">
        <v>2</v>
      </c>
      <c r="AN213" s="6">
        <v>1</v>
      </c>
      <c r="AO213" s="6"/>
      <c r="AP213" s="6">
        <v>2</v>
      </c>
      <c r="AQ213" s="6">
        <v>1</v>
      </c>
      <c r="AR213" s="6"/>
      <c r="AS213" s="6"/>
      <c r="AT213" s="6"/>
      <c r="AU213" s="6">
        <v>2</v>
      </c>
      <c r="AV213" s="6">
        <v>1</v>
      </c>
      <c r="AW213" s="6">
        <v>2</v>
      </c>
      <c r="AX213" s="6">
        <v>4</v>
      </c>
      <c r="AY213" s="6">
        <v>1</v>
      </c>
      <c r="AZ213" s="6">
        <v>1</v>
      </c>
      <c r="BA213" s="6">
        <v>2</v>
      </c>
      <c r="BB213" s="6"/>
      <c r="BC213" s="6">
        <v>2</v>
      </c>
      <c r="BD213" s="6">
        <v>3</v>
      </c>
      <c r="BE213" s="6">
        <v>1</v>
      </c>
      <c r="BF213" s="6"/>
      <c r="BG213" s="6">
        <v>1</v>
      </c>
      <c r="BH213" s="6">
        <v>2</v>
      </c>
      <c r="BI213" s="6"/>
      <c r="BJ213" s="6">
        <v>1</v>
      </c>
      <c r="BK213" s="5">
        <f>SUM(E213:BJ213)</f>
        <v>45</v>
      </c>
      <c r="BL213" s="20"/>
      <c r="BM213" s="20"/>
    </row>
    <row r="214" spans="1:65" x14ac:dyDescent="0.4">
      <c r="A214" s="11" t="s">
        <v>50</v>
      </c>
      <c r="B214" s="52"/>
      <c r="C214" s="24" t="s">
        <v>221</v>
      </c>
      <c r="D214" s="53"/>
      <c r="E214" s="6"/>
      <c r="F214" s="6"/>
      <c r="G214" s="6"/>
      <c r="H214" s="6"/>
      <c r="I214" s="6"/>
      <c r="J214" s="6">
        <v>2</v>
      </c>
      <c r="K214" s="6">
        <v>2</v>
      </c>
      <c r="L214" s="6">
        <v>1</v>
      </c>
      <c r="M214" s="6"/>
      <c r="N214" s="6"/>
      <c r="O214" s="6"/>
      <c r="P214" s="6"/>
      <c r="Q214" s="6"/>
      <c r="R214" s="6">
        <v>1</v>
      </c>
      <c r="S214" s="6"/>
      <c r="T214" s="6">
        <v>1</v>
      </c>
      <c r="U214" s="6"/>
      <c r="V214" s="6">
        <v>2</v>
      </c>
      <c r="W214" s="6">
        <v>1</v>
      </c>
      <c r="X214" s="6">
        <v>1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>
        <v>2</v>
      </c>
      <c r="AI214" s="6">
        <v>1</v>
      </c>
      <c r="AJ214" s="6"/>
      <c r="AK214" s="6">
        <v>2</v>
      </c>
      <c r="AL214" s="6">
        <v>1</v>
      </c>
      <c r="AM214" s="6">
        <v>1</v>
      </c>
      <c r="AN214" s="6">
        <v>1</v>
      </c>
      <c r="AO214" s="6"/>
      <c r="AP214" s="6">
        <v>1</v>
      </c>
      <c r="AQ214" s="6"/>
      <c r="AR214" s="6">
        <v>1</v>
      </c>
      <c r="AS214" s="6">
        <v>1</v>
      </c>
      <c r="AT214" s="6">
        <v>1</v>
      </c>
      <c r="AU214" s="6"/>
      <c r="AV214" s="6">
        <v>1</v>
      </c>
      <c r="AW214" s="6">
        <v>4</v>
      </c>
      <c r="AX214" s="6">
        <v>3</v>
      </c>
      <c r="AY214" s="6"/>
      <c r="AZ214" s="6"/>
      <c r="BA214" s="6">
        <v>2</v>
      </c>
      <c r="BB214" s="6"/>
      <c r="BC214" s="6"/>
      <c r="BD214" s="6"/>
      <c r="BE214" s="6">
        <v>2</v>
      </c>
      <c r="BF214" s="6"/>
      <c r="BG214" s="6">
        <v>2</v>
      </c>
      <c r="BH214" s="6">
        <v>2</v>
      </c>
      <c r="BI214" s="6">
        <v>1</v>
      </c>
      <c r="BJ214" s="6">
        <v>1</v>
      </c>
      <c r="BK214" s="5">
        <f>SUM(E214:BJ214)</f>
        <v>41</v>
      </c>
      <c r="BL214" s="20"/>
      <c r="BM214" s="20"/>
    </row>
    <row r="215" spans="1:65" x14ac:dyDescent="0.4">
      <c r="A215" s="7"/>
      <c r="B215" s="52"/>
      <c r="C215" s="24" t="s">
        <v>222</v>
      </c>
      <c r="D215" s="53"/>
      <c r="E215" s="6"/>
      <c r="F215" s="6"/>
      <c r="G215" s="6">
        <v>1</v>
      </c>
      <c r="H215" s="6"/>
      <c r="I215" s="6">
        <v>1</v>
      </c>
      <c r="J215" s="6">
        <v>2</v>
      </c>
      <c r="K215" s="6">
        <v>1</v>
      </c>
      <c r="L215" s="6">
        <v>1</v>
      </c>
      <c r="M215" s="6">
        <v>1</v>
      </c>
      <c r="N215" s="6"/>
      <c r="O215" s="6"/>
      <c r="P215" s="6"/>
      <c r="Q215" s="6"/>
      <c r="R215" s="6"/>
      <c r="S215" s="6"/>
      <c r="T215" s="6"/>
      <c r="U215" s="6">
        <v>2</v>
      </c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>
        <v>2</v>
      </c>
      <c r="AH215" s="6"/>
      <c r="AI215" s="6">
        <v>1</v>
      </c>
      <c r="AJ215" s="6"/>
      <c r="AK215" s="6">
        <v>1</v>
      </c>
      <c r="AL215" s="6"/>
      <c r="AM215" s="6">
        <v>2</v>
      </c>
      <c r="AN215" s="6"/>
      <c r="AO215" s="6">
        <v>1</v>
      </c>
      <c r="AP215" s="6"/>
      <c r="AQ215" s="6">
        <v>1</v>
      </c>
      <c r="AR215" s="6"/>
      <c r="AS215" s="6">
        <v>1</v>
      </c>
      <c r="AT215" s="6"/>
      <c r="AU215" s="6">
        <v>1</v>
      </c>
      <c r="AV215" s="6">
        <v>1</v>
      </c>
      <c r="AW215" s="6">
        <v>2</v>
      </c>
      <c r="AX215" s="6">
        <v>2</v>
      </c>
      <c r="AY215" s="6"/>
      <c r="AZ215" s="6">
        <v>1</v>
      </c>
      <c r="BA215" s="6"/>
      <c r="BB215" s="6">
        <v>1</v>
      </c>
      <c r="BC215" s="6">
        <v>1</v>
      </c>
      <c r="BD215" s="6"/>
      <c r="BE215" s="6"/>
      <c r="BF215" s="6">
        <v>1</v>
      </c>
      <c r="BG215" s="6"/>
      <c r="BH215" s="6"/>
      <c r="BI215" s="6"/>
      <c r="BJ215" s="6"/>
      <c r="BK215" s="5">
        <f>SUM(E215:BJ215)</f>
        <v>28</v>
      </c>
      <c r="BL215" s="20"/>
      <c r="BM215" s="20"/>
    </row>
    <row r="216" spans="1:65" x14ac:dyDescent="0.4">
      <c r="A216" s="7"/>
      <c r="B216" s="52"/>
      <c r="C216" s="24" t="s">
        <v>223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>
        <v>2</v>
      </c>
      <c r="AQ216" s="6"/>
      <c r="AR216" s="6">
        <v>1</v>
      </c>
      <c r="AS216" s="6"/>
      <c r="AT216" s="6"/>
      <c r="AU216" s="6"/>
      <c r="AV216" s="6">
        <v>1</v>
      </c>
      <c r="AW216" s="6"/>
      <c r="AX216" s="6"/>
      <c r="AY216" s="6">
        <v>2</v>
      </c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5">
        <f>SUM(E216:BJ216)</f>
        <v>6</v>
      </c>
      <c r="BL216" s="20"/>
      <c r="BM216" s="20"/>
    </row>
    <row r="217" spans="1:65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49"/>
      <c r="BL217" s="20"/>
      <c r="BM217" s="20"/>
    </row>
    <row r="218" spans="1:65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49"/>
      <c r="BL218" s="1"/>
      <c r="BM218" s="1"/>
    </row>
    <row r="219" spans="1:65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49"/>
      <c r="BL219" s="27"/>
      <c r="BM219" s="27"/>
    </row>
    <row r="220" spans="1:65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49"/>
      <c r="BL220" s="20"/>
      <c r="BM220" s="20"/>
    </row>
    <row r="221" spans="1:65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49"/>
      <c r="BL221" s="20"/>
      <c r="BM221" s="20"/>
    </row>
    <row r="222" spans="1:65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49"/>
      <c r="BL222" s="20"/>
      <c r="BM222" s="20"/>
    </row>
    <row r="223" spans="1:65" x14ac:dyDescent="0.4">
      <c r="A223" s="6" t="s">
        <v>26</v>
      </c>
      <c r="B223" s="67" t="s">
        <v>51</v>
      </c>
      <c r="C223" s="68"/>
      <c r="D223" s="69"/>
      <c r="E223" s="5">
        <f t="shared" ref="E223:BK223" si="79">SUM(E213:E222)</f>
        <v>0</v>
      </c>
      <c r="F223" s="5">
        <f t="shared" si="79"/>
        <v>0</v>
      </c>
      <c r="G223" s="5">
        <f t="shared" si="79"/>
        <v>1</v>
      </c>
      <c r="H223" s="5">
        <f t="shared" si="79"/>
        <v>1</v>
      </c>
      <c r="I223" s="5">
        <f t="shared" si="79"/>
        <v>1</v>
      </c>
      <c r="J223" s="5">
        <f t="shared" si="79"/>
        <v>4</v>
      </c>
      <c r="K223" s="5">
        <f t="shared" si="79"/>
        <v>4</v>
      </c>
      <c r="L223" s="5">
        <f t="shared" si="79"/>
        <v>3</v>
      </c>
      <c r="M223" s="5">
        <f t="shared" si="79"/>
        <v>1</v>
      </c>
      <c r="N223" s="5">
        <f t="shared" si="79"/>
        <v>0</v>
      </c>
      <c r="O223" s="5">
        <f t="shared" si="79"/>
        <v>1</v>
      </c>
      <c r="P223" s="5">
        <f t="shared" si="79"/>
        <v>0</v>
      </c>
      <c r="Q223" s="5">
        <f t="shared" si="79"/>
        <v>0</v>
      </c>
      <c r="R223" s="5">
        <f t="shared" si="79"/>
        <v>1</v>
      </c>
      <c r="S223" s="5">
        <f t="shared" si="79"/>
        <v>0</v>
      </c>
      <c r="T223" s="5">
        <f t="shared" si="79"/>
        <v>2</v>
      </c>
      <c r="U223" s="5">
        <f t="shared" si="79"/>
        <v>3</v>
      </c>
      <c r="V223" s="5">
        <f t="shared" si="79"/>
        <v>3</v>
      </c>
      <c r="W223" s="5">
        <f t="shared" si="79"/>
        <v>1</v>
      </c>
      <c r="X223" s="5">
        <f t="shared" si="79"/>
        <v>2</v>
      </c>
      <c r="Y223" s="5">
        <f t="shared" si="79"/>
        <v>0</v>
      </c>
      <c r="Z223" s="5">
        <f t="shared" si="79"/>
        <v>1</v>
      </c>
      <c r="AA223" s="5">
        <f t="shared" si="79"/>
        <v>0</v>
      </c>
      <c r="AB223" s="5">
        <f t="shared" si="79"/>
        <v>1</v>
      </c>
      <c r="AC223" s="5">
        <f t="shared" si="79"/>
        <v>0</v>
      </c>
      <c r="AD223" s="5">
        <f t="shared" si="79"/>
        <v>0</v>
      </c>
      <c r="AE223" s="5">
        <f t="shared" si="79"/>
        <v>0</v>
      </c>
      <c r="AF223" s="5">
        <f t="shared" si="79"/>
        <v>0</v>
      </c>
      <c r="AG223" s="5">
        <f t="shared" si="79"/>
        <v>4</v>
      </c>
      <c r="AH223" s="5">
        <f t="shared" si="79"/>
        <v>3</v>
      </c>
      <c r="AI223" s="5">
        <f t="shared" si="79"/>
        <v>2</v>
      </c>
      <c r="AJ223" s="5">
        <f t="shared" si="79"/>
        <v>2</v>
      </c>
      <c r="AK223" s="5">
        <f t="shared" si="79"/>
        <v>4</v>
      </c>
      <c r="AL223" s="5">
        <f t="shared" si="79"/>
        <v>1</v>
      </c>
      <c r="AM223" s="5">
        <f t="shared" si="79"/>
        <v>5</v>
      </c>
      <c r="AN223" s="5">
        <f t="shared" si="79"/>
        <v>2</v>
      </c>
      <c r="AO223" s="5">
        <f t="shared" si="79"/>
        <v>1</v>
      </c>
      <c r="AP223" s="5">
        <f t="shared" si="79"/>
        <v>5</v>
      </c>
      <c r="AQ223" s="5">
        <f t="shared" si="79"/>
        <v>2</v>
      </c>
      <c r="AR223" s="5">
        <f t="shared" si="79"/>
        <v>2</v>
      </c>
      <c r="AS223" s="5">
        <f t="shared" si="79"/>
        <v>2</v>
      </c>
      <c r="AT223" s="5">
        <f t="shared" si="79"/>
        <v>1</v>
      </c>
      <c r="AU223" s="5">
        <f t="shared" si="79"/>
        <v>3</v>
      </c>
      <c r="AV223" s="5">
        <f t="shared" si="79"/>
        <v>4</v>
      </c>
      <c r="AW223" s="5">
        <f t="shared" si="79"/>
        <v>8</v>
      </c>
      <c r="AX223" s="5">
        <f t="shared" si="79"/>
        <v>9</v>
      </c>
      <c r="AY223" s="5">
        <f t="shared" si="79"/>
        <v>3</v>
      </c>
      <c r="AZ223" s="5">
        <f t="shared" si="79"/>
        <v>2</v>
      </c>
      <c r="BA223" s="5">
        <f t="shared" si="79"/>
        <v>4</v>
      </c>
      <c r="BB223" s="5">
        <f t="shared" si="79"/>
        <v>1</v>
      </c>
      <c r="BC223" s="5">
        <f t="shared" si="79"/>
        <v>3</v>
      </c>
      <c r="BD223" s="5">
        <f t="shared" si="79"/>
        <v>3</v>
      </c>
      <c r="BE223" s="5">
        <f t="shared" si="79"/>
        <v>3</v>
      </c>
      <c r="BF223" s="5">
        <f t="shared" si="79"/>
        <v>1</v>
      </c>
      <c r="BG223" s="5">
        <f t="shared" si="79"/>
        <v>3</v>
      </c>
      <c r="BH223" s="5">
        <f t="shared" si="79"/>
        <v>4</v>
      </c>
      <c r="BI223" s="5">
        <f t="shared" si="79"/>
        <v>1</v>
      </c>
      <c r="BJ223" s="5">
        <f t="shared" si="79"/>
        <v>2</v>
      </c>
      <c r="BK223" s="5">
        <f t="shared" si="79"/>
        <v>120</v>
      </c>
      <c r="BL223" s="20"/>
      <c r="BM223" s="20"/>
    </row>
    <row r="224" spans="1:65" x14ac:dyDescent="0.4">
      <c r="A224" s="70"/>
      <c r="B224" s="71"/>
      <c r="C224" s="71"/>
      <c r="D224" s="71"/>
      <c r="E224" s="7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20"/>
      <c r="BM224" s="20"/>
    </row>
    <row r="225" spans="1:65" x14ac:dyDescent="0.4">
      <c r="A225" s="11" t="s">
        <v>48</v>
      </c>
      <c r="B225" s="17" t="s">
        <v>77</v>
      </c>
      <c r="C225" s="73" t="s">
        <v>78</v>
      </c>
      <c r="D225" s="74"/>
      <c r="E225" s="6">
        <v>1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>
        <v>1</v>
      </c>
      <c r="R225" s="6">
        <v>1</v>
      </c>
      <c r="S225" s="6">
        <v>1</v>
      </c>
      <c r="T225" s="6"/>
      <c r="U225" s="6"/>
      <c r="V225" s="6"/>
      <c r="W225" s="6">
        <v>1</v>
      </c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>
        <v>1</v>
      </c>
      <c r="AI225" s="6"/>
      <c r="AJ225" s="6"/>
      <c r="AK225" s="6">
        <v>1</v>
      </c>
      <c r="AL225" s="6">
        <v>5</v>
      </c>
      <c r="AM225" s="6"/>
      <c r="AN225" s="6">
        <v>2</v>
      </c>
      <c r="AO225" s="6"/>
      <c r="AP225" s="6"/>
      <c r="AQ225" s="6"/>
      <c r="AR225" s="6"/>
      <c r="AS225" s="6"/>
      <c r="AT225" s="6"/>
      <c r="AU225" s="6"/>
      <c r="AV225" s="6"/>
      <c r="AW225" s="6">
        <v>1</v>
      </c>
      <c r="AX225" s="6">
        <v>2</v>
      </c>
      <c r="AY225" s="6"/>
      <c r="AZ225" s="6"/>
      <c r="BA225" s="6"/>
      <c r="BB225" s="6"/>
      <c r="BC225" s="6"/>
      <c r="BD225" s="6"/>
      <c r="BE225" s="6"/>
      <c r="BF225" s="6">
        <v>1</v>
      </c>
      <c r="BG225" s="6">
        <v>1</v>
      </c>
      <c r="BH225" s="6"/>
      <c r="BI225" s="6"/>
      <c r="BJ225" s="6"/>
      <c r="BK225" s="5">
        <f>SUM(E225:BJ225)</f>
        <v>19</v>
      </c>
      <c r="BL225" s="20"/>
      <c r="BM225" s="20"/>
    </row>
    <row r="226" spans="1:65" x14ac:dyDescent="0.4">
      <c r="A226" s="11" t="s">
        <v>50</v>
      </c>
      <c r="B226" s="52"/>
      <c r="C226" s="24" t="s">
        <v>224</v>
      </c>
      <c r="D226" s="50"/>
      <c r="E226" s="6">
        <v>1</v>
      </c>
      <c r="F226" s="6"/>
      <c r="G226" s="6">
        <v>1</v>
      </c>
      <c r="H226" s="6"/>
      <c r="I226" s="6">
        <v>1</v>
      </c>
      <c r="J226" s="6">
        <v>1</v>
      </c>
      <c r="K226" s="6"/>
      <c r="L226" s="6">
        <v>1</v>
      </c>
      <c r="M226" s="6"/>
      <c r="N226" s="6"/>
      <c r="O226" s="6">
        <v>1</v>
      </c>
      <c r="P226" s="6">
        <v>1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>
        <v>1</v>
      </c>
      <c r="AF226" s="6"/>
      <c r="AG226" s="6">
        <v>1</v>
      </c>
      <c r="AH226" s="6"/>
      <c r="AI226" s="6"/>
      <c r="AJ226" s="6"/>
      <c r="AK226" s="6"/>
      <c r="AL226" s="6">
        <v>37</v>
      </c>
      <c r="AM226" s="6"/>
      <c r="AN226" s="6">
        <v>9</v>
      </c>
      <c r="AO226" s="6">
        <v>1</v>
      </c>
      <c r="AP226" s="6"/>
      <c r="AQ226" s="6">
        <v>2</v>
      </c>
      <c r="AR226" s="6">
        <v>1</v>
      </c>
      <c r="AS226" s="6"/>
      <c r="AT226" s="6"/>
      <c r="AU226" s="6"/>
      <c r="AV226" s="6"/>
      <c r="AW226" s="6">
        <v>2</v>
      </c>
      <c r="AX226" s="6">
        <v>2</v>
      </c>
      <c r="AY226" s="6">
        <v>2</v>
      </c>
      <c r="AZ226" s="6"/>
      <c r="BA226" s="6"/>
      <c r="BB226" s="6"/>
      <c r="BC226" s="6">
        <v>1</v>
      </c>
      <c r="BD226" s="6">
        <v>1</v>
      </c>
      <c r="BE226" s="6"/>
      <c r="BF226" s="6">
        <v>3</v>
      </c>
      <c r="BG226" s="6">
        <v>2</v>
      </c>
      <c r="BH226" s="6">
        <v>1</v>
      </c>
      <c r="BI226" s="6"/>
      <c r="BJ226" s="6"/>
      <c r="BK226" s="5">
        <f>SUM(E226:BJ226)</f>
        <v>73</v>
      </c>
      <c r="BL226" s="20"/>
      <c r="BM226" s="20"/>
    </row>
    <row r="227" spans="1:65" x14ac:dyDescent="0.4">
      <c r="A227" s="7"/>
      <c r="B227" s="52"/>
      <c r="C227" s="24" t="s">
        <v>225</v>
      </c>
      <c r="D227" s="50"/>
      <c r="E227" s="6"/>
      <c r="F227" s="6"/>
      <c r="G227" s="6"/>
      <c r="H227" s="6">
        <v>1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>
        <v>1</v>
      </c>
      <c r="AO227" s="6"/>
      <c r="AP227" s="6"/>
      <c r="AQ227" s="6"/>
      <c r="AR227" s="6"/>
      <c r="AS227" s="6"/>
      <c r="AT227" s="6"/>
      <c r="AU227" s="6"/>
      <c r="AV227" s="6"/>
      <c r="AW227" s="6"/>
      <c r="AX227" s="6">
        <v>1</v>
      </c>
      <c r="AY227" s="6"/>
      <c r="AZ227" s="6"/>
      <c r="BA227" s="6"/>
      <c r="BB227" s="6"/>
      <c r="BC227" s="6">
        <v>1</v>
      </c>
      <c r="BD227" s="6"/>
      <c r="BE227" s="6"/>
      <c r="BF227" s="6"/>
      <c r="BG227" s="6"/>
      <c r="BH227" s="6"/>
      <c r="BI227" s="6"/>
      <c r="BJ227" s="6"/>
      <c r="BK227" s="5">
        <f>SUM(E227:BJ227)</f>
        <v>4</v>
      </c>
      <c r="BL227" s="20"/>
      <c r="BM227" s="20"/>
    </row>
    <row r="228" spans="1:65" x14ac:dyDescent="0.4">
      <c r="A228" s="7"/>
      <c r="B228" s="52"/>
      <c r="C228" s="24" t="s">
        <v>226</v>
      </c>
      <c r="D228" s="50"/>
      <c r="E228" s="6"/>
      <c r="F228" s="6"/>
      <c r="G228" s="6"/>
      <c r="H228" s="6"/>
      <c r="I228" s="6">
        <v>1</v>
      </c>
      <c r="J228" s="6"/>
      <c r="K228" s="6"/>
      <c r="L228" s="6"/>
      <c r="M228" s="6"/>
      <c r="N228" s="6"/>
      <c r="O228" s="6"/>
      <c r="P228" s="6">
        <v>1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5">
        <f>SUM(E228:BJ228)</f>
        <v>2</v>
      </c>
      <c r="BL228" s="20"/>
      <c r="BM228" s="20"/>
    </row>
    <row r="229" spans="1:65" ht="13.15" customHeight="1" x14ac:dyDescent="0.4">
      <c r="A229" s="7"/>
      <c r="B229" s="52"/>
      <c r="C229" s="24" t="s">
        <v>227</v>
      </c>
      <c r="D229" s="5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>
        <v>1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>
        <v>1</v>
      </c>
      <c r="AY229" s="6"/>
      <c r="AZ229" s="6"/>
      <c r="BA229" s="6"/>
      <c r="BB229" s="6">
        <v>1</v>
      </c>
      <c r="BC229" s="6"/>
      <c r="BD229" s="6"/>
      <c r="BE229" s="6"/>
      <c r="BF229" s="6"/>
      <c r="BG229" s="6"/>
      <c r="BH229" s="6"/>
      <c r="BI229" s="6"/>
      <c r="BJ229" s="6"/>
      <c r="BK229" s="5">
        <f>SUM(E229:BJ229)</f>
        <v>3</v>
      </c>
      <c r="BL229" s="1"/>
      <c r="BM229" s="1"/>
    </row>
    <row r="230" spans="1:65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49"/>
      <c r="BL230" s="27"/>
      <c r="BM230" s="27"/>
    </row>
    <row r="231" spans="1:65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49"/>
      <c r="BL231" s="20"/>
      <c r="BM231" s="20"/>
    </row>
    <row r="232" spans="1:65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49"/>
      <c r="BL232" s="20"/>
      <c r="BM232" s="20"/>
    </row>
    <row r="233" spans="1:65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49"/>
      <c r="BL233" s="20"/>
      <c r="BM233" s="20"/>
    </row>
    <row r="234" spans="1:65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49"/>
      <c r="BL234" s="20"/>
      <c r="BM234" s="20"/>
    </row>
    <row r="235" spans="1:65" x14ac:dyDescent="0.4">
      <c r="A235" s="6" t="s">
        <v>26</v>
      </c>
      <c r="B235" s="67" t="s">
        <v>51</v>
      </c>
      <c r="C235" s="68"/>
      <c r="D235" s="69"/>
      <c r="E235" s="5">
        <f t="shared" ref="E235:BK235" si="80">SUM(E225:E234)</f>
        <v>2</v>
      </c>
      <c r="F235" s="5">
        <f t="shared" si="80"/>
        <v>0</v>
      </c>
      <c r="G235" s="5">
        <f t="shared" si="80"/>
        <v>1</v>
      </c>
      <c r="H235" s="5">
        <f t="shared" si="80"/>
        <v>1</v>
      </c>
      <c r="I235" s="5">
        <f t="shared" si="80"/>
        <v>2</v>
      </c>
      <c r="J235" s="5">
        <f t="shared" si="80"/>
        <v>1</v>
      </c>
      <c r="K235" s="5">
        <f t="shared" si="80"/>
        <v>0</v>
      </c>
      <c r="L235" s="5">
        <f t="shared" si="80"/>
        <v>1</v>
      </c>
      <c r="M235" s="5">
        <f t="shared" si="80"/>
        <v>0</v>
      </c>
      <c r="N235" s="5">
        <f t="shared" si="80"/>
        <v>0</v>
      </c>
      <c r="O235" s="5">
        <f t="shared" si="80"/>
        <v>1</v>
      </c>
      <c r="P235" s="5">
        <f t="shared" si="80"/>
        <v>2</v>
      </c>
      <c r="Q235" s="5">
        <f t="shared" si="80"/>
        <v>1</v>
      </c>
      <c r="R235" s="5">
        <f t="shared" si="80"/>
        <v>1</v>
      </c>
      <c r="S235" s="5">
        <f t="shared" si="80"/>
        <v>1</v>
      </c>
      <c r="T235" s="5">
        <f t="shared" si="80"/>
        <v>0</v>
      </c>
      <c r="U235" s="5">
        <f t="shared" si="80"/>
        <v>0</v>
      </c>
      <c r="V235" s="5">
        <f t="shared" si="80"/>
        <v>0</v>
      </c>
      <c r="W235" s="5">
        <f t="shared" si="80"/>
        <v>1</v>
      </c>
      <c r="X235" s="5">
        <f t="shared" si="80"/>
        <v>0</v>
      </c>
      <c r="Y235" s="5">
        <f t="shared" si="80"/>
        <v>1</v>
      </c>
      <c r="Z235" s="5">
        <f t="shared" si="80"/>
        <v>0</v>
      </c>
      <c r="AA235" s="5">
        <f t="shared" si="80"/>
        <v>0</v>
      </c>
      <c r="AB235" s="5">
        <f t="shared" si="80"/>
        <v>0</v>
      </c>
      <c r="AC235" s="5">
        <f t="shared" si="80"/>
        <v>0</v>
      </c>
      <c r="AD235" s="5">
        <f t="shared" si="80"/>
        <v>0</v>
      </c>
      <c r="AE235" s="5">
        <f t="shared" si="80"/>
        <v>1</v>
      </c>
      <c r="AF235" s="5">
        <f t="shared" si="80"/>
        <v>0</v>
      </c>
      <c r="AG235" s="5">
        <f t="shared" si="80"/>
        <v>1</v>
      </c>
      <c r="AH235" s="5">
        <f t="shared" si="80"/>
        <v>1</v>
      </c>
      <c r="AI235" s="5">
        <f t="shared" si="80"/>
        <v>0</v>
      </c>
      <c r="AJ235" s="5">
        <f t="shared" si="80"/>
        <v>0</v>
      </c>
      <c r="AK235" s="5">
        <f t="shared" si="80"/>
        <v>1</v>
      </c>
      <c r="AL235" s="5">
        <f t="shared" si="80"/>
        <v>42</v>
      </c>
      <c r="AM235" s="5">
        <f t="shared" si="80"/>
        <v>0</v>
      </c>
      <c r="AN235" s="5">
        <f t="shared" si="80"/>
        <v>12</v>
      </c>
      <c r="AO235" s="5">
        <f t="shared" si="80"/>
        <v>1</v>
      </c>
      <c r="AP235" s="5">
        <f t="shared" si="80"/>
        <v>0</v>
      </c>
      <c r="AQ235" s="5">
        <f t="shared" si="80"/>
        <v>2</v>
      </c>
      <c r="AR235" s="5">
        <f t="shared" si="80"/>
        <v>1</v>
      </c>
      <c r="AS235" s="5">
        <f t="shared" si="80"/>
        <v>0</v>
      </c>
      <c r="AT235" s="5">
        <f t="shared" si="80"/>
        <v>0</v>
      </c>
      <c r="AU235" s="5">
        <f t="shared" si="80"/>
        <v>0</v>
      </c>
      <c r="AV235" s="5">
        <f t="shared" si="80"/>
        <v>0</v>
      </c>
      <c r="AW235" s="5">
        <f t="shared" si="80"/>
        <v>3</v>
      </c>
      <c r="AX235" s="5">
        <f t="shared" si="80"/>
        <v>6</v>
      </c>
      <c r="AY235" s="5">
        <f t="shared" si="80"/>
        <v>2</v>
      </c>
      <c r="AZ235" s="5">
        <f t="shared" si="80"/>
        <v>0</v>
      </c>
      <c r="BA235" s="5">
        <f t="shared" si="80"/>
        <v>0</v>
      </c>
      <c r="BB235" s="5">
        <f t="shared" si="80"/>
        <v>1</v>
      </c>
      <c r="BC235" s="5">
        <f t="shared" si="80"/>
        <v>2</v>
      </c>
      <c r="BD235" s="5">
        <f t="shared" si="80"/>
        <v>1</v>
      </c>
      <c r="BE235" s="5">
        <f t="shared" si="80"/>
        <v>0</v>
      </c>
      <c r="BF235" s="5">
        <f t="shared" si="80"/>
        <v>4</v>
      </c>
      <c r="BG235" s="5">
        <f t="shared" si="80"/>
        <v>3</v>
      </c>
      <c r="BH235" s="5">
        <f t="shared" si="80"/>
        <v>1</v>
      </c>
      <c r="BI235" s="5">
        <f t="shared" si="80"/>
        <v>0</v>
      </c>
      <c r="BJ235" s="5">
        <f t="shared" si="80"/>
        <v>0</v>
      </c>
      <c r="BK235" s="5">
        <f t="shared" si="80"/>
        <v>101</v>
      </c>
      <c r="BL235" s="20"/>
      <c r="BM235" s="20"/>
    </row>
    <row r="236" spans="1:65" x14ac:dyDescent="0.4">
      <c r="A236" s="70"/>
      <c r="B236" s="71"/>
      <c r="C236" s="71"/>
      <c r="D236" s="71"/>
      <c r="E236" s="7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20"/>
      <c r="BM236" s="20"/>
    </row>
    <row r="237" spans="1:65" x14ac:dyDescent="0.4">
      <c r="A237" s="11" t="s">
        <v>48</v>
      </c>
      <c r="B237" s="17" t="s">
        <v>79</v>
      </c>
      <c r="C237" s="73" t="s">
        <v>80</v>
      </c>
      <c r="D237" s="74"/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1</v>
      </c>
      <c r="K237" s="6">
        <v>0</v>
      </c>
      <c r="L237" s="6">
        <v>0</v>
      </c>
      <c r="M237" s="6">
        <v>0</v>
      </c>
      <c r="N237" s="6">
        <v>0</v>
      </c>
      <c r="O237" s="6">
        <v>2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1</v>
      </c>
      <c r="Y237" s="6">
        <v>0</v>
      </c>
      <c r="Z237" s="6">
        <v>0</v>
      </c>
      <c r="AA237" s="6">
        <v>0</v>
      </c>
      <c r="AB237" s="6">
        <v>1</v>
      </c>
      <c r="AC237" s="6">
        <v>2</v>
      </c>
      <c r="AD237" s="6">
        <v>0</v>
      </c>
      <c r="AE237" s="6">
        <v>0</v>
      </c>
      <c r="AF237" s="6">
        <v>0</v>
      </c>
      <c r="AG237" s="6">
        <v>0</v>
      </c>
      <c r="AH237" s="6">
        <v>2</v>
      </c>
      <c r="AI237" s="6">
        <v>1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1</v>
      </c>
      <c r="AQ237" s="6">
        <v>0</v>
      </c>
      <c r="AR237" s="6">
        <v>4</v>
      </c>
      <c r="AS237" s="6">
        <v>3</v>
      </c>
      <c r="AT237" s="6">
        <v>0</v>
      </c>
      <c r="AU237" s="6">
        <v>0</v>
      </c>
      <c r="AV237" s="6">
        <v>3</v>
      </c>
      <c r="AW237" s="6">
        <v>1</v>
      </c>
      <c r="AX237" s="6">
        <v>0</v>
      </c>
      <c r="AY237" s="6">
        <v>1</v>
      </c>
      <c r="AZ237" s="6">
        <v>2</v>
      </c>
      <c r="BA237" s="6">
        <v>1</v>
      </c>
      <c r="BB237" s="6">
        <v>2</v>
      </c>
      <c r="BC237" s="6">
        <v>2</v>
      </c>
      <c r="BD237" s="6">
        <v>0</v>
      </c>
      <c r="BE237" s="6">
        <v>0</v>
      </c>
      <c r="BF237" s="6">
        <v>1</v>
      </c>
      <c r="BG237" s="6">
        <v>2</v>
      </c>
      <c r="BH237" s="6">
        <v>0</v>
      </c>
      <c r="BI237" s="6">
        <v>3</v>
      </c>
      <c r="BJ237" s="6">
        <v>0</v>
      </c>
      <c r="BK237" s="5">
        <f t="shared" ref="BK237:BK247" si="81">SUM(E237:BJ237)</f>
        <v>36</v>
      </c>
      <c r="BL237" s="20"/>
      <c r="BM237" s="20"/>
    </row>
    <row r="238" spans="1:65" x14ac:dyDescent="0.4">
      <c r="A238" s="11" t="s">
        <v>50</v>
      </c>
      <c r="B238" s="52"/>
      <c r="C238" s="24" t="s">
        <v>228</v>
      </c>
      <c r="D238" s="50"/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3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1</v>
      </c>
      <c r="AA238" s="6">
        <v>0</v>
      </c>
      <c r="AB238" s="6">
        <v>0</v>
      </c>
      <c r="AC238" s="6">
        <v>4</v>
      </c>
      <c r="AD238" s="6">
        <v>0</v>
      </c>
      <c r="AE238" s="6">
        <v>0</v>
      </c>
      <c r="AF238" s="6">
        <v>1</v>
      </c>
      <c r="AG238" s="6">
        <v>1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11</v>
      </c>
      <c r="AS238" s="6">
        <v>2</v>
      </c>
      <c r="AT238" s="6">
        <v>1</v>
      </c>
      <c r="AU238" s="6">
        <v>5</v>
      </c>
      <c r="AV238" s="6">
        <v>4</v>
      </c>
      <c r="AW238" s="6">
        <v>1</v>
      </c>
      <c r="AX238" s="6">
        <v>0</v>
      </c>
      <c r="AY238" s="6">
        <v>0</v>
      </c>
      <c r="AZ238" s="6">
        <v>0</v>
      </c>
      <c r="BA238" s="6">
        <v>0</v>
      </c>
      <c r="BB238" s="6">
        <v>2</v>
      </c>
      <c r="BC238" s="6">
        <v>5</v>
      </c>
      <c r="BD238" s="6">
        <v>3</v>
      </c>
      <c r="BE238" s="6">
        <v>0</v>
      </c>
      <c r="BF238" s="6">
        <v>3</v>
      </c>
      <c r="BG238" s="6">
        <v>2</v>
      </c>
      <c r="BH238" s="6">
        <v>5</v>
      </c>
      <c r="BI238" s="6">
        <v>1</v>
      </c>
      <c r="BJ238" s="6">
        <v>2</v>
      </c>
      <c r="BK238" s="5">
        <f t="shared" si="81"/>
        <v>57</v>
      </c>
      <c r="BL238" s="20"/>
      <c r="BM238" s="20"/>
    </row>
    <row r="239" spans="1:65" x14ac:dyDescent="0.4">
      <c r="A239" s="7"/>
      <c r="B239" s="52"/>
      <c r="C239" s="24" t="s">
        <v>229</v>
      </c>
      <c r="D239" s="50"/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1</v>
      </c>
      <c r="K239" s="6">
        <v>1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1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1</v>
      </c>
      <c r="AU239" s="6">
        <v>0</v>
      </c>
      <c r="AV239" s="6">
        <v>0</v>
      </c>
      <c r="AW239" s="6">
        <v>1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1</v>
      </c>
      <c r="BF239" s="6">
        <v>0</v>
      </c>
      <c r="BG239" s="6">
        <v>1</v>
      </c>
      <c r="BH239" s="6">
        <v>0</v>
      </c>
      <c r="BI239" s="6">
        <v>0</v>
      </c>
      <c r="BJ239" s="6">
        <v>0</v>
      </c>
      <c r="BK239" s="5">
        <f t="shared" si="81"/>
        <v>7</v>
      </c>
      <c r="BL239" s="20"/>
      <c r="BM239" s="20"/>
    </row>
    <row r="240" spans="1:65" ht="13.15" customHeight="1" x14ac:dyDescent="0.4">
      <c r="A240" s="7"/>
      <c r="B240" s="52"/>
      <c r="C240" s="24" t="s">
        <v>230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1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5">
        <f t="shared" si="81"/>
        <v>1</v>
      </c>
      <c r="BL240" s="1"/>
      <c r="BM240" s="1"/>
    </row>
    <row r="241" spans="1:63" x14ac:dyDescent="0.4">
      <c r="A241" s="7"/>
      <c r="B241" s="52"/>
      <c r="C241" s="24" t="s">
        <v>231</v>
      </c>
      <c r="D241" s="50"/>
      <c r="E241" s="6">
        <v>0</v>
      </c>
      <c r="F241" s="6">
        <v>1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1</v>
      </c>
      <c r="T241" s="6">
        <v>0</v>
      </c>
      <c r="U241" s="6">
        <v>1</v>
      </c>
      <c r="V241" s="6">
        <v>0</v>
      </c>
      <c r="W241" s="6">
        <v>0</v>
      </c>
      <c r="X241" s="6">
        <v>1</v>
      </c>
      <c r="Y241" s="6">
        <v>0</v>
      </c>
      <c r="Z241" s="6">
        <v>0</v>
      </c>
      <c r="AA241" s="6">
        <v>0</v>
      </c>
      <c r="AB241" s="6">
        <v>0</v>
      </c>
      <c r="AC241" s="6">
        <v>2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1</v>
      </c>
      <c r="AO241" s="6">
        <v>0</v>
      </c>
      <c r="AP241" s="6">
        <v>0</v>
      </c>
      <c r="AQ241" s="6">
        <v>1</v>
      </c>
      <c r="AR241" s="6">
        <v>0</v>
      </c>
      <c r="AS241" s="6">
        <v>1</v>
      </c>
      <c r="AT241" s="6">
        <v>0</v>
      </c>
      <c r="AU241" s="6">
        <v>0</v>
      </c>
      <c r="AV241" s="6">
        <v>1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1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1</v>
      </c>
      <c r="BK241" s="5">
        <f t="shared" si="81"/>
        <v>12</v>
      </c>
    </row>
    <row r="242" spans="1:63" ht="12.75" customHeight="1" x14ac:dyDescent="0.4">
      <c r="A242" s="7"/>
      <c r="B242" s="52"/>
      <c r="C242" s="24" t="s">
        <v>232</v>
      </c>
      <c r="D242" s="50"/>
      <c r="E242" s="6">
        <v>1</v>
      </c>
      <c r="F242" s="6">
        <v>0</v>
      </c>
      <c r="G242" s="6">
        <v>3</v>
      </c>
      <c r="H242" s="6">
        <v>0</v>
      </c>
      <c r="I242" s="6">
        <v>0</v>
      </c>
      <c r="J242" s="6">
        <v>1</v>
      </c>
      <c r="K242" s="6">
        <v>0</v>
      </c>
      <c r="L242" s="6">
        <v>2</v>
      </c>
      <c r="M242" s="6">
        <v>1</v>
      </c>
      <c r="N242" s="6">
        <v>0</v>
      </c>
      <c r="O242" s="6">
        <v>0</v>
      </c>
      <c r="P242" s="6">
        <v>0</v>
      </c>
      <c r="Q242" s="6">
        <v>1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5</v>
      </c>
      <c r="Y242" s="6">
        <v>5</v>
      </c>
      <c r="Z242" s="6">
        <v>3</v>
      </c>
      <c r="AA242" s="6">
        <v>2</v>
      </c>
      <c r="AB242" s="6">
        <v>0</v>
      </c>
      <c r="AC242" s="6">
        <v>2</v>
      </c>
      <c r="AD242" s="6">
        <v>0</v>
      </c>
      <c r="AE242" s="6">
        <v>0</v>
      </c>
      <c r="AF242" s="6">
        <v>0</v>
      </c>
      <c r="AG242" s="6">
        <v>2</v>
      </c>
      <c r="AH242" s="6">
        <v>2</v>
      </c>
      <c r="AI242" s="6">
        <v>0</v>
      </c>
      <c r="AJ242" s="6">
        <v>0</v>
      </c>
      <c r="AK242" s="6">
        <v>0</v>
      </c>
      <c r="AL242" s="6">
        <v>1</v>
      </c>
      <c r="AM242" s="6">
        <v>3</v>
      </c>
      <c r="AN242" s="6">
        <v>1</v>
      </c>
      <c r="AO242" s="6">
        <v>0</v>
      </c>
      <c r="AP242" s="6">
        <v>2</v>
      </c>
      <c r="AQ242" s="6">
        <v>0</v>
      </c>
      <c r="AR242" s="6">
        <v>31</v>
      </c>
      <c r="AS242" s="6">
        <v>3</v>
      </c>
      <c r="AT242" s="6">
        <v>3</v>
      </c>
      <c r="AU242" s="6">
        <v>0</v>
      </c>
      <c r="AV242" s="6">
        <v>14</v>
      </c>
      <c r="AW242" s="6">
        <v>2</v>
      </c>
      <c r="AX242" s="6">
        <v>0</v>
      </c>
      <c r="AY242" s="6">
        <v>12</v>
      </c>
      <c r="AZ242" s="6">
        <v>2</v>
      </c>
      <c r="BA242" s="6">
        <v>2</v>
      </c>
      <c r="BB242" s="6">
        <v>1</v>
      </c>
      <c r="BC242" s="6">
        <v>0</v>
      </c>
      <c r="BD242" s="6">
        <v>1</v>
      </c>
      <c r="BE242" s="6">
        <v>0</v>
      </c>
      <c r="BF242" s="6">
        <v>2</v>
      </c>
      <c r="BG242" s="6">
        <v>3</v>
      </c>
      <c r="BH242" s="6">
        <v>0</v>
      </c>
      <c r="BI242" s="6">
        <v>5</v>
      </c>
      <c r="BJ242" s="6">
        <v>31</v>
      </c>
      <c r="BK242" s="5">
        <f t="shared" si="81"/>
        <v>149</v>
      </c>
    </row>
    <row r="243" spans="1:63" x14ac:dyDescent="0.4">
      <c r="A243" s="7"/>
      <c r="B243" s="52"/>
      <c r="C243" s="24" t="s">
        <v>233</v>
      </c>
      <c r="D243" s="50"/>
      <c r="E243" s="6">
        <v>0</v>
      </c>
      <c r="F243" s="6">
        <v>0</v>
      </c>
      <c r="G243" s="6">
        <v>1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1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1</v>
      </c>
      <c r="AS243" s="6">
        <v>0</v>
      </c>
      <c r="AT243" s="6">
        <v>0</v>
      </c>
      <c r="AU243" s="6">
        <v>0</v>
      </c>
      <c r="AV243" s="6">
        <v>0</v>
      </c>
      <c r="AW243" s="6">
        <v>1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5">
        <f t="shared" si="81"/>
        <v>4</v>
      </c>
    </row>
    <row r="244" spans="1:63" x14ac:dyDescent="0.4">
      <c r="A244" s="7"/>
      <c r="B244" s="52"/>
      <c r="C244" s="24" t="s">
        <v>234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1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1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1</v>
      </c>
      <c r="BH244" s="6">
        <v>0</v>
      </c>
      <c r="BI244" s="6">
        <v>0</v>
      </c>
      <c r="BJ244" s="6">
        <v>0</v>
      </c>
      <c r="BK244" s="5">
        <f t="shared" si="81"/>
        <v>3</v>
      </c>
    </row>
    <row r="245" spans="1:63" x14ac:dyDescent="0.4">
      <c r="A245" s="7"/>
      <c r="B245" s="52"/>
      <c r="C245" s="24" t="s">
        <v>235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1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1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5">
        <f t="shared" si="81"/>
        <v>2</v>
      </c>
    </row>
    <row r="246" spans="1:63" x14ac:dyDescent="0.4">
      <c r="A246" s="7"/>
      <c r="B246" s="52"/>
      <c r="C246" s="24" t="s">
        <v>236</v>
      </c>
      <c r="D246" s="50"/>
      <c r="E246" s="6">
        <v>0</v>
      </c>
      <c r="F246" s="6">
        <v>0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1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1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2</v>
      </c>
      <c r="AR246" s="6">
        <v>1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5">
        <f t="shared" si="81"/>
        <v>6</v>
      </c>
    </row>
    <row r="247" spans="1:63" ht="12.75" customHeight="1" x14ac:dyDescent="0.4">
      <c r="A247" s="6" t="s">
        <v>26</v>
      </c>
      <c r="B247" s="67" t="s">
        <v>51</v>
      </c>
      <c r="C247" s="68"/>
      <c r="D247" s="69"/>
      <c r="E247" s="5">
        <f t="shared" ref="E247:BK247" si="82">SUM(E237:E246)</f>
        <v>1</v>
      </c>
      <c r="F247" s="5">
        <f t="shared" si="82"/>
        <v>1</v>
      </c>
      <c r="G247" s="5">
        <f t="shared" si="82"/>
        <v>5</v>
      </c>
      <c r="H247" s="5">
        <f t="shared" si="82"/>
        <v>0</v>
      </c>
      <c r="I247" s="5">
        <f t="shared" si="82"/>
        <v>0</v>
      </c>
      <c r="J247" s="5">
        <f t="shared" si="82"/>
        <v>3</v>
      </c>
      <c r="K247" s="5">
        <f t="shared" si="82"/>
        <v>1</v>
      </c>
      <c r="L247" s="5">
        <f t="shared" si="82"/>
        <v>2</v>
      </c>
      <c r="M247" s="5">
        <f t="shared" si="82"/>
        <v>1</v>
      </c>
      <c r="N247" s="5">
        <f t="shared" si="82"/>
        <v>0</v>
      </c>
      <c r="O247" s="5">
        <f t="shared" si="82"/>
        <v>6</v>
      </c>
      <c r="P247" s="5">
        <f t="shared" si="82"/>
        <v>0</v>
      </c>
      <c r="Q247" s="5">
        <f t="shared" si="82"/>
        <v>1</v>
      </c>
      <c r="R247" s="5">
        <f t="shared" si="82"/>
        <v>0</v>
      </c>
      <c r="S247" s="5">
        <f t="shared" si="82"/>
        <v>1</v>
      </c>
      <c r="T247" s="5">
        <f t="shared" si="82"/>
        <v>0</v>
      </c>
      <c r="U247" s="5">
        <f t="shared" si="82"/>
        <v>1</v>
      </c>
      <c r="V247" s="5">
        <f t="shared" si="82"/>
        <v>0</v>
      </c>
      <c r="W247" s="5">
        <f t="shared" si="82"/>
        <v>0</v>
      </c>
      <c r="X247" s="5">
        <f t="shared" si="82"/>
        <v>7</v>
      </c>
      <c r="Y247" s="5">
        <f t="shared" si="82"/>
        <v>5</v>
      </c>
      <c r="Z247" s="5">
        <f t="shared" si="82"/>
        <v>6</v>
      </c>
      <c r="AA247" s="5">
        <f t="shared" si="82"/>
        <v>2</v>
      </c>
      <c r="AB247" s="5">
        <f t="shared" si="82"/>
        <v>1</v>
      </c>
      <c r="AC247" s="5">
        <f t="shared" si="82"/>
        <v>11</v>
      </c>
      <c r="AD247" s="5">
        <f t="shared" si="82"/>
        <v>0</v>
      </c>
      <c r="AE247" s="5">
        <f t="shared" si="82"/>
        <v>0</v>
      </c>
      <c r="AF247" s="5">
        <f t="shared" si="82"/>
        <v>1</v>
      </c>
      <c r="AG247" s="5">
        <f t="shared" si="82"/>
        <v>4</v>
      </c>
      <c r="AH247" s="5">
        <f t="shared" si="82"/>
        <v>4</v>
      </c>
      <c r="AI247" s="5">
        <f t="shared" si="82"/>
        <v>1</v>
      </c>
      <c r="AJ247" s="5">
        <f t="shared" si="82"/>
        <v>0</v>
      </c>
      <c r="AK247" s="5">
        <f t="shared" si="82"/>
        <v>0</v>
      </c>
      <c r="AL247" s="5">
        <f t="shared" si="82"/>
        <v>1</v>
      </c>
      <c r="AM247" s="5">
        <f t="shared" si="82"/>
        <v>3</v>
      </c>
      <c r="AN247" s="5">
        <f t="shared" si="82"/>
        <v>2</v>
      </c>
      <c r="AO247" s="5">
        <f t="shared" si="82"/>
        <v>0</v>
      </c>
      <c r="AP247" s="5">
        <f t="shared" si="82"/>
        <v>3</v>
      </c>
      <c r="AQ247" s="5">
        <f t="shared" si="82"/>
        <v>3</v>
      </c>
      <c r="AR247" s="5">
        <f t="shared" si="82"/>
        <v>49</v>
      </c>
      <c r="AS247" s="5">
        <f t="shared" si="82"/>
        <v>9</v>
      </c>
      <c r="AT247" s="5">
        <f t="shared" si="82"/>
        <v>6</v>
      </c>
      <c r="AU247" s="5">
        <f t="shared" si="82"/>
        <v>6</v>
      </c>
      <c r="AV247" s="5">
        <f t="shared" si="82"/>
        <v>22</v>
      </c>
      <c r="AW247" s="5">
        <f t="shared" si="82"/>
        <v>6</v>
      </c>
      <c r="AX247" s="5">
        <f t="shared" si="82"/>
        <v>0</v>
      </c>
      <c r="AY247" s="5">
        <f t="shared" si="82"/>
        <v>13</v>
      </c>
      <c r="AZ247" s="5">
        <f t="shared" si="82"/>
        <v>4</v>
      </c>
      <c r="BA247" s="5">
        <f t="shared" si="82"/>
        <v>3</v>
      </c>
      <c r="BB247" s="5">
        <f t="shared" si="82"/>
        <v>6</v>
      </c>
      <c r="BC247" s="5">
        <f t="shared" si="82"/>
        <v>7</v>
      </c>
      <c r="BD247" s="5">
        <f t="shared" si="82"/>
        <v>4</v>
      </c>
      <c r="BE247" s="5">
        <f t="shared" si="82"/>
        <v>2</v>
      </c>
      <c r="BF247" s="5">
        <f t="shared" si="82"/>
        <v>6</v>
      </c>
      <c r="BG247" s="5">
        <f t="shared" si="82"/>
        <v>9</v>
      </c>
      <c r="BH247" s="5">
        <f t="shared" si="82"/>
        <v>5</v>
      </c>
      <c r="BI247" s="5">
        <f t="shared" si="82"/>
        <v>9</v>
      </c>
      <c r="BJ247" s="5">
        <f t="shared" si="82"/>
        <v>34</v>
      </c>
      <c r="BK247" s="5">
        <f t="shared" si="82"/>
        <v>277</v>
      </c>
    </row>
    <row r="248" spans="1:63" x14ac:dyDescent="0.4">
      <c r="A248" s="70"/>
      <c r="B248" s="71"/>
      <c r="C248" s="71"/>
      <c r="D248" s="71"/>
      <c r="E248" s="72"/>
    </row>
    <row r="249" spans="1:63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1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1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1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1</v>
      </c>
      <c r="AM249" s="6">
        <v>0</v>
      </c>
      <c r="AN249" s="6">
        <v>1</v>
      </c>
      <c r="AO249" s="6">
        <v>0</v>
      </c>
      <c r="AP249" s="6">
        <v>1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1</v>
      </c>
      <c r="AW249" s="6">
        <v>0</v>
      </c>
      <c r="AX249" s="6">
        <v>0</v>
      </c>
      <c r="AY249" s="6">
        <v>0</v>
      </c>
      <c r="AZ249" s="6">
        <v>0</v>
      </c>
      <c r="BA249" s="6">
        <v>1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5">
        <f>SUM(E249:BJ249)</f>
        <v>8</v>
      </c>
    </row>
    <row r="250" spans="1:63" x14ac:dyDescent="0.4">
      <c r="A250" s="11" t="s">
        <v>50</v>
      </c>
      <c r="B250" s="52"/>
      <c r="C250" s="24" t="s">
        <v>237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1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1</v>
      </c>
      <c r="AK250" s="6">
        <v>0</v>
      </c>
      <c r="AL250" s="6">
        <v>0</v>
      </c>
      <c r="AM250" s="6">
        <v>1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1</v>
      </c>
      <c r="AT250" s="6">
        <v>0</v>
      </c>
      <c r="AU250" s="6">
        <v>0</v>
      </c>
      <c r="AV250" s="6">
        <v>0</v>
      </c>
      <c r="AW250" s="6">
        <v>1</v>
      </c>
      <c r="AX250" s="6">
        <v>0</v>
      </c>
      <c r="AY250" s="6">
        <v>1</v>
      </c>
      <c r="AZ250" s="6">
        <v>0</v>
      </c>
      <c r="BA250" s="6">
        <v>0</v>
      </c>
      <c r="BB250" s="6">
        <v>0</v>
      </c>
      <c r="BC250" s="6">
        <v>0</v>
      </c>
      <c r="BD250" s="6">
        <v>1</v>
      </c>
      <c r="BE250" s="6">
        <v>0</v>
      </c>
      <c r="BF250" s="6">
        <v>0</v>
      </c>
      <c r="BG250" s="6">
        <v>1</v>
      </c>
      <c r="BH250" s="6">
        <v>0</v>
      </c>
      <c r="BI250" s="6">
        <v>0</v>
      </c>
      <c r="BJ250" s="6">
        <v>0</v>
      </c>
      <c r="BK250" s="5">
        <f>SUM(E250:BJ250)</f>
        <v>9</v>
      </c>
    </row>
    <row r="251" spans="1:63" x14ac:dyDescent="0.4">
      <c r="A251" s="7"/>
      <c r="B251" s="52"/>
      <c r="C251" s="24" t="s">
        <v>238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1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1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2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5">
        <f>SUM(E251:BJ251)</f>
        <v>4</v>
      </c>
    </row>
    <row r="252" spans="1:63" x14ac:dyDescent="0.4">
      <c r="A252" s="7"/>
      <c r="B252" s="52"/>
      <c r="C252" s="24" t="s">
        <v>239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2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5">
        <f>SUM(E252:BJ252)</f>
        <v>2</v>
      </c>
    </row>
    <row r="253" spans="1:63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49"/>
    </row>
    <row r="254" spans="1:63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49"/>
    </row>
    <row r="255" spans="1:63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49"/>
    </row>
    <row r="256" spans="1:63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49"/>
    </row>
    <row r="257" spans="1:63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49"/>
    </row>
    <row r="258" spans="1:63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49"/>
    </row>
    <row r="259" spans="1:63" x14ac:dyDescent="0.4">
      <c r="A259" s="6" t="s">
        <v>26</v>
      </c>
      <c r="B259" s="67" t="s">
        <v>51</v>
      </c>
      <c r="C259" s="68"/>
      <c r="D259" s="69"/>
      <c r="E259" s="5">
        <f t="shared" ref="E259:BK259" si="83">SUM(E249:E258)</f>
        <v>0</v>
      </c>
      <c r="F259" s="5">
        <f t="shared" si="83"/>
        <v>0</v>
      </c>
      <c r="G259" s="5">
        <f t="shared" si="83"/>
        <v>0</v>
      </c>
      <c r="H259" s="5">
        <f t="shared" si="83"/>
        <v>0</v>
      </c>
      <c r="I259" s="5">
        <f t="shared" si="83"/>
        <v>0</v>
      </c>
      <c r="J259" s="5">
        <f t="shared" si="83"/>
        <v>0</v>
      </c>
      <c r="K259" s="5">
        <f t="shared" si="83"/>
        <v>1</v>
      </c>
      <c r="L259" s="5">
        <f t="shared" si="83"/>
        <v>0</v>
      </c>
      <c r="M259" s="5">
        <f t="shared" si="83"/>
        <v>0</v>
      </c>
      <c r="N259" s="5">
        <f t="shared" si="83"/>
        <v>0</v>
      </c>
      <c r="O259" s="5">
        <f t="shared" si="83"/>
        <v>0</v>
      </c>
      <c r="P259" s="5">
        <f t="shared" si="83"/>
        <v>0</v>
      </c>
      <c r="Q259" s="5">
        <f t="shared" si="83"/>
        <v>1</v>
      </c>
      <c r="R259" s="5">
        <f t="shared" si="83"/>
        <v>0</v>
      </c>
      <c r="S259" s="5">
        <f t="shared" si="83"/>
        <v>1</v>
      </c>
      <c r="T259" s="5">
        <f t="shared" si="83"/>
        <v>0</v>
      </c>
      <c r="U259" s="5">
        <f t="shared" si="83"/>
        <v>0</v>
      </c>
      <c r="V259" s="5">
        <f t="shared" si="83"/>
        <v>0</v>
      </c>
      <c r="W259" s="5">
        <f t="shared" si="83"/>
        <v>1</v>
      </c>
      <c r="X259" s="5">
        <f t="shared" si="83"/>
        <v>0</v>
      </c>
      <c r="Y259" s="5">
        <f t="shared" si="83"/>
        <v>0</v>
      </c>
      <c r="Z259" s="5">
        <f t="shared" si="83"/>
        <v>0</v>
      </c>
      <c r="AA259" s="5">
        <f t="shared" si="83"/>
        <v>0</v>
      </c>
      <c r="AB259" s="5">
        <f t="shared" si="83"/>
        <v>0</v>
      </c>
      <c r="AC259" s="5">
        <f t="shared" si="83"/>
        <v>1</v>
      </c>
      <c r="AD259" s="5">
        <f t="shared" si="83"/>
        <v>0</v>
      </c>
      <c r="AE259" s="5">
        <f t="shared" si="83"/>
        <v>1</v>
      </c>
      <c r="AF259" s="5">
        <f t="shared" si="83"/>
        <v>0</v>
      </c>
      <c r="AG259" s="5">
        <f t="shared" si="83"/>
        <v>0</v>
      </c>
      <c r="AH259" s="5">
        <f t="shared" si="83"/>
        <v>0</v>
      </c>
      <c r="AI259" s="5">
        <f t="shared" si="83"/>
        <v>0</v>
      </c>
      <c r="AJ259" s="5">
        <f t="shared" si="83"/>
        <v>1</v>
      </c>
      <c r="AK259" s="5">
        <f t="shared" si="83"/>
        <v>0</v>
      </c>
      <c r="AL259" s="5">
        <f t="shared" si="83"/>
        <v>1</v>
      </c>
      <c r="AM259" s="5">
        <f t="shared" si="83"/>
        <v>1</v>
      </c>
      <c r="AN259" s="5">
        <f t="shared" si="83"/>
        <v>1</v>
      </c>
      <c r="AO259" s="5">
        <f t="shared" si="83"/>
        <v>0</v>
      </c>
      <c r="AP259" s="5">
        <f t="shared" si="83"/>
        <v>1</v>
      </c>
      <c r="AQ259" s="5">
        <f t="shared" si="83"/>
        <v>0</v>
      </c>
      <c r="AR259" s="5">
        <f t="shared" si="83"/>
        <v>0</v>
      </c>
      <c r="AS259" s="5">
        <f t="shared" si="83"/>
        <v>1</v>
      </c>
      <c r="AT259" s="5">
        <f t="shared" si="83"/>
        <v>0</v>
      </c>
      <c r="AU259" s="5">
        <f t="shared" si="83"/>
        <v>0</v>
      </c>
      <c r="AV259" s="5">
        <f t="shared" si="83"/>
        <v>1</v>
      </c>
      <c r="AW259" s="5">
        <f t="shared" si="83"/>
        <v>3</v>
      </c>
      <c r="AX259" s="5">
        <f t="shared" si="83"/>
        <v>1</v>
      </c>
      <c r="AY259" s="5">
        <f t="shared" si="83"/>
        <v>1</v>
      </c>
      <c r="AZ259" s="5">
        <f t="shared" si="83"/>
        <v>0</v>
      </c>
      <c r="BA259" s="5">
        <f t="shared" si="83"/>
        <v>1</v>
      </c>
      <c r="BB259" s="5">
        <f t="shared" si="83"/>
        <v>0</v>
      </c>
      <c r="BC259" s="5">
        <f t="shared" si="83"/>
        <v>0</v>
      </c>
      <c r="BD259" s="5">
        <f t="shared" si="83"/>
        <v>3</v>
      </c>
      <c r="BE259" s="5">
        <f t="shared" si="83"/>
        <v>0</v>
      </c>
      <c r="BF259" s="5">
        <f t="shared" si="83"/>
        <v>0</v>
      </c>
      <c r="BG259" s="5">
        <f t="shared" si="83"/>
        <v>1</v>
      </c>
      <c r="BH259" s="5">
        <f t="shared" si="83"/>
        <v>0</v>
      </c>
      <c r="BI259" s="5">
        <f t="shared" si="83"/>
        <v>0</v>
      </c>
      <c r="BJ259" s="5">
        <f t="shared" si="83"/>
        <v>0</v>
      </c>
      <c r="BK259" s="5">
        <f t="shared" si="83"/>
        <v>23</v>
      </c>
    </row>
    <row r="261" spans="1:63" x14ac:dyDescent="0.4">
      <c r="A261" s="16" t="s">
        <v>83</v>
      </c>
      <c r="B261" s="75" t="s">
        <v>84</v>
      </c>
      <c r="C261" s="76"/>
      <c r="D261" s="7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  <c r="AF261" s="5"/>
      <c r="AG261" s="5"/>
      <c r="AH261" s="15"/>
      <c r="AI261" s="5"/>
      <c r="AJ261" s="5"/>
      <c r="AK261" s="5"/>
      <c r="AL261" s="5"/>
      <c r="AM261" s="15"/>
      <c r="AN261" s="5"/>
      <c r="AO261" s="5"/>
      <c r="AP261" s="5"/>
      <c r="AQ261" s="5"/>
      <c r="AR261" s="15"/>
      <c r="AS261" s="5"/>
      <c r="AT261" s="5"/>
      <c r="AU261" s="5"/>
      <c r="AV261" s="5"/>
      <c r="AW261" s="15"/>
      <c r="AX261" s="5"/>
      <c r="AY261" s="5"/>
      <c r="AZ261" s="5"/>
      <c r="BA261" s="5"/>
      <c r="BB261" s="15"/>
      <c r="BC261" s="5"/>
      <c r="BD261" s="5"/>
      <c r="BE261" s="5"/>
      <c r="BF261" s="5"/>
      <c r="BG261" s="15"/>
      <c r="BH261" s="5"/>
      <c r="BI261" s="5"/>
      <c r="BJ261" s="5"/>
      <c r="BK261" s="5"/>
    </row>
    <row r="262" spans="1:63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74</v>
      </c>
      <c r="F262" s="6">
        <f t="shared" ref="F262:BJ262" si="84">F55+F67+F79+F91+F103+F115+F127+F139+F151+F163+F175+F187+F199+F211+F223+F235+F247+F259</f>
        <v>84</v>
      </c>
      <c r="G262" s="6">
        <f t="shared" si="84"/>
        <v>92</v>
      </c>
      <c r="H262" s="6">
        <f t="shared" si="84"/>
        <v>52</v>
      </c>
      <c r="I262" s="6">
        <f t="shared" si="84"/>
        <v>146</v>
      </c>
      <c r="J262" s="6">
        <f t="shared" si="84"/>
        <v>172</v>
      </c>
      <c r="K262" s="6">
        <f t="shared" si="84"/>
        <v>164</v>
      </c>
      <c r="L262" s="6">
        <f t="shared" si="84"/>
        <v>180</v>
      </c>
      <c r="M262" s="6">
        <f t="shared" si="84"/>
        <v>166</v>
      </c>
      <c r="N262" s="6">
        <f t="shared" si="84"/>
        <v>93</v>
      </c>
      <c r="O262" s="6">
        <f t="shared" ref="O262:S262" si="85">O55+O67+O79+O91+O103+O115+O127+O139+O151+O163+O175+O187+O199+O211+O223+O235+O247+O259</f>
        <v>205</v>
      </c>
      <c r="P262" s="6">
        <f t="shared" si="85"/>
        <v>134</v>
      </c>
      <c r="Q262" s="6">
        <f t="shared" si="85"/>
        <v>138</v>
      </c>
      <c r="R262" s="6">
        <f t="shared" si="85"/>
        <v>77</v>
      </c>
      <c r="S262" s="6">
        <f t="shared" si="85"/>
        <v>151</v>
      </c>
      <c r="T262" s="6">
        <f t="shared" si="84"/>
        <v>109</v>
      </c>
      <c r="U262" s="6">
        <f t="shared" si="84"/>
        <v>146</v>
      </c>
      <c r="V262" s="6">
        <f t="shared" si="84"/>
        <v>201</v>
      </c>
      <c r="W262" s="6">
        <f t="shared" si="84"/>
        <v>164</v>
      </c>
      <c r="X262" s="6">
        <f t="shared" si="84"/>
        <v>226</v>
      </c>
      <c r="Y262" s="6">
        <f t="shared" ref="Y262:AC262" si="86">Y55+Y67+Y79+Y91+Y103+Y115+Y127+Y139+Y151+Y163+Y175+Y187+Y199+Y211+Y223+Y235+Y247+Y259</f>
        <v>147</v>
      </c>
      <c r="Z262" s="6">
        <f t="shared" si="86"/>
        <v>126</v>
      </c>
      <c r="AA262" s="6">
        <f t="shared" si="86"/>
        <v>184</v>
      </c>
      <c r="AB262" s="6">
        <f t="shared" si="86"/>
        <v>107</v>
      </c>
      <c r="AC262" s="6">
        <f t="shared" si="86"/>
        <v>201</v>
      </c>
      <c r="AD262" s="6">
        <f t="shared" si="84"/>
        <v>120</v>
      </c>
      <c r="AE262" s="6">
        <f t="shared" si="84"/>
        <v>133</v>
      </c>
      <c r="AF262" s="6">
        <f t="shared" si="84"/>
        <v>105</v>
      </c>
      <c r="AG262" s="6">
        <f t="shared" si="84"/>
        <v>169</v>
      </c>
      <c r="AH262" s="6">
        <f t="shared" si="84"/>
        <v>212</v>
      </c>
      <c r="AI262" s="6">
        <f t="shared" ref="AI262:AM262" si="87">AI55+AI67+AI79+AI91+AI103+AI115+AI127+AI139+AI151+AI163+AI175+AI187+AI199+AI211+AI223+AI235+AI247+AI259</f>
        <v>163</v>
      </c>
      <c r="AJ262" s="6">
        <f t="shared" si="87"/>
        <v>122</v>
      </c>
      <c r="AK262" s="6">
        <f t="shared" si="87"/>
        <v>127</v>
      </c>
      <c r="AL262" s="6">
        <f t="shared" si="87"/>
        <v>191</v>
      </c>
      <c r="AM262" s="6">
        <f t="shared" si="87"/>
        <v>138</v>
      </c>
      <c r="AN262" s="6">
        <f t="shared" si="84"/>
        <v>120</v>
      </c>
      <c r="AO262" s="6">
        <f t="shared" si="84"/>
        <v>123</v>
      </c>
      <c r="AP262" s="6">
        <f t="shared" si="84"/>
        <v>159</v>
      </c>
      <c r="AQ262" s="6">
        <f t="shared" si="84"/>
        <v>144</v>
      </c>
      <c r="AR262" s="6">
        <f t="shared" si="84"/>
        <v>145</v>
      </c>
      <c r="AS262" s="6">
        <f t="shared" ref="AS262:AW262" si="88">AS55+AS67+AS79+AS91+AS103+AS115+AS127+AS139+AS151+AS163+AS175+AS187+AS199+AS211+AS223+AS235+AS247+AS259</f>
        <v>114</v>
      </c>
      <c r="AT262" s="6">
        <f t="shared" si="88"/>
        <v>182</v>
      </c>
      <c r="AU262" s="6">
        <f t="shared" si="88"/>
        <v>185</v>
      </c>
      <c r="AV262" s="6">
        <f t="shared" si="88"/>
        <v>179</v>
      </c>
      <c r="AW262" s="6">
        <f t="shared" si="88"/>
        <v>174</v>
      </c>
      <c r="AX262" s="6">
        <f t="shared" si="84"/>
        <v>149</v>
      </c>
      <c r="AY262" s="6">
        <f t="shared" si="84"/>
        <v>195</v>
      </c>
      <c r="AZ262" s="6">
        <f t="shared" si="84"/>
        <v>97</v>
      </c>
      <c r="BA262" s="6">
        <f t="shared" si="84"/>
        <v>130</v>
      </c>
      <c r="BB262" s="6">
        <f t="shared" si="84"/>
        <v>123</v>
      </c>
      <c r="BC262" s="6">
        <f t="shared" ref="BC262:BG262" si="89">BC55+BC67+BC79+BC91+BC103+BC115+BC127+BC139+BC151+BC163+BC175+BC187+BC199+BC211+BC223+BC235+BC247+BC259</f>
        <v>166</v>
      </c>
      <c r="BD262" s="6">
        <f t="shared" si="89"/>
        <v>159</v>
      </c>
      <c r="BE262" s="6">
        <f t="shared" si="89"/>
        <v>149</v>
      </c>
      <c r="BF262" s="6">
        <f t="shared" si="89"/>
        <v>143</v>
      </c>
      <c r="BG262" s="6">
        <f t="shared" si="89"/>
        <v>175</v>
      </c>
      <c r="BH262" s="6">
        <f t="shared" si="84"/>
        <v>210</v>
      </c>
      <c r="BI262" s="6">
        <f t="shared" si="84"/>
        <v>177</v>
      </c>
      <c r="BJ262" s="6">
        <f t="shared" si="84"/>
        <v>169</v>
      </c>
      <c r="BK262" s="5">
        <f>SUM(E262:BJ262)</f>
        <v>8586</v>
      </c>
    </row>
    <row r="263" spans="1:63" x14ac:dyDescent="0.4">
      <c r="A263" s="13"/>
      <c r="B263" s="19" t="s">
        <v>87</v>
      </c>
      <c r="C263" s="65" t="s">
        <v>88</v>
      </c>
      <c r="D263" s="66"/>
      <c r="E263" s="6">
        <v>1</v>
      </c>
      <c r="F263" s="6">
        <v>3</v>
      </c>
      <c r="G263" s="6">
        <v>4</v>
      </c>
      <c r="H263" s="6"/>
      <c r="I263" s="6">
        <v>14</v>
      </c>
      <c r="J263" s="6">
        <v>22</v>
      </c>
      <c r="K263" s="6">
        <v>17</v>
      </c>
      <c r="L263" s="6">
        <v>14</v>
      </c>
      <c r="M263" s="6">
        <v>16</v>
      </c>
      <c r="N263" s="6"/>
      <c r="O263" s="6">
        <v>1</v>
      </c>
      <c r="P263" s="6">
        <v>14</v>
      </c>
      <c r="Q263" s="6">
        <v>14</v>
      </c>
      <c r="R263" s="6">
        <v>14</v>
      </c>
      <c r="S263" s="6">
        <v>29</v>
      </c>
      <c r="T263" s="6">
        <v>10</v>
      </c>
      <c r="U263" s="6">
        <v>51</v>
      </c>
      <c r="V263" s="6">
        <v>20</v>
      </c>
      <c r="W263" s="6">
        <v>39</v>
      </c>
      <c r="X263" s="6">
        <v>21</v>
      </c>
      <c r="Y263" s="6">
        <v>18</v>
      </c>
      <c r="Z263" s="6">
        <v>32</v>
      </c>
      <c r="AA263" s="6">
        <v>19</v>
      </c>
      <c r="AB263" s="6">
        <v>21</v>
      </c>
      <c r="AC263" s="6">
        <v>18</v>
      </c>
      <c r="AD263" s="6">
        <v>14</v>
      </c>
      <c r="AE263" s="6">
        <v>13</v>
      </c>
      <c r="AF263" s="6">
        <v>13</v>
      </c>
      <c r="AG263" s="6">
        <v>9</v>
      </c>
      <c r="AH263" s="6">
        <v>13</v>
      </c>
      <c r="AI263" s="6">
        <v>20</v>
      </c>
      <c r="AJ263" s="6">
        <v>14</v>
      </c>
      <c r="AK263" s="6">
        <v>16</v>
      </c>
      <c r="AL263" s="6">
        <v>45</v>
      </c>
      <c r="AM263" s="6">
        <v>23</v>
      </c>
      <c r="AN263" s="6">
        <v>11</v>
      </c>
      <c r="AO263" s="6">
        <v>17</v>
      </c>
      <c r="AP263" s="6">
        <v>14</v>
      </c>
      <c r="AQ263" s="6">
        <v>6</v>
      </c>
      <c r="AR263" s="6">
        <v>13</v>
      </c>
      <c r="AS263" s="6">
        <v>13</v>
      </c>
      <c r="AT263" s="6">
        <v>33</v>
      </c>
      <c r="AU263" s="6">
        <v>17</v>
      </c>
      <c r="AV263" s="6">
        <v>29</v>
      </c>
      <c r="AW263" s="6">
        <v>20</v>
      </c>
      <c r="AX263" s="6">
        <v>14</v>
      </c>
      <c r="AY263" s="6">
        <v>30</v>
      </c>
      <c r="AZ263" s="6">
        <v>46</v>
      </c>
      <c r="BA263" s="6">
        <v>28</v>
      </c>
      <c r="BB263" s="6">
        <v>16</v>
      </c>
      <c r="BC263" s="6">
        <v>35</v>
      </c>
      <c r="BD263" s="6">
        <v>27</v>
      </c>
      <c r="BE263" s="6">
        <v>33</v>
      </c>
      <c r="BF263" s="6">
        <v>16</v>
      </c>
      <c r="BG263" s="6">
        <v>26</v>
      </c>
      <c r="BH263" s="6">
        <v>15</v>
      </c>
      <c r="BI263" s="6">
        <v>27</v>
      </c>
      <c r="BJ263" s="6">
        <v>24</v>
      </c>
      <c r="BK263" s="5">
        <f>SUM(E263:BJ263)</f>
        <v>1102</v>
      </c>
    </row>
    <row r="264" spans="1:63" x14ac:dyDescent="0.4">
      <c r="A264" s="14"/>
      <c r="B264" s="19" t="s">
        <v>89</v>
      </c>
      <c r="C264" s="65" t="s">
        <v>90</v>
      </c>
      <c r="D264" s="66"/>
      <c r="E264" s="5">
        <f>SUM(E262:E263)</f>
        <v>75</v>
      </c>
      <c r="F264" s="5">
        <f t="shared" ref="F264:BJ264" si="90">SUM(F262:F263)</f>
        <v>87</v>
      </c>
      <c r="G264" s="5">
        <f t="shared" si="90"/>
        <v>96</v>
      </c>
      <c r="H264" s="5">
        <f t="shared" si="90"/>
        <v>52</v>
      </c>
      <c r="I264" s="5">
        <f t="shared" si="90"/>
        <v>160</v>
      </c>
      <c r="J264" s="5">
        <f t="shared" si="90"/>
        <v>194</v>
      </c>
      <c r="K264" s="5">
        <f t="shared" si="90"/>
        <v>181</v>
      </c>
      <c r="L264" s="5">
        <f t="shared" si="90"/>
        <v>194</v>
      </c>
      <c r="M264" s="5">
        <f t="shared" si="90"/>
        <v>182</v>
      </c>
      <c r="N264" s="5">
        <f t="shared" si="90"/>
        <v>93</v>
      </c>
      <c r="O264" s="5">
        <f t="shared" ref="O264:S264" si="91">SUM(O262:O263)</f>
        <v>206</v>
      </c>
      <c r="P264" s="5">
        <f t="shared" si="91"/>
        <v>148</v>
      </c>
      <c r="Q264" s="5">
        <f t="shared" si="91"/>
        <v>152</v>
      </c>
      <c r="R264" s="5">
        <f t="shared" si="91"/>
        <v>91</v>
      </c>
      <c r="S264" s="5">
        <f t="shared" si="91"/>
        <v>180</v>
      </c>
      <c r="T264" s="5">
        <f t="shared" si="90"/>
        <v>119</v>
      </c>
      <c r="U264" s="5">
        <f t="shared" si="90"/>
        <v>197</v>
      </c>
      <c r="V264" s="5">
        <f t="shared" si="90"/>
        <v>221</v>
      </c>
      <c r="W264" s="5">
        <f t="shared" si="90"/>
        <v>203</v>
      </c>
      <c r="X264" s="5">
        <f t="shared" si="90"/>
        <v>247</v>
      </c>
      <c r="Y264" s="5">
        <f t="shared" ref="Y264:AC264" si="92">SUM(Y262:Y263)</f>
        <v>165</v>
      </c>
      <c r="Z264" s="5">
        <f t="shared" si="92"/>
        <v>158</v>
      </c>
      <c r="AA264" s="5">
        <f t="shared" si="92"/>
        <v>203</v>
      </c>
      <c r="AB264" s="5">
        <f t="shared" si="92"/>
        <v>128</v>
      </c>
      <c r="AC264" s="5">
        <f t="shared" si="92"/>
        <v>219</v>
      </c>
      <c r="AD264" s="5">
        <f t="shared" si="90"/>
        <v>134</v>
      </c>
      <c r="AE264" s="5">
        <f t="shared" si="90"/>
        <v>146</v>
      </c>
      <c r="AF264" s="5">
        <f t="shared" si="90"/>
        <v>118</v>
      </c>
      <c r="AG264" s="5">
        <f t="shared" si="90"/>
        <v>178</v>
      </c>
      <c r="AH264" s="5">
        <f t="shared" si="90"/>
        <v>225</v>
      </c>
      <c r="AI264" s="5">
        <f t="shared" ref="AI264:AM264" si="93">SUM(AI262:AI263)</f>
        <v>183</v>
      </c>
      <c r="AJ264" s="5">
        <f t="shared" si="93"/>
        <v>136</v>
      </c>
      <c r="AK264" s="5">
        <f t="shared" si="93"/>
        <v>143</v>
      </c>
      <c r="AL264" s="5">
        <f t="shared" si="93"/>
        <v>236</v>
      </c>
      <c r="AM264" s="5">
        <f t="shared" si="93"/>
        <v>161</v>
      </c>
      <c r="AN264" s="5">
        <f t="shared" si="90"/>
        <v>131</v>
      </c>
      <c r="AO264" s="5">
        <f t="shared" si="90"/>
        <v>140</v>
      </c>
      <c r="AP264" s="5">
        <f t="shared" si="90"/>
        <v>173</v>
      </c>
      <c r="AQ264" s="5">
        <f t="shared" si="90"/>
        <v>150</v>
      </c>
      <c r="AR264" s="5">
        <f t="shared" si="90"/>
        <v>158</v>
      </c>
      <c r="AS264" s="5">
        <f t="shared" ref="AS264:AW264" si="94">SUM(AS262:AS263)</f>
        <v>127</v>
      </c>
      <c r="AT264" s="5">
        <f t="shared" si="94"/>
        <v>215</v>
      </c>
      <c r="AU264" s="5">
        <f t="shared" si="94"/>
        <v>202</v>
      </c>
      <c r="AV264" s="5">
        <f t="shared" si="94"/>
        <v>208</v>
      </c>
      <c r="AW264" s="5">
        <f t="shared" si="94"/>
        <v>194</v>
      </c>
      <c r="AX264" s="5">
        <f t="shared" si="90"/>
        <v>163</v>
      </c>
      <c r="AY264" s="5">
        <f t="shared" si="90"/>
        <v>225</v>
      </c>
      <c r="AZ264" s="5">
        <f t="shared" si="90"/>
        <v>143</v>
      </c>
      <c r="BA264" s="5">
        <f t="shared" si="90"/>
        <v>158</v>
      </c>
      <c r="BB264" s="5">
        <f t="shared" si="90"/>
        <v>139</v>
      </c>
      <c r="BC264" s="5">
        <f t="shared" ref="BC264:BG264" si="95">SUM(BC262:BC263)</f>
        <v>201</v>
      </c>
      <c r="BD264" s="5">
        <f t="shared" si="95"/>
        <v>186</v>
      </c>
      <c r="BE264" s="5">
        <f t="shared" si="95"/>
        <v>182</v>
      </c>
      <c r="BF264" s="5">
        <f t="shared" si="95"/>
        <v>159</v>
      </c>
      <c r="BG264" s="5">
        <f t="shared" si="95"/>
        <v>201</v>
      </c>
      <c r="BH264" s="5">
        <f t="shared" si="90"/>
        <v>225</v>
      </c>
      <c r="BI264" s="5">
        <f t="shared" si="90"/>
        <v>204</v>
      </c>
      <c r="BJ264" s="5">
        <f t="shared" si="90"/>
        <v>193</v>
      </c>
      <c r="BK264" s="5">
        <f>SUM(E264:BJ264)</f>
        <v>9688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BJ12"/>
    <mergeCell ref="BK12:BK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14:BJ15">
    <cfRule type="containsBlanks" dxfId="169" priority="21">
      <formula>LEN(TRIM(E14))=0</formula>
    </cfRule>
  </conditionalFormatting>
  <conditionalFormatting sqref="E19:BJ20">
    <cfRule type="containsBlanks" dxfId="168" priority="24">
      <formula>LEN(TRIM(E19))=0</formula>
    </cfRule>
  </conditionalFormatting>
  <conditionalFormatting sqref="E22:BJ23 E25:BJ26 E33:BJ33 E35:BJ35 E39:BJ40">
    <cfRule type="containsBlanks" dxfId="167" priority="25">
      <formula>LEN(TRIM(E22))=0</formula>
    </cfRule>
  </conditionalFormatting>
  <conditionalFormatting sqref="E30:BJ30">
    <cfRule type="expression" dxfId="166" priority="26">
      <formula>E30&lt;&gt;E47</formula>
    </cfRule>
    <cfRule type="expression" dxfId="165" priority="27">
      <formula>E30&lt;&gt;E34</formula>
    </cfRule>
  </conditionalFormatting>
  <conditionalFormatting sqref="E34:BJ34">
    <cfRule type="expression" dxfId="164" priority="22">
      <formula>E30&lt;&gt;E34</formula>
    </cfRule>
    <cfRule type="expression" dxfId="163" priority="23">
      <formula>E30=E34</formula>
    </cfRule>
    <cfRule type="expression" dxfId="162" priority="28">
      <formula>E34&lt;&gt;E30</formula>
    </cfRule>
    <cfRule type="expression" dxfId="161" priority="30">
      <formula>E34&lt;&gt;E64</formula>
    </cfRule>
  </conditionalFormatting>
  <conditionalFormatting sqref="E45:BJ54">
    <cfRule type="containsBlanks" dxfId="160" priority="20">
      <formula>LEN(TRIM(E45))=0</formula>
    </cfRule>
  </conditionalFormatting>
  <conditionalFormatting sqref="E57:BJ66">
    <cfRule type="containsBlanks" dxfId="159" priority="19">
      <formula>LEN(TRIM(E57))=0</formula>
    </cfRule>
  </conditionalFormatting>
  <conditionalFormatting sqref="E69:BJ78">
    <cfRule type="containsBlanks" dxfId="158" priority="18">
      <formula>LEN(TRIM(E69))=0</formula>
    </cfRule>
  </conditionalFormatting>
  <conditionalFormatting sqref="E81:BJ90">
    <cfRule type="containsBlanks" dxfId="157" priority="17">
      <formula>LEN(TRIM(E81))=0</formula>
    </cfRule>
  </conditionalFormatting>
  <conditionalFormatting sqref="E93:BJ102">
    <cfRule type="containsBlanks" dxfId="156" priority="16">
      <formula>LEN(TRIM(E93))=0</formula>
    </cfRule>
  </conditionalFormatting>
  <conditionalFormatting sqref="E105:BJ114">
    <cfRule type="containsBlanks" dxfId="155" priority="15">
      <formula>LEN(TRIM(E105))=0</formula>
    </cfRule>
  </conditionalFormatting>
  <conditionalFormatting sqref="E117:BJ126">
    <cfRule type="containsBlanks" dxfId="154" priority="1">
      <formula>LEN(TRIM(E117))=0</formula>
    </cfRule>
  </conditionalFormatting>
  <conditionalFormatting sqref="E129:BJ138">
    <cfRule type="containsBlanks" dxfId="153" priority="14">
      <formula>LEN(TRIM(E129))=0</formula>
    </cfRule>
  </conditionalFormatting>
  <conditionalFormatting sqref="E141:BJ150">
    <cfRule type="containsBlanks" dxfId="152" priority="13">
      <formula>LEN(TRIM(E141))=0</formula>
    </cfRule>
  </conditionalFormatting>
  <conditionalFormatting sqref="E153:BJ162">
    <cfRule type="containsBlanks" dxfId="151" priority="3">
      <formula>LEN(TRIM(E153))=0</formula>
    </cfRule>
  </conditionalFormatting>
  <conditionalFormatting sqref="E165:BJ174">
    <cfRule type="containsBlanks" dxfId="150" priority="12">
      <formula>LEN(TRIM(E165))=0</formula>
    </cfRule>
  </conditionalFormatting>
  <conditionalFormatting sqref="E177:BJ186">
    <cfRule type="containsBlanks" dxfId="149" priority="11">
      <formula>LEN(TRIM(E177))=0</formula>
    </cfRule>
  </conditionalFormatting>
  <conditionalFormatting sqref="E189:BJ198">
    <cfRule type="containsBlanks" dxfId="148" priority="10">
      <formula>LEN(TRIM(E189))=0</formula>
    </cfRule>
  </conditionalFormatting>
  <conditionalFormatting sqref="E201:BJ210">
    <cfRule type="containsBlanks" dxfId="147" priority="9">
      <formula>LEN(TRIM(E201))=0</formula>
    </cfRule>
  </conditionalFormatting>
  <conditionalFormatting sqref="E213:BJ222">
    <cfRule type="containsBlanks" dxfId="146" priority="8">
      <formula>LEN(TRIM(E213))=0</formula>
    </cfRule>
  </conditionalFormatting>
  <conditionalFormatting sqref="E225:BJ234">
    <cfRule type="containsBlanks" dxfId="145" priority="7">
      <formula>LEN(TRIM(E225))=0</formula>
    </cfRule>
  </conditionalFormatting>
  <conditionalFormatting sqref="E237:BJ246">
    <cfRule type="containsBlanks" dxfId="144" priority="6">
      <formula>LEN(TRIM(E237))=0</formula>
    </cfRule>
  </conditionalFormatting>
  <conditionalFormatting sqref="E249:BJ258">
    <cfRule type="containsBlanks" dxfId="143" priority="4">
      <formula>LEN(TRIM(E249))=0</formula>
    </cfRule>
  </conditionalFormatting>
  <conditionalFormatting sqref="E262:BJ263">
    <cfRule type="containsBlanks" dxfId="142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92D050"/>
  </sheetPr>
  <dimension ref="A2:U264"/>
  <sheetViews>
    <sheetView tabSelected="1" topLeftCell="D13" zoomScaleNormal="100" workbookViewId="0">
      <pane ySplit="1" topLeftCell="A256" activePane="bottomLeft" state="frozen"/>
      <selection activeCell="A13" sqref="A13"/>
      <selection pane="bottomLeft" activeCell="L263" sqref="L263"/>
    </sheetView>
  </sheetViews>
  <sheetFormatPr defaultRowHeight="13.15" x14ac:dyDescent="0.4"/>
  <cols>
    <col min="3" max="3" width="67.140625" bestFit="1" customWidth="1"/>
    <col min="4" max="4" width="5.85546875" bestFit="1" customWidth="1"/>
    <col min="19" max="19" width="13.28515625" customWidth="1"/>
  </cols>
  <sheetData>
    <row r="2" spans="1:19" x14ac:dyDescent="0.4">
      <c r="C2" s="43" t="s">
        <v>116</v>
      </c>
      <c r="D2" s="43" t="s">
        <v>257</v>
      </c>
    </row>
    <row r="3" spans="1:19" x14ac:dyDescent="0.4">
      <c r="C3" s="43" t="s">
        <v>117</v>
      </c>
      <c r="D3" s="43" t="s">
        <v>118</v>
      </c>
    </row>
    <row r="4" spans="1:19" x14ac:dyDescent="0.4">
      <c r="C4" s="43" t="s">
        <v>119</v>
      </c>
      <c r="D4" s="43" t="s">
        <v>120</v>
      </c>
    </row>
    <row r="5" spans="1:19" x14ac:dyDescent="0.4">
      <c r="C5" s="43"/>
      <c r="D5" s="43"/>
    </row>
    <row r="6" spans="1:19" x14ac:dyDescent="0.4">
      <c r="C6" s="43"/>
      <c r="D6" s="43"/>
    </row>
    <row r="7" spans="1:19" x14ac:dyDescent="0.4">
      <c r="C7" s="43"/>
      <c r="D7" s="43"/>
    </row>
    <row r="8" spans="1:19" x14ac:dyDescent="0.4">
      <c r="C8" s="43"/>
      <c r="D8" s="43"/>
    </row>
    <row r="9" spans="1:19" x14ac:dyDescent="0.4">
      <c r="C9" s="43" t="s">
        <v>121</v>
      </c>
      <c r="D9" s="43" t="s">
        <v>260</v>
      </c>
    </row>
    <row r="11" spans="1:1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</row>
    <row r="12" spans="1:19" x14ac:dyDescent="0.4">
      <c r="A12" s="5" t="s">
        <v>0</v>
      </c>
      <c r="B12" s="75" t="s">
        <v>1</v>
      </c>
      <c r="C12" s="83"/>
      <c r="D12" s="74"/>
      <c r="E12" s="100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2" t="s">
        <v>115</v>
      </c>
    </row>
    <row r="13" spans="1:19" x14ac:dyDescent="0.4">
      <c r="A13" s="6" t="s">
        <v>2</v>
      </c>
      <c r="B13" s="93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103"/>
    </row>
    <row r="14" spans="1:19" x14ac:dyDescent="0.4">
      <c r="A14" s="7"/>
      <c r="B14" s="104" t="s">
        <v>22</v>
      </c>
      <c r="C14" s="79"/>
      <c r="D14" s="6" t="s">
        <v>23</v>
      </c>
      <c r="E14" s="6">
        <v>100</v>
      </c>
      <c r="F14" s="6">
        <v>130</v>
      </c>
      <c r="G14" s="6">
        <v>131</v>
      </c>
      <c r="H14" s="6">
        <v>141</v>
      </c>
      <c r="I14" s="6">
        <v>115</v>
      </c>
      <c r="J14" s="6">
        <v>138</v>
      </c>
      <c r="K14" s="6">
        <v>136</v>
      </c>
      <c r="L14" s="6">
        <v>115</v>
      </c>
      <c r="M14" s="6">
        <v>146</v>
      </c>
      <c r="N14" s="6">
        <v>142</v>
      </c>
      <c r="O14" s="6">
        <v>79</v>
      </c>
      <c r="P14" s="6">
        <v>101</v>
      </c>
      <c r="Q14" s="6">
        <v>123</v>
      </c>
      <c r="R14" s="6">
        <v>146</v>
      </c>
      <c r="S14" s="5">
        <f>SUM(E14:R14)</f>
        <v>1743</v>
      </c>
    </row>
    <row r="15" spans="1:19" x14ac:dyDescent="0.4">
      <c r="A15" s="7"/>
      <c r="B15" s="105"/>
      <c r="C15" s="89"/>
      <c r="D15" s="6" t="s">
        <v>24</v>
      </c>
      <c r="E15" s="6">
        <v>86</v>
      </c>
      <c r="F15" s="6">
        <v>114</v>
      </c>
      <c r="G15" s="6">
        <v>125</v>
      </c>
      <c r="H15" s="6">
        <v>145</v>
      </c>
      <c r="I15" s="6">
        <v>108</v>
      </c>
      <c r="J15" s="6">
        <v>127</v>
      </c>
      <c r="K15" s="6">
        <v>145</v>
      </c>
      <c r="L15" s="6">
        <v>124</v>
      </c>
      <c r="M15" s="6">
        <v>138</v>
      </c>
      <c r="N15" s="6">
        <v>126</v>
      </c>
      <c r="O15" s="6">
        <v>89</v>
      </c>
      <c r="P15" s="6">
        <v>106</v>
      </c>
      <c r="Q15" s="6">
        <v>143</v>
      </c>
      <c r="R15" s="6">
        <v>146</v>
      </c>
      <c r="S15" s="5">
        <f>SUM(E15:R15)</f>
        <v>1722</v>
      </c>
    </row>
    <row r="16" spans="1:19" x14ac:dyDescent="0.4">
      <c r="A16" s="8"/>
      <c r="B16" s="106"/>
      <c r="C16" s="90"/>
      <c r="D16" s="5" t="s">
        <v>25</v>
      </c>
      <c r="E16" s="5">
        <f t="shared" ref="E16:N16" si="0">SUM(E14:E15)</f>
        <v>186</v>
      </c>
      <c r="F16" s="5">
        <f t="shared" si="0"/>
        <v>244</v>
      </c>
      <c r="G16" s="5">
        <f t="shared" si="0"/>
        <v>256</v>
      </c>
      <c r="H16" s="5">
        <f t="shared" si="0"/>
        <v>286</v>
      </c>
      <c r="I16" s="5">
        <f t="shared" si="0"/>
        <v>223</v>
      </c>
      <c r="J16" s="5">
        <f t="shared" si="0"/>
        <v>265</v>
      </c>
      <c r="K16" s="5">
        <f t="shared" si="0"/>
        <v>281</v>
      </c>
      <c r="L16" s="5">
        <f t="shared" si="0"/>
        <v>239</v>
      </c>
      <c r="M16" s="5">
        <f t="shared" si="0"/>
        <v>284</v>
      </c>
      <c r="N16" s="5">
        <f t="shared" si="0"/>
        <v>268</v>
      </c>
      <c r="O16" s="5">
        <f t="shared" ref="O16:R16" si="1">SUM(O14:O15)</f>
        <v>168</v>
      </c>
      <c r="P16" s="5">
        <f t="shared" si="1"/>
        <v>207</v>
      </c>
      <c r="Q16" s="5">
        <f t="shared" si="1"/>
        <v>266</v>
      </c>
      <c r="R16" s="5">
        <f t="shared" si="1"/>
        <v>292</v>
      </c>
      <c r="S16" s="5">
        <f>SUM(E16:R16)</f>
        <v>3465</v>
      </c>
    </row>
    <row r="17" spans="1:19" x14ac:dyDescent="0.4">
      <c r="A17" s="70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28"/>
    </row>
    <row r="18" spans="1:19" x14ac:dyDescent="0.4">
      <c r="A18" s="11" t="s">
        <v>26</v>
      </c>
      <c r="B18" s="93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28"/>
    </row>
    <row r="19" spans="1:19" x14ac:dyDescent="0.4">
      <c r="A19" s="11"/>
      <c r="B19" s="94" t="s">
        <v>28</v>
      </c>
      <c r="C19" s="95" t="s">
        <v>29</v>
      </c>
      <c r="D19" s="6" t="s">
        <v>23</v>
      </c>
      <c r="E19" s="6">
        <v>77</v>
      </c>
      <c r="F19" s="6">
        <v>90</v>
      </c>
      <c r="G19" s="6">
        <v>89</v>
      </c>
      <c r="H19" s="6">
        <v>93</v>
      </c>
      <c r="I19" s="6">
        <v>98</v>
      </c>
      <c r="J19" s="6">
        <v>105</v>
      </c>
      <c r="K19" s="6">
        <v>110</v>
      </c>
      <c r="L19" s="6">
        <v>70</v>
      </c>
      <c r="M19" s="6">
        <v>91</v>
      </c>
      <c r="N19" s="6">
        <v>105</v>
      </c>
      <c r="O19" s="6">
        <v>59</v>
      </c>
      <c r="P19" s="6">
        <v>84</v>
      </c>
      <c r="Q19" s="6">
        <v>96</v>
      </c>
      <c r="R19" s="6">
        <v>103</v>
      </c>
      <c r="S19" s="5">
        <f t="shared" ref="S19:S30" si="2">SUM(E19:R19)</f>
        <v>1270</v>
      </c>
    </row>
    <row r="20" spans="1:19" x14ac:dyDescent="0.4">
      <c r="A20" s="12"/>
      <c r="B20" s="89"/>
      <c r="C20" s="96"/>
      <c r="D20" s="6" t="s">
        <v>24</v>
      </c>
      <c r="E20" s="6">
        <v>69</v>
      </c>
      <c r="F20" s="6">
        <v>88</v>
      </c>
      <c r="G20" s="6">
        <v>102</v>
      </c>
      <c r="H20" s="6">
        <v>112</v>
      </c>
      <c r="I20" s="6">
        <v>95</v>
      </c>
      <c r="J20" s="6">
        <v>104</v>
      </c>
      <c r="K20" s="6">
        <v>121</v>
      </c>
      <c r="L20" s="6">
        <v>85</v>
      </c>
      <c r="M20" s="6">
        <v>106</v>
      </c>
      <c r="N20" s="6">
        <v>108</v>
      </c>
      <c r="O20" s="6">
        <v>67</v>
      </c>
      <c r="P20" s="6">
        <v>85</v>
      </c>
      <c r="Q20" s="6">
        <v>116</v>
      </c>
      <c r="R20" s="6">
        <v>118</v>
      </c>
      <c r="S20" s="5">
        <f t="shared" si="2"/>
        <v>1376</v>
      </c>
    </row>
    <row r="21" spans="1:19" x14ac:dyDescent="0.4">
      <c r="A21" s="13"/>
      <c r="B21" s="90"/>
      <c r="C21" s="97"/>
      <c r="D21" s="5" t="s">
        <v>25</v>
      </c>
      <c r="E21" s="5">
        <f t="shared" ref="E21:N21" si="3">SUM(E19:E20)</f>
        <v>146</v>
      </c>
      <c r="F21" s="5">
        <f t="shared" si="3"/>
        <v>178</v>
      </c>
      <c r="G21" s="5">
        <f t="shared" si="3"/>
        <v>191</v>
      </c>
      <c r="H21" s="5">
        <f t="shared" si="3"/>
        <v>205</v>
      </c>
      <c r="I21" s="5">
        <f t="shared" si="3"/>
        <v>193</v>
      </c>
      <c r="J21" s="5">
        <f t="shared" si="3"/>
        <v>209</v>
      </c>
      <c r="K21" s="5">
        <f t="shared" si="3"/>
        <v>231</v>
      </c>
      <c r="L21" s="5">
        <f t="shared" si="3"/>
        <v>155</v>
      </c>
      <c r="M21" s="5">
        <f t="shared" si="3"/>
        <v>197</v>
      </c>
      <c r="N21" s="5">
        <f t="shared" si="3"/>
        <v>213</v>
      </c>
      <c r="O21" s="5">
        <f t="shared" ref="O21:R21" si="4">SUM(O19:O20)</f>
        <v>126</v>
      </c>
      <c r="P21" s="5">
        <f t="shared" si="4"/>
        <v>169</v>
      </c>
      <c r="Q21" s="5">
        <f t="shared" si="4"/>
        <v>212</v>
      </c>
      <c r="R21" s="5">
        <f t="shared" si="4"/>
        <v>221</v>
      </c>
      <c r="S21" s="5">
        <f t="shared" si="2"/>
        <v>2646</v>
      </c>
    </row>
    <row r="22" spans="1:19" x14ac:dyDescent="0.4">
      <c r="A22" s="12"/>
      <c r="B22" s="94" t="s">
        <v>30</v>
      </c>
      <c r="C22" s="95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>
        <f t="shared" si="2"/>
        <v>0</v>
      </c>
    </row>
    <row r="23" spans="1:19" x14ac:dyDescent="0.4">
      <c r="A23" s="12"/>
      <c r="B23" s="89"/>
      <c r="C23" s="96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5">
        <f t="shared" si="2"/>
        <v>0</v>
      </c>
    </row>
    <row r="24" spans="1:19" x14ac:dyDescent="0.4">
      <c r="A24" s="13"/>
      <c r="B24" s="90"/>
      <c r="C24" s="97"/>
      <c r="D24" s="5" t="s">
        <v>25</v>
      </c>
      <c r="E24" s="5">
        <f t="shared" ref="E24:N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ref="O24:R24" si="6">SUM(O22:O23)</f>
        <v>0</v>
      </c>
      <c r="P24" s="5">
        <f t="shared" si="6"/>
        <v>0</v>
      </c>
      <c r="Q24" s="5">
        <f t="shared" si="6"/>
        <v>0</v>
      </c>
      <c r="R24" s="5">
        <f t="shared" si="6"/>
        <v>0</v>
      </c>
      <c r="S24" s="5">
        <f t="shared" si="2"/>
        <v>0</v>
      </c>
    </row>
    <row r="25" spans="1:19" x14ac:dyDescent="0.4">
      <c r="A25" s="12"/>
      <c r="B25" s="94" t="s">
        <v>32</v>
      </c>
      <c r="C25" s="95" t="s">
        <v>33</v>
      </c>
      <c r="D25" s="6" t="s">
        <v>23</v>
      </c>
      <c r="E25" s="6"/>
      <c r="F25" s="6">
        <v>1</v>
      </c>
      <c r="G25" s="6"/>
      <c r="H25" s="6"/>
      <c r="I25" s="6">
        <v>1</v>
      </c>
      <c r="J25" s="6"/>
      <c r="K25" s="6"/>
      <c r="L25" s="6"/>
      <c r="M25" s="6">
        <v>2</v>
      </c>
      <c r="N25" s="6">
        <v>3</v>
      </c>
      <c r="O25" s="6"/>
      <c r="P25" s="6">
        <v>4</v>
      </c>
      <c r="Q25" s="6">
        <v>3</v>
      </c>
      <c r="R25" s="6">
        <v>1</v>
      </c>
      <c r="S25" s="5">
        <f t="shared" si="2"/>
        <v>15</v>
      </c>
    </row>
    <row r="26" spans="1:19" x14ac:dyDescent="0.4">
      <c r="A26" s="12"/>
      <c r="B26" s="89"/>
      <c r="C26" s="96"/>
      <c r="D26" s="6" t="s">
        <v>24</v>
      </c>
      <c r="E26" s="6">
        <v>1</v>
      </c>
      <c r="F26" s="6">
        <v>1</v>
      </c>
      <c r="G26" s="6"/>
      <c r="H26" s="6">
        <v>1</v>
      </c>
      <c r="I26" s="6"/>
      <c r="J26" s="6"/>
      <c r="K26" s="6"/>
      <c r="L26" s="6"/>
      <c r="M26" s="6">
        <v>1</v>
      </c>
      <c r="N26" s="6"/>
      <c r="O26" s="6"/>
      <c r="P26" s="6">
        <v>3</v>
      </c>
      <c r="Q26" s="6">
        <v>2</v>
      </c>
      <c r="R26" s="6">
        <v>2</v>
      </c>
      <c r="S26" s="5">
        <f t="shared" si="2"/>
        <v>11</v>
      </c>
    </row>
    <row r="27" spans="1:19" x14ac:dyDescent="0.4">
      <c r="A27" s="13"/>
      <c r="B27" s="90"/>
      <c r="C27" s="97"/>
      <c r="D27" s="5" t="s">
        <v>25</v>
      </c>
      <c r="E27" s="5">
        <f t="shared" ref="E27:N27" si="7">SUM(E25:E26)</f>
        <v>1</v>
      </c>
      <c r="F27" s="5">
        <f t="shared" si="7"/>
        <v>2</v>
      </c>
      <c r="G27" s="5">
        <f t="shared" si="7"/>
        <v>0</v>
      </c>
      <c r="H27" s="5">
        <f t="shared" si="7"/>
        <v>1</v>
      </c>
      <c r="I27" s="5">
        <f t="shared" si="7"/>
        <v>1</v>
      </c>
      <c r="J27" s="5">
        <f t="shared" si="7"/>
        <v>0</v>
      </c>
      <c r="K27" s="5">
        <f t="shared" si="7"/>
        <v>0</v>
      </c>
      <c r="L27" s="5">
        <f t="shared" si="7"/>
        <v>0</v>
      </c>
      <c r="M27" s="5">
        <f t="shared" si="7"/>
        <v>3</v>
      </c>
      <c r="N27" s="5">
        <f t="shared" si="7"/>
        <v>3</v>
      </c>
      <c r="O27" s="5">
        <f t="shared" ref="O27:R27" si="8">SUM(O25:O26)</f>
        <v>0</v>
      </c>
      <c r="P27" s="5">
        <f t="shared" si="8"/>
        <v>7</v>
      </c>
      <c r="Q27" s="5">
        <f t="shared" si="8"/>
        <v>5</v>
      </c>
      <c r="R27" s="5">
        <f t="shared" si="8"/>
        <v>3</v>
      </c>
      <c r="S27" s="5">
        <f t="shared" si="2"/>
        <v>26</v>
      </c>
    </row>
    <row r="28" spans="1:19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77</v>
      </c>
      <c r="F28" s="5">
        <f t="shared" ref="F28:N29" si="9">SUM(F19,F22,F25)</f>
        <v>91</v>
      </c>
      <c r="G28" s="5">
        <f t="shared" si="9"/>
        <v>89</v>
      </c>
      <c r="H28" s="5">
        <f t="shared" si="9"/>
        <v>93</v>
      </c>
      <c r="I28" s="5">
        <f t="shared" si="9"/>
        <v>99</v>
      </c>
      <c r="J28" s="5">
        <f t="shared" si="9"/>
        <v>105</v>
      </c>
      <c r="K28" s="5">
        <f t="shared" si="9"/>
        <v>110</v>
      </c>
      <c r="L28" s="5">
        <f t="shared" si="9"/>
        <v>70</v>
      </c>
      <c r="M28" s="5">
        <f t="shared" si="9"/>
        <v>93</v>
      </c>
      <c r="N28" s="5">
        <f t="shared" si="9"/>
        <v>108</v>
      </c>
      <c r="O28" s="5">
        <f t="shared" ref="O28:R28" si="10">SUM(O19,O22,O25)</f>
        <v>59</v>
      </c>
      <c r="P28" s="5">
        <f t="shared" si="10"/>
        <v>88</v>
      </c>
      <c r="Q28" s="5">
        <f t="shared" si="10"/>
        <v>99</v>
      </c>
      <c r="R28" s="5">
        <f t="shared" si="10"/>
        <v>104</v>
      </c>
      <c r="S28" s="5">
        <f t="shared" si="2"/>
        <v>1285</v>
      </c>
    </row>
    <row r="29" spans="1:19" x14ac:dyDescent="0.4">
      <c r="A29" s="13"/>
      <c r="B29" s="89"/>
      <c r="C29" s="96"/>
      <c r="D29" s="5" t="s">
        <v>24</v>
      </c>
      <c r="E29" s="5">
        <f>SUM(E20,E23,E26)</f>
        <v>70</v>
      </c>
      <c r="F29" s="5">
        <f t="shared" si="9"/>
        <v>89</v>
      </c>
      <c r="G29" s="5">
        <f t="shared" si="9"/>
        <v>102</v>
      </c>
      <c r="H29" s="5">
        <f t="shared" si="9"/>
        <v>113</v>
      </c>
      <c r="I29" s="5">
        <f t="shared" si="9"/>
        <v>95</v>
      </c>
      <c r="J29" s="5">
        <f t="shared" si="9"/>
        <v>104</v>
      </c>
      <c r="K29" s="5">
        <f t="shared" si="9"/>
        <v>121</v>
      </c>
      <c r="L29" s="5">
        <f t="shared" si="9"/>
        <v>85</v>
      </c>
      <c r="M29" s="5">
        <f t="shared" si="9"/>
        <v>107</v>
      </c>
      <c r="N29" s="5">
        <f t="shared" si="9"/>
        <v>108</v>
      </c>
      <c r="O29" s="5">
        <f t="shared" ref="O29:R29" si="11">SUM(O20,O23,O26)</f>
        <v>67</v>
      </c>
      <c r="P29" s="5">
        <f t="shared" si="11"/>
        <v>88</v>
      </c>
      <c r="Q29" s="5">
        <f t="shared" si="11"/>
        <v>118</v>
      </c>
      <c r="R29" s="5">
        <f t="shared" si="11"/>
        <v>120</v>
      </c>
      <c r="S29" s="5">
        <f t="shared" si="2"/>
        <v>1387</v>
      </c>
    </row>
    <row r="30" spans="1:19" x14ac:dyDescent="0.4">
      <c r="A30" s="13"/>
      <c r="B30" s="90"/>
      <c r="C30" s="97"/>
      <c r="D30" s="5" t="s">
        <v>25</v>
      </c>
      <c r="E30" s="5">
        <f t="shared" ref="E30:N30" si="12">SUM(E28:E29)</f>
        <v>147</v>
      </c>
      <c r="F30" s="5">
        <f t="shared" si="12"/>
        <v>180</v>
      </c>
      <c r="G30" s="5">
        <f t="shared" si="12"/>
        <v>191</v>
      </c>
      <c r="H30" s="5">
        <f t="shared" si="12"/>
        <v>206</v>
      </c>
      <c r="I30" s="5">
        <f t="shared" si="12"/>
        <v>194</v>
      </c>
      <c r="J30" s="5">
        <f t="shared" si="12"/>
        <v>209</v>
      </c>
      <c r="K30" s="5">
        <f t="shared" si="12"/>
        <v>231</v>
      </c>
      <c r="L30" s="5">
        <f t="shared" si="12"/>
        <v>155</v>
      </c>
      <c r="M30" s="5">
        <f t="shared" si="12"/>
        <v>200</v>
      </c>
      <c r="N30" s="5">
        <f t="shared" si="12"/>
        <v>216</v>
      </c>
      <c r="O30" s="5">
        <f t="shared" ref="O30:R30" si="13">SUM(O28:O29)</f>
        <v>126</v>
      </c>
      <c r="P30" s="5">
        <f t="shared" si="13"/>
        <v>176</v>
      </c>
      <c r="Q30" s="5">
        <f t="shared" si="13"/>
        <v>217</v>
      </c>
      <c r="R30" s="5">
        <f t="shared" si="13"/>
        <v>224</v>
      </c>
      <c r="S30" s="5">
        <f t="shared" si="2"/>
        <v>2672</v>
      </c>
    </row>
    <row r="31" spans="1:19" x14ac:dyDescent="0.4">
      <c r="A31" s="70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28"/>
    </row>
    <row r="32" spans="1:19" x14ac:dyDescent="0.4">
      <c r="A32" s="14" t="s">
        <v>36</v>
      </c>
      <c r="B32" s="75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28"/>
    </row>
    <row r="33" spans="1:19" x14ac:dyDescent="0.4">
      <c r="A33" s="6">
        <v>1</v>
      </c>
      <c r="B33" s="93" t="s">
        <v>38</v>
      </c>
      <c r="C33" s="83"/>
      <c r="D33" s="74"/>
      <c r="E33" s="6">
        <v>190</v>
      </c>
      <c r="F33" s="6">
        <v>249</v>
      </c>
      <c r="G33" s="6">
        <v>272</v>
      </c>
      <c r="H33" s="6">
        <v>292</v>
      </c>
      <c r="I33" s="6">
        <v>228</v>
      </c>
      <c r="J33" s="6">
        <v>271</v>
      </c>
      <c r="K33" s="6">
        <v>287</v>
      </c>
      <c r="L33" s="6">
        <v>244</v>
      </c>
      <c r="M33" s="6">
        <v>290</v>
      </c>
      <c r="N33" s="6">
        <v>274</v>
      </c>
      <c r="O33" s="6">
        <v>172</v>
      </c>
      <c r="P33" s="6">
        <v>212</v>
      </c>
      <c r="Q33" s="6">
        <v>272</v>
      </c>
      <c r="R33" s="6">
        <v>298</v>
      </c>
      <c r="S33" s="5">
        <f>SUM(E33:R33)</f>
        <v>3551</v>
      </c>
    </row>
    <row r="34" spans="1:19" x14ac:dyDescent="0.4">
      <c r="A34" s="6">
        <v>2</v>
      </c>
      <c r="B34" s="93" t="s">
        <v>39</v>
      </c>
      <c r="C34" s="83"/>
      <c r="D34" s="74"/>
      <c r="E34" s="5">
        <v>147</v>
      </c>
      <c r="F34" s="5">
        <v>180</v>
      </c>
      <c r="G34" s="5">
        <v>191</v>
      </c>
      <c r="H34" s="5">
        <v>206</v>
      </c>
      <c r="I34" s="5">
        <v>194</v>
      </c>
      <c r="J34" s="5">
        <v>209</v>
      </c>
      <c r="K34" s="5">
        <v>231</v>
      </c>
      <c r="L34" s="5">
        <v>155</v>
      </c>
      <c r="M34" s="5">
        <v>200</v>
      </c>
      <c r="N34" s="5">
        <v>216</v>
      </c>
      <c r="O34" s="5">
        <v>126</v>
      </c>
      <c r="P34" s="5">
        <v>176</v>
      </c>
      <c r="Q34" s="5">
        <v>217</v>
      </c>
      <c r="R34" s="5">
        <v>224</v>
      </c>
      <c r="S34" s="5">
        <f>SUM(E34:R34)</f>
        <v>2672</v>
      </c>
    </row>
    <row r="35" spans="1:19" x14ac:dyDescent="0.4">
      <c r="A35" s="6">
        <v>3</v>
      </c>
      <c r="B35" s="93" t="s">
        <v>40</v>
      </c>
      <c r="C35" s="83"/>
      <c r="D35" s="74"/>
      <c r="E35" s="6">
        <v>1</v>
      </c>
      <c r="F35" s="6"/>
      <c r="G35" s="6"/>
      <c r="H35" s="6"/>
      <c r="I35" s="6"/>
      <c r="J35" s="6">
        <v>2</v>
      </c>
      <c r="K35" s="6"/>
      <c r="L35" s="6"/>
      <c r="M35" s="6"/>
      <c r="N35" s="6"/>
      <c r="O35" s="6"/>
      <c r="P35" s="6"/>
      <c r="Q35" s="6"/>
      <c r="R35" s="6"/>
      <c r="S35" s="5">
        <f>SUM(E35:R35)</f>
        <v>3</v>
      </c>
    </row>
    <row r="36" spans="1:19" x14ac:dyDescent="0.4">
      <c r="A36" s="6">
        <v>4</v>
      </c>
      <c r="B36" s="93" t="s">
        <v>41</v>
      </c>
      <c r="C36" s="83"/>
      <c r="D36" s="74"/>
      <c r="E36" s="5">
        <f t="shared" ref="E36:N36" si="14">E33-(E34+E35)</f>
        <v>42</v>
      </c>
      <c r="F36" s="5">
        <f t="shared" si="14"/>
        <v>69</v>
      </c>
      <c r="G36" s="5">
        <f t="shared" si="14"/>
        <v>81</v>
      </c>
      <c r="H36" s="5">
        <f t="shared" si="14"/>
        <v>86</v>
      </c>
      <c r="I36" s="5">
        <f t="shared" si="14"/>
        <v>34</v>
      </c>
      <c r="J36" s="5">
        <f t="shared" si="14"/>
        <v>60</v>
      </c>
      <c r="K36" s="5">
        <f t="shared" si="14"/>
        <v>56</v>
      </c>
      <c r="L36" s="5">
        <f t="shared" si="14"/>
        <v>89</v>
      </c>
      <c r="M36" s="5">
        <f t="shared" si="14"/>
        <v>90</v>
      </c>
      <c r="N36" s="5">
        <f t="shared" si="14"/>
        <v>58</v>
      </c>
      <c r="O36" s="5">
        <f t="shared" ref="O36:R36" si="15">O33-(O34+O35)</f>
        <v>46</v>
      </c>
      <c r="P36" s="5">
        <f t="shared" si="15"/>
        <v>36</v>
      </c>
      <c r="Q36" s="5">
        <f t="shared" si="15"/>
        <v>55</v>
      </c>
      <c r="R36" s="5">
        <f t="shared" si="15"/>
        <v>74</v>
      </c>
      <c r="S36" s="5">
        <f>SUM(E36:R36)</f>
        <v>876</v>
      </c>
    </row>
    <row r="37" spans="1:19" x14ac:dyDescent="0.4">
      <c r="A37" s="70"/>
      <c r="B37" s="83"/>
      <c r="C37" s="83"/>
      <c r="D37" s="83"/>
      <c r="E37" s="70"/>
      <c r="F37" s="91"/>
      <c r="G37" s="91"/>
      <c r="H37" s="91"/>
      <c r="I37" s="92"/>
      <c r="J37" s="6"/>
      <c r="K37" s="6"/>
      <c r="L37" s="6"/>
      <c r="M37" s="6"/>
      <c r="N37" s="10"/>
      <c r="O37" s="6"/>
      <c r="P37" s="6"/>
      <c r="Q37" s="6"/>
      <c r="R37" s="6"/>
      <c r="S37" s="28"/>
    </row>
    <row r="38" spans="1:19" x14ac:dyDescent="0.4">
      <c r="A38" s="16" t="s">
        <v>42</v>
      </c>
      <c r="B38" s="75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28"/>
    </row>
    <row r="39" spans="1:19" x14ac:dyDescent="0.4">
      <c r="A39" s="11"/>
      <c r="B39" s="86" t="s">
        <v>44</v>
      </c>
      <c r="C39" s="79"/>
      <c r="D39" s="6" t="s">
        <v>23</v>
      </c>
      <c r="E39" s="6">
        <v>2</v>
      </c>
      <c r="F39" s="6"/>
      <c r="G39" s="6"/>
      <c r="H39" s="6"/>
      <c r="I39" s="6"/>
      <c r="J39" s="6"/>
      <c r="K39" s="6"/>
      <c r="L39" s="6"/>
      <c r="M39" s="6">
        <v>2</v>
      </c>
      <c r="N39" s="6"/>
      <c r="O39" s="6"/>
      <c r="P39" s="6">
        <v>1</v>
      </c>
      <c r="Q39" s="6"/>
      <c r="R39" s="6">
        <v>1</v>
      </c>
      <c r="S39" s="5">
        <f>SUM(E39:R39)</f>
        <v>6</v>
      </c>
    </row>
    <row r="40" spans="1:19" x14ac:dyDescent="0.4">
      <c r="A40" s="12"/>
      <c r="B40" s="88"/>
      <c r="C40" s="89"/>
      <c r="D40" s="6" t="s">
        <v>24</v>
      </c>
      <c r="E40" s="6"/>
      <c r="F40" s="6"/>
      <c r="G40" s="6"/>
      <c r="H40" s="6"/>
      <c r="I40" s="6"/>
      <c r="J40" s="6"/>
      <c r="K40" s="6"/>
      <c r="L40" s="6">
        <v>1</v>
      </c>
      <c r="M40" s="6"/>
      <c r="N40" s="6"/>
      <c r="O40" s="6"/>
      <c r="P40" s="6"/>
      <c r="Q40" s="6"/>
      <c r="R40" s="6">
        <v>2</v>
      </c>
      <c r="S40" s="5">
        <f>SUM(E40:R40)</f>
        <v>3</v>
      </c>
    </row>
    <row r="41" spans="1:19" x14ac:dyDescent="0.4">
      <c r="A41" s="14"/>
      <c r="B41" s="85"/>
      <c r="C41" s="90"/>
      <c r="D41" s="5" t="s">
        <v>25</v>
      </c>
      <c r="E41" s="5">
        <f t="shared" ref="E41:N41" si="16">SUM(E39:E40)</f>
        <v>2</v>
      </c>
      <c r="F41" s="5">
        <f t="shared" si="16"/>
        <v>0</v>
      </c>
      <c r="G41" s="5">
        <f t="shared" si="16"/>
        <v>0</v>
      </c>
      <c r="H41" s="5">
        <f t="shared" si="16"/>
        <v>0</v>
      </c>
      <c r="I41" s="5">
        <f t="shared" si="16"/>
        <v>0</v>
      </c>
      <c r="J41" s="5">
        <f t="shared" si="16"/>
        <v>0</v>
      </c>
      <c r="K41" s="5">
        <f t="shared" si="16"/>
        <v>0</v>
      </c>
      <c r="L41" s="5">
        <f t="shared" si="16"/>
        <v>1</v>
      </c>
      <c r="M41" s="5">
        <f t="shared" si="16"/>
        <v>2</v>
      </c>
      <c r="N41" s="5">
        <f t="shared" si="16"/>
        <v>0</v>
      </c>
      <c r="O41" s="5">
        <f t="shared" ref="O41:R41" si="17">SUM(O39:O40)</f>
        <v>0</v>
      </c>
      <c r="P41" s="5">
        <f t="shared" si="17"/>
        <v>1</v>
      </c>
      <c r="Q41" s="5">
        <f t="shared" si="17"/>
        <v>0</v>
      </c>
      <c r="R41" s="5">
        <f t="shared" si="17"/>
        <v>3</v>
      </c>
      <c r="S41" s="5">
        <f>SUM(E41:R41)</f>
        <v>9</v>
      </c>
    </row>
    <row r="42" spans="1:19" x14ac:dyDescent="0.4">
      <c r="A42" s="84"/>
      <c r="B42" s="85"/>
      <c r="C42" s="85"/>
      <c r="D42" s="90"/>
      <c r="E42" s="70"/>
      <c r="F42" s="83"/>
      <c r="G42" s="83"/>
      <c r="H42" s="83"/>
      <c r="I42" s="74"/>
      <c r="J42" s="6"/>
      <c r="K42" s="6"/>
      <c r="L42" s="6"/>
      <c r="M42" s="6"/>
      <c r="N42" s="10"/>
      <c r="O42" s="6"/>
      <c r="P42" s="6"/>
      <c r="Q42" s="6"/>
      <c r="R42" s="6"/>
      <c r="S42" s="5"/>
    </row>
    <row r="43" spans="1:19" ht="13.15" customHeight="1" x14ac:dyDescent="0.4">
      <c r="A43" s="16" t="s">
        <v>45</v>
      </c>
      <c r="B43" s="75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</row>
    <row r="44" spans="1:19" ht="13.15" customHeight="1" x14ac:dyDescent="0.4">
      <c r="A44" s="86" t="s">
        <v>47</v>
      </c>
      <c r="B44" s="87"/>
      <c r="C44" s="87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5"/>
    </row>
    <row r="45" spans="1:19" x14ac:dyDescent="0.4">
      <c r="A45" s="11" t="s">
        <v>48</v>
      </c>
      <c r="B45" s="17" t="s">
        <v>28</v>
      </c>
      <c r="C45" s="73" t="s">
        <v>49</v>
      </c>
      <c r="D45" s="74"/>
      <c r="E45" s="6">
        <v>1</v>
      </c>
      <c r="F45" s="6">
        <v>5</v>
      </c>
      <c r="G45" s="6">
        <v>2</v>
      </c>
      <c r="H45" s="6">
        <v>0</v>
      </c>
      <c r="I45" s="6">
        <v>3</v>
      </c>
      <c r="J45" s="6">
        <v>6</v>
      </c>
      <c r="K45" s="6">
        <v>2</v>
      </c>
      <c r="L45" s="6">
        <v>2</v>
      </c>
      <c r="M45" s="6">
        <v>7</v>
      </c>
      <c r="N45" s="6">
        <v>1</v>
      </c>
      <c r="O45" s="6">
        <v>0</v>
      </c>
      <c r="P45" s="6">
        <v>3</v>
      </c>
      <c r="Q45" s="6">
        <v>1</v>
      </c>
      <c r="R45" s="6">
        <v>5</v>
      </c>
      <c r="S45" s="5">
        <f t="shared" ref="S45:S55" si="18">SUM(E45:R45)</f>
        <v>38</v>
      </c>
    </row>
    <row r="46" spans="1:19" x14ac:dyDescent="0.4">
      <c r="A46" s="11" t="s">
        <v>50</v>
      </c>
      <c r="B46" s="51"/>
      <c r="C46" s="24" t="s">
        <v>122</v>
      </c>
      <c r="D46" s="24"/>
      <c r="E46" s="6">
        <v>1</v>
      </c>
      <c r="F46" s="6">
        <v>2</v>
      </c>
      <c r="G46" s="6">
        <v>4</v>
      </c>
      <c r="H46" s="6">
        <v>2</v>
      </c>
      <c r="I46" s="6">
        <v>8</v>
      </c>
      <c r="J46" s="6">
        <v>11</v>
      </c>
      <c r="K46" s="6">
        <v>7</v>
      </c>
      <c r="L46" s="6">
        <v>3</v>
      </c>
      <c r="M46" s="6">
        <v>19</v>
      </c>
      <c r="N46" s="6">
        <v>17</v>
      </c>
      <c r="O46" s="6">
        <v>4</v>
      </c>
      <c r="P46" s="6">
        <v>4</v>
      </c>
      <c r="Q46" s="6">
        <v>3</v>
      </c>
      <c r="R46" s="6">
        <v>1</v>
      </c>
      <c r="S46" s="5">
        <f t="shared" si="18"/>
        <v>86</v>
      </c>
    </row>
    <row r="47" spans="1:19" x14ac:dyDescent="0.4">
      <c r="A47" s="7"/>
      <c r="B47" s="52"/>
      <c r="C47" s="24" t="s">
        <v>123</v>
      </c>
      <c r="D47" s="24"/>
      <c r="E47" s="6">
        <v>2</v>
      </c>
      <c r="F47" s="6">
        <v>5</v>
      </c>
      <c r="G47" s="6">
        <v>3</v>
      </c>
      <c r="H47" s="6">
        <v>2</v>
      </c>
      <c r="I47" s="6">
        <v>1</v>
      </c>
      <c r="J47" s="6">
        <v>3</v>
      </c>
      <c r="K47" s="6">
        <v>2</v>
      </c>
      <c r="L47" s="6">
        <v>0</v>
      </c>
      <c r="M47" s="6">
        <v>6</v>
      </c>
      <c r="N47" s="6">
        <v>1</v>
      </c>
      <c r="O47" s="6">
        <v>1</v>
      </c>
      <c r="P47" s="6">
        <v>1</v>
      </c>
      <c r="Q47" s="6">
        <v>4</v>
      </c>
      <c r="R47" s="6">
        <v>2</v>
      </c>
      <c r="S47" s="5">
        <f t="shared" si="18"/>
        <v>33</v>
      </c>
    </row>
    <row r="48" spans="1:19" x14ac:dyDescent="0.4">
      <c r="A48" s="7"/>
      <c r="B48" s="52"/>
      <c r="C48" s="24" t="s">
        <v>124</v>
      </c>
      <c r="D48" s="24"/>
      <c r="E48" s="6">
        <v>1</v>
      </c>
      <c r="F48" s="6">
        <v>2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2</v>
      </c>
      <c r="M48" s="6">
        <v>3</v>
      </c>
      <c r="N48" s="6">
        <v>0</v>
      </c>
      <c r="O48" s="6">
        <v>0</v>
      </c>
      <c r="P48" s="6">
        <v>0</v>
      </c>
      <c r="Q48" s="6">
        <v>0</v>
      </c>
      <c r="R48" s="6">
        <v>1</v>
      </c>
      <c r="S48" s="5">
        <f t="shared" si="18"/>
        <v>9</v>
      </c>
    </row>
    <row r="49" spans="1:19" x14ac:dyDescent="0.4">
      <c r="A49" s="7"/>
      <c r="B49" s="52"/>
      <c r="C49" s="24" t="s">
        <v>125</v>
      </c>
      <c r="D49" s="24"/>
      <c r="E49" s="6">
        <v>1</v>
      </c>
      <c r="F49" s="6">
        <v>1</v>
      </c>
      <c r="G49" s="6">
        <v>0</v>
      </c>
      <c r="H49" s="6">
        <v>0</v>
      </c>
      <c r="I49" s="6">
        <v>4</v>
      </c>
      <c r="J49" s="6">
        <v>1</v>
      </c>
      <c r="K49" s="6">
        <v>0</v>
      </c>
      <c r="L49" s="6">
        <v>1</v>
      </c>
      <c r="M49" s="6">
        <v>7</v>
      </c>
      <c r="N49" s="6">
        <v>10</v>
      </c>
      <c r="O49" s="6">
        <v>0</v>
      </c>
      <c r="P49" s="6">
        <v>1</v>
      </c>
      <c r="Q49" s="6">
        <v>2</v>
      </c>
      <c r="R49" s="6">
        <v>0</v>
      </c>
      <c r="S49" s="5">
        <f t="shared" si="18"/>
        <v>28</v>
      </c>
    </row>
    <row r="50" spans="1:19" x14ac:dyDescent="0.4">
      <c r="A50" s="7"/>
      <c r="B50" s="52"/>
      <c r="C50" s="24" t="s">
        <v>126</v>
      </c>
      <c r="D50" s="24"/>
      <c r="E50" s="6">
        <v>2</v>
      </c>
      <c r="F50" s="6">
        <v>1</v>
      </c>
      <c r="G50" s="6">
        <v>0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6">
        <v>2</v>
      </c>
      <c r="P50" s="6">
        <v>0</v>
      </c>
      <c r="Q50" s="6">
        <v>1</v>
      </c>
      <c r="R50" s="6">
        <v>2</v>
      </c>
      <c r="S50" s="5">
        <f t="shared" si="18"/>
        <v>11</v>
      </c>
    </row>
    <row r="51" spans="1:19" x14ac:dyDescent="0.4">
      <c r="A51" s="7"/>
      <c r="B51" s="52"/>
      <c r="C51" s="24" t="s">
        <v>127</v>
      </c>
      <c r="D51" s="24"/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1</v>
      </c>
      <c r="N51" s="6">
        <v>1</v>
      </c>
      <c r="O51" s="6">
        <v>0</v>
      </c>
      <c r="P51" s="6">
        <v>0</v>
      </c>
      <c r="Q51" s="6">
        <v>1</v>
      </c>
      <c r="R51" s="6">
        <v>0</v>
      </c>
      <c r="S51" s="5">
        <f t="shared" si="18"/>
        <v>5</v>
      </c>
    </row>
    <row r="52" spans="1:19" ht="13.15" customHeight="1" x14ac:dyDescent="0.4">
      <c r="A52" s="7"/>
      <c r="B52" s="52"/>
      <c r="C52" s="24" t="s">
        <v>128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1</v>
      </c>
      <c r="K52" s="6">
        <v>0</v>
      </c>
      <c r="L52" s="6">
        <v>0</v>
      </c>
      <c r="M52" s="6">
        <v>1</v>
      </c>
      <c r="N52" s="6">
        <v>1</v>
      </c>
      <c r="O52" s="6">
        <v>0</v>
      </c>
      <c r="P52" s="6">
        <v>0</v>
      </c>
      <c r="Q52" s="6">
        <v>0</v>
      </c>
      <c r="R52" s="6">
        <v>1</v>
      </c>
      <c r="S52" s="5">
        <f t="shared" si="18"/>
        <v>4</v>
      </c>
    </row>
    <row r="53" spans="1:19" ht="13.15" customHeight="1" x14ac:dyDescent="0.4">
      <c r="A53" s="7"/>
      <c r="B53" s="52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5">
        <f t="shared" si="18"/>
        <v>0</v>
      </c>
    </row>
    <row r="54" spans="1:19" ht="13.15" customHeight="1" x14ac:dyDescent="0.4">
      <c r="A54" s="7"/>
      <c r="B54" s="52"/>
      <c r="C54" s="24" t="s">
        <v>130</v>
      </c>
      <c r="D54" s="24"/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1</v>
      </c>
      <c r="R54" s="6">
        <v>0</v>
      </c>
      <c r="S54" s="5">
        <f t="shared" si="18"/>
        <v>3</v>
      </c>
    </row>
    <row r="55" spans="1:19" x14ac:dyDescent="0.4">
      <c r="A55" s="6" t="s">
        <v>26</v>
      </c>
      <c r="B55" s="67" t="s">
        <v>51</v>
      </c>
      <c r="C55" s="83"/>
      <c r="D55" s="74"/>
      <c r="E55" s="5">
        <f>SUM(E45:E54)</f>
        <v>10</v>
      </c>
      <c r="F55" s="5">
        <f t="shared" ref="F55:S55" si="19">SUM(F45:F54)</f>
        <v>16</v>
      </c>
      <c r="G55" s="5">
        <f t="shared" si="19"/>
        <v>9</v>
      </c>
      <c r="H55" s="5">
        <f t="shared" si="19"/>
        <v>6</v>
      </c>
      <c r="I55" s="5">
        <f t="shared" si="19"/>
        <v>16</v>
      </c>
      <c r="J55" s="5">
        <f t="shared" si="19"/>
        <v>22</v>
      </c>
      <c r="K55" s="5">
        <f t="shared" si="19"/>
        <v>13</v>
      </c>
      <c r="L55" s="5">
        <f t="shared" si="19"/>
        <v>8</v>
      </c>
      <c r="M55" s="5">
        <f t="shared" si="19"/>
        <v>45</v>
      </c>
      <c r="N55" s="5">
        <f t="shared" si="19"/>
        <v>31</v>
      </c>
      <c r="O55" s="5">
        <f t="shared" si="19"/>
        <v>7</v>
      </c>
      <c r="P55" s="5">
        <f t="shared" si="19"/>
        <v>9</v>
      </c>
      <c r="Q55" s="5">
        <f t="shared" si="19"/>
        <v>13</v>
      </c>
      <c r="R55" s="5">
        <f t="shared" si="19"/>
        <v>12</v>
      </c>
      <c r="S55" s="5">
        <f t="shared" si="19"/>
        <v>217</v>
      </c>
    </row>
    <row r="56" spans="1:19" x14ac:dyDescent="0.4">
      <c r="A56" s="84"/>
      <c r="B56" s="85"/>
      <c r="C56" s="85"/>
      <c r="D56" s="85"/>
      <c r="E56" s="85"/>
      <c r="S56" s="5"/>
    </row>
    <row r="57" spans="1:19" x14ac:dyDescent="0.4">
      <c r="A57" s="11" t="s">
        <v>48</v>
      </c>
      <c r="B57" s="17" t="s">
        <v>30</v>
      </c>
      <c r="C57" s="73" t="s">
        <v>52</v>
      </c>
      <c r="D57" s="74"/>
      <c r="E57" s="6">
        <v>4</v>
      </c>
      <c r="F57" s="6">
        <v>8</v>
      </c>
      <c r="G57" s="6">
        <v>6</v>
      </c>
      <c r="H57" s="6">
        <v>5</v>
      </c>
      <c r="I57" s="6">
        <v>5</v>
      </c>
      <c r="J57" s="6">
        <v>3</v>
      </c>
      <c r="K57" s="6">
        <v>4</v>
      </c>
      <c r="L57" s="6">
        <v>6</v>
      </c>
      <c r="M57" s="6">
        <v>5</v>
      </c>
      <c r="N57" s="6">
        <v>0</v>
      </c>
      <c r="O57" s="6">
        <v>2</v>
      </c>
      <c r="P57" s="6">
        <v>13</v>
      </c>
      <c r="Q57" s="6">
        <v>13</v>
      </c>
      <c r="R57" s="6">
        <v>7</v>
      </c>
      <c r="S57" s="5">
        <f t="shared" ref="S57:S67" si="20">SUM(E57:R57)</f>
        <v>81</v>
      </c>
    </row>
    <row r="58" spans="1:19" x14ac:dyDescent="0.4">
      <c r="A58" s="11" t="s">
        <v>50</v>
      </c>
      <c r="B58" s="52"/>
      <c r="C58" s="24" t="s">
        <v>131</v>
      </c>
      <c r="D58" s="53"/>
      <c r="E58" s="6">
        <v>2</v>
      </c>
      <c r="F58" s="6">
        <v>5</v>
      </c>
      <c r="G58" s="6">
        <v>4</v>
      </c>
      <c r="H58" s="6">
        <v>6</v>
      </c>
      <c r="I58" s="6">
        <v>5</v>
      </c>
      <c r="J58" s="6">
        <v>8</v>
      </c>
      <c r="K58" s="6">
        <v>2</v>
      </c>
      <c r="L58" s="6">
        <v>2</v>
      </c>
      <c r="M58" s="6">
        <v>6</v>
      </c>
      <c r="N58" s="6">
        <v>8</v>
      </c>
      <c r="O58" s="6">
        <v>6</v>
      </c>
      <c r="P58" s="6">
        <v>4</v>
      </c>
      <c r="Q58" s="6">
        <v>3</v>
      </c>
      <c r="R58" s="6">
        <v>13</v>
      </c>
      <c r="S58" s="5">
        <f t="shared" si="20"/>
        <v>74</v>
      </c>
    </row>
    <row r="59" spans="1:19" x14ac:dyDescent="0.4">
      <c r="A59" s="7"/>
      <c r="B59" s="52"/>
      <c r="C59" s="24" t="s">
        <v>132</v>
      </c>
      <c r="D59" s="53"/>
      <c r="E59" s="6">
        <v>9</v>
      </c>
      <c r="F59" s="6">
        <v>6</v>
      </c>
      <c r="G59" s="6">
        <v>30</v>
      </c>
      <c r="H59" s="6">
        <v>4</v>
      </c>
      <c r="I59" s="6">
        <v>2</v>
      </c>
      <c r="J59" s="6">
        <v>15</v>
      </c>
      <c r="K59" s="6">
        <v>6</v>
      </c>
      <c r="L59" s="6">
        <v>5</v>
      </c>
      <c r="M59" s="6">
        <v>3</v>
      </c>
      <c r="N59" s="6">
        <v>3</v>
      </c>
      <c r="O59" s="6">
        <v>7</v>
      </c>
      <c r="P59" s="6">
        <v>11</v>
      </c>
      <c r="Q59" s="6">
        <v>15</v>
      </c>
      <c r="R59" s="6">
        <v>7</v>
      </c>
      <c r="S59" s="5">
        <f t="shared" si="20"/>
        <v>123</v>
      </c>
    </row>
    <row r="60" spans="1:19" x14ac:dyDescent="0.4">
      <c r="A60" s="7"/>
      <c r="B60" s="52"/>
      <c r="C60" s="24" t="s">
        <v>133</v>
      </c>
      <c r="D60" s="53"/>
      <c r="E60" s="6">
        <v>1</v>
      </c>
      <c r="F60" s="6">
        <v>0</v>
      </c>
      <c r="G60" s="6">
        <v>1</v>
      </c>
      <c r="H60" s="6">
        <v>0</v>
      </c>
      <c r="I60" s="6">
        <v>2</v>
      </c>
      <c r="J60" s="6">
        <v>0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>
        <v>3</v>
      </c>
      <c r="Q60" s="6">
        <v>1</v>
      </c>
      <c r="R60" s="6">
        <v>4</v>
      </c>
      <c r="S60" s="5">
        <f t="shared" si="20"/>
        <v>14</v>
      </c>
    </row>
    <row r="61" spans="1:19" x14ac:dyDescent="0.4">
      <c r="A61" s="7"/>
      <c r="B61" s="52"/>
      <c r="C61" s="24" t="s">
        <v>134</v>
      </c>
      <c r="D61" s="53"/>
      <c r="E61" s="6">
        <v>1</v>
      </c>
      <c r="F61" s="6">
        <v>4</v>
      </c>
      <c r="G61" s="6">
        <v>16</v>
      </c>
      <c r="H61" s="6">
        <v>2</v>
      </c>
      <c r="I61" s="6">
        <v>2</v>
      </c>
      <c r="J61" s="6">
        <v>24</v>
      </c>
      <c r="K61" s="6">
        <v>4</v>
      </c>
      <c r="L61" s="6">
        <v>0</v>
      </c>
      <c r="M61" s="6">
        <v>0</v>
      </c>
      <c r="N61" s="6">
        <v>4</v>
      </c>
      <c r="O61" s="6">
        <v>4</v>
      </c>
      <c r="P61" s="6">
        <v>2</v>
      </c>
      <c r="Q61" s="6">
        <v>6</v>
      </c>
      <c r="R61" s="6">
        <v>5</v>
      </c>
      <c r="S61" s="5">
        <f t="shared" si="20"/>
        <v>74</v>
      </c>
    </row>
    <row r="62" spans="1:19" x14ac:dyDescent="0.4">
      <c r="A62" s="7"/>
      <c r="B62" s="52"/>
      <c r="C62" s="24" t="s">
        <v>135</v>
      </c>
      <c r="D62" s="53"/>
      <c r="E62" s="6">
        <v>2</v>
      </c>
      <c r="F62" s="6">
        <v>1</v>
      </c>
      <c r="G62" s="6">
        <v>1</v>
      </c>
      <c r="H62" s="6">
        <v>0</v>
      </c>
      <c r="I62" s="6">
        <v>2</v>
      </c>
      <c r="J62" s="6">
        <v>0</v>
      </c>
      <c r="K62" s="6">
        <v>1</v>
      </c>
      <c r="L62" s="6">
        <v>0</v>
      </c>
      <c r="M62" s="6">
        <v>1</v>
      </c>
      <c r="N62" s="6">
        <v>0</v>
      </c>
      <c r="O62" s="6">
        <v>1</v>
      </c>
      <c r="P62" s="6">
        <v>0</v>
      </c>
      <c r="Q62" s="6">
        <v>1</v>
      </c>
      <c r="R62" s="6">
        <v>2</v>
      </c>
      <c r="S62" s="5">
        <f t="shared" si="20"/>
        <v>12</v>
      </c>
    </row>
    <row r="63" spans="1:19" ht="13.15" customHeight="1" x14ac:dyDescent="0.4">
      <c r="A63" s="7"/>
      <c r="B63" s="52"/>
      <c r="C63" s="24" t="s">
        <v>136</v>
      </c>
      <c r="D63" s="50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1</v>
      </c>
      <c r="R63" s="6">
        <v>0</v>
      </c>
      <c r="S63" s="5">
        <f t="shared" si="20"/>
        <v>2</v>
      </c>
    </row>
    <row r="64" spans="1:19" x14ac:dyDescent="0.4">
      <c r="A64" s="7"/>
      <c r="B64" s="52"/>
      <c r="C64" s="24" t="s">
        <v>137</v>
      </c>
      <c r="D64" s="53"/>
      <c r="E64" s="6">
        <v>0</v>
      </c>
      <c r="F64" s="6">
        <v>1</v>
      </c>
      <c r="G64" s="6">
        <v>1</v>
      </c>
      <c r="H64" s="6">
        <v>0</v>
      </c>
      <c r="I64" s="6">
        <v>0</v>
      </c>
      <c r="J64" s="6">
        <v>0</v>
      </c>
      <c r="K64" s="6">
        <v>1</v>
      </c>
      <c r="L64" s="6">
        <v>1</v>
      </c>
      <c r="M64" s="6">
        <v>0</v>
      </c>
      <c r="N64" s="6">
        <v>2</v>
      </c>
      <c r="O64" s="6">
        <v>2</v>
      </c>
      <c r="P64" s="6">
        <v>4</v>
      </c>
      <c r="Q64" s="6">
        <v>0</v>
      </c>
      <c r="R64" s="6">
        <v>1</v>
      </c>
      <c r="S64" s="5">
        <f t="shared" si="20"/>
        <v>13</v>
      </c>
    </row>
    <row r="65" spans="1:19" x14ac:dyDescent="0.4">
      <c r="A65" s="7"/>
      <c r="B65" s="52"/>
      <c r="C65" s="24" t="s">
        <v>138</v>
      </c>
      <c r="D65" s="53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5">
        <f t="shared" si="20"/>
        <v>0</v>
      </c>
    </row>
    <row r="66" spans="1:19" x14ac:dyDescent="0.4">
      <c r="A66" s="7"/>
      <c r="B66" s="52"/>
      <c r="C66" s="24" t="s">
        <v>139</v>
      </c>
      <c r="D66" s="53"/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0</v>
      </c>
      <c r="P66" s="6">
        <v>1</v>
      </c>
      <c r="Q66" s="6">
        <v>1</v>
      </c>
      <c r="R66" s="6">
        <v>0</v>
      </c>
      <c r="S66" s="5">
        <f t="shared" si="20"/>
        <v>4</v>
      </c>
    </row>
    <row r="67" spans="1:19" x14ac:dyDescent="0.4">
      <c r="A67" s="6" t="s">
        <v>26</v>
      </c>
      <c r="B67" s="67" t="s">
        <v>51</v>
      </c>
      <c r="C67" s="83"/>
      <c r="D67" s="74"/>
      <c r="E67" s="5">
        <f t="shared" ref="E67:S67" si="21">SUM(E57:E66)</f>
        <v>19</v>
      </c>
      <c r="F67" s="5">
        <f t="shared" si="21"/>
        <v>26</v>
      </c>
      <c r="G67" s="5">
        <f t="shared" si="21"/>
        <v>59</v>
      </c>
      <c r="H67" s="5">
        <f t="shared" si="21"/>
        <v>17</v>
      </c>
      <c r="I67" s="5">
        <f t="shared" si="21"/>
        <v>18</v>
      </c>
      <c r="J67" s="5">
        <f t="shared" si="21"/>
        <v>50</v>
      </c>
      <c r="K67" s="5">
        <f t="shared" si="21"/>
        <v>18</v>
      </c>
      <c r="L67" s="5">
        <f t="shared" si="21"/>
        <v>14</v>
      </c>
      <c r="M67" s="5">
        <f t="shared" si="21"/>
        <v>16</v>
      </c>
      <c r="N67" s="5">
        <f t="shared" si="21"/>
        <v>19</v>
      </c>
      <c r="O67" s="5">
        <f t="shared" si="21"/>
        <v>22</v>
      </c>
      <c r="P67" s="5">
        <f t="shared" si="21"/>
        <v>39</v>
      </c>
      <c r="Q67" s="5">
        <f t="shared" si="21"/>
        <v>41</v>
      </c>
      <c r="R67" s="5">
        <f t="shared" si="21"/>
        <v>39</v>
      </c>
      <c r="S67" s="5">
        <f t="shared" si="21"/>
        <v>397</v>
      </c>
    </row>
    <row r="68" spans="1:19" x14ac:dyDescent="0.4">
      <c r="A68" s="84"/>
      <c r="B68" s="85"/>
      <c r="C68" s="85"/>
      <c r="D68" s="85"/>
      <c r="E68" s="85"/>
    </row>
    <row r="69" spans="1:19" x14ac:dyDescent="0.4">
      <c r="A69" s="11" t="s">
        <v>48</v>
      </c>
      <c r="B69" s="17" t="s">
        <v>32</v>
      </c>
      <c r="C69" s="73" t="s">
        <v>53</v>
      </c>
      <c r="D69" s="74"/>
      <c r="E69" s="6">
        <v>16</v>
      </c>
      <c r="F69" s="6">
        <v>11</v>
      </c>
      <c r="G69" s="6">
        <v>7</v>
      </c>
      <c r="H69" s="6">
        <v>2</v>
      </c>
      <c r="I69" s="6">
        <v>13</v>
      </c>
      <c r="J69" s="6">
        <v>7</v>
      </c>
      <c r="K69" s="6">
        <v>4</v>
      </c>
      <c r="L69" s="6">
        <v>11</v>
      </c>
      <c r="M69" s="6">
        <v>3</v>
      </c>
      <c r="N69" s="6">
        <v>1</v>
      </c>
      <c r="O69" s="6">
        <v>1</v>
      </c>
      <c r="P69" s="6">
        <v>3</v>
      </c>
      <c r="Q69" s="6">
        <v>5</v>
      </c>
      <c r="R69" s="6">
        <v>18</v>
      </c>
      <c r="S69" s="5">
        <f t="shared" ref="S69:S79" si="22">SUM(E69:R69)</f>
        <v>102</v>
      </c>
    </row>
    <row r="70" spans="1:19" x14ac:dyDescent="0.4">
      <c r="A70" s="11" t="s">
        <v>50</v>
      </c>
      <c r="B70" s="52"/>
      <c r="C70" s="24" t="s">
        <v>140</v>
      </c>
      <c r="D70" s="50"/>
      <c r="E70" s="6">
        <v>6</v>
      </c>
      <c r="F70" s="6">
        <v>7</v>
      </c>
      <c r="G70" s="6">
        <v>12</v>
      </c>
      <c r="H70" s="6">
        <v>5</v>
      </c>
      <c r="I70" s="6">
        <v>6</v>
      </c>
      <c r="J70" s="6">
        <v>4</v>
      </c>
      <c r="K70" s="6">
        <v>0</v>
      </c>
      <c r="L70" s="6">
        <v>5</v>
      </c>
      <c r="M70" s="6">
        <v>2</v>
      </c>
      <c r="N70" s="6">
        <v>4</v>
      </c>
      <c r="O70" s="6">
        <v>1</v>
      </c>
      <c r="P70" s="6">
        <v>0</v>
      </c>
      <c r="Q70" s="6">
        <v>4</v>
      </c>
      <c r="R70" s="6">
        <v>15</v>
      </c>
      <c r="S70" s="5">
        <f t="shared" si="22"/>
        <v>71</v>
      </c>
    </row>
    <row r="71" spans="1:19" x14ac:dyDescent="0.4">
      <c r="A71" s="7"/>
      <c r="B71" s="52"/>
      <c r="C71" s="24" t="s">
        <v>141</v>
      </c>
      <c r="D71" s="50"/>
      <c r="E71" s="6">
        <v>2</v>
      </c>
      <c r="F71" s="6">
        <v>4</v>
      </c>
      <c r="G71" s="6">
        <v>9</v>
      </c>
      <c r="H71" s="6">
        <v>0</v>
      </c>
      <c r="I71" s="6">
        <v>2</v>
      </c>
      <c r="J71" s="6">
        <v>2</v>
      </c>
      <c r="K71" s="6">
        <v>1</v>
      </c>
      <c r="L71" s="6">
        <v>3</v>
      </c>
      <c r="M71" s="6">
        <v>2</v>
      </c>
      <c r="N71" s="6">
        <v>0</v>
      </c>
      <c r="O71" s="6">
        <v>1</v>
      </c>
      <c r="P71" s="6">
        <v>0</v>
      </c>
      <c r="Q71" s="6">
        <v>3</v>
      </c>
      <c r="R71" s="6">
        <v>3</v>
      </c>
      <c r="S71" s="5">
        <f t="shared" si="22"/>
        <v>32</v>
      </c>
    </row>
    <row r="72" spans="1:19" x14ac:dyDescent="0.4">
      <c r="A72" s="7"/>
      <c r="B72" s="52"/>
      <c r="C72" s="24" t="s">
        <v>142</v>
      </c>
      <c r="D72" s="50"/>
      <c r="E72" s="6">
        <v>1</v>
      </c>
      <c r="F72" s="6">
        <v>6</v>
      </c>
      <c r="G72" s="6">
        <v>0</v>
      </c>
      <c r="H72" s="6">
        <v>2</v>
      </c>
      <c r="I72" s="6">
        <v>6</v>
      </c>
      <c r="J72" s="6">
        <v>5</v>
      </c>
      <c r="K72" s="6">
        <v>1</v>
      </c>
      <c r="L72" s="6">
        <v>3</v>
      </c>
      <c r="M72" s="6">
        <v>0</v>
      </c>
      <c r="N72" s="6">
        <v>0</v>
      </c>
      <c r="O72" s="6">
        <v>0</v>
      </c>
      <c r="P72" s="6">
        <v>0</v>
      </c>
      <c r="Q72" s="6">
        <v>3</v>
      </c>
      <c r="R72" s="6">
        <v>1</v>
      </c>
      <c r="S72" s="5">
        <f t="shared" si="22"/>
        <v>28</v>
      </c>
    </row>
    <row r="73" spans="1:19" x14ac:dyDescent="0.4">
      <c r="A73" s="7"/>
      <c r="B73" s="52"/>
      <c r="C73" s="24" t="s">
        <v>143</v>
      </c>
      <c r="D73" s="50"/>
      <c r="E73" s="6">
        <v>3</v>
      </c>
      <c r="F73" s="6">
        <v>1</v>
      </c>
      <c r="G73" s="6">
        <v>1</v>
      </c>
      <c r="H73" s="6">
        <v>36</v>
      </c>
      <c r="I73" s="6">
        <v>15</v>
      </c>
      <c r="J73" s="6">
        <v>8</v>
      </c>
      <c r="K73" s="6">
        <v>33</v>
      </c>
      <c r="L73" s="6">
        <v>1</v>
      </c>
      <c r="M73" s="6">
        <v>9</v>
      </c>
      <c r="N73" s="6">
        <v>7</v>
      </c>
      <c r="O73" s="6">
        <v>0</v>
      </c>
      <c r="P73" s="6">
        <v>5</v>
      </c>
      <c r="Q73" s="6">
        <v>1</v>
      </c>
      <c r="R73" s="6">
        <v>11</v>
      </c>
      <c r="S73" s="5">
        <f t="shared" si="22"/>
        <v>131</v>
      </c>
    </row>
    <row r="74" spans="1:19" ht="13.15" customHeight="1" x14ac:dyDescent="0.4">
      <c r="A74" s="7"/>
      <c r="B74" s="52"/>
      <c r="C74" s="24" t="s">
        <v>144</v>
      </c>
      <c r="D74" s="50"/>
      <c r="E74" s="6">
        <v>0</v>
      </c>
      <c r="F74" s="6">
        <v>0</v>
      </c>
      <c r="G74" s="6">
        <v>1</v>
      </c>
      <c r="H74" s="6">
        <v>0</v>
      </c>
      <c r="I74" s="6">
        <v>1</v>
      </c>
      <c r="J74" s="6">
        <v>0</v>
      </c>
      <c r="K74" s="6">
        <v>0</v>
      </c>
      <c r="L74" s="6">
        <v>1</v>
      </c>
      <c r="M74" s="6">
        <v>0</v>
      </c>
      <c r="N74" s="6">
        <v>0</v>
      </c>
      <c r="O74" s="6">
        <v>0</v>
      </c>
      <c r="P74" s="6">
        <v>1</v>
      </c>
      <c r="Q74" s="6">
        <v>0</v>
      </c>
      <c r="R74" s="6">
        <v>1</v>
      </c>
      <c r="S74" s="5">
        <f t="shared" si="22"/>
        <v>5</v>
      </c>
    </row>
    <row r="75" spans="1:19" x14ac:dyDescent="0.4">
      <c r="A75" s="7"/>
      <c r="B75" s="52"/>
      <c r="C75" s="24" t="s">
        <v>145</v>
      </c>
      <c r="D75" s="50"/>
      <c r="E75" s="6">
        <v>0</v>
      </c>
      <c r="F75" s="6">
        <v>1</v>
      </c>
      <c r="G75" s="6">
        <v>0</v>
      </c>
      <c r="H75" s="6">
        <v>1</v>
      </c>
      <c r="I75" s="6">
        <v>0</v>
      </c>
      <c r="J75" s="6">
        <v>1</v>
      </c>
      <c r="K75" s="6">
        <v>1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1</v>
      </c>
      <c r="S75" s="5">
        <f t="shared" si="22"/>
        <v>7</v>
      </c>
    </row>
    <row r="76" spans="1:19" x14ac:dyDescent="0.4">
      <c r="A76" s="7"/>
      <c r="B76" s="52"/>
      <c r="C76" s="24" t="s">
        <v>146</v>
      </c>
      <c r="D76" s="50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5">
        <f t="shared" si="22"/>
        <v>1</v>
      </c>
    </row>
    <row r="77" spans="1:19" x14ac:dyDescent="0.4">
      <c r="A77" s="7"/>
      <c r="B77" s="52"/>
      <c r="C77" s="24" t="s">
        <v>147</v>
      </c>
      <c r="D77" s="50"/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0</v>
      </c>
      <c r="R77" s="6">
        <v>0</v>
      </c>
      <c r="S77" s="5">
        <f t="shared" si="22"/>
        <v>3</v>
      </c>
    </row>
    <row r="78" spans="1:19" x14ac:dyDescent="0.4">
      <c r="A78" s="7"/>
      <c r="B78" s="52"/>
      <c r="C78" s="24" t="s">
        <v>148</v>
      </c>
      <c r="D78" s="50"/>
      <c r="E78" s="6">
        <v>1</v>
      </c>
      <c r="F78" s="6">
        <v>1</v>
      </c>
      <c r="G78" s="6">
        <v>1</v>
      </c>
      <c r="H78" s="6">
        <v>0</v>
      </c>
      <c r="I78" s="6">
        <v>0</v>
      </c>
      <c r="J78" s="6">
        <v>2</v>
      </c>
      <c r="K78" s="6">
        <v>0</v>
      </c>
      <c r="L78" s="6">
        <v>2</v>
      </c>
      <c r="M78" s="6">
        <v>1</v>
      </c>
      <c r="N78" s="6">
        <v>0</v>
      </c>
      <c r="O78" s="6">
        <v>0</v>
      </c>
      <c r="P78" s="6">
        <v>1</v>
      </c>
      <c r="Q78" s="6">
        <v>2</v>
      </c>
      <c r="R78" s="6">
        <v>4</v>
      </c>
      <c r="S78" s="5">
        <f t="shared" si="22"/>
        <v>15</v>
      </c>
    </row>
    <row r="79" spans="1:19" x14ac:dyDescent="0.4">
      <c r="A79" s="6" t="s">
        <v>26</v>
      </c>
      <c r="B79" s="67" t="s">
        <v>51</v>
      </c>
      <c r="C79" s="83"/>
      <c r="D79" s="74"/>
      <c r="E79" s="5">
        <f t="shared" ref="E79:S79" si="23">SUM(E69:E78)</f>
        <v>30</v>
      </c>
      <c r="F79" s="5">
        <f t="shared" si="23"/>
        <v>31</v>
      </c>
      <c r="G79" s="5">
        <f t="shared" si="23"/>
        <v>31</v>
      </c>
      <c r="H79" s="5">
        <f t="shared" si="23"/>
        <v>46</v>
      </c>
      <c r="I79" s="5">
        <f t="shared" si="23"/>
        <v>43</v>
      </c>
      <c r="J79" s="5">
        <f t="shared" si="23"/>
        <v>29</v>
      </c>
      <c r="K79" s="5">
        <f t="shared" si="23"/>
        <v>41</v>
      </c>
      <c r="L79" s="5">
        <f t="shared" si="23"/>
        <v>27</v>
      </c>
      <c r="M79" s="5">
        <f t="shared" si="23"/>
        <v>17</v>
      </c>
      <c r="N79" s="5">
        <f t="shared" si="23"/>
        <v>12</v>
      </c>
      <c r="O79" s="5">
        <f t="shared" si="23"/>
        <v>3</v>
      </c>
      <c r="P79" s="5">
        <f t="shared" si="23"/>
        <v>11</v>
      </c>
      <c r="Q79" s="5">
        <f t="shared" si="23"/>
        <v>19</v>
      </c>
      <c r="R79" s="5">
        <f t="shared" si="23"/>
        <v>55</v>
      </c>
      <c r="S79" s="5">
        <f t="shared" si="23"/>
        <v>395</v>
      </c>
    </row>
    <row r="80" spans="1:19" x14ac:dyDescent="0.4">
      <c r="A80" s="84"/>
      <c r="B80" s="85"/>
      <c r="C80" s="85"/>
      <c r="D80" s="85"/>
      <c r="E80" s="85"/>
    </row>
    <row r="81" spans="1:19" x14ac:dyDescent="0.4">
      <c r="A81" s="11" t="s">
        <v>48</v>
      </c>
      <c r="B81" s="17" t="s">
        <v>34</v>
      </c>
      <c r="C81" s="73" t="s">
        <v>54</v>
      </c>
      <c r="D81" s="74"/>
      <c r="E81" s="6">
        <v>9</v>
      </c>
      <c r="F81" s="6">
        <v>7</v>
      </c>
      <c r="G81" s="6">
        <v>4</v>
      </c>
      <c r="H81" s="6">
        <v>3</v>
      </c>
      <c r="I81" s="6">
        <v>5</v>
      </c>
      <c r="J81" s="6">
        <v>0</v>
      </c>
      <c r="K81" s="6">
        <v>2</v>
      </c>
      <c r="L81" s="6">
        <v>9</v>
      </c>
      <c r="M81" s="6">
        <v>3</v>
      </c>
      <c r="N81" s="6">
        <v>0</v>
      </c>
      <c r="O81" s="6">
        <v>5</v>
      </c>
      <c r="P81" s="6">
        <v>3</v>
      </c>
      <c r="Q81" s="6">
        <v>5</v>
      </c>
      <c r="R81" s="6">
        <v>12</v>
      </c>
      <c r="S81" s="5">
        <f t="shared" ref="S81:S91" si="24">SUM(E81:R81)</f>
        <v>67</v>
      </c>
    </row>
    <row r="82" spans="1:19" x14ac:dyDescent="0.4">
      <c r="A82" s="11" t="s">
        <v>50</v>
      </c>
      <c r="B82" s="52"/>
      <c r="C82" s="24" t="s">
        <v>149</v>
      </c>
      <c r="D82" s="50"/>
      <c r="E82" s="6">
        <v>3</v>
      </c>
      <c r="F82" s="6">
        <v>21</v>
      </c>
      <c r="G82" s="6">
        <v>25</v>
      </c>
      <c r="H82" s="6">
        <v>17</v>
      </c>
      <c r="I82" s="6">
        <v>20</v>
      </c>
      <c r="J82" s="6">
        <v>4</v>
      </c>
      <c r="K82" s="6">
        <v>62</v>
      </c>
      <c r="L82" s="6">
        <v>18</v>
      </c>
      <c r="M82" s="6">
        <v>6</v>
      </c>
      <c r="N82" s="6">
        <v>6</v>
      </c>
      <c r="O82" s="6">
        <v>39</v>
      </c>
      <c r="P82" s="6">
        <v>42</v>
      </c>
      <c r="Q82" s="6">
        <v>16</v>
      </c>
      <c r="R82" s="6">
        <v>26</v>
      </c>
      <c r="S82" s="5">
        <f t="shared" si="24"/>
        <v>305</v>
      </c>
    </row>
    <row r="83" spans="1:19" x14ac:dyDescent="0.4">
      <c r="A83" s="7"/>
      <c r="B83" s="52"/>
      <c r="C83" s="24" t="s">
        <v>150</v>
      </c>
      <c r="D83" s="50"/>
      <c r="E83" s="6">
        <v>1</v>
      </c>
      <c r="F83" s="6">
        <v>4</v>
      </c>
      <c r="G83" s="6">
        <v>5</v>
      </c>
      <c r="H83" s="6">
        <v>0</v>
      </c>
      <c r="I83" s="6">
        <v>1</v>
      </c>
      <c r="J83" s="6">
        <v>4</v>
      </c>
      <c r="K83" s="6">
        <v>3</v>
      </c>
      <c r="L83" s="6">
        <v>1</v>
      </c>
      <c r="M83" s="6">
        <v>0</v>
      </c>
      <c r="N83" s="6">
        <v>0</v>
      </c>
      <c r="O83" s="6">
        <v>2</v>
      </c>
      <c r="P83" s="6">
        <v>2</v>
      </c>
      <c r="Q83" s="6">
        <v>2</v>
      </c>
      <c r="R83" s="6">
        <v>2</v>
      </c>
      <c r="S83" s="5">
        <f t="shared" si="24"/>
        <v>27</v>
      </c>
    </row>
    <row r="84" spans="1:19" x14ac:dyDescent="0.4">
      <c r="A84" s="7"/>
      <c r="B84" s="52"/>
      <c r="C84" s="24" t="s">
        <v>151</v>
      </c>
      <c r="D84" s="50"/>
      <c r="E84" s="6">
        <v>1</v>
      </c>
      <c r="F84" s="6">
        <v>1</v>
      </c>
      <c r="G84" s="6">
        <v>2</v>
      </c>
      <c r="H84" s="6">
        <v>2</v>
      </c>
      <c r="I84" s="6">
        <v>0</v>
      </c>
      <c r="J84" s="6">
        <v>2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0</v>
      </c>
      <c r="R84" s="6">
        <v>2</v>
      </c>
      <c r="S84" s="5">
        <f t="shared" si="24"/>
        <v>11</v>
      </c>
    </row>
    <row r="85" spans="1:19" ht="13.15" customHeight="1" x14ac:dyDescent="0.4">
      <c r="A85" s="7"/>
      <c r="B85" s="52"/>
      <c r="C85" s="24" t="s">
        <v>152</v>
      </c>
      <c r="D85" s="50"/>
      <c r="E85" s="6">
        <v>0</v>
      </c>
      <c r="F85" s="6">
        <v>0</v>
      </c>
      <c r="G85" s="6">
        <v>2</v>
      </c>
      <c r="H85" s="6">
        <v>1</v>
      </c>
      <c r="I85" s="6">
        <v>2</v>
      </c>
      <c r="J85" s="6">
        <v>0</v>
      </c>
      <c r="K85" s="6">
        <v>0</v>
      </c>
      <c r="L85" s="6">
        <v>2</v>
      </c>
      <c r="M85" s="6">
        <v>0</v>
      </c>
      <c r="N85" s="6">
        <v>0</v>
      </c>
      <c r="O85" s="6">
        <v>0</v>
      </c>
      <c r="P85" s="6">
        <v>3</v>
      </c>
      <c r="Q85" s="6">
        <v>6</v>
      </c>
      <c r="R85" s="6">
        <v>17</v>
      </c>
      <c r="S85" s="5">
        <f t="shared" si="24"/>
        <v>33</v>
      </c>
    </row>
    <row r="86" spans="1:19" x14ac:dyDescent="0.4">
      <c r="A86" s="7"/>
      <c r="B86" s="52"/>
      <c r="C86" s="24" t="s">
        <v>153</v>
      </c>
      <c r="D86" s="50"/>
      <c r="E86" s="6">
        <v>1</v>
      </c>
      <c r="F86" s="6">
        <v>1</v>
      </c>
      <c r="G86" s="6">
        <v>1</v>
      </c>
      <c r="H86" s="6">
        <v>2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1</v>
      </c>
      <c r="R86" s="6">
        <v>0</v>
      </c>
      <c r="S86" s="5">
        <f t="shared" si="24"/>
        <v>6</v>
      </c>
    </row>
    <row r="87" spans="1:19" x14ac:dyDescent="0.4">
      <c r="A87" s="7"/>
      <c r="B87" s="52"/>
      <c r="C87" s="24" t="s">
        <v>154</v>
      </c>
      <c r="D87" s="50"/>
      <c r="E87" s="6">
        <v>0</v>
      </c>
      <c r="F87" s="6">
        <v>1</v>
      </c>
      <c r="G87" s="6">
        <v>3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5">
        <f t="shared" si="24"/>
        <v>4</v>
      </c>
    </row>
    <row r="88" spans="1:19" x14ac:dyDescent="0.4">
      <c r="A88" s="7"/>
      <c r="B88" s="52"/>
      <c r="C88" s="24" t="s">
        <v>155</v>
      </c>
      <c r="D88" s="50"/>
      <c r="E88" s="6">
        <v>0</v>
      </c>
      <c r="F88" s="6">
        <v>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1</v>
      </c>
      <c r="P88" s="6">
        <v>0</v>
      </c>
      <c r="Q88" s="6">
        <v>0</v>
      </c>
      <c r="R88" s="6">
        <v>0</v>
      </c>
      <c r="S88" s="5">
        <f t="shared" si="24"/>
        <v>2</v>
      </c>
    </row>
    <row r="89" spans="1:19" x14ac:dyDescent="0.4">
      <c r="A89" s="7"/>
      <c r="B89" s="52"/>
      <c r="C89" s="24" t="s">
        <v>156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5">
        <f t="shared" si="24"/>
        <v>0</v>
      </c>
    </row>
    <row r="90" spans="1:19" x14ac:dyDescent="0.4">
      <c r="A90" s="7"/>
      <c r="B90" s="52"/>
      <c r="C90" s="24" t="s">
        <v>157</v>
      </c>
      <c r="D90" s="50"/>
      <c r="E90" s="6">
        <v>0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0</v>
      </c>
      <c r="Q90" s="6">
        <v>1</v>
      </c>
      <c r="R90" s="6">
        <v>1</v>
      </c>
      <c r="S90" s="5">
        <f t="shared" si="24"/>
        <v>4</v>
      </c>
    </row>
    <row r="91" spans="1:19" x14ac:dyDescent="0.4">
      <c r="A91" s="6" t="s">
        <v>26</v>
      </c>
      <c r="B91" s="67" t="s">
        <v>51</v>
      </c>
      <c r="C91" s="83"/>
      <c r="D91" s="74"/>
      <c r="E91" s="5">
        <f t="shared" ref="E91:S91" si="25">SUM(E81:E90)</f>
        <v>15</v>
      </c>
      <c r="F91" s="5">
        <f t="shared" si="25"/>
        <v>37</v>
      </c>
      <c r="G91" s="5">
        <f t="shared" si="25"/>
        <v>42</v>
      </c>
      <c r="H91" s="5">
        <f t="shared" si="25"/>
        <v>25</v>
      </c>
      <c r="I91" s="5">
        <f t="shared" si="25"/>
        <v>28</v>
      </c>
      <c r="J91" s="5">
        <f t="shared" si="25"/>
        <v>10</v>
      </c>
      <c r="K91" s="5">
        <f t="shared" si="25"/>
        <v>67</v>
      </c>
      <c r="L91" s="5">
        <f t="shared" si="25"/>
        <v>30</v>
      </c>
      <c r="M91" s="5">
        <f t="shared" si="25"/>
        <v>9</v>
      </c>
      <c r="N91" s="5">
        <f t="shared" si="25"/>
        <v>6</v>
      </c>
      <c r="O91" s="5">
        <f t="shared" si="25"/>
        <v>49</v>
      </c>
      <c r="P91" s="5">
        <f t="shared" si="25"/>
        <v>50</v>
      </c>
      <c r="Q91" s="5">
        <f t="shared" si="25"/>
        <v>31</v>
      </c>
      <c r="R91" s="5">
        <f t="shared" si="25"/>
        <v>60</v>
      </c>
      <c r="S91" s="5">
        <f t="shared" si="25"/>
        <v>459</v>
      </c>
    </row>
    <row r="92" spans="1:19" x14ac:dyDescent="0.4">
      <c r="A92" s="84"/>
      <c r="B92" s="85"/>
      <c r="C92" s="85"/>
      <c r="D92" s="85"/>
      <c r="E92" s="85"/>
    </row>
    <row r="93" spans="1:19" x14ac:dyDescent="0.4">
      <c r="A93" s="11" t="s">
        <v>48</v>
      </c>
      <c r="B93" s="17" t="s">
        <v>55</v>
      </c>
      <c r="C93" s="73" t="s">
        <v>56</v>
      </c>
      <c r="D93" s="74"/>
      <c r="E93" s="6">
        <v>2</v>
      </c>
      <c r="F93" s="6">
        <v>1</v>
      </c>
      <c r="G93" s="6">
        <v>2</v>
      </c>
      <c r="H93" s="6">
        <v>1</v>
      </c>
      <c r="I93" s="6">
        <v>1</v>
      </c>
      <c r="J93" s="6">
        <v>1</v>
      </c>
      <c r="K93" s="6">
        <v>2</v>
      </c>
      <c r="L93" s="6">
        <v>4</v>
      </c>
      <c r="M93" s="6">
        <v>2</v>
      </c>
      <c r="N93" s="6">
        <v>0</v>
      </c>
      <c r="O93" s="6">
        <v>3</v>
      </c>
      <c r="P93" s="6">
        <v>1</v>
      </c>
      <c r="Q93" s="6">
        <v>1</v>
      </c>
      <c r="R93" s="6">
        <v>2</v>
      </c>
      <c r="S93" s="5">
        <f t="shared" ref="S93:S114" si="26">SUM(E93:R93)</f>
        <v>23</v>
      </c>
    </row>
    <row r="94" spans="1:19" x14ac:dyDescent="0.4">
      <c r="A94" s="11" t="s">
        <v>50</v>
      </c>
      <c r="B94" s="52"/>
      <c r="C94" s="24" t="s">
        <v>158</v>
      </c>
      <c r="D94" s="50"/>
      <c r="E94" s="6">
        <v>1</v>
      </c>
      <c r="F94" s="6">
        <v>1</v>
      </c>
      <c r="G94" s="6">
        <v>0</v>
      </c>
      <c r="H94" s="6">
        <v>0</v>
      </c>
      <c r="I94" s="6">
        <v>2</v>
      </c>
      <c r="J94" s="6">
        <v>6</v>
      </c>
      <c r="K94" s="6">
        <v>1</v>
      </c>
      <c r="L94" s="6">
        <v>0</v>
      </c>
      <c r="M94" s="6">
        <v>0</v>
      </c>
      <c r="N94" s="6">
        <v>2</v>
      </c>
      <c r="O94" s="6">
        <v>0</v>
      </c>
      <c r="P94" s="6">
        <v>0</v>
      </c>
      <c r="Q94" s="6">
        <v>1</v>
      </c>
      <c r="R94" s="6">
        <v>2</v>
      </c>
      <c r="S94" s="5">
        <f t="shared" si="26"/>
        <v>16</v>
      </c>
    </row>
    <row r="95" spans="1:19" x14ac:dyDescent="0.4">
      <c r="A95" s="7"/>
      <c r="B95" s="52"/>
      <c r="C95" s="24" t="s">
        <v>159</v>
      </c>
      <c r="D95" s="50"/>
      <c r="E95" s="6">
        <v>1</v>
      </c>
      <c r="F95" s="6">
        <v>1</v>
      </c>
      <c r="G95" s="6">
        <v>0</v>
      </c>
      <c r="H95" s="6">
        <v>0</v>
      </c>
      <c r="I95" s="6">
        <v>0</v>
      </c>
      <c r="J95" s="6">
        <v>2</v>
      </c>
      <c r="K95" s="6">
        <v>1</v>
      </c>
      <c r="L95" s="6">
        <v>5</v>
      </c>
      <c r="M95" s="6">
        <v>2</v>
      </c>
      <c r="N95" s="6">
        <v>0</v>
      </c>
      <c r="O95" s="6">
        <v>0</v>
      </c>
      <c r="P95" s="6">
        <v>0</v>
      </c>
      <c r="Q95" s="6">
        <v>1</v>
      </c>
      <c r="R95" s="6">
        <v>1</v>
      </c>
      <c r="S95" s="5">
        <f t="shared" si="26"/>
        <v>14</v>
      </c>
    </row>
    <row r="96" spans="1:19" ht="13.15" customHeight="1" x14ac:dyDescent="0.4">
      <c r="A96" s="7"/>
      <c r="B96" s="52"/>
      <c r="C96" s="24" t="s">
        <v>160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6">
        <v>2</v>
      </c>
      <c r="Q96" s="6">
        <v>1</v>
      </c>
      <c r="R96" s="6">
        <v>1</v>
      </c>
      <c r="S96" s="5">
        <f t="shared" si="26"/>
        <v>5</v>
      </c>
    </row>
    <row r="97" spans="1:19" x14ac:dyDescent="0.4">
      <c r="A97" s="7"/>
      <c r="B97" s="52"/>
      <c r="C97" s="24" t="s">
        <v>161</v>
      </c>
      <c r="D97" s="50"/>
      <c r="E97" s="6">
        <v>3</v>
      </c>
      <c r="F97" s="6">
        <v>1</v>
      </c>
      <c r="G97" s="6">
        <v>1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3</v>
      </c>
      <c r="R97" s="6">
        <v>1</v>
      </c>
      <c r="S97" s="5">
        <f t="shared" si="26"/>
        <v>11</v>
      </c>
    </row>
    <row r="98" spans="1:19" x14ac:dyDescent="0.4">
      <c r="A98" s="7"/>
      <c r="B98" s="52"/>
      <c r="C98" s="24" t="s">
        <v>162</v>
      </c>
      <c r="D98" s="50"/>
      <c r="E98" s="6">
        <v>0</v>
      </c>
      <c r="F98" s="6">
        <v>1</v>
      </c>
      <c r="G98" s="6">
        <v>0</v>
      </c>
      <c r="H98" s="6">
        <v>0</v>
      </c>
      <c r="I98" s="6">
        <v>2</v>
      </c>
      <c r="J98" s="6">
        <v>0</v>
      </c>
      <c r="K98" s="6">
        <v>0</v>
      </c>
      <c r="L98" s="6">
        <v>1</v>
      </c>
      <c r="M98" s="6">
        <v>0</v>
      </c>
      <c r="N98" s="6">
        <v>1</v>
      </c>
      <c r="O98" s="6">
        <v>1</v>
      </c>
      <c r="P98" s="6">
        <v>0</v>
      </c>
      <c r="Q98" s="6">
        <v>3</v>
      </c>
      <c r="R98" s="6">
        <v>0</v>
      </c>
      <c r="S98" s="5">
        <f t="shared" si="26"/>
        <v>9</v>
      </c>
    </row>
    <row r="99" spans="1:19" x14ac:dyDescent="0.4">
      <c r="A99" s="7"/>
      <c r="B99" s="52"/>
      <c r="C99" s="24" t="s">
        <v>163</v>
      </c>
      <c r="D99" s="50"/>
      <c r="E99" s="6">
        <v>0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5">
        <f t="shared" si="26"/>
        <v>1</v>
      </c>
    </row>
    <row r="100" spans="1:19" x14ac:dyDescent="0.4">
      <c r="A100" s="7"/>
      <c r="B100" s="52"/>
      <c r="C100" s="24" t="s">
        <v>164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1</v>
      </c>
      <c r="K100" s="6">
        <v>2</v>
      </c>
      <c r="L100" s="6">
        <v>0</v>
      </c>
      <c r="M100" s="6">
        <v>0</v>
      </c>
      <c r="N100" s="6">
        <v>0</v>
      </c>
      <c r="O100" s="6">
        <v>2</v>
      </c>
      <c r="P100" s="6">
        <v>1</v>
      </c>
      <c r="Q100" s="6">
        <v>2</v>
      </c>
      <c r="R100" s="6">
        <v>0</v>
      </c>
      <c r="S100" s="5">
        <f t="shared" si="26"/>
        <v>8</v>
      </c>
    </row>
    <row r="101" spans="1:19" x14ac:dyDescent="0.4">
      <c r="A101" s="7"/>
      <c r="B101" s="52"/>
      <c r="C101" s="24" t="s">
        <v>165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5">
        <f t="shared" si="26"/>
        <v>0</v>
      </c>
    </row>
    <row r="102" spans="1:19" x14ac:dyDescent="0.4">
      <c r="A102" s="7"/>
      <c r="B102" s="52"/>
      <c r="C102" s="24" t="s">
        <v>166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1</v>
      </c>
      <c r="P102" s="6">
        <v>0</v>
      </c>
      <c r="Q102" s="6">
        <v>0</v>
      </c>
      <c r="R102" s="6">
        <v>0</v>
      </c>
      <c r="S102" s="5">
        <f t="shared" si="26"/>
        <v>1</v>
      </c>
    </row>
    <row r="103" spans="1:19" x14ac:dyDescent="0.4">
      <c r="A103" s="6" t="s">
        <v>26</v>
      </c>
      <c r="B103" s="67" t="s">
        <v>51</v>
      </c>
      <c r="C103" s="83"/>
      <c r="D103" s="74"/>
      <c r="E103" s="5">
        <f t="shared" ref="E103:S103" si="27">SUM(E93:E102)</f>
        <v>7</v>
      </c>
      <c r="F103" s="5">
        <f t="shared" si="27"/>
        <v>6</v>
      </c>
      <c r="G103" s="5">
        <f t="shared" si="27"/>
        <v>3</v>
      </c>
      <c r="H103" s="5">
        <f t="shared" si="27"/>
        <v>1</v>
      </c>
      <c r="I103" s="5">
        <f t="shared" si="27"/>
        <v>6</v>
      </c>
      <c r="J103" s="5">
        <f t="shared" si="27"/>
        <v>10</v>
      </c>
      <c r="K103" s="5">
        <f t="shared" si="27"/>
        <v>6</v>
      </c>
      <c r="L103" s="5">
        <f t="shared" si="27"/>
        <v>10</v>
      </c>
      <c r="M103" s="5">
        <f t="shared" si="27"/>
        <v>4</v>
      </c>
      <c r="N103" s="5">
        <f t="shared" si="27"/>
        <v>4</v>
      </c>
      <c r="O103" s="5">
        <f t="shared" si="27"/>
        <v>8</v>
      </c>
      <c r="P103" s="5">
        <f t="shared" si="27"/>
        <v>4</v>
      </c>
      <c r="Q103" s="5">
        <f t="shared" si="27"/>
        <v>12</v>
      </c>
      <c r="R103" s="5">
        <f t="shared" si="27"/>
        <v>7</v>
      </c>
      <c r="S103" s="5">
        <f t="shared" si="27"/>
        <v>88</v>
      </c>
    </row>
    <row r="104" spans="1:19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1:19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0</v>
      </c>
      <c r="G105" s="6">
        <v>1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1</v>
      </c>
      <c r="N105" s="6">
        <v>0</v>
      </c>
      <c r="O105" s="6">
        <v>0</v>
      </c>
      <c r="P105" s="6">
        <v>1</v>
      </c>
      <c r="Q105" s="6">
        <v>0</v>
      </c>
      <c r="R105" s="6">
        <v>1</v>
      </c>
      <c r="S105" s="5">
        <f t="shared" si="26"/>
        <v>5</v>
      </c>
    </row>
    <row r="106" spans="1:19" x14ac:dyDescent="0.4">
      <c r="A106" s="11" t="s">
        <v>50</v>
      </c>
      <c r="B106" s="52"/>
      <c r="C106" s="24" t="s">
        <v>167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5">
        <f t="shared" si="26"/>
        <v>1</v>
      </c>
    </row>
    <row r="107" spans="1:19" ht="13.15" customHeight="1" x14ac:dyDescent="0.4">
      <c r="A107" s="7"/>
      <c r="B107" s="52"/>
      <c r="C107" s="24" t="s">
        <v>168</v>
      </c>
      <c r="D107" s="50"/>
      <c r="E107" s="6">
        <v>1</v>
      </c>
      <c r="F107" s="6">
        <v>1</v>
      </c>
      <c r="G107" s="6">
        <v>0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5">
        <f t="shared" si="26"/>
        <v>3</v>
      </c>
    </row>
    <row r="108" spans="1:19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>
        <f t="shared" si="26"/>
        <v>0</v>
      </c>
    </row>
    <row r="109" spans="1:19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>
        <f t="shared" si="26"/>
        <v>0</v>
      </c>
    </row>
    <row r="110" spans="1:19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>
        <f t="shared" si="26"/>
        <v>0</v>
      </c>
    </row>
    <row r="111" spans="1:19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5">
        <f t="shared" si="26"/>
        <v>0</v>
      </c>
    </row>
    <row r="112" spans="1:19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5">
        <f t="shared" si="26"/>
        <v>0</v>
      </c>
    </row>
    <row r="113" spans="1:21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5">
        <f t="shared" si="26"/>
        <v>0</v>
      </c>
    </row>
    <row r="114" spans="1:21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5">
        <f t="shared" si="26"/>
        <v>0</v>
      </c>
    </row>
    <row r="115" spans="1:21" ht="13.15" customHeight="1" x14ac:dyDescent="0.4">
      <c r="A115" s="6" t="s">
        <v>26</v>
      </c>
      <c r="B115" s="67" t="s">
        <v>51</v>
      </c>
      <c r="C115" s="68"/>
      <c r="D115" s="69"/>
      <c r="E115" s="5">
        <f t="shared" ref="E115:S115" si="28">SUM(E105:E114)</f>
        <v>1</v>
      </c>
      <c r="F115" s="5">
        <f t="shared" si="28"/>
        <v>1</v>
      </c>
      <c r="G115" s="5">
        <f t="shared" si="28"/>
        <v>1</v>
      </c>
      <c r="H115" s="5">
        <f t="shared" si="28"/>
        <v>0</v>
      </c>
      <c r="I115" s="5">
        <f t="shared" si="28"/>
        <v>2</v>
      </c>
      <c r="J115" s="5">
        <f t="shared" si="28"/>
        <v>0</v>
      </c>
      <c r="K115" s="5">
        <f t="shared" si="28"/>
        <v>0</v>
      </c>
      <c r="L115" s="5">
        <f t="shared" si="28"/>
        <v>0</v>
      </c>
      <c r="M115" s="5">
        <f t="shared" si="28"/>
        <v>1</v>
      </c>
      <c r="N115" s="5">
        <f t="shared" si="28"/>
        <v>0</v>
      </c>
      <c r="O115" s="5">
        <f t="shared" si="28"/>
        <v>0</v>
      </c>
      <c r="P115" s="5">
        <f t="shared" si="28"/>
        <v>1</v>
      </c>
      <c r="Q115" s="5">
        <f t="shared" si="28"/>
        <v>0</v>
      </c>
      <c r="R115" s="5">
        <f t="shared" si="28"/>
        <v>2</v>
      </c>
      <c r="S115" s="5">
        <f t="shared" si="28"/>
        <v>9</v>
      </c>
    </row>
    <row r="116" spans="1:21" x14ac:dyDescent="0.4">
      <c r="A116" s="70"/>
      <c r="B116" s="71"/>
      <c r="C116" s="71"/>
      <c r="D116" s="71"/>
      <c r="E116" s="7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5"/>
    </row>
    <row r="117" spans="1:21" x14ac:dyDescent="0.4">
      <c r="A117" s="11" t="s">
        <v>48</v>
      </c>
      <c r="B117" s="17" t="s">
        <v>59</v>
      </c>
      <c r="C117" s="73" t="s">
        <v>60</v>
      </c>
      <c r="D117" s="74"/>
      <c r="E117" s="6">
        <v>3</v>
      </c>
      <c r="F117" s="6">
        <v>1</v>
      </c>
      <c r="G117" s="6">
        <v>1</v>
      </c>
      <c r="H117" s="6">
        <v>0</v>
      </c>
      <c r="I117" s="6">
        <v>0</v>
      </c>
      <c r="J117" s="6">
        <v>0</v>
      </c>
      <c r="K117" s="6">
        <v>1</v>
      </c>
      <c r="L117" s="6">
        <v>1</v>
      </c>
      <c r="M117" s="6">
        <v>0</v>
      </c>
      <c r="N117" s="6">
        <v>0</v>
      </c>
      <c r="O117" s="6">
        <v>0</v>
      </c>
      <c r="P117" s="6">
        <v>1</v>
      </c>
      <c r="Q117" s="6">
        <v>0</v>
      </c>
      <c r="R117" s="6">
        <v>0</v>
      </c>
      <c r="S117" s="5">
        <f t="shared" ref="S117:S126" si="29">SUM(E117:R117)</f>
        <v>8</v>
      </c>
      <c r="T117" s="20"/>
      <c r="U117" s="20"/>
    </row>
    <row r="118" spans="1:21" x14ac:dyDescent="0.4">
      <c r="A118" s="11" t="s">
        <v>50</v>
      </c>
      <c r="B118" s="52"/>
      <c r="C118" s="24" t="s">
        <v>169</v>
      </c>
      <c r="D118" s="50"/>
      <c r="E118" s="6">
        <v>0</v>
      </c>
      <c r="F118" s="6">
        <v>0</v>
      </c>
      <c r="G118" s="6">
        <v>0</v>
      </c>
      <c r="H118" s="6">
        <v>2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0</v>
      </c>
      <c r="O118" s="6">
        <v>2</v>
      </c>
      <c r="P118" s="6">
        <v>1</v>
      </c>
      <c r="Q118" s="6">
        <v>1</v>
      </c>
      <c r="R118" s="6">
        <v>0</v>
      </c>
      <c r="S118" s="5">
        <f t="shared" si="29"/>
        <v>7</v>
      </c>
      <c r="T118" s="20"/>
      <c r="U118" s="20"/>
    </row>
    <row r="119" spans="1:21" x14ac:dyDescent="0.4">
      <c r="A119" s="7"/>
      <c r="B119" s="52"/>
      <c r="C119" s="24" t="s">
        <v>170</v>
      </c>
      <c r="D119" s="50"/>
      <c r="E119" s="6">
        <v>0</v>
      </c>
      <c r="F119" s="6">
        <v>1</v>
      </c>
      <c r="G119" s="6">
        <v>0</v>
      </c>
      <c r="H119" s="6">
        <v>1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6">
        <v>0</v>
      </c>
      <c r="S119" s="5">
        <f t="shared" si="29"/>
        <v>3</v>
      </c>
      <c r="T119" s="20"/>
      <c r="U119" s="20"/>
    </row>
    <row r="120" spans="1:21" x14ac:dyDescent="0.4">
      <c r="A120" s="7"/>
      <c r="B120" s="52"/>
      <c r="C120" s="24" t="s">
        <v>171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5">
        <f t="shared" si="29"/>
        <v>0</v>
      </c>
      <c r="T120" s="20"/>
      <c r="U120" s="20"/>
    </row>
    <row r="121" spans="1:21" x14ac:dyDescent="0.4">
      <c r="A121" s="7"/>
      <c r="B121" s="52"/>
      <c r="C121" s="24" t="s">
        <v>172</v>
      </c>
      <c r="D121" s="50"/>
      <c r="E121" s="6">
        <v>1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5">
        <f t="shared" si="29"/>
        <v>2</v>
      </c>
      <c r="T121" s="20"/>
      <c r="U121" s="20"/>
    </row>
    <row r="122" spans="1:21" x14ac:dyDescent="0.4">
      <c r="A122" s="7"/>
      <c r="B122" s="52"/>
      <c r="C122" s="24" t="s">
        <v>173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1</v>
      </c>
      <c r="Q122" s="6">
        <v>1</v>
      </c>
      <c r="R122" s="6">
        <v>0</v>
      </c>
      <c r="S122" s="5">
        <f t="shared" si="29"/>
        <v>2</v>
      </c>
      <c r="T122" s="20"/>
      <c r="U122" s="20"/>
    </row>
    <row r="123" spans="1:21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5">
        <f t="shared" si="29"/>
        <v>0</v>
      </c>
      <c r="T123" s="20"/>
      <c r="U123" s="20"/>
    </row>
    <row r="124" spans="1:21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5">
        <f t="shared" si="29"/>
        <v>0</v>
      </c>
      <c r="T124" s="20"/>
      <c r="U124" s="20"/>
    </row>
    <row r="125" spans="1:21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5">
        <f t="shared" si="29"/>
        <v>0</v>
      </c>
      <c r="T125" s="20"/>
      <c r="U125" s="20"/>
    </row>
    <row r="126" spans="1:21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5">
        <f t="shared" si="29"/>
        <v>0</v>
      </c>
      <c r="T126" s="20"/>
      <c r="U126" s="20"/>
    </row>
    <row r="127" spans="1:21" x14ac:dyDescent="0.4">
      <c r="A127" s="6" t="s">
        <v>26</v>
      </c>
      <c r="B127" s="67" t="s">
        <v>51</v>
      </c>
      <c r="C127" s="68"/>
      <c r="D127" s="69"/>
      <c r="E127" s="5">
        <f t="shared" ref="E127:S127" si="30">SUM(E117:E126)</f>
        <v>4</v>
      </c>
      <c r="F127" s="5">
        <f t="shared" si="30"/>
        <v>2</v>
      </c>
      <c r="G127" s="5">
        <f t="shared" si="30"/>
        <v>2</v>
      </c>
      <c r="H127" s="5">
        <f t="shared" si="30"/>
        <v>3</v>
      </c>
      <c r="I127" s="5">
        <f t="shared" si="30"/>
        <v>0</v>
      </c>
      <c r="J127" s="5">
        <f t="shared" si="30"/>
        <v>0</v>
      </c>
      <c r="K127" s="5">
        <f t="shared" si="30"/>
        <v>1</v>
      </c>
      <c r="L127" s="5">
        <f t="shared" si="30"/>
        <v>2</v>
      </c>
      <c r="M127" s="5">
        <f t="shared" si="30"/>
        <v>0</v>
      </c>
      <c r="N127" s="5">
        <f t="shared" si="30"/>
        <v>0</v>
      </c>
      <c r="O127" s="5">
        <f t="shared" si="30"/>
        <v>2</v>
      </c>
      <c r="P127" s="5">
        <f t="shared" si="30"/>
        <v>4</v>
      </c>
      <c r="Q127" s="5">
        <f t="shared" si="30"/>
        <v>2</v>
      </c>
      <c r="R127" s="5">
        <f t="shared" si="30"/>
        <v>0</v>
      </c>
      <c r="S127" s="5">
        <f t="shared" si="30"/>
        <v>22</v>
      </c>
      <c r="T127" s="20"/>
      <c r="U127" s="20"/>
    </row>
    <row r="128" spans="1:21" x14ac:dyDescent="0.4">
      <c r="A128" s="70"/>
      <c r="B128" s="71"/>
      <c r="C128" s="71"/>
      <c r="D128" s="71"/>
      <c r="E128" s="7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20"/>
      <c r="U128" s="20"/>
    </row>
    <row r="129" spans="1:21" x14ac:dyDescent="0.4">
      <c r="A129" s="11" t="s">
        <v>48</v>
      </c>
      <c r="B129" s="17" t="s">
        <v>61</v>
      </c>
      <c r="C129" s="73" t="s">
        <v>62</v>
      </c>
      <c r="D129" s="74"/>
      <c r="E129" s="6">
        <v>4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2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5</v>
      </c>
      <c r="R129" s="6">
        <v>0</v>
      </c>
      <c r="S129" s="5">
        <f t="shared" ref="S129:S138" si="31">SUM(E129:R129)</f>
        <v>12</v>
      </c>
      <c r="T129" s="20"/>
      <c r="U129" s="20"/>
    </row>
    <row r="130" spans="1:21" ht="13.15" customHeight="1" x14ac:dyDescent="0.4">
      <c r="A130" s="11" t="s">
        <v>50</v>
      </c>
      <c r="B130" s="52"/>
      <c r="C130" s="24" t="s">
        <v>174</v>
      </c>
      <c r="D130" s="53"/>
      <c r="E130" s="6">
        <v>1</v>
      </c>
      <c r="F130" s="6">
        <v>0</v>
      </c>
      <c r="G130" s="6">
        <v>2</v>
      </c>
      <c r="H130" s="6">
        <v>0</v>
      </c>
      <c r="I130" s="6">
        <v>0</v>
      </c>
      <c r="J130" s="6">
        <v>0</v>
      </c>
      <c r="K130" s="6">
        <v>0</v>
      </c>
      <c r="L130" s="6">
        <v>1</v>
      </c>
      <c r="M130" s="6">
        <v>0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5">
        <f t="shared" si="31"/>
        <v>5</v>
      </c>
      <c r="T130" s="1"/>
      <c r="U130" s="1"/>
    </row>
    <row r="131" spans="1:21" x14ac:dyDescent="0.4">
      <c r="A131" s="7"/>
      <c r="B131" s="52"/>
      <c r="C131" s="24" t="s">
        <v>175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5">
        <f t="shared" si="31"/>
        <v>1</v>
      </c>
      <c r="T131" s="27"/>
      <c r="U131" s="27"/>
    </row>
    <row r="132" spans="1:21" x14ac:dyDescent="0.4">
      <c r="A132" s="7"/>
      <c r="B132" s="52"/>
      <c r="C132" s="24" t="s">
        <v>176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5">
        <f t="shared" si="31"/>
        <v>0</v>
      </c>
      <c r="T132" s="20"/>
      <c r="U132" s="20"/>
    </row>
    <row r="133" spans="1:21" x14ac:dyDescent="0.4">
      <c r="A133" s="7"/>
      <c r="B133" s="52"/>
      <c r="C133" s="24" t="s">
        <v>177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5">
        <f t="shared" si="31"/>
        <v>0</v>
      </c>
      <c r="T133" s="20"/>
      <c r="U133" s="20"/>
    </row>
    <row r="134" spans="1:21" x14ac:dyDescent="0.4">
      <c r="A134" s="7"/>
      <c r="B134" s="52"/>
      <c r="C134" s="24" t="s">
        <v>178</v>
      </c>
      <c r="D134" s="53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5">
        <f t="shared" si="31"/>
        <v>1</v>
      </c>
      <c r="T134" s="20"/>
      <c r="U134" s="20"/>
    </row>
    <row r="135" spans="1:21" x14ac:dyDescent="0.4">
      <c r="A135" s="7"/>
      <c r="B135" s="52"/>
      <c r="C135" s="24" t="s">
        <v>179</v>
      </c>
      <c r="D135" s="50"/>
      <c r="E135" s="6">
        <v>0</v>
      </c>
      <c r="F135" s="6">
        <v>1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1</v>
      </c>
      <c r="R135" s="6">
        <v>0</v>
      </c>
      <c r="S135" s="5">
        <f t="shared" si="31"/>
        <v>2</v>
      </c>
      <c r="T135" s="20"/>
      <c r="U135" s="20"/>
    </row>
    <row r="136" spans="1:21" x14ac:dyDescent="0.4">
      <c r="A136" s="7"/>
      <c r="B136" s="52"/>
      <c r="C136" s="24" t="s">
        <v>180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5">
        <f t="shared" si="31"/>
        <v>1</v>
      </c>
      <c r="T136" s="20"/>
      <c r="U136" s="20"/>
    </row>
    <row r="137" spans="1:21" x14ac:dyDescent="0.4">
      <c r="A137" s="7"/>
      <c r="B137" s="52"/>
      <c r="C137" s="24" t="s">
        <v>181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5">
        <f t="shared" si="31"/>
        <v>0</v>
      </c>
      <c r="T137" s="20"/>
      <c r="U137" s="20"/>
    </row>
    <row r="138" spans="1:21" x14ac:dyDescent="0.4">
      <c r="A138" s="7"/>
      <c r="B138" s="52"/>
      <c r="C138" s="24" t="s">
        <v>182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5">
        <f t="shared" si="31"/>
        <v>0</v>
      </c>
      <c r="T138" s="20"/>
      <c r="U138" s="20"/>
    </row>
    <row r="139" spans="1:21" x14ac:dyDescent="0.4">
      <c r="A139" s="6" t="s">
        <v>26</v>
      </c>
      <c r="B139" s="67" t="s">
        <v>51</v>
      </c>
      <c r="C139" s="68"/>
      <c r="D139" s="69"/>
      <c r="E139" s="5">
        <f t="shared" ref="E139:S139" si="32">SUM(E129:E138)</f>
        <v>5</v>
      </c>
      <c r="F139" s="5">
        <f t="shared" si="32"/>
        <v>1</v>
      </c>
      <c r="G139" s="5">
        <f t="shared" si="32"/>
        <v>2</v>
      </c>
      <c r="H139" s="5">
        <f t="shared" si="32"/>
        <v>0</v>
      </c>
      <c r="I139" s="5">
        <f t="shared" si="32"/>
        <v>0</v>
      </c>
      <c r="J139" s="5">
        <f t="shared" si="32"/>
        <v>0</v>
      </c>
      <c r="K139" s="5">
        <f t="shared" si="32"/>
        <v>3</v>
      </c>
      <c r="L139" s="5">
        <f t="shared" si="32"/>
        <v>3</v>
      </c>
      <c r="M139" s="5">
        <f t="shared" si="32"/>
        <v>0</v>
      </c>
      <c r="N139" s="5">
        <f t="shared" si="32"/>
        <v>2</v>
      </c>
      <c r="O139" s="5">
        <f t="shared" si="32"/>
        <v>0</v>
      </c>
      <c r="P139" s="5">
        <f t="shared" si="32"/>
        <v>0</v>
      </c>
      <c r="Q139" s="5">
        <f t="shared" si="32"/>
        <v>6</v>
      </c>
      <c r="R139" s="5">
        <f t="shared" si="32"/>
        <v>0</v>
      </c>
      <c r="S139" s="5">
        <f t="shared" si="32"/>
        <v>22</v>
      </c>
      <c r="T139" s="20"/>
      <c r="U139" s="20"/>
    </row>
    <row r="140" spans="1:21" x14ac:dyDescent="0.4">
      <c r="A140" s="70"/>
      <c r="B140" s="71"/>
      <c r="C140" s="71"/>
      <c r="D140" s="71"/>
      <c r="E140" s="72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20"/>
      <c r="U140" s="20"/>
    </row>
    <row r="141" spans="1:21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5">
        <f t="shared" ref="S141:S150" si="33">SUM(E141:R141)</f>
        <v>0</v>
      </c>
      <c r="T141" s="1"/>
      <c r="U141" s="1"/>
    </row>
    <row r="142" spans="1:21" x14ac:dyDescent="0.4">
      <c r="A142" s="11" t="s">
        <v>50</v>
      </c>
      <c r="B142" s="52"/>
      <c r="C142" s="24" t="s">
        <v>183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5">
        <f t="shared" si="33"/>
        <v>0</v>
      </c>
      <c r="T142" s="27"/>
      <c r="U142" s="27"/>
    </row>
    <row r="143" spans="1:21" x14ac:dyDescent="0.4">
      <c r="A143" s="7"/>
      <c r="B143" s="52"/>
      <c r="C143" s="24" t="s">
        <v>184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5">
        <f t="shared" si="33"/>
        <v>0</v>
      </c>
      <c r="T143" s="20"/>
      <c r="U143" s="20"/>
    </row>
    <row r="144" spans="1:21" x14ac:dyDescent="0.4">
      <c r="A144" s="7"/>
      <c r="B144" s="52"/>
      <c r="C144" s="24" t="s">
        <v>185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5">
        <f t="shared" si="33"/>
        <v>0</v>
      </c>
      <c r="T144" s="20"/>
      <c r="U144" s="20"/>
    </row>
    <row r="145" spans="1:2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>
        <f t="shared" si="33"/>
        <v>0</v>
      </c>
      <c r="T145" s="20"/>
      <c r="U145" s="20"/>
    </row>
    <row r="146" spans="1:2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>
        <f t="shared" si="33"/>
        <v>0</v>
      </c>
      <c r="T146" s="20"/>
      <c r="U146" s="20"/>
    </row>
    <row r="147" spans="1:2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5">
        <f t="shared" si="33"/>
        <v>0</v>
      </c>
      <c r="T147" s="20"/>
      <c r="U147" s="20"/>
    </row>
    <row r="148" spans="1:2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5">
        <f t="shared" si="33"/>
        <v>0</v>
      </c>
      <c r="T148" s="20"/>
      <c r="U148" s="20"/>
    </row>
    <row r="149" spans="1:2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>
        <f t="shared" si="33"/>
        <v>0</v>
      </c>
      <c r="T149" s="20"/>
      <c r="U149" s="20"/>
    </row>
    <row r="150" spans="1:2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>
        <f t="shared" si="33"/>
        <v>0</v>
      </c>
      <c r="T150" s="20"/>
      <c r="U150" s="20"/>
    </row>
    <row r="151" spans="1:21" ht="13.15" customHeight="1" x14ac:dyDescent="0.4">
      <c r="A151" s="6" t="s">
        <v>26</v>
      </c>
      <c r="B151" s="67" t="s">
        <v>51</v>
      </c>
      <c r="C151" s="68"/>
      <c r="D151" s="69"/>
      <c r="E151" s="5">
        <f t="shared" ref="E151:S151" si="34">SUM(E141:E150)</f>
        <v>0</v>
      </c>
      <c r="F151" s="5">
        <f t="shared" si="34"/>
        <v>0</v>
      </c>
      <c r="G151" s="5">
        <f t="shared" si="34"/>
        <v>0</v>
      </c>
      <c r="H151" s="5">
        <f t="shared" si="34"/>
        <v>0</v>
      </c>
      <c r="I151" s="5">
        <f t="shared" si="34"/>
        <v>0</v>
      </c>
      <c r="J151" s="5">
        <f t="shared" si="34"/>
        <v>0</v>
      </c>
      <c r="K151" s="5">
        <f t="shared" si="34"/>
        <v>0</v>
      </c>
      <c r="L151" s="5">
        <f t="shared" si="34"/>
        <v>0</v>
      </c>
      <c r="M151" s="5">
        <f t="shared" si="34"/>
        <v>0</v>
      </c>
      <c r="N151" s="5">
        <f t="shared" si="34"/>
        <v>0</v>
      </c>
      <c r="O151" s="5">
        <f t="shared" si="34"/>
        <v>0</v>
      </c>
      <c r="P151" s="5">
        <f t="shared" si="34"/>
        <v>0</v>
      </c>
      <c r="Q151" s="5">
        <f t="shared" si="34"/>
        <v>0</v>
      </c>
      <c r="R151" s="5">
        <f t="shared" si="34"/>
        <v>0</v>
      </c>
      <c r="S151" s="5">
        <f t="shared" si="34"/>
        <v>0</v>
      </c>
      <c r="T151" s="1"/>
      <c r="U151" s="1"/>
    </row>
    <row r="152" spans="1:21" x14ac:dyDescent="0.4">
      <c r="A152" s="70"/>
      <c r="B152" s="71"/>
      <c r="C152" s="71"/>
      <c r="D152" s="71"/>
      <c r="E152" s="72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5"/>
      <c r="T152" s="27"/>
      <c r="U152" s="27"/>
    </row>
    <row r="153" spans="1:21" x14ac:dyDescent="0.4">
      <c r="A153" s="11" t="s">
        <v>48</v>
      </c>
      <c r="B153" s="44" t="s">
        <v>65</v>
      </c>
      <c r="C153" s="78" t="s">
        <v>66</v>
      </c>
      <c r="D153" s="79"/>
      <c r="E153" s="6">
        <v>1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5">
        <f t="shared" ref="S153:S162" si="35">SUM(E153:R153)</f>
        <v>2</v>
      </c>
      <c r="T153" s="20"/>
      <c r="U153" s="20"/>
    </row>
    <row r="154" spans="1:21" x14ac:dyDescent="0.4">
      <c r="A154" s="54" t="s">
        <v>50</v>
      </c>
      <c r="B154" s="56"/>
      <c r="C154" s="24" t="s">
        <v>186</v>
      </c>
      <c r="D154" s="57"/>
      <c r="E154" s="55">
        <v>1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1</v>
      </c>
      <c r="R154" s="6">
        <v>0</v>
      </c>
      <c r="S154" s="5">
        <f t="shared" si="35"/>
        <v>4</v>
      </c>
      <c r="T154" s="20"/>
      <c r="U154" s="20"/>
    </row>
    <row r="155" spans="1:21" x14ac:dyDescent="0.4">
      <c r="A155" s="7"/>
      <c r="B155" s="56"/>
      <c r="C155" s="24" t="s">
        <v>187</v>
      </c>
      <c r="D155" s="57"/>
      <c r="E155" s="55">
        <v>0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5">
        <f t="shared" si="35"/>
        <v>2</v>
      </c>
      <c r="T155" s="20"/>
      <c r="U155" s="20"/>
    </row>
    <row r="156" spans="1:21" x14ac:dyDescent="0.4">
      <c r="A156" s="7"/>
      <c r="B156" s="56"/>
      <c r="C156" s="24" t="s">
        <v>188</v>
      </c>
      <c r="D156" s="57"/>
      <c r="E156" s="55">
        <v>0</v>
      </c>
      <c r="F156" s="6">
        <v>1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5">
        <f t="shared" si="35"/>
        <v>2</v>
      </c>
      <c r="T156" s="20"/>
      <c r="U156" s="20"/>
    </row>
    <row r="157" spans="1:21" x14ac:dyDescent="0.4">
      <c r="A157" s="7"/>
      <c r="B157" s="56"/>
      <c r="C157" s="24" t="s">
        <v>189</v>
      </c>
      <c r="D157" s="57"/>
      <c r="E157" s="5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1</v>
      </c>
      <c r="P157" s="6">
        <v>0</v>
      </c>
      <c r="Q157" s="6">
        <v>0</v>
      </c>
      <c r="R157" s="6">
        <v>0</v>
      </c>
      <c r="S157" s="5">
        <f t="shared" si="35"/>
        <v>1</v>
      </c>
      <c r="T157" s="20"/>
      <c r="U157" s="20"/>
    </row>
    <row r="158" spans="1:21" x14ac:dyDescent="0.4">
      <c r="A158" s="7"/>
      <c r="B158" s="56"/>
      <c r="C158" s="24" t="s">
        <v>190</v>
      </c>
      <c r="D158" s="57"/>
      <c r="E158" s="55">
        <v>0</v>
      </c>
      <c r="F158" s="6">
        <v>1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5">
        <f t="shared" si="35"/>
        <v>1</v>
      </c>
      <c r="T158" s="20"/>
      <c r="U158" s="20"/>
    </row>
    <row r="159" spans="1:21" x14ac:dyDescent="0.4">
      <c r="A159" s="7"/>
      <c r="B159" s="56"/>
      <c r="C159" s="24" t="s">
        <v>191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5">
        <f t="shared" si="35"/>
        <v>0</v>
      </c>
      <c r="T159" s="20"/>
      <c r="U159" s="20"/>
    </row>
    <row r="160" spans="1:21" x14ac:dyDescent="0.4">
      <c r="A160" s="7"/>
      <c r="B160" s="56"/>
      <c r="C160" s="24" t="s">
        <v>192</v>
      </c>
      <c r="D160" s="57"/>
      <c r="E160" s="55">
        <v>0</v>
      </c>
      <c r="F160" s="6">
        <v>2</v>
      </c>
      <c r="G160" s="6">
        <v>1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5">
        <f t="shared" si="35"/>
        <v>3</v>
      </c>
      <c r="T160" s="20"/>
      <c r="U160" s="20"/>
    </row>
    <row r="161" spans="1:21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>
        <f t="shared" si="35"/>
        <v>0</v>
      </c>
      <c r="T161" s="20"/>
      <c r="U161" s="20"/>
    </row>
    <row r="162" spans="1:21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>
        <f t="shared" si="35"/>
        <v>0</v>
      </c>
      <c r="T162" s="20"/>
      <c r="U162" s="20"/>
    </row>
    <row r="163" spans="1:21" x14ac:dyDescent="0.4">
      <c r="A163" s="6" t="s">
        <v>26</v>
      </c>
      <c r="B163" s="80" t="s">
        <v>51</v>
      </c>
      <c r="C163" s="81"/>
      <c r="D163" s="82"/>
      <c r="E163" s="5">
        <f t="shared" ref="E163:S163" si="36">SUM(E153:E162)</f>
        <v>2</v>
      </c>
      <c r="F163" s="5">
        <f t="shared" si="36"/>
        <v>4</v>
      </c>
      <c r="G163" s="5">
        <f t="shared" si="36"/>
        <v>1</v>
      </c>
      <c r="H163" s="5">
        <f t="shared" si="36"/>
        <v>1</v>
      </c>
      <c r="I163" s="5">
        <f t="shared" si="36"/>
        <v>2</v>
      </c>
      <c r="J163" s="5">
        <f t="shared" si="36"/>
        <v>1</v>
      </c>
      <c r="K163" s="5">
        <f t="shared" si="36"/>
        <v>0</v>
      </c>
      <c r="L163" s="5">
        <f t="shared" si="36"/>
        <v>0</v>
      </c>
      <c r="M163" s="5">
        <f t="shared" si="36"/>
        <v>1</v>
      </c>
      <c r="N163" s="5">
        <f t="shared" si="36"/>
        <v>0</v>
      </c>
      <c r="O163" s="5">
        <f t="shared" si="36"/>
        <v>2</v>
      </c>
      <c r="P163" s="5">
        <f t="shared" si="36"/>
        <v>0</v>
      </c>
      <c r="Q163" s="5">
        <f t="shared" si="36"/>
        <v>1</v>
      </c>
      <c r="R163" s="5">
        <f t="shared" si="36"/>
        <v>0</v>
      </c>
      <c r="S163" s="5">
        <f t="shared" si="36"/>
        <v>15</v>
      </c>
      <c r="T163" s="20"/>
      <c r="U163" s="20"/>
    </row>
    <row r="164" spans="1:21" x14ac:dyDescent="0.4">
      <c r="A164" s="70"/>
      <c r="B164" s="71"/>
      <c r="C164" s="71"/>
      <c r="D164" s="71"/>
      <c r="E164" s="7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20"/>
      <c r="U164" s="20"/>
    </row>
    <row r="165" spans="1:21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2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5">
        <f t="shared" ref="S165:S174" si="37">SUM(E165:R165)</f>
        <v>4</v>
      </c>
      <c r="T165" s="1"/>
      <c r="U165" s="1"/>
    </row>
    <row r="166" spans="1:21" x14ac:dyDescent="0.4">
      <c r="A166" s="11" t="s">
        <v>50</v>
      </c>
      <c r="B166" s="52"/>
      <c r="C166" s="24" t="s">
        <v>193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5">
        <f t="shared" si="37"/>
        <v>2</v>
      </c>
      <c r="T166" s="27"/>
      <c r="U166" s="27"/>
    </row>
    <row r="167" spans="1:2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5">
        <f t="shared" si="37"/>
        <v>0</v>
      </c>
      <c r="T167" s="20"/>
      <c r="U167" s="20"/>
    </row>
    <row r="168" spans="1:2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>
        <f t="shared" si="37"/>
        <v>0</v>
      </c>
      <c r="T168" s="20"/>
      <c r="U168" s="20"/>
    </row>
    <row r="169" spans="1:2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>
        <f t="shared" si="37"/>
        <v>0</v>
      </c>
      <c r="T169" s="20"/>
      <c r="U169" s="20"/>
    </row>
    <row r="170" spans="1:2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5">
        <f t="shared" si="37"/>
        <v>0</v>
      </c>
      <c r="T170" s="20"/>
      <c r="U170" s="20"/>
    </row>
    <row r="171" spans="1:2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5">
        <f t="shared" si="37"/>
        <v>0</v>
      </c>
      <c r="T171" s="20"/>
      <c r="U171" s="20"/>
    </row>
    <row r="172" spans="1:2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5">
        <f t="shared" si="37"/>
        <v>0</v>
      </c>
      <c r="T172" s="20"/>
      <c r="U172" s="20"/>
    </row>
    <row r="173" spans="1:2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5">
        <f t="shared" si="37"/>
        <v>0</v>
      </c>
      <c r="T173" s="20"/>
      <c r="U173" s="20"/>
    </row>
    <row r="174" spans="1:2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>
        <f t="shared" si="37"/>
        <v>0</v>
      </c>
      <c r="T174" s="20"/>
      <c r="U174" s="20"/>
    </row>
    <row r="175" spans="1:21" x14ac:dyDescent="0.4">
      <c r="A175" s="6" t="s">
        <v>26</v>
      </c>
      <c r="B175" s="67" t="s">
        <v>51</v>
      </c>
      <c r="C175" s="68"/>
      <c r="D175" s="69"/>
      <c r="E175" s="5">
        <f t="shared" ref="E175:S175" si="38">SUM(E165:E174)</f>
        <v>0</v>
      </c>
      <c r="F175" s="5">
        <f t="shared" si="38"/>
        <v>2</v>
      </c>
      <c r="G175" s="5">
        <f t="shared" si="38"/>
        <v>1</v>
      </c>
      <c r="H175" s="5">
        <f t="shared" si="38"/>
        <v>0</v>
      </c>
      <c r="I175" s="5">
        <f t="shared" si="38"/>
        <v>0</v>
      </c>
      <c r="J175" s="5">
        <f t="shared" si="38"/>
        <v>1</v>
      </c>
      <c r="K175" s="5">
        <f t="shared" si="38"/>
        <v>1</v>
      </c>
      <c r="L175" s="5">
        <f t="shared" si="38"/>
        <v>0</v>
      </c>
      <c r="M175" s="5">
        <f t="shared" si="38"/>
        <v>0</v>
      </c>
      <c r="N175" s="5">
        <f t="shared" si="38"/>
        <v>0</v>
      </c>
      <c r="O175" s="5">
        <f t="shared" si="38"/>
        <v>0</v>
      </c>
      <c r="P175" s="5">
        <f t="shared" si="38"/>
        <v>0</v>
      </c>
      <c r="Q175" s="5">
        <f t="shared" si="38"/>
        <v>0</v>
      </c>
      <c r="R175" s="5">
        <f t="shared" si="38"/>
        <v>1</v>
      </c>
      <c r="S175" s="5">
        <f t="shared" si="38"/>
        <v>6</v>
      </c>
      <c r="T175" s="20"/>
      <c r="U175" s="20"/>
    </row>
    <row r="176" spans="1:21" ht="13.15" customHeight="1" x14ac:dyDescent="0.4">
      <c r="A176" s="70"/>
      <c r="B176" s="71"/>
      <c r="C176" s="71"/>
      <c r="D176" s="71"/>
      <c r="E176" s="7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"/>
      <c r="U176" s="1"/>
    </row>
    <row r="177" spans="1:21" x14ac:dyDescent="0.4">
      <c r="A177" s="11" t="s">
        <v>48</v>
      </c>
      <c r="B177" s="17" t="s">
        <v>69</v>
      </c>
      <c r="C177" s="73" t="s">
        <v>70</v>
      </c>
      <c r="D177" s="74"/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5">
        <f t="shared" ref="S177:S187" si="39">SUM(E177:R177)</f>
        <v>1</v>
      </c>
    </row>
    <row r="178" spans="1:21" x14ac:dyDescent="0.4">
      <c r="A178" s="11" t="s">
        <v>50</v>
      </c>
      <c r="B178" s="52"/>
      <c r="C178" s="24" t="s">
        <v>194</v>
      </c>
      <c r="D178" s="50"/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1</v>
      </c>
      <c r="O178" s="6">
        <v>0</v>
      </c>
      <c r="P178" s="6">
        <v>1</v>
      </c>
      <c r="Q178" s="6">
        <v>0</v>
      </c>
      <c r="R178" s="6">
        <v>1</v>
      </c>
      <c r="S178" s="5">
        <f t="shared" si="39"/>
        <v>4</v>
      </c>
      <c r="T178" s="20"/>
      <c r="U178" s="20"/>
    </row>
    <row r="179" spans="1:21" x14ac:dyDescent="0.4">
      <c r="A179" s="7"/>
      <c r="B179" s="52"/>
      <c r="C179" s="24" t="s">
        <v>195</v>
      </c>
      <c r="D179" s="50"/>
      <c r="E179" s="6">
        <v>1</v>
      </c>
      <c r="F179" s="6">
        <v>1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5">
        <f t="shared" si="39"/>
        <v>2</v>
      </c>
      <c r="T179" s="20"/>
      <c r="U179" s="20"/>
    </row>
    <row r="180" spans="1:21" x14ac:dyDescent="0.4">
      <c r="A180" s="7"/>
      <c r="B180" s="52"/>
      <c r="C180" s="24" t="s">
        <v>196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5">
        <f t="shared" si="39"/>
        <v>0</v>
      </c>
      <c r="T180" s="20"/>
      <c r="U180" s="20"/>
    </row>
    <row r="181" spans="1:21" x14ac:dyDescent="0.4">
      <c r="A181" s="7"/>
      <c r="B181" s="52"/>
      <c r="C181" s="24" t="s">
        <v>197</v>
      </c>
      <c r="D181" s="50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5">
        <f t="shared" si="39"/>
        <v>1</v>
      </c>
      <c r="T181" s="20"/>
      <c r="U181" s="20"/>
    </row>
    <row r="182" spans="1:21" x14ac:dyDescent="0.4">
      <c r="A182" s="7"/>
      <c r="B182" s="52"/>
      <c r="C182" s="24" t="s">
        <v>198</v>
      </c>
      <c r="D182" s="50"/>
      <c r="E182" s="6">
        <v>0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1</v>
      </c>
      <c r="S182" s="5">
        <f t="shared" si="39"/>
        <v>2</v>
      </c>
      <c r="T182" s="20"/>
      <c r="U182" s="20"/>
    </row>
    <row r="183" spans="1:21" x14ac:dyDescent="0.4">
      <c r="A183" s="7"/>
      <c r="B183" s="52"/>
      <c r="C183" s="24" t="s">
        <v>199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1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5">
        <f t="shared" si="39"/>
        <v>1</v>
      </c>
      <c r="T183" s="20"/>
      <c r="U183" s="20"/>
    </row>
    <row r="184" spans="1:21" x14ac:dyDescent="0.4">
      <c r="A184" s="7"/>
      <c r="B184" s="52"/>
      <c r="C184" s="24" t="s">
        <v>200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5">
        <f t="shared" si="39"/>
        <v>0</v>
      </c>
      <c r="T184" s="20"/>
      <c r="U184" s="20"/>
    </row>
    <row r="185" spans="1:21" x14ac:dyDescent="0.4">
      <c r="A185" s="7"/>
      <c r="B185" s="52"/>
      <c r="C185" s="24" t="s">
        <v>201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5">
        <f t="shared" si="39"/>
        <v>1</v>
      </c>
      <c r="T185" s="20"/>
      <c r="U185" s="20"/>
    </row>
    <row r="186" spans="1:21" x14ac:dyDescent="0.4">
      <c r="A186" s="7"/>
      <c r="B186" s="52"/>
      <c r="C186" s="24" t="s">
        <v>202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5">
        <f t="shared" si="39"/>
        <v>0</v>
      </c>
      <c r="T186" s="20"/>
      <c r="U186" s="20"/>
    </row>
    <row r="187" spans="1:21" ht="13.15" customHeight="1" x14ac:dyDescent="0.4">
      <c r="A187" s="6" t="s">
        <v>26</v>
      </c>
      <c r="B187" s="67" t="s">
        <v>51</v>
      </c>
      <c r="C187" s="68"/>
      <c r="D187" s="69"/>
      <c r="E187" s="5">
        <f t="shared" ref="E187:S187" si="40">SUM(E177:E186)</f>
        <v>2</v>
      </c>
      <c r="F187" s="5">
        <f t="shared" si="40"/>
        <v>1</v>
      </c>
      <c r="G187" s="5">
        <f t="shared" si="40"/>
        <v>0</v>
      </c>
      <c r="H187" s="5">
        <f t="shared" si="40"/>
        <v>1</v>
      </c>
      <c r="I187" s="5">
        <f t="shared" si="40"/>
        <v>2</v>
      </c>
      <c r="J187" s="5">
        <f t="shared" si="40"/>
        <v>0</v>
      </c>
      <c r="K187" s="5">
        <f t="shared" si="40"/>
        <v>0</v>
      </c>
      <c r="L187" s="5">
        <f t="shared" si="40"/>
        <v>1</v>
      </c>
      <c r="M187" s="5">
        <f t="shared" si="40"/>
        <v>1</v>
      </c>
      <c r="N187" s="5">
        <f t="shared" si="40"/>
        <v>1</v>
      </c>
      <c r="O187" s="5">
        <f t="shared" si="40"/>
        <v>0</v>
      </c>
      <c r="P187" s="5">
        <f t="shared" si="40"/>
        <v>1</v>
      </c>
      <c r="Q187" s="5">
        <f t="shared" si="40"/>
        <v>0</v>
      </c>
      <c r="R187" s="5">
        <f t="shared" si="40"/>
        <v>2</v>
      </c>
      <c r="S187" s="5">
        <f t="shared" si="40"/>
        <v>12</v>
      </c>
      <c r="T187" s="1"/>
      <c r="U187" s="1"/>
    </row>
    <row r="188" spans="1:21" x14ac:dyDescent="0.4">
      <c r="A188" s="70"/>
      <c r="B188" s="71"/>
      <c r="C188" s="71"/>
      <c r="D188" s="71"/>
      <c r="E188" s="7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5"/>
    </row>
    <row r="189" spans="1:21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1</v>
      </c>
      <c r="S189" s="5">
        <f t="shared" ref="S189:S199" si="41">SUM(E189:R189)</f>
        <v>1</v>
      </c>
      <c r="T189" s="20"/>
      <c r="U189" s="20"/>
    </row>
    <row r="190" spans="1:21" x14ac:dyDescent="0.4">
      <c r="A190" s="11" t="s">
        <v>50</v>
      </c>
      <c r="B190" s="52"/>
      <c r="C190" s="24" t="s">
        <v>203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2</v>
      </c>
      <c r="R190" s="6">
        <v>7</v>
      </c>
      <c r="S190" s="5">
        <f t="shared" si="41"/>
        <v>9</v>
      </c>
      <c r="T190" s="20"/>
      <c r="U190" s="20"/>
    </row>
    <row r="191" spans="1:21" x14ac:dyDescent="0.4">
      <c r="A191" s="7"/>
      <c r="B191" s="52"/>
      <c r="C191" s="24" t="s">
        <v>204</v>
      </c>
      <c r="D191" s="50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5">
        <f t="shared" si="41"/>
        <v>0</v>
      </c>
      <c r="T191" s="20"/>
      <c r="U191" s="20"/>
    </row>
    <row r="192" spans="1:21" x14ac:dyDescent="0.4">
      <c r="A192" s="7"/>
      <c r="B192" s="52"/>
      <c r="C192" s="24" t="s">
        <v>205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1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5">
        <f t="shared" si="41"/>
        <v>1</v>
      </c>
      <c r="T192" s="20"/>
      <c r="U192" s="20"/>
    </row>
    <row r="193" spans="1:21" x14ac:dyDescent="0.4">
      <c r="A193" s="7"/>
      <c r="B193" s="52"/>
      <c r="C193" s="24" t="s">
        <v>206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5">
        <f t="shared" si="41"/>
        <v>0</v>
      </c>
      <c r="T193" s="20"/>
      <c r="U193" s="20"/>
    </row>
    <row r="194" spans="1:21" x14ac:dyDescent="0.4">
      <c r="A194" s="7"/>
      <c r="B194" s="52"/>
      <c r="C194" s="24" t="s">
        <v>207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5">
        <f t="shared" si="41"/>
        <v>0</v>
      </c>
      <c r="T194" s="20"/>
      <c r="U194" s="20"/>
    </row>
    <row r="195" spans="1:21" x14ac:dyDescent="0.4">
      <c r="A195" s="7"/>
      <c r="B195" s="52"/>
      <c r="C195" s="24" t="s">
        <v>208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5">
        <f t="shared" si="41"/>
        <v>0</v>
      </c>
      <c r="T195" s="20"/>
      <c r="U195" s="20"/>
    </row>
    <row r="196" spans="1:21" ht="13.15" customHeight="1" x14ac:dyDescent="0.4">
      <c r="A196" s="7"/>
      <c r="B196" s="52"/>
      <c r="C196" s="24" t="s">
        <v>209</v>
      </c>
      <c r="D196" s="50"/>
      <c r="E196" s="6">
        <v>1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5">
        <f t="shared" si="41"/>
        <v>1</v>
      </c>
      <c r="T196" s="1"/>
      <c r="U196" s="1"/>
    </row>
    <row r="197" spans="1:21" ht="13.15" customHeight="1" x14ac:dyDescent="0.4">
      <c r="A197" s="7"/>
      <c r="B197" s="52"/>
      <c r="C197" s="24" t="s">
        <v>210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5">
        <f t="shared" si="41"/>
        <v>0</v>
      </c>
      <c r="T197" s="1"/>
      <c r="U197" s="1"/>
    </row>
    <row r="198" spans="1:21" ht="13.15" customHeight="1" x14ac:dyDescent="0.4">
      <c r="A198" s="7"/>
      <c r="B198" s="52"/>
      <c r="C198" s="24" t="s">
        <v>211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5">
        <f t="shared" si="41"/>
        <v>0</v>
      </c>
      <c r="T198" s="1"/>
      <c r="U198" s="1"/>
    </row>
    <row r="199" spans="1:21" x14ac:dyDescent="0.4">
      <c r="A199" s="6" t="s">
        <v>26</v>
      </c>
      <c r="B199" s="67" t="s">
        <v>51</v>
      </c>
      <c r="C199" s="68"/>
      <c r="D199" s="69"/>
      <c r="E199" s="5">
        <f t="shared" ref="E199:S199" si="42">SUM(E189:E198)</f>
        <v>1</v>
      </c>
      <c r="F199" s="5">
        <f t="shared" si="42"/>
        <v>0</v>
      </c>
      <c r="G199" s="5">
        <f t="shared" si="42"/>
        <v>0</v>
      </c>
      <c r="H199" s="5">
        <f t="shared" si="42"/>
        <v>0</v>
      </c>
      <c r="I199" s="5">
        <f t="shared" si="42"/>
        <v>1</v>
      </c>
      <c r="J199" s="5">
        <f t="shared" si="42"/>
        <v>0</v>
      </c>
      <c r="K199" s="5">
        <f t="shared" si="42"/>
        <v>0</v>
      </c>
      <c r="L199" s="5">
        <f t="shared" si="42"/>
        <v>0</v>
      </c>
      <c r="M199" s="5">
        <f t="shared" si="42"/>
        <v>0</v>
      </c>
      <c r="N199" s="5">
        <f t="shared" si="42"/>
        <v>0</v>
      </c>
      <c r="O199" s="5">
        <f t="shared" si="42"/>
        <v>0</v>
      </c>
      <c r="P199" s="5">
        <f t="shared" si="42"/>
        <v>0</v>
      </c>
      <c r="Q199" s="5">
        <f t="shared" si="42"/>
        <v>2</v>
      </c>
      <c r="R199" s="5">
        <f t="shared" si="42"/>
        <v>8</v>
      </c>
      <c r="S199" s="5">
        <f t="shared" si="42"/>
        <v>12</v>
      </c>
      <c r="T199" s="27"/>
      <c r="U199" s="27"/>
    </row>
    <row r="200" spans="1:21" x14ac:dyDescent="0.4">
      <c r="A200" s="70"/>
      <c r="B200" s="71"/>
      <c r="C200" s="71"/>
      <c r="D200" s="71"/>
      <c r="E200" s="7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20"/>
      <c r="U200" s="20"/>
    </row>
    <row r="201" spans="1:21" x14ac:dyDescent="0.4">
      <c r="A201" s="11" t="s">
        <v>48</v>
      </c>
      <c r="B201" s="17" t="s">
        <v>73</v>
      </c>
      <c r="C201" s="73" t="s">
        <v>74</v>
      </c>
      <c r="D201" s="74"/>
      <c r="E201" s="6">
        <v>2</v>
      </c>
      <c r="F201" s="6">
        <v>1</v>
      </c>
      <c r="G201" s="6">
        <v>0</v>
      </c>
      <c r="H201" s="6">
        <v>0</v>
      </c>
      <c r="I201" s="6">
        <v>1</v>
      </c>
      <c r="J201" s="6">
        <v>0</v>
      </c>
      <c r="K201" s="6">
        <v>1</v>
      </c>
      <c r="L201" s="6">
        <v>1</v>
      </c>
      <c r="M201" s="6">
        <v>0</v>
      </c>
      <c r="N201" s="6">
        <v>3</v>
      </c>
      <c r="O201" s="6">
        <v>0</v>
      </c>
      <c r="P201" s="6">
        <v>1</v>
      </c>
      <c r="Q201" s="6">
        <v>2</v>
      </c>
      <c r="R201" s="6">
        <v>0</v>
      </c>
      <c r="S201" s="5">
        <f t="shared" ref="S201:S211" si="43">SUM(E201:R201)</f>
        <v>12</v>
      </c>
      <c r="T201" s="20"/>
      <c r="U201" s="20"/>
    </row>
    <row r="202" spans="1:21" x14ac:dyDescent="0.4">
      <c r="A202" s="11" t="s">
        <v>50</v>
      </c>
      <c r="B202" s="52"/>
      <c r="C202" s="24" t="s">
        <v>212</v>
      </c>
      <c r="D202" s="50"/>
      <c r="E202" s="6">
        <v>1</v>
      </c>
      <c r="F202" s="6">
        <v>5</v>
      </c>
      <c r="G202" s="6">
        <v>1</v>
      </c>
      <c r="H202" s="6">
        <v>6</v>
      </c>
      <c r="I202" s="6">
        <v>1</v>
      </c>
      <c r="J202" s="6">
        <v>1</v>
      </c>
      <c r="K202" s="6">
        <v>1</v>
      </c>
      <c r="L202" s="6">
        <v>2</v>
      </c>
      <c r="M202" s="6">
        <v>16</v>
      </c>
      <c r="N202" s="6">
        <v>71</v>
      </c>
      <c r="O202" s="6">
        <v>12</v>
      </c>
      <c r="P202" s="6">
        <v>6</v>
      </c>
      <c r="Q202" s="6">
        <v>8</v>
      </c>
      <c r="R202" s="6">
        <v>4</v>
      </c>
      <c r="S202" s="5">
        <f t="shared" si="43"/>
        <v>135</v>
      </c>
      <c r="T202" s="20"/>
      <c r="U202" s="20"/>
    </row>
    <row r="203" spans="1:21" x14ac:dyDescent="0.4">
      <c r="A203" s="7"/>
      <c r="B203" s="52"/>
      <c r="C203" s="24" t="s">
        <v>213</v>
      </c>
      <c r="D203" s="50"/>
      <c r="E203" s="6">
        <v>0</v>
      </c>
      <c r="F203" s="6">
        <v>0</v>
      </c>
      <c r="G203" s="6">
        <v>0</v>
      </c>
      <c r="H203" s="6">
        <v>2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>
        <v>0</v>
      </c>
      <c r="O203" s="6">
        <v>1</v>
      </c>
      <c r="P203" s="6">
        <v>0</v>
      </c>
      <c r="Q203" s="6">
        <v>0</v>
      </c>
      <c r="R203" s="6">
        <v>1</v>
      </c>
      <c r="S203" s="5">
        <f t="shared" si="43"/>
        <v>5</v>
      </c>
      <c r="T203" s="20"/>
      <c r="U203" s="20"/>
    </row>
    <row r="204" spans="1:21" x14ac:dyDescent="0.4">
      <c r="A204" s="7"/>
      <c r="B204" s="52"/>
      <c r="C204" s="24" t="s">
        <v>214</v>
      </c>
      <c r="D204" s="50"/>
      <c r="E204" s="6">
        <v>0</v>
      </c>
      <c r="F204" s="6">
        <v>0</v>
      </c>
      <c r="G204" s="6">
        <v>0</v>
      </c>
      <c r="H204" s="6">
        <v>1</v>
      </c>
      <c r="I204" s="6">
        <v>0</v>
      </c>
      <c r="J204" s="6">
        <v>0</v>
      </c>
      <c r="K204" s="6">
        <v>0</v>
      </c>
      <c r="L204" s="6">
        <v>0</v>
      </c>
      <c r="M204" s="6">
        <v>1</v>
      </c>
      <c r="N204" s="6">
        <v>0</v>
      </c>
      <c r="O204" s="6">
        <v>0</v>
      </c>
      <c r="P204" s="6">
        <v>0</v>
      </c>
      <c r="Q204" s="6">
        <v>1</v>
      </c>
      <c r="R204" s="6">
        <v>0</v>
      </c>
      <c r="S204" s="5">
        <f t="shared" si="43"/>
        <v>3</v>
      </c>
      <c r="T204" s="20"/>
      <c r="U204" s="20"/>
    </row>
    <row r="205" spans="1:21" x14ac:dyDescent="0.4">
      <c r="A205" s="7"/>
      <c r="B205" s="52"/>
      <c r="C205" s="24" t="s">
        <v>215</v>
      </c>
      <c r="D205" s="50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1</v>
      </c>
      <c r="R205" s="6">
        <v>0</v>
      </c>
      <c r="S205" s="5">
        <f t="shared" si="43"/>
        <v>1</v>
      </c>
      <c r="T205" s="20"/>
      <c r="U205" s="20"/>
    </row>
    <row r="206" spans="1:21" x14ac:dyDescent="0.4">
      <c r="A206" s="7"/>
      <c r="B206" s="52"/>
      <c r="C206" s="24" t="s">
        <v>216</v>
      </c>
      <c r="D206" s="50"/>
      <c r="E206" s="6">
        <v>0</v>
      </c>
      <c r="F206" s="6">
        <v>1</v>
      </c>
      <c r="G206" s="6">
        <v>0</v>
      </c>
      <c r="H206" s="6">
        <v>2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5">
        <f t="shared" si="43"/>
        <v>4</v>
      </c>
      <c r="T206" s="20"/>
      <c r="U206" s="20"/>
    </row>
    <row r="207" spans="1:21" ht="13.15" customHeight="1" x14ac:dyDescent="0.4">
      <c r="A207" s="7"/>
      <c r="B207" s="52"/>
      <c r="C207" s="24" t="s">
        <v>217</v>
      </c>
      <c r="D207" s="50"/>
      <c r="E207" s="6">
        <v>0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5">
        <f t="shared" si="43"/>
        <v>1</v>
      </c>
      <c r="T207" s="1"/>
      <c r="U207" s="1"/>
    </row>
    <row r="208" spans="1:21" x14ac:dyDescent="0.4">
      <c r="A208" s="7"/>
      <c r="B208" s="52"/>
      <c r="C208" s="24" t="s">
        <v>218</v>
      </c>
      <c r="D208" s="50"/>
      <c r="E208" s="6">
        <v>0</v>
      </c>
      <c r="F208" s="6">
        <v>0</v>
      </c>
      <c r="G208" s="6">
        <v>1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5">
        <f t="shared" si="43"/>
        <v>1</v>
      </c>
      <c r="T208" s="27"/>
      <c r="U208" s="27"/>
    </row>
    <row r="209" spans="1:21" x14ac:dyDescent="0.4">
      <c r="A209" s="7"/>
      <c r="B209" s="52"/>
      <c r="C209" s="24" t="s">
        <v>219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5">
        <f t="shared" si="43"/>
        <v>0</v>
      </c>
      <c r="T209" s="27"/>
      <c r="U209" s="27"/>
    </row>
    <row r="210" spans="1:21" x14ac:dyDescent="0.4">
      <c r="A210" s="7"/>
      <c r="B210" s="52"/>
      <c r="C210" s="24" t="s">
        <v>220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1</v>
      </c>
      <c r="S210" s="5">
        <f t="shared" si="43"/>
        <v>1</v>
      </c>
      <c r="T210" s="27"/>
      <c r="U210" s="27"/>
    </row>
    <row r="211" spans="1:21" x14ac:dyDescent="0.4">
      <c r="A211" s="6" t="s">
        <v>26</v>
      </c>
      <c r="B211" s="67" t="s">
        <v>51</v>
      </c>
      <c r="C211" s="68"/>
      <c r="D211" s="69"/>
      <c r="E211" s="5">
        <f t="shared" ref="E211:S211" si="44">SUM(E201:E210)</f>
        <v>3</v>
      </c>
      <c r="F211" s="5">
        <f t="shared" si="44"/>
        <v>7</v>
      </c>
      <c r="G211" s="5">
        <f t="shared" si="44"/>
        <v>2</v>
      </c>
      <c r="H211" s="5">
        <f t="shared" si="44"/>
        <v>12</v>
      </c>
      <c r="I211" s="5">
        <f t="shared" si="44"/>
        <v>2</v>
      </c>
      <c r="J211" s="5">
        <f t="shared" si="44"/>
        <v>1</v>
      </c>
      <c r="K211" s="5">
        <f t="shared" si="44"/>
        <v>3</v>
      </c>
      <c r="L211" s="5">
        <f t="shared" si="44"/>
        <v>3</v>
      </c>
      <c r="M211" s="5">
        <f t="shared" si="44"/>
        <v>17</v>
      </c>
      <c r="N211" s="5">
        <f t="shared" si="44"/>
        <v>74</v>
      </c>
      <c r="O211" s="5">
        <f t="shared" si="44"/>
        <v>13</v>
      </c>
      <c r="P211" s="5">
        <f t="shared" si="44"/>
        <v>7</v>
      </c>
      <c r="Q211" s="5">
        <f t="shared" si="44"/>
        <v>13</v>
      </c>
      <c r="R211" s="5">
        <f t="shared" si="44"/>
        <v>6</v>
      </c>
      <c r="S211" s="5">
        <f t="shared" si="44"/>
        <v>163</v>
      </c>
      <c r="T211" s="20"/>
      <c r="U211" s="20"/>
    </row>
    <row r="212" spans="1:21" x14ac:dyDescent="0.4">
      <c r="A212" s="70"/>
      <c r="B212" s="71"/>
      <c r="C212" s="71"/>
      <c r="D212" s="71"/>
      <c r="E212" s="7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20"/>
      <c r="U212" s="20"/>
    </row>
    <row r="213" spans="1:21" x14ac:dyDescent="0.4">
      <c r="A213" s="11" t="s">
        <v>48</v>
      </c>
      <c r="B213" s="17" t="s">
        <v>75</v>
      </c>
      <c r="C213" s="73" t="s">
        <v>76</v>
      </c>
      <c r="D213" s="74"/>
      <c r="E213" s="6">
        <v>6</v>
      </c>
      <c r="F213" s="6">
        <v>0</v>
      </c>
      <c r="G213" s="6">
        <v>2</v>
      </c>
      <c r="H213" s="6">
        <v>2</v>
      </c>
      <c r="I213" s="6">
        <v>0</v>
      </c>
      <c r="J213" s="6">
        <v>0</v>
      </c>
      <c r="K213" s="6">
        <v>1</v>
      </c>
      <c r="L213" s="6">
        <v>1</v>
      </c>
      <c r="M213" s="6">
        <v>0</v>
      </c>
      <c r="N213" s="6">
        <v>0</v>
      </c>
      <c r="O213" s="6">
        <v>1</v>
      </c>
      <c r="P213" s="6">
        <v>0</v>
      </c>
      <c r="Q213" s="6">
        <v>0</v>
      </c>
      <c r="R213" s="6">
        <v>1</v>
      </c>
      <c r="S213" s="5">
        <f t="shared" ref="S213:S222" si="45">SUM(E213:R213)</f>
        <v>14</v>
      </c>
      <c r="T213" s="20"/>
      <c r="U213" s="20"/>
    </row>
    <row r="214" spans="1:21" x14ac:dyDescent="0.4">
      <c r="A214" s="11" t="s">
        <v>50</v>
      </c>
      <c r="B214" s="52"/>
      <c r="C214" s="24" t="s">
        <v>221</v>
      </c>
      <c r="D214" s="53"/>
      <c r="E214" s="6">
        <v>3</v>
      </c>
      <c r="F214" s="6">
        <v>2</v>
      </c>
      <c r="G214" s="6">
        <v>1</v>
      </c>
      <c r="H214" s="6">
        <v>0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>
        <v>0</v>
      </c>
      <c r="O214" s="6">
        <v>0</v>
      </c>
      <c r="P214" s="6">
        <v>1</v>
      </c>
      <c r="Q214" s="6">
        <v>1</v>
      </c>
      <c r="R214" s="6">
        <v>1</v>
      </c>
      <c r="S214" s="5">
        <f t="shared" si="45"/>
        <v>10</v>
      </c>
      <c r="T214" s="20"/>
      <c r="U214" s="20"/>
    </row>
    <row r="215" spans="1:21" x14ac:dyDescent="0.4">
      <c r="A215" s="7"/>
      <c r="B215" s="52"/>
      <c r="C215" s="24" t="s">
        <v>222</v>
      </c>
      <c r="D215" s="53"/>
      <c r="E215" s="6">
        <v>0</v>
      </c>
      <c r="F215" s="6">
        <v>1</v>
      </c>
      <c r="G215" s="6">
        <v>1</v>
      </c>
      <c r="H215" s="6">
        <v>2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1</v>
      </c>
      <c r="P215" s="6">
        <v>0</v>
      </c>
      <c r="Q215" s="6">
        <v>2</v>
      </c>
      <c r="R215" s="6">
        <v>1</v>
      </c>
      <c r="S215" s="5">
        <f t="shared" si="45"/>
        <v>8</v>
      </c>
      <c r="T215" s="20"/>
      <c r="U215" s="20"/>
    </row>
    <row r="216" spans="1:21" x14ac:dyDescent="0.4">
      <c r="A216" s="7"/>
      <c r="B216" s="52"/>
      <c r="C216" s="24" t="s">
        <v>223</v>
      </c>
      <c r="E216" s="6">
        <v>1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5">
        <f t="shared" si="45"/>
        <v>2</v>
      </c>
      <c r="T216" s="20"/>
      <c r="U216" s="20"/>
    </row>
    <row r="217" spans="1:2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5">
        <f t="shared" si="45"/>
        <v>0</v>
      </c>
      <c r="T217" s="20"/>
      <c r="U217" s="20"/>
    </row>
    <row r="218" spans="1:2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5">
        <f t="shared" si="45"/>
        <v>0</v>
      </c>
      <c r="T218" s="1"/>
      <c r="U218" s="1"/>
    </row>
    <row r="219" spans="1:2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5">
        <f t="shared" si="45"/>
        <v>0</v>
      </c>
      <c r="T219" s="27"/>
      <c r="U219" s="27"/>
    </row>
    <row r="220" spans="1:2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5">
        <f t="shared" si="45"/>
        <v>0</v>
      </c>
      <c r="T220" s="20"/>
      <c r="U220" s="20"/>
    </row>
    <row r="221" spans="1:2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5">
        <f t="shared" si="45"/>
        <v>0</v>
      </c>
      <c r="T221" s="20"/>
      <c r="U221" s="20"/>
    </row>
    <row r="222" spans="1:2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5">
        <f t="shared" si="45"/>
        <v>0</v>
      </c>
      <c r="T222" s="20"/>
      <c r="U222" s="20"/>
    </row>
    <row r="223" spans="1:21" x14ac:dyDescent="0.4">
      <c r="A223" s="6" t="s">
        <v>26</v>
      </c>
      <c r="B223" s="67" t="s">
        <v>51</v>
      </c>
      <c r="C223" s="68"/>
      <c r="D223" s="69"/>
      <c r="E223" s="5">
        <f t="shared" ref="E223:S223" si="46">SUM(E213:E222)</f>
        <v>10</v>
      </c>
      <c r="F223" s="5">
        <f t="shared" si="46"/>
        <v>3</v>
      </c>
      <c r="G223" s="5">
        <f t="shared" si="46"/>
        <v>4</v>
      </c>
      <c r="H223" s="5">
        <f t="shared" si="46"/>
        <v>4</v>
      </c>
      <c r="I223" s="5">
        <f t="shared" si="46"/>
        <v>0</v>
      </c>
      <c r="J223" s="5">
        <f t="shared" si="46"/>
        <v>1</v>
      </c>
      <c r="K223" s="5">
        <f t="shared" si="46"/>
        <v>2</v>
      </c>
      <c r="L223" s="5">
        <f t="shared" si="46"/>
        <v>1</v>
      </c>
      <c r="M223" s="5">
        <f t="shared" si="46"/>
        <v>0</v>
      </c>
      <c r="N223" s="5">
        <f t="shared" si="46"/>
        <v>0</v>
      </c>
      <c r="O223" s="5">
        <f t="shared" si="46"/>
        <v>2</v>
      </c>
      <c r="P223" s="5">
        <f t="shared" si="46"/>
        <v>1</v>
      </c>
      <c r="Q223" s="5">
        <f t="shared" si="46"/>
        <v>3</v>
      </c>
      <c r="R223" s="5">
        <f t="shared" si="46"/>
        <v>3</v>
      </c>
      <c r="S223" s="5">
        <f t="shared" si="46"/>
        <v>34</v>
      </c>
      <c r="T223" s="20"/>
      <c r="U223" s="20"/>
    </row>
    <row r="224" spans="1:21" x14ac:dyDescent="0.4">
      <c r="A224" s="70"/>
      <c r="B224" s="71"/>
      <c r="C224" s="71"/>
      <c r="D224" s="71"/>
      <c r="E224" s="7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20"/>
      <c r="U224" s="20"/>
    </row>
    <row r="225" spans="1:21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>
        <v>0</v>
      </c>
      <c r="Q225" s="6">
        <v>1</v>
      </c>
      <c r="R225" s="6">
        <v>2</v>
      </c>
      <c r="S225" s="5">
        <f t="shared" ref="S225:S234" si="47">SUM(E225:R225)</f>
        <v>6</v>
      </c>
      <c r="T225" s="20"/>
      <c r="U225" s="20"/>
    </row>
    <row r="226" spans="1:21" x14ac:dyDescent="0.4">
      <c r="A226" s="11" t="s">
        <v>50</v>
      </c>
      <c r="B226" s="52"/>
      <c r="C226" s="24" t="s">
        <v>224</v>
      </c>
      <c r="D226" s="50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4</v>
      </c>
      <c r="K226" s="6">
        <v>0</v>
      </c>
      <c r="L226" s="6">
        <v>0</v>
      </c>
      <c r="M226" s="6">
        <v>0</v>
      </c>
      <c r="N226" s="6">
        <v>0</v>
      </c>
      <c r="O226" s="6">
        <v>1</v>
      </c>
      <c r="P226" s="6">
        <v>0</v>
      </c>
      <c r="Q226" s="6">
        <v>0</v>
      </c>
      <c r="R226" s="6">
        <v>2</v>
      </c>
      <c r="S226" s="5">
        <f t="shared" si="47"/>
        <v>7</v>
      </c>
      <c r="T226" s="20"/>
      <c r="U226" s="20"/>
    </row>
    <row r="227" spans="1:21" x14ac:dyDescent="0.4">
      <c r="A227" s="7"/>
      <c r="B227" s="52"/>
      <c r="C227" s="24" t="s">
        <v>225</v>
      </c>
      <c r="D227" s="50"/>
      <c r="E227" s="6">
        <v>1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5">
        <f t="shared" si="47"/>
        <v>1</v>
      </c>
      <c r="T227" s="20"/>
      <c r="U227" s="20"/>
    </row>
    <row r="228" spans="1:21" x14ac:dyDescent="0.4">
      <c r="A228" s="7"/>
      <c r="B228" s="52"/>
      <c r="C228" s="24" t="s">
        <v>226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5">
        <f t="shared" si="47"/>
        <v>0</v>
      </c>
      <c r="T228" s="20"/>
      <c r="U228" s="20"/>
    </row>
    <row r="229" spans="1:21" ht="13.15" customHeight="1" x14ac:dyDescent="0.4">
      <c r="A229" s="7"/>
      <c r="B229" s="52"/>
      <c r="C229" s="24" t="s">
        <v>227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5">
        <f t="shared" si="47"/>
        <v>0</v>
      </c>
      <c r="T229" s="1"/>
      <c r="U229" s="1"/>
    </row>
    <row r="230" spans="1:2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5">
        <f t="shared" si="47"/>
        <v>0</v>
      </c>
      <c r="T230" s="27"/>
      <c r="U230" s="27"/>
    </row>
    <row r="231" spans="1:2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5">
        <f t="shared" si="47"/>
        <v>0</v>
      </c>
      <c r="T231" s="20"/>
      <c r="U231" s="20"/>
    </row>
    <row r="232" spans="1:2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5">
        <f t="shared" si="47"/>
        <v>0</v>
      </c>
      <c r="T232" s="20"/>
      <c r="U232" s="20"/>
    </row>
    <row r="233" spans="1:2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5">
        <f t="shared" si="47"/>
        <v>0</v>
      </c>
      <c r="T233" s="20"/>
      <c r="U233" s="20"/>
    </row>
    <row r="234" spans="1:2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5">
        <f t="shared" si="47"/>
        <v>0</v>
      </c>
      <c r="T234" s="20"/>
      <c r="U234" s="20"/>
    </row>
    <row r="235" spans="1:21" x14ac:dyDescent="0.4">
      <c r="A235" s="6" t="s">
        <v>26</v>
      </c>
      <c r="B235" s="67" t="s">
        <v>51</v>
      </c>
      <c r="C235" s="68"/>
      <c r="D235" s="69"/>
      <c r="E235" s="5">
        <f t="shared" ref="E235:S235" si="48">SUM(E225:E234)</f>
        <v>1</v>
      </c>
      <c r="F235" s="5">
        <f t="shared" si="48"/>
        <v>0</v>
      </c>
      <c r="G235" s="5">
        <f t="shared" si="48"/>
        <v>0</v>
      </c>
      <c r="H235" s="5">
        <f t="shared" si="48"/>
        <v>1</v>
      </c>
      <c r="I235" s="5">
        <f t="shared" si="48"/>
        <v>0</v>
      </c>
      <c r="J235" s="5">
        <f t="shared" si="48"/>
        <v>4</v>
      </c>
      <c r="K235" s="5">
        <f t="shared" si="48"/>
        <v>0</v>
      </c>
      <c r="L235" s="5">
        <f t="shared" si="48"/>
        <v>0</v>
      </c>
      <c r="M235" s="5">
        <f t="shared" si="48"/>
        <v>0</v>
      </c>
      <c r="N235" s="5">
        <f t="shared" si="48"/>
        <v>2</v>
      </c>
      <c r="O235" s="5">
        <f t="shared" si="48"/>
        <v>1</v>
      </c>
      <c r="P235" s="5">
        <f t="shared" si="48"/>
        <v>0</v>
      </c>
      <c r="Q235" s="5">
        <f t="shared" si="48"/>
        <v>1</v>
      </c>
      <c r="R235" s="5">
        <f t="shared" si="48"/>
        <v>4</v>
      </c>
      <c r="S235" s="5">
        <f t="shared" si="48"/>
        <v>14</v>
      </c>
      <c r="T235" s="20"/>
      <c r="U235" s="20"/>
    </row>
    <row r="236" spans="1:21" x14ac:dyDescent="0.4">
      <c r="A236" s="70"/>
      <c r="B236" s="71"/>
      <c r="C236" s="71"/>
      <c r="D236" s="71"/>
      <c r="E236" s="7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20"/>
      <c r="U236" s="20"/>
    </row>
    <row r="237" spans="1:21" x14ac:dyDescent="0.4">
      <c r="A237" s="11" t="s">
        <v>48</v>
      </c>
      <c r="B237" s="17" t="s">
        <v>79</v>
      </c>
      <c r="C237" s="73" t="s">
        <v>80</v>
      </c>
      <c r="D237" s="74"/>
      <c r="E237" s="6">
        <v>3</v>
      </c>
      <c r="F237" s="6">
        <v>2</v>
      </c>
      <c r="G237" s="6">
        <v>0</v>
      </c>
      <c r="H237" s="6">
        <v>0</v>
      </c>
      <c r="I237" s="6">
        <v>2</v>
      </c>
      <c r="J237" s="6">
        <v>4</v>
      </c>
      <c r="K237" s="6">
        <v>0</v>
      </c>
      <c r="L237" s="6">
        <v>2</v>
      </c>
      <c r="M237" s="6">
        <v>4</v>
      </c>
      <c r="N237" s="6">
        <v>1</v>
      </c>
      <c r="O237" s="6">
        <v>1</v>
      </c>
      <c r="P237" s="6">
        <v>1</v>
      </c>
      <c r="Q237" s="6">
        <v>0</v>
      </c>
      <c r="R237" s="6">
        <v>0</v>
      </c>
      <c r="S237" s="5">
        <f t="shared" ref="S237:S247" si="49">SUM(E237:R237)</f>
        <v>20</v>
      </c>
      <c r="T237" s="20"/>
      <c r="U237" s="20"/>
    </row>
    <row r="238" spans="1:21" x14ac:dyDescent="0.4">
      <c r="A238" s="11" t="s">
        <v>50</v>
      </c>
      <c r="B238" s="52"/>
      <c r="C238" s="24" t="s">
        <v>228</v>
      </c>
      <c r="D238" s="50"/>
      <c r="E238" s="6">
        <v>2</v>
      </c>
      <c r="F238" s="6">
        <v>3</v>
      </c>
      <c r="G238" s="6">
        <v>0</v>
      </c>
      <c r="H238" s="6">
        <v>3</v>
      </c>
      <c r="I238" s="6">
        <v>1</v>
      </c>
      <c r="J238" s="6">
        <v>4</v>
      </c>
      <c r="K238" s="6">
        <v>2</v>
      </c>
      <c r="L238" s="6">
        <v>0</v>
      </c>
      <c r="M238" s="6">
        <v>2</v>
      </c>
      <c r="N238" s="6">
        <v>4</v>
      </c>
      <c r="O238" s="6">
        <v>1</v>
      </c>
      <c r="P238" s="6">
        <v>0</v>
      </c>
      <c r="Q238" s="6">
        <v>3</v>
      </c>
      <c r="R238" s="6">
        <v>1</v>
      </c>
      <c r="S238" s="5">
        <f t="shared" si="49"/>
        <v>26</v>
      </c>
      <c r="T238" s="20"/>
      <c r="U238" s="20"/>
    </row>
    <row r="239" spans="1:21" x14ac:dyDescent="0.4">
      <c r="A239" s="7"/>
      <c r="B239" s="52"/>
      <c r="C239" s="24" t="s">
        <v>229</v>
      </c>
      <c r="D239" s="50"/>
      <c r="E239" s="6">
        <v>0</v>
      </c>
      <c r="F239" s="6">
        <v>1</v>
      </c>
      <c r="G239" s="6">
        <v>0</v>
      </c>
      <c r="H239" s="6">
        <v>2</v>
      </c>
      <c r="I239" s="6">
        <v>0</v>
      </c>
      <c r="J239" s="6">
        <v>1</v>
      </c>
      <c r="K239" s="6">
        <v>0</v>
      </c>
      <c r="L239" s="6">
        <v>0</v>
      </c>
      <c r="M239" s="6">
        <v>2</v>
      </c>
      <c r="N239" s="6">
        <v>0</v>
      </c>
      <c r="O239" s="6">
        <v>0</v>
      </c>
      <c r="P239" s="6">
        <v>1</v>
      </c>
      <c r="Q239" s="6">
        <v>0</v>
      </c>
      <c r="R239" s="6">
        <v>0</v>
      </c>
      <c r="S239" s="5">
        <f t="shared" si="49"/>
        <v>7</v>
      </c>
      <c r="T239" s="20"/>
      <c r="U239" s="20"/>
    </row>
    <row r="240" spans="1:21" ht="13.15" customHeight="1" x14ac:dyDescent="0.4">
      <c r="A240" s="7"/>
      <c r="B240" s="52"/>
      <c r="C240" s="24" t="s">
        <v>230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5">
        <f t="shared" si="49"/>
        <v>1</v>
      </c>
      <c r="T240" s="1"/>
      <c r="U240" s="1"/>
    </row>
    <row r="241" spans="1:19" x14ac:dyDescent="0.4">
      <c r="A241" s="7"/>
      <c r="B241" s="52"/>
      <c r="C241" s="24" t="s">
        <v>231</v>
      </c>
      <c r="D241" s="50"/>
      <c r="E241" s="6">
        <v>0</v>
      </c>
      <c r="F241" s="6">
        <v>0</v>
      </c>
      <c r="G241" s="6">
        <v>0</v>
      </c>
      <c r="H241" s="6">
        <v>0</v>
      </c>
      <c r="I241" s="6">
        <v>2</v>
      </c>
      <c r="J241" s="6">
        <v>0</v>
      </c>
      <c r="K241" s="6">
        <v>0</v>
      </c>
      <c r="L241" s="6">
        <v>0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0</v>
      </c>
      <c r="S241" s="5">
        <f t="shared" si="49"/>
        <v>3</v>
      </c>
    </row>
    <row r="242" spans="1:19" ht="12.75" customHeight="1" x14ac:dyDescent="0.4">
      <c r="A242" s="7"/>
      <c r="B242" s="52"/>
      <c r="C242" s="24" t="s">
        <v>232</v>
      </c>
      <c r="D242" s="50"/>
      <c r="E242" s="6">
        <v>16</v>
      </c>
      <c r="F242" s="6">
        <v>3</v>
      </c>
      <c r="G242" s="6">
        <v>4</v>
      </c>
      <c r="H242" s="6">
        <v>74</v>
      </c>
      <c r="I242" s="6">
        <v>51</v>
      </c>
      <c r="J242" s="6">
        <v>42</v>
      </c>
      <c r="K242" s="6">
        <v>56</v>
      </c>
      <c r="L242" s="6">
        <v>27</v>
      </c>
      <c r="M242" s="6">
        <v>50</v>
      </c>
      <c r="N242" s="6">
        <v>43</v>
      </c>
      <c r="O242" s="6">
        <v>1</v>
      </c>
      <c r="P242" s="6">
        <v>3</v>
      </c>
      <c r="Q242" s="6">
        <v>3</v>
      </c>
      <c r="R242" s="6">
        <v>0</v>
      </c>
      <c r="S242" s="5">
        <f t="shared" si="49"/>
        <v>373</v>
      </c>
    </row>
    <row r="243" spans="1:19" x14ac:dyDescent="0.4">
      <c r="A243" s="7"/>
      <c r="B243" s="52"/>
      <c r="C243" s="24" t="s">
        <v>233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2</v>
      </c>
      <c r="J243" s="6">
        <v>0</v>
      </c>
      <c r="K243" s="6">
        <v>0</v>
      </c>
      <c r="L243" s="6">
        <v>1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5">
        <f t="shared" si="49"/>
        <v>3</v>
      </c>
    </row>
    <row r="244" spans="1:19" x14ac:dyDescent="0.4">
      <c r="A244" s="7"/>
      <c r="B244" s="52"/>
      <c r="C244" s="24" t="s">
        <v>234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1</v>
      </c>
      <c r="N244" s="6">
        <v>0</v>
      </c>
      <c r="O244" s="6">
        <v>1</v>
      </c>
      <c r="P244" s="6">
        <v>0</v>
      </c>
      <c r="Q244" s="6">
        <v>0</v>
      </c>
      <c r="R244" s="6">
        <v>0</v>
      </c>
      <c r="S244" s="5">
        <f t="shared" si="49"/>
        <v>2</v>
      </c>
    </row>
    <row r="245" spans="1:19" x14ac:dyDescent="0.4">
      <c r="A245" s="7"/>
      <c r="B245" s="52"/>
      <c r="C245" s="24" t="s">
        <v>235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5">
        <f t="shared" si="49"/>
        <v>0</v>
      </c>
    </row>
    <row r="246" spans="1:19" x14ac:dyDescent="0.4">
      <c r="A246" s="7"/>
      <c r="B246" s="52"/>
      <c r="C246" s="24" t="s">
        <v>236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5">
        <f t="shared" si="49"/>
        <v>1</v>
      </c>
    </row>
    <row r="247" spans="1:19" ht="12.75" customHeight="1" x14ac:dyDescent="0.4">
      <c r="A247" s="6" t="s">
        <v>26</v>
      </c>
      <c r="B247" s="67" t="s">
        <v>51</v>
      </c>
      <c r="C247" s="68"/>
      <c r="D247" s="69"/>
      <c r="E247" s="5">
        <f t="shared" ref="E247:S247" si="50">SUM(E237:E246)</f>
        <v>21</v>
      </c>
      <c r="F247" s="5">
        <f t="shared" si="50"/>
        <v>9</v>
      </c>
      <c r="G247" s="5">
        <f t="shared" si="50"/>
        <v>4</v>
      </c>
      <c r="H247" s="5">
        <f t="shared" si="50"/>
        <v>79</v>
      </c>
      <c r="I247" s="5">
        <f t="shared" si="50"/>
        <v>60</v>
      </c>
      <c r="J247" s="5">
        <f t="shared" si="50"/>
        <v>51</v>
      </c>
      <c r="K247" s="5">
        <f t="shared" si="50"/>
        <v>58</v>
      </c>
      <c r="L247" s="5">
        <f t="shared" si="50"/>
        <v>30</v>
      </c>
      <c r="M247" s="5">
        <f t="shared" si="50"/>
        <v>59</v>
      </c>
      <c r="N247" s="5">
        <f t="shared" si="50"/>
        <v>49</v>
      </c>
      <c r="O247" s="5">
        <f t="shared" si="50"/>
        <v>4</v>
      </c>
      <c r="P247" s="5">
        <f t="shared" si="50"/>
        <v>5</v>
      </c>
      <c r="Q247" s="5">
        <f t="shared" si="50"/>
        <v>6</v>
      </c>
      <c r="R247" s="5">
        <f t="shared" si="50"/>
        <v>1</v>
      </c>
      <c r="S247" s="5">
        <f t="shared" si="50"/>
        <v>436</v>
      </c>
    </row>
    <row r="248" spans="1:19" x14ac:dyDescent="0.4">
      <c r="A248" s="70"/>
      <c r="B248" s="71"/>
      <c r="C248" s="71"/>
      <c r="D248" s="71"/>
      <c r="E248" s="72"/>
    </row>
    <row r="249" spans="1:19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5">
        <f t="shared" ref="S249:S258" si="51">SUM(E249:R249)</f>
        <v>0</v>
      </c>
    </row>
    <row r="250" spans="1:19" x14ac:dyDescent="0.4">
      <c r="A250" s="11" t="s">
        <v>50</v>
      </c>
      <c r="B250" s="52"/>
      <c r="C250" s="24" t="s">
        <v>237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5">
        <f t="shared" si="51"/>
        <v>0</v>
      </c>
    </row>
    <row r="251" spans="1:19" x14ac:dyDescent="0.4">
      <c r="A251" s="7"/>
      <c r="B251" s="52"/>
      <c r="C251" s="24" t="s">
        <v>238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5">
        <f t="shared" si="51"/>
        <v>0</v>
      </c>
    </row>
    <row r="252" spans="1:19" x14ac:dyDescent="0.4">
      <c r="A252" s="7"/>
      <c r="B252" s="52"/>
      <c r="C252" s="24" t="s">
        <v>239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5">
        <f t="shared" si="51"/>
        <v>0</v>
      </c>
    </row>
    <row r="253" spans="1:19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5">
        <f t="shared" si="51"/>
        <v>0</v>
      </c>
    </row>
    <row r="254" spans="1:19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5">
        <f t="shared" si="51"/>
        <v>0</v>
      </c>
    </row>
    <row r="255" spans="1:19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5">
        <f t="shared" si="51"/>
        <v>0</v>
      </c>
    </row>
    <row r="256" spans="1:19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5">
        <f t="shared" si="51"/>
        <v>0</v>
      </c>
    </row>
    <row r="257" spans="1:19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5">
        <f t="shared" si="51"/>
        <v>0</v>
      </c>
    </row>
    <row r="258" spans="1:19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>
        <f t="shared" si="51"/>
        <v>0</v>
      </c>
    </row>
    <row r="259" spans="1:19" x14ac:dyDescent="0.4">
      <c r="A259" s="6" t="s">
        <v>26</v>
      </c>
      <c r="B259" s="67" t="s">
        <v>51</v>
      </c>
      <c r="C259" s="68"/>
      <c r="D259" s="69"/>
      <c r="E259" s="5">
        <f t="shared" ref="E259:S259" si="52">SUM(E249:E258)</f>
        <v>0</v>
      </c>
      <c r="F259" s="5">
        <f t="shared" si="52"/>
        <v>0</v>
      </c>
      <c r="G259" s="5">
        <f t="shared" si="52"/>
        <v>0</v>
      </c>
      <c r="H259" s="5">
        <f t="shared" si="52"/>
        <v>0</v>
      </c>
      <c r="I259" s="5">
        <f t="shared" si="52"/>
        <v>0</v>
      </c>
      <c r="J259" s="5">
        <f t="shared" si="52"/>
        <v>0</v>
      </c>
      <c r="K259" s="5">
        <f t="shared" si="52"/>
        <v>0</v>
      </c>
      <c r="L259" s="5">
        <f t="shared" si="52"/>
        <v>0</v>
      </c>
      <c r="M259" s="5">
        <f t="shared" si="52"/>
        <v>0</v>
      </c>
      <c r="N259" s="5">
        <f t="shared" si="52"/>
        <v>0</v>
      </c>
      <c r="O259" s="5">
        <f t="shared" si="52"/>
        <v>0</v>
      </c>
      <c r="P259" s="5">
        <f t="shared" si="52"/>
        <v>0</v>
      </c>
      <c r="Q259" s="5">
        <f t="shared" si="52"/>
        <v>0</v>
      </c>
      <c r="R259" s="5">
        <f t="shared" si="52"/>
        <v>0</v>
      </c>
      <c r="S259" s="5">
        <f t="shared" si="52"/>
        <v>0</v>
      </c>
    </row>
    <row r="261" spans="1:19" x14ac:dyDescent="0.4">
      <c r="A261" s="16" t="s">
        <v>83</v>
      </c>
      <c r="B261" s="75" t="s">
        <v>84</v>
      </c>
      <c r="C261" s="76"/>
      <c r="D261" s="7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5"/>
    </row>
    <row r="262" spans="1:19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131</v>
      </c>
      <c r="F262" s="6">
        <f t="shared" ref="F262:N262" si="53">F55+F67+F79+F91+F103+F115+F127+F139+F151+F163+F175+F187+F199+F211+F223+F235+F247+F259</f>
        <v>146</v>
      </c>
      <c r="G262" s="6">
        <f t="shared" si="53"/>
        <v>161</v>
      </c>
      <c r="H262" s="6">
        <f t="shared" si="53"/>
        <v>196</v>
      </c>
      <c r="I262" s="6">
        <f t="shared" si="53"/>
        <v>180</v>
      </c>
      <c r="J262" s="6">
        <f t="shared" si="53"/>
        <v>180</v>
      </c>
      <c r="K262" s="6">
        <f t="shared" si="53"/>
        <v>213</v>
      </c>
      <c r="L262" s="6">
        <f t="shared" si="53"/>
        <v>129</v>
      </c>
      <c r="M262" s="6">
        <f t="shared" si="53"/>
        <v>170</v>
      </c>
      <c r="N262" s="6">
        <f t="shared" si="53"/>
        <v>200</v>
      </c>
      <c r="O262" s="6">
        <f t="shared" ref="O262:R262" si="54">O55+O67+O79+O91+O103+O115+O127+O139+O151+O163+O175+O187+O199+O211+O223+O235+O247+O259</f>
        <v>113</v>
      </c>
      <c r="P262" s="6">
        <f t="shared" si="54"/>
        <v>132</v>
      </c>
      <c r="Q262" s="6">
        <f t="shared" si="54"/>
        <v>150</v>
      </c>
      <c r="R262" s="6">
        <f t="shared" si="54"/>
        <v>200</v>
      </c>
      <c r="S262" s="5">
        <f>SUM(E262:R262)</f>
        <v>2301</v>
      </c>
    </row>
    <row r="263" spans="1:19" x14ac:dyDescent="0.4">
      <c r="A263" s="13"/>
      <c r="B263" s="19" t="s">
        <v>87</v>
      </c>
      <c r="C263" s="65" t="s">
        <v>88</v>
      </c>
      <c r="D263" s="66"/>
      <c r="E263" s="6">
        <v>16</v>
      </c>
      <c r="F263" s="6">
        <v>34</v>
      </c>
      <c r="G263" s="6">
        <v>30</v>
      </c>
      <c r="H263" s="6">
        <v>10</v>
      </c>
      <c r="I263" s="6">
        <v>14</v>
      </c>
      <c r="J263" s="6">
        <v>29</v>
      </c>
      <c r="K263" s="6">
        <v>18</v>
      </c>
      <c r="L263" s="6">
        <v>26</v>
      </c>
      <c r="M263" s="6">
        <v>30</v>
      </c>
      <c r="N263" s="6">
        <v>16</v>
      </c>
      <c r="O263" s="6">
        <v>13</v>
      </c>
      <c r="P263" s="6">
        <v>44</v>
      </c>
      <c r="Q263" s="6">
        <v>67</v>
      </c>
      <c r="R263" s="6">
        <v>24</v>
      </c>
      <c r="S263" s="5">
        <f>SUM(E263:R263)</f>
        <v>371</v>
      </c>
    </row>
    <row r="264" spans="1:19" x14ac:dyDescent="0.4">
      <c r="A264" s="14"/>
      <c r="B264" s="19" t="s">
        <v>89</v>
      </c>
      <c r="C264" s="65" t="s">
        <v>90</v>
      </c>
      <c r="D264" s="66"/>
      <c r="E264" s="5">
        <f>SUM(E262:E263)</f>
        <v>147</v>
      </c>
      <c r="F264" s="5">
        <f t="shared" ref="F264:N264" si="55">SUM(F262:F263)</f>
        <v>180</v>
      </c>
      <c r="G264" s="5">
        <f t="shared" si="55"/>
        <v>191</v>
      </c>
      <c r="H264" s="5">
        <f t="shared" si="55"/>
        <v>206</v>
      </c>
      <c r="I264" s="5">
        <f t="shared" si="55"/>
        <v>194</v>
      </c>
      <c r="J264" s="5">
        <f t="shared" si="55"/>
        <v>209</v>
      </c>
      <c r="K264" s="5">
        <f t="shared" si="55"/>
        <v>231</v>
      </c>
      <c r="L264" s="5">
        <f t="shared" si="55"/>
        <v>155</v>
      </c>
      <c r="M264" s="5">
        <f t="shared" si="55"/>
        <v>200</v>
      </c>
      <c r="N264" s="5">
        <f t="shared" si="55"/>
        <v>216</v>
      </c>
      <c r="O264" s="5">
        <f t="shared" ref="O264:R264" si="56">SUM(O262:O263)</f>
        <v>126</v>
      </c>
      <c r="P264" s="5">
        <f t="shared" si="56"/>
        <v>176</v>
      </c>
      <c r="Q264" s="5">
        <f t="shared" si="56"/>
        <v>217</v>
      </c>
      <c r="R264" s="5">
        <f t="shared" si="56"/>
        <v>224</v>
      </c>
      <c r="S264" s="5">
        <f>SUM(E264:R264)</f>
        <v>2672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R12"/>
    <mergeCell ref="S12:S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14:R15">
    <cfRule type="containsBlanks" dxfId="141" priority="21">
      <formula>LEN(TRIM(E14))=0</formula>
    </cfRule>
  </conditionalFormatting>
  <conditionalFormatting sqref="E19:R20">
    <cfRule type="containsBlanks" dxfId="140" priority="24">
      <formula>LEN(TRIM(E19))=0</formula>
    </cfRule>
  </conditionalFormatting>
  <conditionalFormatting sqref="E22:R23 E25:R26 E33:R33 E35:R35 E39:R40">
    <cfRule type="containsBlanks" dxfId="139" priority="25">
      <formula>LEN(TRIM(E22))=0</formula>
    </cfRule>
  </conditionalFormatting>
  <conditionalFormatting sqref="E30:R30">
    <cfRule type="expression" dxfId="138" priority="26">
      <formula>E30&lt;&gt;E47</formula>
    </cfRule>
    <cfRule type="expression" dxfId="137" priority="27">
      <formula>E30&lt;&gt;E34</formula>
    </cfRule>
  </conditionalFormatting>
  <conditionalFormatting sqref="E34:R34">
    <cfRule type="expression" dxfId="136" priority="22">
      <formula>E30&lt;&gt;E34</formula>
    </cfRule>
    <cfRule type="expression" dxfId="135" priority="23">
      <formula>E30=E34</formula>
    </cfRule>
    <cfRule type="expression" dxfId="134" priority="28">
      <formula>E34&lt;&gt;E30</formula>
    </cfRule>
    <cfRule type="expression" dxfId="133" priority="30">
      <formula>E34&lt;&gt;E64</formula>
    </cfRule>
  </conditionalFormatting>
  <conditionalFormatting sqref="E45:R54">
    <cfRule type="containsBlanks" dxfId="132" priority="20">
      <formula>LEN(TRIM(E45))=0</formula>
    </cfRule>
  </conditionalFormatting>
  <conditionalFormatting sqref="E57:R66">
    <cfRule type="containsBlanks" dxfId="131" priority="19">
      <formula>LEN(TRIM(E57))=0</formula>
    </cfRule>
  </conditionalFormatting>
  <conditionalFormatting sqref="E69:R78">
    <cfRule type="containsBlanks" dxfId="130" priority="18">
      <formula>LEN(TRIM(E69))=0</formula>
    </cfRule>
  </conditionalFormatting>
  <conditionalFormatting sqref="E81:R90">
    <cfRule type="containsBlanks" dxfId="129" priority="17">
      <formula>LEN(TRIM(E81))=0</formula>
    </cfRule>
  </conditionalFormatting>
  <conditionalFormatting sqref="E93:R102">
    <cfRule type="containsBlanks" dxfId="128" priority="16">
      <formula>LEN(TRIM(E93))=0</formula>
    </cfRule>
  </conditionalFormatting>
  <conditionalFormatting sqref="E105:R114">
    <cfRule type="containsBlanks" dxfId="127" priority="15">
      <formula>LEN(TRIM(E105))=0</formula>
    </cfRule>
  </conditionalFormatting>
  <conditionalFormatting sqref="E117:R126">
    <cfRule type="containsBlanks" dxfId="126" priority="1">
      <formula>LEN(TRIM(E117))=0</formula>
    </cfRule>
  </conditionalFormatting>
  <conditionalFormatting sqref="E129:R138">
    <cfRule type="containsBlanks" dxfId="125" priority="14">
      <formula>LEN(TRIM(E129))=0</formula>
    </cfRule>
  </conditionalFormatting>
  <conditionalFormatting sqref="E141:R150">
    <cfRule type="containsBlanks" dxfId="124" priority="13">
      <formula>LEN(TRIM(E141))=0</formula>
    </cfRule>
  </conditionalFormatting>
  <conditionalFormatting sqref="E153:R162">
    <cfRule type="containsBlanks" dxfId="123" priority="3">
      <formula>LEN(TRIM(E153))=0</formula>
    </cfRule>
  </conditionalFormatting>
  <conditionalFormatting sqref="E165:R174">
    <cfRule type="containsBlanks" dxfId="122" priority="12">
      <formula>LEN(TRIM(E165))=0</formula>
    </cfRule>
  </conditionalFormatting>
  <conditionalFormatting sqref="E177:R186">
    <cfRule type="containsBlanks" dxfId="121" priority="11">
      <formula>LEN(TRIM(E177))=0</formula>
    </cfRule>
  </conditionalFormatting>
  <conditionalFormatting sqref="E189:R198">
    <cfRule type="containsBlanks" dxfId="120" priority="10">
      <formula>LEN(TRIM(E189))=0</formula>
    </cfRule>
  </conditionalFormatting>
  <conditionalFormatting sqref="E201:R210">
    <cfRule type="containsBlanks" dxfId="119" priority="9">
      <formula>LEN(TRIM(E201))=0</formula>
    </cfRule>
  </conditionalFormatting>
  <conditionalFormatting sqref="E213:R222">
    <cfRule type="containsBlanks" dxfId="118" priority="8">
      <formula>LEN(TRIM(E213))=0</formula>
    </cfRule>
  </conditionalFormatting>
  <conditionalFormatting sqref="E225:R234">
    <cfRule type="containsBlanks" dxfId="117" priority="7">
      <formula>LEN(TRIM(E225))=0</formula>
    </cfRule>
  </conditionalFormatting>
  <conditionalFormatting sqref="E237:R246">
    <cfRule type="containsBlanks" dxfId="116" priority="6">
      <formula>LEN(TRIM(E237))=0</formula>
    </cfRule>
  </conditionalFormatting>
  <conditionalFormatting sqref="E249:R258">
    <cfRule type="containsBlanks" dxfId="115" priority="4">
      <formula>LEN(TRIM(E249))=0</formula>
    </cfRule>
  </conditionalFormatting>
  <conditionalFormatting sqref="E262:R263">
    <cfRule type="containsBlanks" dxfId="114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92D050"/>
  </sheetPr>
  <dimension ref="A2:AL264"/>
  <sheetViews>
    <sheetView topLeftCell="P13" zoomScaleNormal="100" workbookViewId="0">
      <pane ySplit="1" topLeftCell="A260" activePane="bottomLeft" state="frozen"/>
      <selection activeCell="A13" sqref="A13"/>
      <selection pane="bottomLeft" activeCell="AJ263" sqref="AJ263"/>
    </sheetView>
  </sheetViews>
  <sheetFormatPr defaultRowHeight="13.15" x14ac:dyDescent="0.4"/>
  <cols>
    <col min="3" max="3" width="67.140625" bestFit="1" customWidth="1"/>
    <col min="4" max="4" width="5.85546875" bestFit="1" customWidth="1"/>
    <col min="36" max="36" width="13.28515625" customWidth="1"/>
  </cols>
  <sheetData>
    <row r="2" spans="1:36" x14ac:dyDescent="0.4">
      <c r="C2" s="43" t="s">
        <v>116</v>
      </c>
      <c r="D2" s="43" t="s">
        <v>257</v>
      </c>
    </row>
    <row r="3" spans="1:36" x14ac:dyDescent="0.4">
      <c r="C3" s="43" t="s">
        <v>117</v>
      </c>
      <c r="D3" s="43" t="s">
        <v>118</v>
      </c>
    </row>
    <row r="4" spans="1:36" x14ac:dyDescent="0.4">
      <c r="C4" s="43" t="s">
        <v>119</v>
      </c>
      <c r="D4" s="43" t="s">
        <v>120</v>
      </c>
    </row>
    <row r="5" spans="1:36" x14ac:dyDescent="0.4">
      <c r="C5" s="43"/>
      <c r="D5" s="43"/>
    </row>
    <row r="6" spans="1:36" x14ac:dyDescent="0.4">
      <c r="C6" s="43"/>
      <c r="D6" s="43"/>
    </row>
    <row r="7" spans="1:36" x14ac:dyDescent="0.4">
      <c r="C7" s="43"/>
      <c r="D7" s="43"/>
    </row>
    <row r="8" spans="1:36" x14ac:dyDescent="0.4">
      <c r="C8" s="43"/>
      <c r="D8" s="43"/>
    </row>
    <row r="9" spans="1:36" x14ac:dyDescent="0.4">
      <c r="C9" s="43" t="s">
        <v>121</v>
      </c>
      <c r="D9" s="43" t="s">
        <v>261</v>
      </c>
    </row>
    <row r="11" spans="1:36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  <c r="AE11" s="1"/>
      <c r="AF11" s="1"/>
      <c r="AG11" s="1"/>
      <c r="AH11" s="3"/>
      <c r="AI11" s="1"/>
    </row>
    <row r="12" spans="1:36" x14ac:dyDescent="0.4">
      <c r="A12" s="5" t="s">
        <v>0</v>
      </c>
      <c r="B12" s="75" t="s">
        <v>1</v>
      </c>
      <c r="C12" s="83"/>
      <c r="D12" s="74"/>
      <c r="E12" s="100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2" t="s">
        <v>115</v>
      </c>
    </row>
    <row r="13" spans="1:36" x14ac:dyDescent="0.4">
      <c r="A13" s="6" t="s">
        <v>2</v>
      </c>
      <c r="B13" s="93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103"/>
    </row>
    <row r="14" spans="1:36" x14ac:dyDescent="0.4">
      <c r="A14" s="7"/>
      <c r="B14" s="104" t="s">
        <v>22</v>
      </c>
      <c r="C14" s="79"/>
      <c r="D14" s="6" t="s">
        <v>23</v>
      </c>
      <c r="E14" s="6">
        <v>148</v>
      </c>
      <c r="F14" s="6">
        <v>122</v>
      </c>
      <c r="G14" s="6">
        <v>150</v>
      </c>
      <c r="H14" s="6">
        <v>138</v>
      </c>
      <c r="I14" s="6">
        <v>116</v>
      </c>
      <c r="J14" s="6">
        <v>149</v>
      </c>
      <c r="K14" s="6">
        <v>118</v>
      </c>
      <c r="L14" s="6">
        <v>112</v>
      </c>
      <c r="M14" s="6">
        <v>137</v>
      </c>
      <c r="N14" s="6">
        <v>138</v>
      </c>
      <c r="O14" s="6">
        <v>106</v>
      </c>
      <c r="P14" s="6">
        <v>129</v>
      </c>
      <c r="Q14" s="6">
        <v>135</v>
      </c>
      <c r="R14" s="6">
        <v>147</v>
      </c>
      <c r="S14" s="6">
        <v>122</v>
      </c>
      <c r="T14" s="6">
        <v>136</v>
      </c>
      <c r="U14" s="6">
        <v>125</v>
      </c>
      <c r="V14" s="6">
        <v>138</v>
      </c>
      <c r="W14" s="6">
        <v>128</v>
      </c>
      <c r="X14" s="6">
        <v>146</v>
      </c>
      <c r="Y14" s="6">
        <v>110</v>
      </c>
      <c r="Z14" s="6">
        <v>102</v>
      </c>
      <c r="AA14" s="6">
        <v>121</v>
      </c>
      <c r="AB14" s="6">
        <v>122</v>
      </c>
      <c r="AC14" s="6">
        <v>116</v>
      </c>
      <c r="AD14" s="6">
        <v>128</v>
      </c>
      <c r="AE14" s="6">
        <v>125</v>
      </c>
      <c r="AF14" s="6">
        <v>134</v>
      </c>
      <c r="AG14" s="6">
        <v>117</v>
      </c>
      <c r="AH14" s="6">
        <v>139</v>
      </c>
      <c r="AI14" s="6">
        <v>152</v>
      </c>
      <c r="AJ14" s="5">
        <f>SUM(E14:AI14)</f>
        <v>4006</v>
      </c>
    </row>
    <row r="15" spans="1:36" x14ac:dyDescent="0.4">
      <c r="A15" s="7"/>
      <c r="B15" s="105"/>
      <c r="C15" s="89"/>
      <c r="D15" s="6" t="s">
        <v>24</v>
      </c>
      <c r="E15" s="6">
        <v>143</v>
      </c>
      <c r="F15" s="6">
        <v>129</v>
      </c>
      <c r="G15" s="6">
        <v>144</v>
      </c>
      <c r="H15" s="6">
        <v>147</v>
      </c>
      <c r="I15" s="6">
        <v>116</v>
      </c>
      <c r="J15" s="6">
        <v>146</v>
      </c>
      <c r="K15" s="6">
        <v>131</v>
      </c>
      <c r="L15" s="6">
        <v>126</v>
      </c>
      <c r="M15" s="6">
        <v>158</v>
      </c>
      <c r="N15" s="6">
        <v>154</v>
      </c>
      <c r="O15" s="6">
        <v>126</v>
      </c>
      <c r="P15" s="6">
        <v>136</v>
      </c>
      <c r="Q15" s="6">
        <v>143</v>
      </c>
      <c r="R15" s="6">
        <v>144</v>
      </c>
      <c r="S15" s="6">
        <v>130</v>
      </c>
      <c r="T15" s="6">
        <v>135</v>
      </c>
      <c r="U15" s="6">
        <v>140</v>
      </c>
      <c r="V15" s="6">
        <v>122</v>
      </c>
      <c r="W15" s="6">
        <v>127</v>
      </c>
      <c r="X15" s="6">
        <v>148</v>
      </c>
      <c r="Y15" s="6">
        <v>108</v>
      </c>
      <c r="Z15" s="6">
        <v>100</v>
      </c>
      <c r="AA15" s="6">
        <v>121</v>
      </c>
      <c r="AB15" s="6">
        <v>114</v>
      </c>
      <c r="AC15" s="6">
        <v>131</v>
      </c>
      <c r="AD15" s="6">
        <v>147</v>
      </c>
      <c r="AE15" s="6">
        <v>133</v>
      </c>
      <c r="AF15" s="6">
        <v>156</v>
      </c>
      <c r="AG15" s="6">
        <v>113</v>
      </c>
      <c r="AH15" s="6">
        <v>146</v>
      </c>
      <c r="AI15" s="6">
        <v>140</v>
      </c>
      <c r="AJ15" s="5">
        <f>SUM(E15:AI15)</f>
        <v>4154</v>
      </c>
    </row>
    <row r="16" spans="1:36" x14ac:dyDescent="0.4">
      <c r="A16" s="8"/>
      <c r="B16" s="106"/>
      <c r="C16" s="90"/>
      <c r="D16" s="5" t="s">
        <v>25</v>
      </c>
      <c r="E16" s="5">
        <f t="shared" ref="E16:AH16" si="0">SUM(E14:E15)</f>
        <v>291</v>
      </c>
      <c r="F16" s="5">
        <f t="shared" si="0"/>
        <v>251</v>
      </c>
      <c r="G16" s="5">
        <f t="shared" si="0"/>
        <v>294</v>
      </c>
      <c r="H16" s="5">
        <f t="shared" si="0"/>
        <v>285</v>
      </c>
      <c r="I16" s="5">
        <f t="shared" si="0"/>
        <v>232</v>
      </c>
      <c r="J16" s="5">
        <f t="shared" si="0"/>
        <v>295</v>
      </c>
      <c r="K16" s="5">
        <f t="shared" si="0"/>
        <v>249</v>
      </c>
      <c r="L16" s="5">
        <f t="shared" si="0"/>
        <v>238</v>
      </c>
      <c r="M16" s="5">
        <f t="shared" si="0"/>
        <v>295</v>
      </c>
      <c r="N16" s="5">
        <f t="shared" si="0"/>
        <v>292</v>
      </c>
      <c r="O16" s="5">
        <f t="shared" ref="O16:S16" si="1">SUM(O14:O15)</f>
        <v>232</v>
      </c>
      <c r="P16" s="5">
        <f t="shared" si="1"/>
        <v>265</v>
      </c>
      <c r="Q16" s="5">
        <f t="shared" si="1"/>
        <v>278</v>
      </c>
      <c r="R16" s="5">
        <f t="shared" si="1"/>
        <v>291</v>
      </c>
      <c r="S16" s="5">
        <f t="shared" si="1"/>
        <v>252</v>
      </c>
      <c r="T16" s="5">
        <f t="shared" si="0"/>
        <v>271</v>
      </c>
      <c r="U16" s="5">
        <f t="shared" si="0"/>
        <v>265</v>
      </c>
      <c r="V16" s="5">
        <f t="shared" si="0"/>
        <v>260</v>
      </c>
      <c r="W16" s="5">
        <f t="shared" si="0"/>
        <v>255</v>
      </c>
      <c r="X16" s="5">
        <f t="shared" si="0"/>
        <v>294</v>
      </c>
      <c r="Y16" s="5">
        <f t="shared" ref="Y16:AC16" si="2">SUM(Y14:Y15)</f>
        <v>218</v>
      </c>
      <c r="Z16" s="5">
        <f t="shared" si="2"/>
        <v>202</v>
      </c>
      <c r="AA16" s="5">
        <f t="shared" si="2"/>
        <v>242</v>
      </c>
      <c r="AB16" s="5">
        <f t="shared" si="2"/>
        <v>236</v>
      </c>
      <c r="AC16" s="5">
        <f t="shared" si="2"/>
        <v>247</v>
      </c>
      <c r="AD16" s="5">
        <f t="shared" si="0"/>
        <v>275</v>
      </c>
      <c r="AE16" s="5">
        <f t="shared" si="0"/>
        <v>258</v>
      </c>
      <c r="AF16" s="5">
        <f t="shared" si="0"/>
        <v>290</v>
      </c>
      <c r="AG16" s="5">
        <f t="shared" si="0"/>
        <v>230</v>
      </c>
      <c r="AH16" s="5">
        <f t="shared" si="0"/>
        <v>285</v>
      </c>
      <c r="AI16" s="5">
        <f t="shared" ref="AI16" si="3">SUM(AI14:AI15)</f>
        <v>292</v>
      </c>
      <c r="AJ16" s="5">
        <f>SUM(E16:AI16)</f>
        <v>8160</v>
      </c>
    </row>
    <row r="17" spans="1:36" x14ac:dyDescent="0.4">
      <c r="A17" s="70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  <c r="AG17" s="6"/>
      <c r="AH17" s="10"/>
      <c r="AI17" s="6"/>
      <c r="AJ17" s="28"/>
    </row>
    <row r="18" spans="1:36" x14ac:dyDescent="0.4">
      <c r="A18" s="11" t="s">
        <v>26</v>
      </c>
      <c r="B18" s="93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6"/>
      <c r="AF18" s="6"/>
      <c r="AG18" s="6"/>
      <c r="AH18" s="10"/>
      <c r="AI18" s="6"/>
      <c r="AJ18" s="28"/>
    </row>
    <row r="19" spans="1:36" x14ac:dyDescent="0.4">
      <c r="A19" s="11"/>
      <c r="B19" s="94" t="s">
        <v>28</v>
      </c>
      <c r="C19" s="95" t="s">
        <v>29</v>
      </c>
      <c r="D19" s="6" t="s">
        <v>23</v>
      </c>
      <c r="E19" s="6">
        <v>110</v>
      </c>
      <c r="F19" s="6">
        <v>89</v>
      </c>
      <c r="G19" s="6">
        <v>114</v>
      </c>
      <c r="H19" s="6">
        <v>97</v>
      </c>
      <c r="I19" s="6">
        <v>90</v>
      </c>
      <c r="J19" s="6">
        <v>113</v>
      </c>
      <c r="K19" s="6">
        <v>84</v>
      </c>
      <c r="L19" s="6">
        <v>68</v>
      </c>
      <c r="M19" s="6">
        <v>105</v>
      </c>
      <c r="N19" s="6">
        <v>100</v>
      </c>
      <c r="O19" s="6">
        <v>84</v>
      </c>
      <c r="P19" s="6">
        <v>103</v>
      </c>
      <c r="Q19" s="6">
        <v>103</v>
      </c>
      <c r="R19" s="6">
        <v>112</v>
      </c>
      <c r="S19" s="6">
        <v>91</v>
      </c>
      <c r="T19" s="6">
        <v>105</v>
      </c>
      <c r="U19" s="6">
        <v>84</v>
      </c>
      <c r="V19" s="6">
        <v>99</v>
      </c>
      <c r="W19" s="6">
        <v>94</v>
      </c>
      <c r="X19" s="6">
        <v>98</v>
      </c>
      <c r="Y19" s="6">
        <v>87</v>
      </c>
      <c r="Z19" s="6">
        <v>82</v>
      </c>
      <c r="AA19" s="6">
        <v>86</v>
      </c>
      <c r="AB19" s="6">
        <v>84</v>
      </c>
      <c r="AC19" s="6">
        <v>80</v>
      </c>
      <c r="AD19" s="6">
        <v>84</v>
      </c>
      <c r="AE19" s="6">
        <v>94</v>
      </c>
      <c r="AF19" s="6">
        <v>95</v>
      </c>
      <c r="AG19" s="6">
        <v>95</v>
      </c>
      <c r="AH19" s="6">
        <v>107</v>
      </c>
      <c r="AI19" s="6">
        <v>116</v>
      </c>
      <c r="AJ19" s="5">
        <f t="shared" ref="AJ19:AJ30" si="4">SUM(E19:AI19)</f>
        <v>2953</v>
      </c>
    </row>
    <row r="20" spans="1:36" x14ac:dyDescent="0.4">
      <c r="A20" s="12"/>
      <c r="B20" s="89"/>
      <c r="C20" s="96"/>
      <c r="D20" s="6" t="s">
        <v>24</v>
      </c>
      <c r="E20" s="6">
        <v>111</v>
      </c>
      <c r="F20" s="6">
        <v>107</v>
      </c>
      <c r="G20" s="6">
        <v>117</v>
      </c>
      <c r="H20" s="6">
        <v>118</v>
      </c>
      <c r="I20" s="6">
        <v>95</v>
      </c>
      <c r="J20" s="6">
        <v>117</v>
      </c>
      <c r="K20" s="6">
        <v>93</v>
      </c>
      <c r="L20" s="6">
        <v>97</v>
      </c>
      <c r="M20" s="6">
        <v>124</v>
      </c>
      <c r="N20" s="6">
        <v>113</v>
      </c>
      <c r="O20" s="6">
        <v>101</v>
      </c>
      <c r="P20" s="6">
        <v>110</v>
      </c>
      <c r="Q20" s="6">
        <v>111</v>
      </c>
      <c r="R20" s="6">
        <v>121</v>
      </c>
      <c r="S20" s="6">
        <v>108</v>
      </c>
      <c r="T20" s="6">
        <v>99</v>
      </c>
      <c r="U20" s="6">
        <v>99</v>
      </c>
      <c r="V20" s="6">
        <v>98</v>
      </c>
      <c r="W20" s="6">
        <v>97</v>
      </c>
      <c r="X20" s="6">
        <v>117</v>
      </c>
      <c r="Y20" s="6">
        <v>92</v>
      </c>
      <c r="Z20" s="6">
        <v>83</v>
      </c>
      <c r="AA20" s="6">
        <v>101</v>
      </c>
      <c r="AB20" s="6">
        <v>86</v>
      </c>
      <c r="AC20" s="6">
        <v>99</v>
      </c>
      <c r="AD20" s="6">
        <v>105</v>
      </c>
      <c r="AE20" s="6">
        <v>104</v>
      </c>
      <c r="AF20" s="6">
        <v>118</v>
      </c>
      <c r="AG20" s="6">
        <v>89</v>
      </c>
      <c r="AH20" s="6">
        <v>119</v>
      </c>
      <c r="AI20" s="6">
        <v>127</v>
      </c>
      <c r="AJ20" s="5">
        <f t="shared" si="4"/>
        <v>3276</v>
      </c>
    </row>
    <row r="21" spans="1:36" x14ac:dyDescent="0.4">
      <c r="A21" s="13"/>
      <c r="B21" s="90"/>
      <c r="C21" s="97"/>
      <c r="D21" s="5" t="s">
        <v>25</v>
      </c>
      <c r="E21" s="5">
        <f t="shared" ref="E21:AH21" si="5">SUM(E19:E20)</f>
        <v>221</v>
      </c>
      <c r="F21" s="5">
        <f t="shared" si="5"/>
        <v>196</v>
      </c>
      <c r="G21" s="5">
        <f t="shared" si="5"/>
        <v>231</v>
      </c>
      <c r="H21" s="5">
        <f t="shared" si="5"/>
        <v>215</v>
      </c>
      <c r="I21" s="5">
        <f t="shared" si="5"/>
        <v>185</v>
      </c>
      <c r="J21" s="5">
        <f t="shared" si="5"/>
        <v>230</v>
      </c>
      <c r="K21" s="5">
        <f t="shared" si="5"/>
        <v>177</v>
      </c>
      <c r="L21" s="5">
        <f t="shared" si="5"/>
        <v>165</v>
      </c>
      <c r="M21" s="5">
        <f t="shared" si="5"/>
        <v>229</v>
      </c>
      <c r="N21" s="5">
        <f t="shared" si="5"/>
        <v>213</v>
      </c>
      <c r="O21" s="5">
        <f t="shared" ref="O21:S21" si="6">SUM(O19:O20)</f>
        <v>185</v>
      </c>
      <c r="P21" s="5">
        <f t="shared" si="6"/>
        <v>213</v>
      </c>
      <c r="Q21" s="5">
        <f t="shared" si="6"/>
        <v>214</v>
      </c>
      <c r="R21" s="5">
        <f t="shared" si="6"/>
        <v>233</v>
      </c>
      <c r="S21" s="5">
        <f t="shared" si="6"/>
        <v>199</v>
      </c>
      <c r="T21" s="5">
        <f t="shared" si="5"/>
        <v>204</v>
      </c>
      <c r="U21" s="5">
        <f t="shared" si="5"/>
        <v>183</v>
      </c>
      <c r="V21" s="5">
        <f t="shared" si="5"/>
        <v>197</v>
      </c>
      <c r="W21" s="5">
        <f t="shared" si="5"/>
        <v>191</v>
      </c>
      <c r="X21" s="5">
        <f t="shared" si="5"/>
        <v>215</v>
      </c>
      <c r="Y21" s="5">
        <f t="shared" ref="Y21:AC21" si="7">SUM(Y19:Y20)</f>
        <v>179</v>
      </c>
      <c r="Z21" s="5">
        <f t="shared" si="7"/>
        <v>165</v>
      </c>
      <c r="AA21" s="5">
        <f t="shared" si="7"/>
        <v>187</v>
      </c>
      <c r="AB21" s="5">
        <f t="shared" si="7"/>
        <v>170</v>
      </c>
      <c r="AC21" s="5">
        <f t="shared" si="7"/>
        <v>179</v>
      </c>
      <c r="AD21" s="5">
        <f t="shared" si="5"/>
        <v>189</v>
      </c>
      <c r="AE21" s="5">
        <f t="shared" si="5"/>
        <v>198</v>
      </c>
      <c r="AF21" s="5">
        <f t="shared" si="5"/>
        <v>213</v>
      </c>
      <c r="AG21" s="5">
        <f t="shared" si="5"/>
        <v>184</v>
      </c>
      <c r="AH21" s="5">
        <f t="shared" si="5"/>
        <v>226</v>
      </c>
      <c r="AI21" s="5">
        <f t="shared" ref="AI21" si="8">SUM(AI19:AI20)</f>
        <v>243</v>
      </c>
      <c r="AJ21" s="5">
        <f t="shared" si="4"/>
        <v>6229</v>
      </c>
    </row>
    <row r="22" spans="1:36" x14ac:dyDescent="0.4">
      <c r="A22" s="12"/>
      <c r="B22" s="94" t="s">
        <v>30</v>
      </c>
      <c r="C22" s="95" t="s">
        <v>31</v>
      </c>
      <c r="D22" s="6" t="s">
        <v>23</v>
      </c>
      <c r="E22" s="6"/>
      <c r="F22" s="6"/>
      <c r="G22" s="6"/>
      <c r="H22" s="6"/>
      <c r="I22" s="6">
        <v>1</v>
      </c>
      <c r="J22" s="6"/>
      <c r="K22" s="6">
        <v>1</v>
      </c>
      <c r="L22" s="6">
        <v>1</v>
      </c>
      <c r="M22" s="6"/>
      <c r="N22" s="6"/>
      <c r="O22" s="6">
        <v>1</v>
      </c>
      <c r="P22" s="6"/>
      <c r="Q22" s="6"/>
      <c r="R22" s="6"/>
      <c r="S22" s="6">
        <v>1</v>
      </c>
      <c r="T22" s="6">
        <v>1</v>
      </c>
      <c r="U22" s="6"/>
      <c r="V22" s="6"/>
      <c r="W22" s="6"/>
      <c r="X22" s="6">
        <v>1</v>
      </c>
      <c r="Y22" s="6"/>
      <c r="Z22" s="6"/>
      <c r="AA22" s="6">
        <v>1</v>
      </c>
      <c r="AB22" s="6">
        <v>1</v>
      </c>
      <c r="AC22" s="6">
        <v>1</v>
      </c>
      <c r="AD22" s="6">
        <v>2</v>
      </c>
      <c r="AE22" s="6">
        <v>1</v>
      </c>
      <c r="AF22" s="6"/>
      <c r="AG22" s="6"/>
      <c r="AH22" s="6">
        <v>1</v>
      </c>
      <c r="AI22" s="6">
        <v>1</v>
      </c>
      <c r="AJ22" s="5">
        <f t="shared" si="4"/>
        <v>15</v>
      </c>
    </row>
    <row r="23" spans="1:36" x14ac:dyDescent="0.4">
      <c r="A23" s="12"/>
      <c r="B23" s="89"/>
      <c r="C23" s="96"/>
      <c r="D23" s="6" t="s">
        <v>24</v>
      </c>
      <c r="E23" s="6">
        <v>1</v>
      </c>
      <c r="F23" s="6"/>
      <c r="G23" s="6"/>
      <c r="H23" s="6"/>
      <c r="I23" s="6"/>
      <c r="J23" s="6"/>
      <c r="K23" s="6"/>
      <c r="L23" s="6">
        <v>1</v>
      </c>
      <c r="M23" s="6"/>
      <c r="N23" s="6">
        <v>1</v>
      </c>
      <c r="O23" s="6"/>
      <c r="P23" s="6"/>
      <c r="Q23" s="6"/>
      <c r="R23" s="6"/>
      <c r="S23" s="6"/>
      <c r="T23" s="6">
        <v>2</v>
      </c>
      <c r="U23" s="6"/>
      <c r="V23" s="6">
        <v>1</v>
      </c>
      <c r="W23" s="6">
        <v>1</v>
      </c>
      <c r="X23" s="6"/>
      <c r="Y23" s="6">
        <v>1</v>
      </c>
      <c r="Z23" s="6">
        <v>1</v>
      </c>
      <c r="AA23" s="6"/>
      <c r="AB23" s="6"/>
      <c r="AC23" s="6"/>
      <c r="AD23" s="6">
        <v>1</v>
      </c>
      <c r="AE23" s="6"/>
      <c r="AF23" s="6">
        <v>1</v>
      </c>
      <c r="AG23" s="6">
        <v>1</v>
      </c>
      <c r="AH23" s="6"/>
      <c r="AI23" s="6"/>
      <c r="AJ23" s="5">
        <f t="shared" si="4"/>
        <v>12</v>
      </c>
    </row>
    <row r="24" spans="1:36" x14ac:dyDescent="0.4">
      <c r="A24" s="13"/>
      <c r="B24" s="90"/>
      <c r="C24" s="97"/>
      <c r="D24" s="5" t="s">
        <v>25</v>
      </c>
      <c r="E24" s="5">
        <f t="shared" ref="E24:AH24" si="9">SUM(E22:E23)</f>
        <v>1</v>
      </c>
      <c r="F24" s="5">
        <f t="shared" si="9"/>
        <v>0</v>
      </c>
      <c r="G24" s="5">
        <f t="shared" si="9"/>
        <v>0</v>
      </c>
      <c r="H24" s="5">
        <f t="shared" si="9"/>
        <v>0</v>
      </c>
      <c r="I24" s="5">
        <f t="shared" si="9"/>
        <v>1</v>
      </c>
      <c r="J24" s="5">
        <f t="shared" si="9"/>
        <v>0</v>
      </c>
      <c r="K24" s="5">
        <f t="shared" si="9"/>
        <v>1</v>
      </c>
      <c r="L24" s="5">
        <f t="shared" si="9"/>
        <v>2</v>
      </c>
      <c r="M24" s="5">
        <f t="shared" si="9"/>
        <v>0</v>
      </c>
      <c r="N24" s="5">
        <f t="shared" si="9"/>
        <v>1</v>
      </c>
      <c r="O24" s="5">
        <f t="shared" ref="O24:S24" si="10">SUM(O22:O23)</f>
        <v>1</v>
      </c>
      <c r="P24" s="5">
        <f t="shared" si="10"/>
        <v>0</v>
      </c>
      <c r="Q24" s="5">
        <f t="shared" si="10"/>
        <v>0</v>
      </c>
      <c r="R24" s="5">
        <f t="shared" si="10"/>
        <v>0</v>
      </c>
      <c r="S24" s="5">
        <f t="shared" si="10"/>
        <v>1</v>
      </c>
      <c r="T24" s="5">
        <f t="shared" si="9"/>
        <v>3</v>
      </c>
      <c r="U24" s="5">
        <f t="shared" si="9"/>
        <v>0</v>
      </c>
      <c r="V24" s="5">
        <f t="shared" si="9"/>
        <v>1</v>
      </c>
      <c r="W24" s="5">
        <f t="shared" si="9"/>
        <v>1</v>
      </c>
      <c r="X24" s="5">
        <f t="shared" si="9"/>
        <v>1</v>
      </c>
      <c r="Y24" s="5">
        <f t="shared" ref="Y24:AC24" si="11">SUM(Y22:Y23)</f>
        <v>1</v>
      </c>
      <c r="Z24" s="5">
        <f t="shared" si="11"/>
        <v>1</v>
      </c>
      <c r="AA24" s="5">
        <f t="shared" si="11"/>
        <v>1</v>
      </c>
      <c r="AB24" s="5">
        <f t="shared" si="11"/>
        <v>1</v>
      </c>
      <c r="AC24" s="5">
        <f t="shared" si="11"/>
        <v>1</v>
      </c>
      <c r="AD24" s="5">
        <f t="shared" si="9"/>
        <v>3</v>
      </c>
      <c r="AE24" s="5">
        <f t="shared" si="9"/>
        <v>1</v>
      </c>
      <c r="AF24" s="5">
        <f t="shared" si="9"/>
        <v>1</v>
      </c>
      <c r="AG24" s="5">
        <f t="shared" si="9"/>
        <v>1</v>
      </c>
      <c r="AH24" s="5">
        <f t="shared" si="9"/>
        <v>1</v>
      </c>
      <c r="AI24" s="5">
        <f t="shared" ref="AI24" si="12">SUM(AI22:AI23)</f>
        <v>1</v>
      </c>
      <c r="AJ24" s="5">
        <f t="shared" si="4"/>
        <v>27</v>
      </c>
    </row>
    <row r="25" spans="1:36" x14ac:dyDescent="0.4">
      <c r="A25" s="12"/>
      <c r="B25" s="94" t="s">
        <v>32</v>
      </c>
      <c r="C25" s="95" t="s">
        <v>33</v>
      </c>
      <c r="D25" s="6" t="s">
        <v>23</v>
      </c>
      <c r="E25" s="6"/>
      <c r="F25" s="6">
        <v>2</v>
      </c>
      <c r="G25" s="6"/>
      <c r="H25" s="6">
        <v>1</v>
      </c>
      <c r="I25" s="6"/>
      <c r="J25" s="6">
        <v>7</v>
      </c>
      <c r="K25" s="6">
        <v>1</v>
      </c>
      <c r="L25" s="6"/>
      <c r="M25" s="6"/>
      <c r="N25" s="6"/>
      <c r="O25" s="6">
        <v>1</v>
      </c>
      <c r="P25" s="6"/>
      <c r="Q25" s="6">
        <v>2</v>
      </c>
      <c r="R25" s="6"/>
      <c r="S25" s="6">
        <v>2</v>
      </c>
      <c r="T25" s="6">
        <v>1</v>
      </c>
      <c r="U25" s="6">
        <v>1</v>
      </c>
      <c r="V25" s="6"/>
      <c r="W25" s="6">
        <v>1</v>
      </c>
      <c r="X25" s="6"/>
      <c r="Y25" s="6"/>
      <c r="Z25" s="6"/>
      <c r="AA25" s="6"/>
      <c r="AB25" s="6"/>
      <c r="AC25" s="6"/>
      <c r="AD25" s="6">
        <v>1</v>
      </c>
      <c r="AE25" s="6"/>
      <c r="AF25" s="6">
        <v>2</v>
      </c>
      <c r="AG25" s="6"/>
      <c r="AH25" s="6"/>
      <c r="AI25" s="6"/>
      <c r="AJ25" s="5">
        <f t="shared" si="4"/>
        <v>22</v>
      </c>
    </row>
    <row r="26" spans="1:36" x14ac:dyDescent="0.4">
      <c r="A26" s="12"/>
      <c r="B26" s="89"/>
      <c r="C26" s="96"/>
      <c r="D26" s="6" t="s">
        <v>24</v>
      </c>
      <c r="E26" s="6"/>
      <c r="F26" s="6"/>
      <c r="G26" s="6"/>
      <c r="H26" s="6">
        <v>1</v>
      </c>
      <c r="I26" s="6"/>
      <c r="J26" s="6">
        <v>5</v>
      </c>
      <c r="K26" s="6">
        <v>2</v>
      </c>
      <c r="L26" s="6"/>
      <c r="M26" s="6"/>
      <c r="N26" s="6"/>
      <c r="O26" s="6">
        <v>1</v>
      </c>
      <c r="P26" s="6"/>
      <c r="Q26" s="6">
        <v>4</v>
      </c>
      <c r="R26" s="6"/>
      <c r="S26" s="6">
        <v>5</v>
      </c>
      <c r="T26" s="6">
        <v>2</v>
      </c>
      <c r="U26" s="6">
        <v>1</v>
      </c>
      <c r="V26" s="6"/>
      <c r="W26" s="6">
        <v>2</v>
      </c>
      <c r="X26" s="6"/>
      <c r="Y26" s="6"/>
      <c r="Z26" s="6"/>
      <c r="AA26" s="6">
        <v>1</v>
      </c>
      <c r="AB26" s="6"/>
      <c r="AC26" s="6"/>
      <c r="AD26" s="6"/>
      <c r="AE26" s="6">
        <v>1</v>
      </c>
      <c r="AF26" s="6">
        <v>1</v>
      </c>
      <c r="AG26" s="6"/>
      <c r="AH26" s="6"/>
      <c r="AI26" s="6"/>
      <c r="AJ26" s="5">
        <f t="shared" si="4"/>
        <v>26</v>
      </c>
    </row>
    <row r="27" spans="1:36" x14ac:dyDescent="0.4">
      <c r="A27" s="13"/>
      <c r="B27" s="90"/>
      <c r="C27" s="97"/>
      <c r="D27" s="5" t="s">
        <v>25</v>
      </c>
      <c r="E27" s="5">
        <f t="shared" ref="E27:AH27" si="13">SUM(E25:E26)</f>
        <v>0</v>
      </c>
      <c r="F27" s="5">
        <f t="shared" si="13"/>
        <v>2</v>
      </c>
      <c r="G27" s="5">
        <f t="shared" si="13"/>
        <v>0</v>
      </c>
      <c r="H27" s="5">
        <f t="shared" si="13"/>
        <v>2</v>
      </c>
      <c r="I27" s="5">
        <f t="shared" si="13"/>
        <v>0</v>
      </c>
      <c r="J27" s="5">
        <f t="shared" si="13"/>
        <v>12</v>
      </c>
      <c r="K27" s="5">
        <f t="shared" si="13"/>
        <v>3</v>
      </c>
      <c r="L27" s="5">
        <f t="shared" si="13"/>
        <v>0</v>
      </c>
      <c r="M27" s="5">
        <f t="shared" si="13"/>
        <v>0</v>
      </c>
      <c r="N27" s="5">
        <f t="shared" si="13"/>
        <v>0</v>
      </c>
      <c r="O27" s="5">
        <f t="shared" ref="O27:S27" si="14">SUM(O25:O26)</f>
        <v>2</v>
      </c>
      <c r="P27" s="5">
        <f t="shared" si="14"/>
        <v>0</v>
      </c>
      <c r="Q27" s="5">
        <f t="shared" si="14"/>
        <v>6</v>
      </c>
      <c r="R27" s="5">
        <f t="shared" si="14"/>
        <v>0</v>
      </c>
      <c r="S27" s="5">
        <f t="shared" si="14"/>
        <v>7</v>
      </c>
      <c r="T27" s="5">
        <f t="shared" si="13"/>
        <v>3</v>
      </c>
      <c r="U27" s="5">
        <f t="shared" si="13"/>
        <v>2</v>
      </c>
      <c r="V27" s="5">
        <f t="shared" si="13"/>
        <v>0</v>
      </c>
      <c r="W27" s="5">
        <f t="shared" si="13"/>
        <v>3</v>
      </c>
      <c r="X27" s="5">
        <f t="shared" si="13"/>
        <v>0</v>
      </c>
      <c r="Y27" s="5">
        <f t="shared" ref="Y27:AC27" si="15">SUM(Y25:Y26)</f>
        <v>0</v>
      </c>
      <c r="Z27" s="5">
        <f t="shared" si="15"/>
        <v>0</v>
      </c>
      <c r="AA27" s="5">
        <f t="shared" si="15"/>
        <v>1</v>
      </c>
      <c r="AB27" s="5">
        <f t="shared" si="15"/>
        <v>0</v>
      </c>
      <c r="AC27" s="5">
        <f t="shared" si="15"/>
        <v>0</v>
      </c>
      <c r="AD27" s="5">
        <f t="shared" si="13"/>
        <v>1</v>
      </c>
      <c r="AE27" s="5">
        <f t="shared" si="13"/>
        <v>1</v>
      </c>
      <c r="AF27" s="5">
        <f t="shared" si="13"/>
        <v>3</v>
      </c>
      <c r="AG27" s="5">
        <f t="shared" si="13"/>
        <v>0</v>
      </c>
      <c r="AH27" s="5">
        <f t="shared" si="13"/>
        <v>0</v>
      </c>
      <c r="AI27" s="5">
        <f t="shared" ref="AI27" si="16">SUM(AI25:AI26)</f>
        <v>0</v>
      </c>
      <c r="AJ27" s="5">
        <f t="shared" si="4"/>
        <v>48</v>
      </c>
    </row>
    <row r="28" spans="1:36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110</v>
      </c>
      <c r="F28" s="5">
        <f t="shared" ref="F28:AH29" si="17">SUM(F19,F22,F25)</f>
        <v>91</v>
      </c>
      <c r="G28" s="5">
        <f t="shared" si="17"/>
        <v>114</v>
      </c>
      <c r="H28" s="5">
        <f t="shared" si="17"/>
        <v>98</v>
      </c>
      <c r="I28" s="5">
        <f t="shared" si="17"/>
        <v>91</v>
      </c>
      <c r="J28" s="5">
        <f t="shared" si="17"/>
        <v>120</v>
      </c>
      <c r="K28" s="5">
        <f t="shared" si="17"/>
        <v>86</v>
      </c>
      <c r="L28" s="5">
        <f t="shared" si="17"/>
        <v>69</v>
      </c>
      <c r="M28" s="5">
        <f t="shared" si="17"/>
        <v>105</v>
      </c>
      <c r="N28" s="5">
        <f t="shared" si="17"/>
        <v>100</v>
      </c>
      <c r="O28" s="5">
        <f t="shared" ref="O28:S28" si="18">SUM(O19,O22,O25)</f>
        <v>86</v>
      </c>
      <c r="P28" s="5">
        <f t="shared" si="18"/>
        <v>103</v>
      </c>
      <c r="Q28" s="5">
        <f t="shared" si="18"/>
        <v>105</v>
      </c>
      <c r="R28" s="5">
        <f t="shared" si="18"/>
        <v>112</v>
      </c>
      <c r="S28" s="5">
        <f t="shared" si="18"/>
        <v>94</v>
      </c>
      <c r="T28" s="5">
        <f t="shared" si="17"/>
        <v>107</v>
      </c>
      <c r="U28" s="5">
        <f t="shared" si="17"/>
        <v>85</v>
      </c>
      <c r="V28" s="5">
        <f t="shared" si="17"/>
        <v>99</v>
      </c>
      <c r="W28" s="5">
        <f t="shared" si="17"/>
        <v>95</v>
      </c>
      <c r="X28" s="5">
        <f t="shared" si="17"/>
        <v>99</v>
      </c>
      <c r="Y28" s="5">
        <f t="shared" ref="Y28:AC28" si="19">SUM(Y19,Y22,Y25)</f>
        <v>87</v>
      </c>
      <c r="Z28" s="5">
        <f t="shared" si="19"/>
        <v>82</v>
      </c>
      <c r="AA28" s="5">
        <f t="shared" si="19"/>
        <v>87</v>
      </c>
      <c r="AB28" s="5">
        <f t="shared" si="19"/>
        <v>85</v>
      </c>
      <c r="AC28" s="5">
        <f t="shared" si="19"/>
        <v>81</v>
      </c>
      <c r="AD28" s="5">
        <f t="shared" si="17"/>
        <v>87</v>
      </c>
      <c r="AE28" s="5">
        <f t="shared" si="17"/>
        <v>95</v>
      </c>
      <c r="AF28" s="5">
        <f t="shared" si="17"/>
        <v>97</v>
      </c>
      <c r="AG28" s="5">
        <f t="shared" si="17"/>
        <v>95</v>
      </c>
      <c r="AH28" s="5">
        <f t="shared" si="17"/>
        <v>108</v>
      </c>
      <c r="AI28" s="5">
        <f t="shared" ref="AI28" si="20">SUM(AI19,AI22,AI25)</f>
        <v>117</v>
      </c>
      <c r="AJ28" s="5">
        <f t="shared" si="4"/>
        <v>2990</v>
      </c>
    </row>
    <row r="29" spans="1:36" x14ac:dyDescent="0.4">
      <c r="A29" s="13"/>
      <c r="B29" s="89"/>
      <c r="C29" s="96"/>
      <c r="D29" s="5" t="s">
        <v>24</v>
      </c>
      <c r="E29" s="5">
        <f>SUM(E20,E23,E26)</f>
        <v>112</v>
      </c>
      <c r="F29" s="5">
        <f t="shared" si="17"/>
        <v>107</v>
      </c>
      <c r="G29" s="5">
        <f t="shared" si="17"/>
        <v>117</v>
      </c>
      <c r="H29" s="5">
        <f t="shared" si="17"/>
        <v>119</v>
      </c>
      <c r="I29" s="5">
        <f t="shared" si="17"/>
        <v>95</v>
      </c>
      <c r="J29" s="5">
        <f t="shared" si="17"/>
        <v>122</v>
      </c>
      <c r="K29" s="5">
        <f t="shared" si="17"/>
        <v>95</v>
      </c>
      <c r="L29" s="5">
        <f t="shared" si="17"/>
        <v>98</v>
      </c>
      <c r="M29" s="5">
        <f t="shared" si="17"/>
        <v>124</v>
      </c>
      <c r="N29" s="5">
        <f t="shared" si="17"/>
        <v>114</v>
      </c>
      <c r="O29" s="5">
        <f t="shared" ref="O29:S29" si="21">SUM(O20,O23,O26)</f>
        <v>102</v>
      </c>
      <c r="P29" s="5">
        <f t="shared" si="21"/>
        <v>110</v>
      </c>
      <c r="Q29" s="5">
        <f t="shared" si="21"/>
        <v>115</v>
      </c>
      <c r="R29" s="5">
        <f t="shared" si="21"/>
        <v>121</v>
      </c>
      <c r="S29" s="5">
        <f t="shared" si="21"/>
        <v>113</v>
      </c>
      <c r="T29" s="5">
        <f t="shared" si="17"/>
        <v>103</v>
      </c>
      <c r="U29" s="5">
        <f t="shared" si="17"/>
        <v>100</v>
      </c>
      <c r="V29" s="5">
        <f t="shared" si="17"/>
        <v>99</v>
      </c>
      <c r="W29" s="5">
        <f t="shared" si="17"/>
        <v>100</v>
      </c>
      <c r="X29" s="5">
        <f t="shared" si="17"/>
        <v>117</v>
      </c>
      <c r="Y29" s="5">
        <f t="shared" ref="Y29:AC29" si="22">SUM(Y20,Y23,Y26)</f>
        <v>93</v>
      </c>
      <c r="Z29" s="5">
        <f t="shared" si="22"/>
        <v>84</v>
      </c>
      <c r="AA29" s="5">
        <f t="shared" si="22"/>
        <v>102</v>
      </c>
      <c r="AB29" s="5">
        <f t="shared" si="22"/>
        <v>86</v>
      </c>
      <c r="AC29" s="5">
        <f t="shared" si="22"/>
        <v>99</v>
      </c>
      <c r="AD29" s="5">
        <f t="shared" si="17"/>
        <v>106</v>
      </c>
      <c r="AE29" s="5">
        <f t="shared" si="17"/>
        <v>105</v>
      </c>
      <c r="AF29" s="5">
        <f t="shared" si="17"/>
        <v>120</v>
      </c>
      <c r="AG29" s="5">
        <f t="shared" si="17"/>
        <v>90</v>
      </c>
      <c r="AH29" s="5">
        <f t="shared" si="17"/>
        <v>119</v>
      </c>
      <c r="AI29" s="5">
        <f t="shared" ref="AI29" si="23">SUM(AI20,AI23,AI26)</f>
        <v>127</v>
      </c>
      <c r="AJ29" s="5">
        <f t="shared" si="4"/>
        <v>3314</v>
      </c>
    </row>
    <row r="30" spans="1:36" x14ac:dyDescent="0.4">
      <c r="A30" s="13"/>
      <c r="B30" s="90"/>
      <c r="C30" s="97"/>
      <c r="D30" s="5" t="s">
        <v>25</v>
      </c>
      <c r="E30" s="5">
        <f t="shared" ref="E30" si="24">SUM(E28:E29)</f>
        <v>222</v>
      </c>
      <c r="F30" s="5">
        <f t="shared" ref="F30:AH30" si="25">SUM(F28:F29)</f>
        <v>198</v>
      </c>
      <c r="G30" s="5">
        <f t="shared" si="25"/>
        <v>231</v>
      </c>
      <c r="H30" s="5">
        <f t="shared" si="25"/>
        <v>217</v>
      </c>
      <c r="I30" s="5">
        <f t="shared" si="25"/>
        <v>186</v>
      </c>
      <c r="J30" s="5">
        <f t="shared" si="25"/>
        <v>242</v>
      </c>
      <c r="K30" s="5">
        <f t="shared" si="25"/>
        <v>181</v>
      </c>
      <c r="L30" s="5">
        <f t="shared" si="25"/>
        <v>167</v>
      </c>
      <c r="M30" s="5">
        <f t="shared" si="25"/>
        <v>229</v>
      </c>
      <c r="N30" s="5">
        <f t="shared" si="25"/>
        <v>214</v>
      </c>
      <c r="O30" s="5">
        <f t="shared" ref="O30:S30" si="26">SUM(O28:O29)</f>
        <v>188</v>
      </c>
      <c r="P30" s="5">
        <f t="shared" si="26"/>
        <v>213</v>
      </c>
      <c r="Q30" s="5">
        <f t="shared" si="26"/>
        <v>220</v>
      </c>
      <c r="R30" s="5">
        <f t="shared" si="26"/>
        <v>233</v>
      </c>
      <c r="S30" s="5">
        <f t="shared" si="26"/>
        <v>207</v>
      </c>
      <c r="T30" s="5">
        <f t="shared" si="25"/>
        <v>210</v>
      </c>
      <c r="U30" s="5">
        <f t="shared" si="25"/>
        <v>185</v>
      </c>
      <c r="V30" s="5">
        <f t="shared" si="25"/>
        <v>198</v>
      </c>
      <c r="W30" s="5">
        <f t="shared" si="25"/>
        <v>195</v>
      </c>
      <c r="X30" s="5">
        <f t="shared" si="25"/>
        <v>216</v>
      </c>
      <c r="Y30" s="5">
        <f t="shared" ref="Y30:AC30" si="27">SUM(Y28:Y29)</f>
        <v>180</v>
      </c>
      <c r="Z30" s="5">
        <f t="shared" si="27"/>
        <v>166</v>
      </c>
      <c r="AA30" s="5">
        <f t="shared" si="27"/>
        <v>189</v>
      </c>
      <c r="AB30" s="5">
        <f t="shared" si="27"/>
        <v>171</v>
      </c>
      <c r="AC30" s="5">
        <f t="shared" si="27"/>
        <v>180</v>
      </c>
      <c r="AD30" s="5">
        <f t="shared" si="25"/>
        <v>193</v>
      </c>
      <c r="AE30" s="5">
        <f t="shared" si="25"/>
        <v>200</v>
      </c>
      <c r="AF30" s="5">
        <f t="shared" si="25"/>
        <v>217</v>
      </c>
      <c r="AG30" s="5">
        <f t="shared" si="25"/>
        <v>185</v>
      </c>
      <c r="AH30" s="5">
        <f t="shared" si="25"/>
        <v>227</v>
      </c>
      <c r="AI30" s="5">
        <f t="shared" ref="AI30" si="28">SUM(AI28:AI29)</f>
        <v>244</v>
      </c>
      <c r="AJ30" s="5">
        <f t="shared" si="4"/>
        <v>6304</v>
      </c>
    </row>
    <row r="31" spans="1:36" x14ac:dyDescent="0.4">
      <c r="A31" s="70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  <c r="AG31" s="6"/>
      <c r="AH31" s="10"/>
      <c r="AI31" s="6"/>
      <c r="AJ31" s="28"/>
    </row>
    <row r="32" spans="1:36" x14ac:dyDescent="0.4">
      <c r="A32" s="14" t="s">
        <v>36</v>
      </c>
      <c r="B32" s="75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5"/>
      <c r="AF32" s="5"/>
      <c r="AG32" s="5"/>
      <c r="AH32" s="15"/>
      <c r="AI32" s="5"/>
      <c r="AJ32" s="28"/>
    </row>
    <row r="33" spans="1:36" x14ac:dyDescent="0.4">
      <c r="A33" s="6">
        <v>1</v>
      </c>
      <c r="B33" s="93" t="s">
        <v>38</v>
      </c>
      <c r="C33" s="83"/>
      <c r="D33" s="74"/>
      <c r="E33" s="6">
        <v>298</v>
      </c>
      <c r="F33" s="6">
        <v>257</v>
      </c>
      <c r="G33" s="6">
        <v>300</v>
      </c>
      <c r="H33" s="6">
        <v>291</v>
      </c>
      <c r="I33" s="6">
        <v>247</v>
      </c>
      <c r="J33" s="6">
        <v>300</v>
      </c>
      <c r="K33" s="6">
        <v>254</v>
      </c>
      <c r="L33" s="6">
        <v>243</v>
      </c>
      <c r="M33" s="6">
        <v>301</v>
      </c>
      <c r="N33" s="6">
        <v>298</v>
      </c>
      <c r="O33" s="6">
        <v>237</v>
      </c>
      <c r="P33" s="6">
        <v>271</v>
      </c>
      <c r="Q33" s="6">
        <v>284</v>
      </c>
      <c r="R33" s="6">
        <v>297</v>
      </c>
      <c r="S33" s="6">
        <v>258</v>
      </c>
      <c r="T33" s="6">
        <v>277</v>
      </c>
      <c r="U33" s="6">
        <v>271</v>
      </c>
      <c r="V33" s="6">
        <v>265</v>
      </c>
      <c r="W33" s="6">
        <v>261</v>
      </c>
      <c r="X33" s="6">
        <v>300</v>
      </c>
      <c r="Y33" s="6">
        <v>223</v>
      </c>
      <c r="Z33" s="6">
        <v>207</v>
      </c>
      <c r="AA33" s="6">
        <v>247</v>
      </c>
      <c r="AB33" s="6">
        <v>242</v>
      </c>
      <c r="AC33" s="6">
        <v>253</v>
      </c>
      <c r="AD33" s="6">
        <v>281</v>
      </c>
      <c r="AE33" s="6">
        <v>264</v>
      </c>
      <c r="AF33" s="6">
        <v>296</v>
      </c>
      <c r="AG33" s="6">
        <v>235</v>
      </c>
      <c r="AH33" s="6">
        <v>291</v>
      </c>
      <c r="AI33" s="6">
        <v>298</v>
      </c>
      <c r="AJ33" s="5">
        <f>SUM(E33:AI33)</f>
        <v>8347</v>
      </c>
    </row>
    <row r="34" spans="1:36" x14ac:dyDescent="0.4">
      <c r="A34" s="6">
        <v>2</v>
      </c>
      <c r="B34" s="93" t="s">
        <v>39</v>
      </c>
      <c r="C34" s="83"/>
      <c r="D34" s="74"/>
      <c r="E34" s="5">
        <v>222</v>
      </c>
      <c r="F34" s="5">
        <v>198</v>
      </c>
      <c r="G34" s="5">
        <v>231</v>
      </c>
      <c r="H34" s="5">
        <v>217</v>
      </c>
      <c r="I34" s="5">
        <v>186</v>
      </c>
      <c r="J34" s="5">
        <v>242</v>
      </c>
      <c r="K34" s="5">
        <v>181</v>
      </c>
      <c r="L34" s="5">
        <v>167</v>
      </c>
      <c r="M34" s="5">
        <v>229</v>
      </c>
      <c r="N34" s="5">
        <v>214</v>
      </c>
      <c r="O34" s="5">
        <v>188</v>
      </c>
      <c r="P34" s="5">
        <v>213</v>
      </c>
      <c r="Q34" s="5">
        <v>220</v>
      </c>
      <c r="R34" s="5">
        <v>233</v>
      </c>
      <c r="S34" s="5">
        <v>207</v>
      </c>
      <c r="T34" s="5">
        <v>210</v>
      </c>
      <c r="U34" s="5">
        <v>185</v>
      </c>
      <c r="V34" s="5">
        <v>198</v>
      </c>
      <c r="W34" s="5">
        <v>195</v>
      </c>
      <c r="X34" s="5">
        <v>216</v>
      </c>
      <c r="Y34" s="5">
        <v>180</v>
      </c>
      <c r="Z34" s="5">
        <v>166</v>
      </c>
      <c r="AA34" s="5">
        <v>189</v>
      </c>
      <c r="AB34" s="5">
        <v>171</v>
      </c>
      <c r="AC34" s="5">
        <v>180</v>
      </c>
      <c r="AD34" s="5">
        <v>193</v>
      </c>
      <c r="AE34" s="5">
        <v>200</v>
      </c>
      <c r="AF34" s="5">
        <v>217</v>
      </c>
      <c r="AG34" s="5">
        <v>185</v>
      </c>
      <c r="AH34" s="5">
        <v>227</v>
      </c>
      <c r="AI34" s="5">
        <v>244</v>
      </c>
      <c r="AJ34" s="5">
        <f>SUM(E34:AI34)</f>
        <v>6304</v>
      </c>
    </row>
    <row r="35" spans="1:36" x14ac:dyDescent="0.4">
      <c r="A35" s="6">
        <v>3</v>
      </c>
      <c r="B35" s="93" t="s">
        <v>40</v>
      </c>
      <c r="C35" s="83"/>
      <c r="D35" s="7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1</v>
      </c>
      <c r="AC35" s="6"/>
      <c r="AD35" s="6"/>
      <c r="AE35" s="6"/>
      <c r="AF35" s="6"/>
      <c r="AG35" s="6"/>
      <c r="AH35" s="6"/>
      <c r="AI35" s="6"/>
      <c r="AJ35" s="5">
        <f>SUM(E35:AI35)</f>
        <v>2</v>
      </c>
    </row>
    <row r="36" spans="1:36" x14ac:dyDescent="0.4">
      <c r="A36" s="6">
        <v>4</v>
      </c>
      <c r="B36" s="93" t="s">
        <v>41</v>
      </c>
      <c r="C36" s="83"/>
      <c r="D36" s="74"/>
      <c r="E36" s="5">
        <f t="shared" ref="E36:AH36" si="29">E33-(E34+E35)</f>
        <v>76</v>
      </c>
      <c r="F36" s="5">
        <f t="shared" si="29"/>
        <v>59</v>
      </c>
      <c r="G36" s="5">
        <f t="shared" si="29"/>
        <v>69</v>
      </c>
      <c r="H36" s="5">
        <f t="shared" si="29"/>
        <v>74</v>
      </c>
      <c r="I36" s="5">
        <f t="shared" si="29"/>
        <v>61</v>
      </c>
      <c r="J36" s="5">
        <f t="shared" si="29"/>
        <v>58</v>
      </c>
      <c r="K36" s="5">
        <f t="shared" si="29"/>
        <v>73</v>
      </c>
      <c r="L36" s="5">
        <f t="shared" si="29"/>
        <v>76</v>
      </c>
      <c r="M36" s="5">
        <f t="shared" si="29"/>
        <v>72</v>
      </c>
      <c r="N36" s="5">
        <f t="shared" si="29"/>
        <v>84</v>
      </c>
      <c r="O36" s="5">
        <f t="shared" ref="O36:S36" si="30">O33-(O34+O35)</f>
        <v>49</v>
      </c>
      <c r="P36" s="5">
        <f t="shared" si="30"/>
        <v>58</v>
      </c>
      <c r="Q36" s="5">
        <f t="shared" si="30"/>
        <v>63</v>
      </c>
      <c r="R36" s="5">
        <f t="shared" si="30"/>
        <v>64</v>
      </c>
      <c r="S36" s="5">
        <f t="shared" si="30"/>
        <v>51</v>
      </c>
      <c r="T36" s="5">
        <f t="shared" si="29"/>
        <v>67</v>
      </c>
      <c r="U36" s="5">
        <f t="shared" si="29"/>
        <v>86</v>
      </c>
      <c r="V36" s="5">
        <f t="shared" si="29"/>
        <v>67</v>
      </c>
      <c r="W36" s="5">
        <f t="shared" si="29"/>
        <v>66</v>
      </c>
      <c r="X36" s="5">
        <f t="shared" si="29"/>
        <v>84</v>
      </c>
      <c r="Y36" s="5">
        <f t="shared" ref="Y36:AC36" si="31">Y33-(Y34+Y35)</f>
        <v>43</v>
      </c>
      <c r="Z36" s="5">
        <f t="shared" si="31"/>
        <v>41</v>
      </c>
      <c r="AA36" s="5">
        <f t="shared" si="31"/>
        <v>58</v>
      </c>
      <c r="AB36" s="5">
        <f t="shared" si="31"/>
        <v>70</v>
      </c>
      <c r="AC36" s="5">
        <f t="shared" si="31"/>
        <v>73</v>
      </c>
      <c r="AD36" s="5">
        <f t="shared" si="29"/>
        <v>88</v>
      </c>
      <c r="AE36" s="5">
        <f t="shared" si="29"/>
        <v>64</v>
      </c>
      <c r="AF36" s="5">
        <f t="shared" si="29"/>
        <v>79</v>
      </c>
      <c r="AG36" s="5">
        <f t="shared" si="29"/>
        <v>50</v>
      </c>
      <c r="AH36" s="5">
        <f t="shared" si="29"/>
        <v>64</v>
      </c>
      <c r="AI36" s="5">
        <f t="shared" ref="AI36" si="32">AI33-(AI34+AI35)</f>
        <v>54</v>
      </c>
      <c r="AJ36" s="5">
        <f>SUM(E36:AI36)</f>
        <v>2041</v>
      </c>
    </row>
    <row r="37" spans="1:36" x14ac:dyDescent="0.4">
      <c r="A37" s="70"/>
      <c r="B37" s="83"/>
      <c r="C37" s="83"/>
      <c r="D37" s="83"/>
      <c r="E37" s="70"/>
      <c r="F37" s="91"/>
      <c r="G37" s="91"/>
      <c r="H37" s="91"/>
      <c r="I37" s="92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6"/>
      <c r="AF37" s="6"/>
      <c r="AG37" s="6"/>
      <c r="AH37" s="10"/>
      <c r="AI37" s="6"/>
      <c r="AJ37" s="28"/>
    </row>
    <row r="38" spans="1:36" x14ac:dyDescent="0.4">
      <c r="A38" s="16" t="s">
        <v>42</v>
      </c>
      <c r="B38" s="75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5"/>
      <c r="AF38" s="5"/>
      <c r="AG38" s="5"/>
      <c r="AH38" s="15"/>
      <c r="AI38" s="5"/>
      <c r="AJ38" s="28"/>
    </row>
    <row r="39" spans="1:36" x14ac:dyDescent="0.4">
      <c r="A39" s="11"/>
      <c r="B39" s="86" t="s">
        <v>44</v>
      </c>
      <c r="C39" s="79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>
        <v>2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5">
        <f>SUM(E39:AI39)</f>
        <v>2</v>
      </c>
    </row>
    <row r="40" spans="1:36" x14ac:dyDescent="0.4">
      <c r="A40" s="12"/>
      <c r="B40" s="88"/>
      <c r="C40" s="89"/>
      <c r="D40" s="6" t="s">
        <v>24</v>
      </c>
      <c r="E40" s="6"/>
      <c r="F40" s="6"/>
      <c r="G40" s="6"/>
      <c r="H40" s="6"/>
      <c r="I40" s="6"/>
      <c r="J40" s="6"/>
      <c r="K40" s="6">
        <v>1</v>
      </c>
      <c r="L40" s="6">
        <v>1</v>
      </c>
      <c r="M40" s="6"/>
      <c r="N40" s="6">
        <v>6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5">
        <f>SUM(E40:AI40)</f>
        <v>8</v>
      </c>
    </row>
    <row r="41" spans="1:36" x14ac:dyDescent="0.4">
      <c r="A41" s="14"/>
      <c r="B41" s="85"/>
      <c r="C41" s="90"/>
      <c r="D41" s="5" t="s">
        <v>25</v>
      </c>
      <c r="E41" s="5">
        <f t="shared" ref="E41:AH41" si="33">SUM(E39:E40)</f>
        <v>0</v>
      </c>
      <c r="F41" s="5">
        <f t="shared" si="33"/>
        <v>0</v>
      </c>
      <c r="G41" s="5">
        <f t="shared" si="33"/>
        <v>0</v>
      </c>
      <c r="H41" s="5">
        <f t="shared" si="33"/>
        <v>0</v>
      </c>
      <c r="I41" s="5">
        <f t="shared" si="33"/>
        <v>0</v>
      </c>
      <c r="J41" s="5">
        <f t="shared" si="33"/>
        <v>0</v>
      </c>
      <c r="K41" s="5">
        <f t="shared" si="33"/>
        <v>1</v>
      </c>
      <c r="L41" s="5">
        <f t="shared" si="33"/>
        <v>1</v>
      </c>
      <c r="M41" s="5">
        <f t="shared" si="33"/>
        <v>0</v>
      </c>
      <c r="N41" s="5">
        <f t="shared" si="33"/>
        <v>8</v>
      </c>
      <c r="O41" s="5">
        <f t="shared" ref="O41:S41" si="34">SUM(O39:O40)</f>
        <v>0</v>
      </c>
      <c r="P41" s="5">
        <f t="shared" si="34"/>
        <v>0</v>
      </c>
      <c r="Q41" s="5">
        <f t="shared" si="34"/>
        <v>0</v>
      </c>
      <c r="R41" s="5">
        <f t="shared" si="34"/>
        <v>0</v>
      </c>
      <c r="S41" s="5">
        <f t="shared" si="34"/>
        <v>0</v>
      </c>
      <c r="T41" s="5">
        <f t="shared" si="33"/>
        <v>0</v>
      </c>
      <c r="U41" s="5">
        <f t="shared" si="33"/>
        <v>0</v>
      </c>
      <c r="V41" s="5">
        <f t="shared" si="33"/>
        <v>0</v>
      </c>
      <c r="W41" s="5">
        <f t="shared" si="33"/>
        <v>0</v>
      </c>
      <c r="X41" s="5">
        <f t="shared" si="33"/>
        <v>0</v>
      </c>
      <c r="Y41" s="5">
        <f t="shared" ref="Y41:AC41" si="35">SUM(Y39:Y40)</f>
        <v>0</v>
      </c>
      <c r="Z41" s="5">
        <f t="shared" si="35"/>
        <v>0</v>
      </c>
      <c r="AA41" s="5">
        <f t="shared" si="35"/>
        <v>0</v>
      </c>
      <c r="AB41" s="5">
        <f t="shared" si="35"/>
        <v>0</v>
      </c>
      <c r="AC41" s="5">
        <f t="shared" si="35"/>
        <v>0</v>
      </c>
      <c r="AD41" s="5">
        <f t="shared" si="33"/>
        <v>0</v>
      </c>
      <c r="AE41" s="5">
        <f t="shared" si="33"/>
        <v>0</v>
      </c>
      <c r="AF41" s="5">
        <f t="shared" si="33"/>
        <v>0</v>
      </c>
      <c r="AG41" s="5">
        <f t="shared" si="33"/>
        <v>0</v>
      </c>
      <c r="AH41" s="5">
        <f t="shared" si="33"/>
        <v>0</v>
      </c>
      <c r="AI41" s="5">
        <f t="shared" ref="AI41" si="36">SUM(AI39:AI40)</f>
        <v>0</v>
      </c>
      <c r="AJ41" s="5">
        <f>SUM(E41:AI41)</f>
        <v>10</v>
      </c>
    </row>
    <row r="42" spans="1:36" x14ac:dyDescent="0.4">
      <c r="A42" s="84"/>
      <c r="B42" s="85"/>
      <c r="C42" s="85"/>
      <c r="D42" s="90"/>
      <c r="E42" s="70"/>
      <c r="F42" s="83"/>
      <c r="G42" s="83"/>
      <c r="H42" s="83"/>
      <c r="I42" s="74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6"/>
      <c r="AF42" s="6"/>
      <c r="AG42" s="6"/>
      <c r="AH42" s="10"/>
      <c r="AI42" s="6"/>
      <c r="AJ42" s="5"/>
    </row>
    <row r="43" spans="1:36" ht="13.15" customHeight="1" x14ac:dyDescent="0.4">
      <c r="A43" s="16" t="s">
        <v>45</v>
      </c>
      <c r="B43" s="75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  <c r="AF43" s="5"/>
      <c r="AG43" s="5"/>
      <c r="AH43" s="15"/>
      <c r="AI43" s="5"/>
      <c r="AJ43" s="5"/>
    </row>
    <row r="44" spans="1:36" ht="13.15" customHeight="1" x14ac:dyDescent="0.4">
      <c r="A44" s="86" t="s">
        <v>47</v>
      </c>
      <c r="B44" s="87"/>
      <c r="C44" s="87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6"/>
      <c r="AF44" s="6"/>
      <c r="AG44" s="6"/>
      <c r="AH44" s="10"/>
      <c r="AI44" s="6"/>
      <c r="AJ44" s="5"/>
    </row>
    <row r="45" spans="1:36" x14ac:dyDescent="0.4">
      <c r="A45" s="11" t="s">
        <v>48</v>
      </c>
      <c r="B45" s="17" t="s">
        <v>28</v>
      </c>
      <c r="C45" s="73" t="s">
        <v>49</v>
      </c>
      <c r="D45" s="74"/>
      <c r="E45" s="6">
        <v>7</v>
      </c>
      <c r="F45" s="6">
        <v>3</v>
      </c>
      <c r="G45" s="6"/>
      <c r="H45" s="6">
        <v>6</v>
      </c>
      <c r="I45" s="6">
        <v>3</v>
      </c>
      <c r="J45" s="6">
        <v>6</v>
      </c>
      <c r="K45" s="6">
        <v>2</v>
      </c>
      <c r="L45" s="6">
        <v>3</v>
      </c>
      <c r="M45" s="6">
        <v>3</v>
      </c>
      <c r="N45" s="6">
        <v>4</v>
      </c>
      <c r="O45" s="6">
        <v>1</v>
      </c>
      <c r="P45" s="6">
        <v>2</v>
      </c>
      <c r="Q45" s="6">
        <v>5</v>
      </c>
      <c r="R45" s="6">
        <v>5</v>
      </c>
      <c r="S45" s="6">
        <v>6</v>
      </c>
      <c r="T45" s="6">
        <v>6</v>
      </c>
      <c r="U45" s="6">
        <v>3</v>
      </c>
      <c r="V45" s="6">
        <v>5</v>
      </c>
      <c r="W45" s="6">
        <v>5</v>
      </c>
      <c r="X45" s="6">
        <v>4</v>
      </c>
      <c r="Y45" s="6">
        <v>3</v>
      </c>
      <c r="Z45" s="6">
        <v>10</v>
      </c>
      <c r="AA45" s="6">
        <v>10</v>
      </c>
      <c r="AB45" s="6">
        <v>13</v>
      </c>
      <c r="AC45" s="6">
        <v>4</v>
      </c>
      <c r="AD45" s="6">
        <v>1</v>
      </c>
      <c r="AE45" s="6">
        <v>2</v>
      </c>
      <c r="AF45" s="6">
        <v>5</v>
      </c>
      <c r="AG45" s="6">
        <v>2</v>
      </c>
      <c r="AH45" s="6">
        <v>3</v>
      </c>
      <c r="AI45" s="6">
        <v>4</v>
      </c>
      <c r="AJ45" s="5">
        <f t="shared" ref="AJ45:AJ55" si="37">SUM(E45:AI45)</f>
        <v>136</v>
      </c>
    </row>
    <row r="46" spans="1:36" x14ac:dyDescent="0.4">
      <c r="A46" s="11" t="s">
        <v>50</v>
      </c>
      <c r="B46" s="51"/>
      <c r="C46" s="24" t="s">
        <v>122</v>
      </c>
      <c r="D46" s="24"/>
      <c r="E46" s="6">
        <v>9</v>
      </c>
      <c r="F46" s="6">
        <v>14</v>
      </c>
      <c r="G46" s="6">
        <v>3</v>
      </c>
      <c r="H46" s="6">
        <v>8</v>
      </c>
      <c r="I46" s="6">
        <v>10</v>
      </c>
      <c r="J46" s="6">
        <v>41</v>
      </c>
      <c r="K46" s="6">
        <v>7</v>
      </c>
      <c r="L46" s="6">
        <v>2</v>
      </c>
      <c r="M46" s="6">
        <v>9</v>
      </c>
      <c r="N46" s="6">
        <v>15</v>
      </c>
      <c r="O46" s="6">
        <v>12</v>
      </c>
      <c r="P46" s="6">
        <v>15</v>
      </c>
      <c r="Q46" s="6">
        <v>8</v>
      </c>
      <c r="R46" s="6">
        <v>26</v>
      </c>
      <c r="S46" s="6">
        <v>9</v>
      </c>
      <c r="T46" s="6">
        <v>2</v>
      </c>
      <c r="U46" s="6">
        <v>3</v>
      </c>
      <c r="V46" s="6">
        <v>6</v>
      </c>
      <c r="W46" s="6">
        <v>5</v>
      </c>
      <c r="X46" s="6">
        <v>29</v>
      </c>
      <c r="Y46" s="6">
        <v>1</v>
      </c>
      <c r="Z46" s="6">
        <v>10</v>
      </c>
      <c r="AA46" s="6">
        <v>36</v>
      </c>
      <c r="AB46" s="6">
        <v>35</v>
      </c>
      <c r="AC46" s="6">
        <v>11</v>
      </c>
      <c r="AD46" s="6">
        <v>10</v>
      </c>
      <c r="AE46" s="6">
        <v>3</v>
      </c>
      <c r="AF46" s="6">
        <v>5</v>
      </c>
      <c r="AG46" s="6">
        <v>5</v>
      </c>
      <c r="AH46" s="6">
        <v>7</v>
      </c>
      <c r="AI46" s="6">
        <v>9</v>
      </c>
      <c r="AJ46" s="5">
        <f t="shared" si="37"/>
        <v>365</v>
      </c>
    </row>
    <row r="47" spans="1:36" x14ac:dyDescent="0.4">
      <c r="A47" s="7"/>
      <c r="B47" s="52"/>
      <c r="C47" s="24" t="s">
        <v>123</v>
      </c>
      <c r="D47" s="24"/>
      <c r="E47" s="6">
        <v>9</v>
      </c>
      <c r="F47" s="6">
        <v>3</v>
      </c>
      <c r="G47" s="6"/>
      <c r="H47" s="6">
        <v>2</v>
      </c>
      <c r="I47" s="6"/>
      <c r="J47" s="6">
        <v>3</v>
      </c>
      <c r="K47" s="6">
        <v>1</v>
      </c>
      <c r="L47" s="6"/>
      <c r="M47" s="6">
        <v>5</v>
      </c>
      <c r="N47" s="6">
        <v>3</v>
      </c>
      <c r="O47" s="6">
        <v>1</v>
      </c>
      <c r="P47" s="6">
        <v>4</v>
      </c>
      <c r="Q47" s="6">
        <v>7</v>
      </c>
      <c r="R47" s="6">
        <v>2</v>
      </c>
      <c r="S47" s="6">
        <v>7</v>
      </c>
      <c r="T47" s="6">
        <v>3</v>
      </c>
      <c r="U47" s="6">
        <v>1</v>
      </c>
      <c r="V47" s="6">
        <v>3</v>
      </c>
      <c r="W47" s="6">
        <v>2</v>
      </c>
      <c r="X47" s="6">
        <v>3</v>
      </c>
      <c r="Y47" s="6"/>
      <c r="Z47" s="6">
        <v>1</v>
      </c>
      <c r="AA47" s="6">
        <v>5</v>
      </c>
      <c r="AB47" s="6">
        <v>2</v>
      </c>
      <c r="AC47" s="6">
        <v>1</v>
      </c>
      <c r="AD47" s="6">
        <v>2</v>
      </c>
      <c r="AE47" s="6"/>
      <c r="AF47" s="6">
        <v>2</v>
      </c>
      <c r="AG47" s="6"/>
      <c r="AH47" s="6">
        <v>1</v>
      </c>
      <c r="AI47" s="6">
        <v>4</v>
      </c>
      <c r="AJ47" s="5">
        <f t="shared" si="37"/>
        <v>77</v>
      </c>
    </row>
    <row r="48" spans="1:36" x14ac:dyDescent="0.4">
      <c r="A48" s="7"/>
      <c r="B48" s="52"/>
      <c r="C48" s="24" t="s">
        <v>124</v>
      </c>
      <c r="D48" s="24"/>
      <c r="E48" s="6">
        <v>1</v>
      </c>
      <c r="F48" s="6"/>
      <c r="G48" s="6">
        <v>1</v>
      </c>
      <c r="H48" s="6">
        <v>1</v>
      </c>
      <c r="I48" s="6">
        <v>1</v>
      </c>
      <c r="J48" s="6">
        <v>3</v>
      </c>
      <c r="K48" s="6"/>
      <c r="L48" s="6">
        <v>1</v>
      </c>
      <c r="M48" s="6">
        <v>4</v>
      </c>
      <c r="N48" s="6">
        <v>1</v>
      </c>
      <c r="O48" s="6">
        <v>1</v>
      </c>
      <c r="P48" s="6"/>
      <c r="Q48" s="6">
        <v>1</v>
      </c>
      <c r="R48" s="6">
        <v>1</v>
      </c>
      <c r="S48" s="6">
        <v>1</v>
      </c>
      <c r="T48" s="6"/>
      <c r="U48" s="6"/>
      <c r="V48" s="6"/>
      <c r="W48" s="6"/>
      <c r="X48" s="6">
        <v>3</v>
      </c>
      <c r="Y48" s="6">
        <v>1</v>
      </c>
      <c r="Z48" s="6">
        <v>2</v>
      </c>
      <c r="AA48" s="6">
        <v>3</v>
      </c>
      <c r="AB48" s="6">
        <v>1</v>
      </c>
      <c r="AC48" s="6">
        <v>1</v>
      </c>
      <c r="AD48" s="6">
        <v>1</v>
      </c>
      <c r="AE48" s="6"/>
      <c r="AF48" s="6"/>
      <c r="AG48" s="6"/>
      <c r="AH48" s="6">
        <v>1</v>
      </c>
      <c r="AI48" s="6">
        <v>1</v>
      </c>
      <c r="AJ48" s="5">
        <f t="shared" si="37"/>
        <v>31</v>
      </c>
    </row>
    <row r="49" spans="1:36" x14ac:dyDescent="0.4">
      <c r="A49" s="7"/>
      <c r="B49" s="52"/>
      <c r="C49" s="24" t="s">
        <v>125</v>
      </c>
      <c r="D49" s="24"/>
      <c r="E49" s="6">
        <v>3</v>
      </c>
      <c r="F49" s="6">
        <v>1</v>
      </c>
      <c r="G49" s="6">
        <v>5</v>
      </c>
      <c r="H49" s="6">
        <v>4</v>
      </c>
      <c r="I49" s="6"/>
      <c r="J49" s="6"/>
      <c r="K49" s="6">
        <v>2</v>
      </c>
      <c r="L49" s="6"/>
      <c r="M49" s="6"/>
      <c r="N49" s="6"/>
      <c r="O49" s="6">
        <v>2</v>
      </c>
      <c r="P49" s="6">
        <v>1</v>
      </c>
      <c r="Q49" s="6">
        <v>1</v>
      </c>
      <c r="R49" s="6">
        <v>1</v>
      </c>
      <c r="S49" s="6"/>
      <c r="T49" s="6"/>
      <c r="U49" s="6"/>
      <c r="V49" s="6"/>
      <c r="W49" s="6"/>
      <c r="X49" s="6">
        <v>4</v>
      </c>
      <c r="Y49" s="6"/>
      <c r="Z49" s="6">
        <v>2</v>
      </c>
      <c r="AA49" s="6">
        <v>3</v>
      </c>
      <c r="AB49" s="6">
        <v>1</v>
      </c>
      <c r="AC49" s="6"/>
      <c r="AD49" s="6">
        <v>2</v>
      </c>
      <c r="AE49" s="6"/>
      <c r="AF49" s="6"/>
      <c r="AG49" s="6">
        <v>2</v>
      </c>
      <c r="AH49" s="6">
        <v>1</v>
      </c>
      <c r="AI49" s="6">
        <v>2</v>
      </c>
      <c r="AJ49" s="5">
        <f t="shared" si="37"/>
        <v>37</v>
      </c>
    </row>
    <row r="50" spans="1:36" x14ac:dyDescent="0.4">
      <c r="A50" s="7"/>
      <c r="B50" s="52"/>
      <c r="C50" s="24" t="s">
        <v>126</v>
      </c>
      <c r="D50" s="24"/>
      <c r="E50" s="6"/>
      <c r="F50" s="6"/>
      <c r="G50" s="6">
        <v>1</v>
      </c>
      <c r="H50" s="6"/>
      <c r="I50" s="6">
        <v>1</v>
      </c>
      <c r="J50" s="6">
        <v>1</v>
      </c>
      <c r="K50" s="6">
        <v>1</v>
      </c>
      <c r="L50" s="6"/>
      <c r="M50" s="6"/>
      <c r="N50" s="6">
        <v>2</v>
      </c>
      <c r="O50" s="6">
        <v>2</v>
      </c>
      <c r="P50" s="6"/>
      <c r="Q50" s="6"/>
      <c r="R50" s="6"/>
      <c r="S50" s="6"/>
      <c r="T50" s="6"/>
      <c r="U50" s="6"/>
      <c r="V50" s="6">
        <v>1</v>
      </c>
      <c r="W50" s="6"/>
      <c r="X50" s="6"/>
      <c r="Y50" s="6"/>
      <c r="Z50" s="6"/>
      <c r="AA50" s="6"/>
      <c r="AB50" s="6">
        <v>1</v>
      </c>
      <c r="AC50" s="6"/>
      <c r="AD50" s="6"/>
      <c r="AE50" s="6"/>
      <c r="AF50" s="6">
        <v>2</v>
      </c>
      <c r="AG50" s="6"/>
      <c r="AH50" s="6"/>
      <c r="AI50" s="6"/>
      <c r="AJ50" s="5">
        <f t="shared" si="37"/>
        <v>12</v>
      </c>
    </row>
    <row r="51" spans="1:36" x14ac:dyDescent="0.4">
      <c r="A51" s="7"/>
      <c r="B51" s="52"/>
      <c r="C51" s="24" t="s">
        <v>127</v>
      </c>
      <c r="D51" s="24"/>
      <c r="E51" s="6"/>
      <c r="F51" s="6"/>
      <c r="G51" s="6"/>
      <c r="H51" s="6"/>
      <c r="I51" s="6">
        <v>1</v>
      </c>
      <c r="J51" s="6"/>
      <c r="K51" s="6"/>
      <c r="L51" s="6"/>
      <c r="M51" s="6"/>
      <c r="N51" s="6"/>
      <c r="O51" s="6"/>
      <c r="P51" s="6"/>
      <c r="Q51" s="6"/>
      <c r="R51" s="6">
        <v>2</v>
      </c>
      <c r="S51" s="6"/>
      <c r="T51" s="6"/>
      <c r="U51" s="6"/>
      <c r="V51" s="6">
        <v>1</v>
      </c>
      <c r="W51" s="6">
        <v>1</v>
      </c>
      <c r="X51" s="6">
        <v>2</v>
      </c>
      <c r="Y51" s="6"/>
      <c r="Z51" s="6"/>
      <c r="AA51" s="6">
        <v>2</v>
      </c>
      <c r="AB51" s="6"/>
      <c r="AC51" s="6"/>
      <c r="AD51" s="6"/>
      <c r="AE51" s="6"/>
      <c r="AF51" s="6"/>
      <c r="AG51" s="6"/>
      <c r="AH51" s="6">
        <v>1</v>
      </c>
      <c r="AI51" s="6">
        <v>1</v>
      </c>
      <c r="AJ51" s="5">
        <f t="shared" si="37"/>
        <v>11</v>
      </c>
    </row>
    <row r="52" spans="1:36" ht="13.15" customHeight="1" x14ac:dyDescent="0.4">
      <c r="A52" s="7"/>
      <c r="B52" s="52"/>
      <c r="C52" s="24" t="s">
        <v>128</v>
      </c>
      <c r="D52" s="24"/>
      <c r="E52" s="6"/>
      <c r="F52" s="6">
        <v>1</v>
      </c>
      <c r="G52" s="6"/>
      <c r="H52" s="6"/>
      <c r="I52" s="6"/>
      <c r="J52" s="6">
        <v>2</v>
      </c>
      <c r="K52" s="6"/>
      <c r="L52" s="6">
        <v>1</v>
      </c>
      <c r="M52" s="6">
        <v>1</v>
      </c>
      <c r="N52" s="6">
        <v>1</v>
      </c>
      <c r="O52" s="6"/>
      <c r="P52" s="6"/>
      <c r="Q52" s="6"/>
      <c r="R52" s="6"/>
      <c r="S52" s="6"/>
      <c r="T52" s="6">
        <v>1</v>
      </c>
      <c r="U52" s="6"/>
      <c r="V52" s="6"/>
      <c r="W52" s="6"/>
      <c r="X52" s="6"/>
      <c r="Y52" s="6"/>
      <c r="Z52" s="6"/>
      <c r="AA52" s="6"/>
      <c r="AB52" s="6">
        <v>1</v>
      </c>
      <c r="AC52" s="6"/>
      <c r="AD52" s="6">
        <v>1</v>
      </c>
      <c r="AE52" s="6">
        <v>1</v>
      </c>
      <c r="AF52" s="6"/>
      <c r="AG52" s="6">
        <v>1</v>
      </c>
      <c r="AH52" s="6"/>
      <c r="AI52" s="6"/>
      <c r="AJ52" s="5">
        <f t="shared" si="37"/>
        <v>11</v>
      </c>
    </row>
    <row r="53" spans="1:36" ht="13.15" customHeight="1" x14ac:dyDescent="0.4">
      <c r="A53" s="7"/>
      <c r="B53" s="52"/>
      <c r="C53" s="24" t="s">
        <v>129</v>
      </c>
      <c r="D53" s="24"/>
      <c r="E53" s="6"/>
      <c r="F53" s="6"/>
      <c r="G53" s="6"/>
      <c r="H53" s="6"/>
      <c r="I53" s="6">
        <v>1</v>
      </c>
      <c r="J53" s="6"/>
      <c r="K53" s="6">
        <v>1</v>
      </c>
      <c r="L53" s="6"/>
      <c r="M53" s="6"/>
      <c r="N53" s="6">
        <v>1</v>
      </c>
      <c r="O53" s="6"/>
      <c r="P53" s="6"/>
      <c r="Q53" s="6">
        <v>2</v>
      </c>
      <c r="R53" s="6"/>
      <c r="S53" s="6"/>
      <c r="T53" s="6"/>
      <c r="U53" s="6"/>
      <c r="V53" s="6"/>
      <c r="W53" s="6"/>
      <c r="X53" s="6"/>
      <c r="Y53" s="6"/>
      <c r="Z53" s="6">
        <v>1</v>
      </c>
      <c r="AA53" s="6"/>
      <c r="AB53" s="6"/>
      <c r="AC53" s="6"/>
      <c r="AD53" s="6">
        <v>1</v>
      </c>
      <c r="AE53" s="6"/>
      <c r="AF53" s="6"/>
      <c r="AG53" s="6"/>
      <c r="AH53" s="6"/>
      <c r="AI53" s="6"/>
      <c r="AJ53" s="5">
        <f t="shared" si="37"/>
        <v>7</v>
      </c>
    </row>
    <row r="54" spans="1:36" ht="13.15" customHeight="1" x14ac:dyDescent="0.4">
      <c r="A54" s="7"/>
      <c r="B54" s="52"/>
      <c r="C54" s="24" t="s">
        <v>130</v>
      </c>
      <c r="D54" s="24"/>
      <c r="E54" s="6"/>
      <c r="F54" s="6">
        <v>3</v>
      </c>
      <c r="G54" s="6"/>
      <c r="H54" s="6">
        <v>1</v>
      </c>
      <c r="I54" s="6"/>
      <c r="J54" s="6">
        <v>1</v>
      </c>
      <c r="K54" s="6"/>
      <c r="L54" s="6"/>
      <c r="M54" s="6"/>
      <c r="N54" s="6"/>
      <c r="O54" s="6"/>
      <c r="P54" s="6"/>
      <c r="Q54" s="6"/>
      <c r="R54" s="6">
        <v>1</v>
      </c>
      <c r="S54" s="6"/>
      <c r="T54" s="6"/>
      <c r="U54" s="6"/>
      <c r="V54" s="6"/>
      <c r="W54" s="6"/>
      <c r="X54" s="6">
        <v>2</v>
      </c>
      <c r="Y54" s="6"/>
      <c r="Z54" s="6"/>
      <c r="AA54" s="6"/>
      <c r="AB54" s="6"/>
      <c r="AC54" s="6"/>
      <c r="AD54" s="6"/>
      <c r="AE54" s="6"/>
      <c r="AF54" s="6">
        <v>1</v>
      </c>
      <c r="AG54" s="6"/>
      <c r="AH54" s="6"/>
      <c r="AI54" s="6">
        <v>1</v>
      </c>
      <c r="AJ54" s="5">
        <f t="shared" si="37"/>
        <v>10</v>
      </c>
    </row>
    <row r="55" spans="1:36" x14ac:dyDescent="0.4">
      <c r="A55" s="6" t="s">
        <v>26</v>
      </c>
      <c r="B55" s="67" t="s">
        <v>51</v>
      </c>
      <c r="C55" s="83"/>
      <c r="D55" s="74"/>
      <c r="E55" s="5">
        <f>SUM(E45:E54)</f>
        <v>29</v>
      </c>
      <c r="F55" s="5">
        <f t="shared" ref="F55:AJ55" si="38">SUM(F45:F54)</f>
        <v>25</v>
      </c>
      <c r="G55" s="5">
        <f t="shared" si="38"/>
        <v>10</v>
      </c>
      <c r="H55" s="5">
        <f t="shared" si="38"/>
        <v>22</v>
      </c>
      <c r="I55" s="5">
        <f t="shared" si="38"/>
        <v>17</v>
      </c>
      <c r="J55" s="5">
        <f t="shared" si="38"/>
        <v>57</v>
      </c>
      <c r="K55" s="5">
        <f t="shared" si="38"/>
        <v>14</v>
      </c>
      <c r="L55" s="5">
        <f t="shared" si="38"/>
        <v>7</v>
      </c>
      <c r="M55" s="5">
        <f t="shared" si="38"/>
        <v>22</v>
      </c>
      <c r="N55" s="5">
        <f t="shared" si="38"/>
        <v>27</v>
      </c>
      <c r="O55" s="5">
        <f t="shared" si="38"/>
        <v>19</v>
      </c>
      <c r="P55" s="5">
        <f t="shared" si="38"/>
        <v>22</v>
      </c>
      <c r="Q55" s="5">
        <f t="shared" si="38"/>
        <v>24</v>
      </c>
      <c r="R55" s="5">
        <f t="shared" si="38"/>
        <v>38</v>
      </c>
      <c r="S55" s="5">
        <f t="shared" si="38"/>
        <v>23</v>
      </c>
      <c r="T55" s="5">
        <f t="shared" si="38"/>
        <v>12</v>
      </c>
      <c r="U55" s="5">
        <f t="shared" si="38"/>
        <v>7</v>
      </c>
      <c r="V55" s="5">
        <f t="shared" si="38"/>
        <v>16</v>
      </c>
      <c r="W55" s="5">
        <f t="shared" si="38"/>
        <v>13</v>
      </c>
      <c r="X55" s="5">
        <f t="shared" si="38"/>
        <v>47</v>
      </c>
      <c r="Y55" s="5">
        <f t="shared" si="38"/>
        <v>5</v>
      </c>
      <c r="Z55" s="5">
        <f t="shared" si="38"/>
        <v>26</v>
      </c>
      <c r="AA55" s="5">
        <f t="shared" si="38"/>
        <v>59</v>
      </c>
      <c r="AB55" s="5">
        <f t="shared" si="38"/>
        <v>54</v>
      </c>
      <c r="AC55" s="5">
        <f t="shared" si="38"/>
        <v>17</v>
      </c>
      <c r="AD55" s="5">
        <f t="shared" si="38"/>
        <v>18</v>
      </c>
      <c r="AE55" s="5">
        <f t="shared" si="38"/>
        <v>6</v>
      </c>
      <c r="AF55" s="5">
        <f t="shared" si="38"/>
        <v>15</v>
      </c>
      <c r="AG55" s="5">
        <f t="shared" si="38"/>
        <v>10</v>
      </c>
      <c r="AH55" s="5">
        <f t="shared" si="38"/>
        <v>14</v>
      </c>
      <c r="AI55" s="5">
        <f t="shared" si="38"/>
        <v>22</v>
      </c>
      <c r="AJ55" s="5">
        <f t="shared" si="38"/>
        <v>697</v>
      </c>
    </row>
    <row r="56" spans="1:36" x14ac:dyDescent="0.4">
      <c r="A56" s="84"/>
      <c r="B56" s="85"/>
      <c r="C56" s="85"/>
      <c r="D56" s="85"/>
      <c r="E56" s="85"/>
      <c r="AJ56" s="5"/>
    </row>
    <row r="57" spans="1:36" x14ac:dyDescent="0.4">
      <c r="A57" s="11" t="s">
        <v>48</v>
      </c>
      <c r="B57" s="17" t="s">
        <v>30</v>
      </c>
      <c r="C57" s="73" t="s">
        <v>52</v>
      </c>
      <c r="D57" s="74"/>
      <c r="E57" s="6">
        <v>7</v>
      </c>
      <c r="F57" s="6">
        <v>8</v>
      </c>
      <c r="G57" s="6">
        <v>24</v>
      </c>
      <c r="H57" s="6">
        <v>18</v>
      </c>
      <c r="I57" s="6">
        <v>6</v>
      </c>
      <c r="J57" s="6">
        <v>13</v>
      </c>
      <c r="K57" s="6">
        <v>16</v>
      </c>
      <c r="L57" s="6">
        <v>9</v>
      </c>
      <c r="M57" s="6">
        <v>18</v>
      </c>
      <c r="N57" s="6">
        <v>8</v>
      </c>
      <c r="O57" s="6">
        <v>10</v>
      </c>
      <c r="P57" s="6">
        <v>11</v>
      </c>
      <c r="Q57" s="6">
        <v>13</v>
      </c>
      <c r="R57" s="6">
        <v>5</v>
      </c>
      <c r="S57" s="6">
        <v>11</v>
      </c>
      <c r="T57" s="6">
        <v>9</v>
      </c>
      <c r="U57" s="6">
        <v>11</v>
      </c>
      <c r="V57" s="6">
        <v>10</v>
      </c>
      <c r="W57" s="6">
        <v>9</v>
      </c>
      <c r="X57" s="6">
        <v>12</v>
      </c>
      <c r="Y57" s="6">
        <v>1</v>
      </c>
      <c r="Z57" s="6">
        <v>5</v>
      </c>
      <c r="AA57" s="6">
        <v>9</v>
      </c>
      <c r="AB57" s="6">
        <v>9</v>
      </c>
      <c r="AC57" s="6">
        <v>7</v>
      </c>
      <c r="AD57" s="6">
        <v>11</v>
      </c>
      <c r="AE57" s="6">
        <v>13</v>
      </c>
      <c r="AF57" s="6">
        <v>6</v>
      </c>
      <c r="AG57" s="6">
        <v>6</v>
      </c>
      <c r="AH57" s="6">
        <v>14</v>
      </c>
      <c r="AI57" s="6">
        <v>7</v>
      </c>
      <c r="AJ57" s="5">
        <f t="shared" ref="AJ57:AJ67" si="39">SUM(E57:AI57)</f>
        <v>316</v>
      </c>
    </row>
    <row r="58" spans="1:36" x14ac:dyDescent="0.4">
      <c r="A58" s="11" t="s">
        <v>50</v>
      </c>
      <c r="B58" s="52"/>
      <c r="C58" s="24" t="s">
        <v>131</v>
      </c>
      <c r="D58" s="53"/>
      <c r="E58" s="6">
        <v>8</v>
      </c>
      <c r="F58" s="6">
        <v>5</v>
      </c>
      <c r="G58" s="6">
        <v>6</v>
      </c>
      <c r="H58" s="6">
        <v>10</v>
      </c>
      <c r="I58" s="6">
        <v>12</v>
      </c>
      <c r="J58" s="6">
        <v>5</v>
      </c>
      <c r="K58" s="6">
        <v>4</v>
      </c>
      <c r="L58" s="6">
        <v>4</v>
      </c>
      <c r="M58" s="6">
        <v>8</v>
      </c>
      <c r="N58" s="6">
        <v>5</v>
      </c>
      <c r="O58" s="6">
        <v>13</v>
      </c>
      <c r="P58" s="6">
        <v>21</v>
      </c>
      <c r="Q58" s="6">
        <v>13</v>
      </c>
      <c r="R58" s="6">
        <v>6</v>
      </c>
      <c r="S58" s="6">
        <v>3</v>
      </c>
      <c r="T58" s="6">
        <v>13</v>
      </c>
      <c r="U58" s="6">
        <v>20</v>
      </c>
      <c r="V58" s="6">
        <v>12</v>
      </c>
      <c r="W58" s="6">
        <v>11</v>
      </c>
      <c r="X58" s="6">
        <v>11</v>
      </c>
      <c r="Y58" s="6">
        <v>2</v>
      </c>
      <c r="Z58" s="6">
        <v>8</v>
      </c>
      <c r="AA58" s="6">
        <v>5</v>
      </c>
      <c r="AB58" s="6">
        <v>10</v>
      </c>
      <c r="AC58" s="6">
        <v>4</v>
      </c>
      <c r="AD58" s="6">
        <v>18</v>
      </c>
      <c r="AE58" s="6">
        <v>20</v>
      </c>
      <c r="AF58" s="6">
        <v>17</v>
      </c>
      <c r="AG58" s="6">
        <v>4</v>
      </c>
      <c r="AH58" s="6">
        <v>23</v>
      </c>
      <c r="AI58" s="6">
        <v>32</v>
      </c>
      <c r="AJ58" s="5">
        <f t="shared" si="39"/>
        <v>333</v>
      </c>
    </row>
    <row r="59" spans="1:36" x14ac:dyDescent="0.4">
      <c r="A59" s="7"/>
      <c r="B59" s="52"/>
      <c r="C59" s="24" t="s">
        <v>132</v>
      </c>
      <c r="D59" s="53"/>
      <c r="E59" s="6">
        <v>6</v>
      </c>
      <c r="F59" s="6">
        <v>9</v>
      </c>
      <c r="G59" s="6">
        <v>33</v>
      </c>
      <c r="H59" s="6">
        <v>10</v>
      </c>
      <c r="I59" s="6">
        <v>14</v>
      </c>
      <c r="J59" s="6">
        <v>7</v>
      </c>
      <c r="K59" s="6">
        <v>15</v>
      </c>
      <c r="L59" s="6">
        <v>7</v>
      </c>
      <c r="M59" s="6">
        <v>2</v>
      </c>
      <c r="N59" s="6">
        <v>2</v>
      </c>
      <c r="O59" s="6">
        <v>13</v>
      </c>
      <c r="P59" s="6">
        <v>7</v>
      </c>
      <c r="Q59" s="6">
        <v>17</v>
      </c>
      <c r="R59" s="6">
        <v>5</v>
      </c>
      <c r="S59" s="6">
        <v>13</v>
      </c>
      <c r="T59" s="6">
        <v>5</v>
      </c>
      <c r="U59" s="6">
        <v>2</v>
      </c>
      <c r="V59" s="6">
        <v>9</v>
      </c>
      <c r="W59" s="6">
        <v>10</v>
      </c>
      <c r="X59" s="6">
        <v>5</v>
      </c>
      <c r="Y59" s="6"/>
      <c r="Z59" s="6">
        <v>4</v>
      </c>
      <c r="AA59" s="6">
        <v>5</v>
      </c>
      <c r="AB59" s="6">
        <v>3</v>
      </c>
      <c r="AC59" s="6">
        <v>4</v>
      </c>
      <c r="AD59" s="6">
        <v>4</v>
      </c>
      <c r="AE59" s="6">
        <v>9</v>
      </c>
      <c r="AF59" s="6">
        <v>4</v>
      </c>
      <c r="AG59" s="6">
        <v>8</v>
      </c>
      <c r="AH59" s="6">
        <v>15</v>
      </c>
      <c r="AI59" s="6">
        <v>45</v>
      </c>
      <c r="AJ59" s="5">
        <f t="shared" si="39"/>
        <v>292</v>
      </c>
    </row>
    <row r="60" spans="1:36" x14ac:dyDescent="0.4">
      <c r="A60" s="7"/>
      <c r="B60" s="52"/>
      <c r="C60" s="24" t="s">
        <v>133</v>
      </c>
      <c r="D60" s="53"/>
      <c r="E60" s="6">
        <v>4</v>
      </c>
      <c r="F60" s="6">
        <v>4</v>
      </c>
      <c r="G60" s="6"/>
      <c r="H60" s="6">
        <v>7</v>
      </c>
      <c r="I60" s="6">
        <v>7</v>
      </c>
      <c r="J60" s="6">
        <v>1</v>
      </c>
      <c r="K60" s="6">
        <v>2</v>
      </c>
      <c r="L60" s="6">
        <v>3</v>
      </c>
      <c r="M60" s="6">
        <v>1</v>
      </c>
      <c r="N60" s="6">
        <v>3</v>
      </c>
      <c r="O60" s="6">
        <v>3</v>
      </c>
      <c r="P60" s="6">
        <v>4</v>
      </c>
      <c r="Q60" s="6">
        <v>2</v>
      </c>
      <c r="R60" s="6">
        <v>3</v>
      </c>
      <c r="S60" s="6">
        <v>4</v>
      </c>
      <c r="T60" s="6">
        <v>5</v>
      </c>
      <c r="U60" s="6">
        <v>1</v>
      </c>
      <c r="V60" s="6">
        <v>5</v>
      </c>
      <c r="W60" s="6">
        <v>1</v>
      </c>
      <c r="X60" s="6">
        <v>3</v>
      </c>
      <c r="Y60" s="6"/>
      <c r="Z60" s="6"/>
      <c r="AA60" s="6">
        <v>1</v>
      </c>
      <c r="AB60" s="6">
        <v>3</v>
      </c>
      <c r="AC60" s="6">
        <v>1</v>
      </c>
      <c r="AD60" s="6">
        <v>6</v>
      </c>
      <c r="AE60" s="6">
        <v>2</v>
      </c>
      <c r="AF60" s="6">
        <v>6</v>
      </c>
      <c r="AG60" s="6">
        <v>5</v>
      </c>
      <c r="AH60" s="6">
        <v>4</v>
      </c>
      <c r="AI60" s="6">
        <v>3</v>
      </c>
      <c r="AJ60" s="5">
        <f t="shared" si="39"/>
        <v>94</v>
      </c>
    </row>
    <row r="61" spans="1:36" x14ac:dyDescent="0.4">
      <c r="A61" s="7"/>
      <c r="B61" s="52"/>
      <c r="C61" s="24" t="s">
        <v>134</v>
      </c>
      <c r="D61" s="53"/>
      <c r="E61" s="6">
        <v>2</v>
      </c>
      <c r="F61" s="6">
        <v>1</v>
      </c>
      <c r="G61" s="6">
        <v>1</v>
      </c>
      <c r="H61" s="6">
        <v>3</v>
      </c>
      <c r="I61" s="6">
        <v>5</v>
      </c>
      <c r="J61" s="6">
        <v>4</v>
      </c>
      <c r="K61" s="6">
        <v>2</v>
      </c>
      <c r="L61" s="6"/>
      <c r="M61" s="6">
        <v>5</v>
      </c>
      <c r="N61" s="6">
        <v>2</v>
      </c>
      <c r="O61" s="6">
        <v>4</v>
      </c>
      <c r="P61" s="6">
        <v>3</v>
      </c>
      <c r="Q61" s="6">
        <v>8</v>
      </c>
      <c r="R61" s="6">
        <v>5</v>
      </c>
      <c r="S61" s="6">
        <v>2</v>
      </c>
      <c r="T61" s="6">
        <v>5</v>
      </c>
      <c r="U61" s="6">
        <v>2</v>
      </c>
      <c r="V61" s="6">
        <v>5</v>
      </c>
      <c r="W61" s="6">
        <v>1</v>
      </c>
      <c r="X61" s="6">
        <v>8</v>
      </c>
      <c r="Y61" s="6">
        <v>1</v>
      </c>
      <c r="Z61" s="6">
        <v>1</v>
      </c>
      <c r="AA61" s="6">
        <v>1</v>
      </c>
      <c r="AB61" s="6">
        <v>1</v>
      </c>
      <c r="AC61" s="6">
        <v>2</v>
      </c>
      <c r="AD61" s="6">
        <v>2</v>
      </c>
      <c r="AE61" s="6">
        <v>6</v>
      </c>
      <c r="AF61" s="6">
        <v>4</v>
      </c>
      <c r="AG61" s="6">
        <v>8</v>
      </c>
      <c r="AH61" s="6">
        <v>2</v>
      </c>
      <c r="AI61" s="6">
        <v>5</v>
      </c>
      <c r="AJ61" s="5">
        <f t="shared" si="39"/>
        <v>101</v>
      </c>
    </row>
    <row r="62" spans="1:36" x14ac:dyDescent="0.4">
      <c r="A62" s="7"/>
      <c r="B62" s="52"/>
      <c r="C62" s="24" t="s">
        <v>135</v>
      </c>
      <c r="D62" s="53"/>
      <c r="E62" s="6">
        <v>1</v>
      </c>
      <c r="F62" s="6"/>
      <c r="G62" s="6">
        <v>1</v>
      </c>
      <c r="H62" s="6">
        <v>1</v>
      </c>
      <c r="I62" s="6">
        <v>3</v>
      </c>
      <c r="J62" s="6">
        <v>1</v>
      </c>
      <c r="K62" s="6">
        <v>1</v>
      </c>
      <c r="L62" s="6">
        <v>2</v>
      </c>
      <c r="M62" s="6"/>
      <c r="N62" s="6">
        <v>1</v>
      </c>
      <c r="O62" s="6">
        <v>3</v>
      </c>
      <c r="P62" s="6">
        <v>3</v>
      </c>
      <c r="Q62" s="6">
        <v>1</v>
      </c>
      <c r="R62" s="6">
        <v>1</v>
      </c>
      <c r="S62" s="6"/>
      <c r="T62" s="6">
        <v>4</v>
      </c>
      <c r="U62" s="6"/>
      <c r="V62" s="6">
        <v>2</v>
      </c>
      <c r="W62" s="6">
        <v>1</v>
      </c>
      <c r="X62" s="6">
        <v>4</v>
      </c>
      <c r="Y62" s="6"/>
      <c r="Z62" s="6"/>
      <c r="AA62" s="6">
        <v>1</v>
      </c>
      <c r="AB62" s="6"/>
      <c r="AC62" s="6"/>
      <c r="AD62" s="6">
        <v>3</v>
      </c>
      <c r="AE62" s="6">
        <v>4</v>
      </c>
      <c r="AF62" s="6">
        <v>2</v>
      </c>
      <c r="AG62" s="6"/>
      <c r="AH62" s="6">
        <v>1</v>
      </c>
      <c r="AI62" s="6">
        <v>5</v>
      </c>
      <c r="AJ62" s="5">
        <f t="shared" si="39"/>
        <v>46</v>
      </c>
    </row>
    <row r="63" spans="1:36" ht="13.15" customHeight="1" x14ac:dyDescent="0.4">
      <c r="A63" s="7"/>
      <c r="B63" s="52"/>
      <c r="C63" s="24" t="s">
        <v>136</v>
      </c>
      <c r="D63" s="50"/>
      <c r="E63" s="6"/>
      <c r="F63" s="6"/>
      <c r="G63" s="6"/>
      <c r="H63" s="6"/>
      <c r="I63" s="6">
        <v>2</v>
      </c>
      <c r="J63" s="6">
        <v>1</v>
      </c>
      <c r="K63" s="6">
        <v>2</v>
      </c>
      <c r="L63" s="6"/>
      <c r="M63" s="6"/>
      <c r="N63" s="6">
        <v>1</v>
      </c>
      <c r="O63" s="6"/>
      <c r="P63" s="6">
        <v>1</v>
      </c>
      <c r="Q63" s="6"/>
      <c r="R63" s="6">
        <v>1</v>
      </c>
      <c r="S63" s="6">
        <v>1</v>
      </c>
      <c r="T63" s="6"/>
      <c r="U63" s="6">
        <v>1</v>
      </c>
      <c r="V63" s="6">
        <v>2</v>
      </c>
      <c r="W63" s="6">
        <v>2</v>
      </c>
      <c r="X63" s="6"/>
      <c r="Y63" s="6"/>
      <c r="Z63" s="6"/>
      <c r="AA63" s="6"/>
      <c r="AB63" s="6">
        <v>1</v>
      </c>
      <c r="AC63" s="6"/>
      <c r="AD63" s="6"/>
      <c r="AE63" s="6">
        <v>1</v>
      </c>
      <c r="AF63" s="6"/>
      <c r="AG63" s="6"/>
      <c r="AH63" s="6">
        <v>1</v>
      </c>
      <c r="AI63" s="6">
        <v>1</v>
      </c>
      <c r="AJ63" s="5">
        <f t="shared" si="39"/>
        <v>18</v>
      </c>
    </row>
    <row r="64" spans="1:36" x14ac:dyDescent="0.4">
      <c r="A64" s="7"/>
      <c r="B64" s="52"/>
      <c r="C64" s="24" t="s">
        <v>137</v>
      </c>
      <c r="D64" s="53"/>
      <c r="E64" s="6"/>
      <c r="F64" s="6"/>
      <c r="G64" s="6"/>
      <c r="H64" s="6">
        <v>1</v>
      </c>
      <c r="I64" s="6">
        <v>1</v>
      </c>
      <c r="J64" s="6"/>
      <c r="K64" s="6">
        <v>1</v>
      </c>
      <c r="L64" s="6">
        <v>1</v>
      </c>
      <c r="M64" s="6"/>
      <c r="N64" s="6">
        <v>1</v>
      </c>
      <c r="O64" s="6"/>
      <c r="P64" s="6">
        <v>2</v>
      </c>
      <c r="Q64" s="6">
        <v>1</v>
      </c>
      <c r="R64" s="6"/>
      <c r="S64" s="6">
        <v>1</v>
      </c>
      <c r="T64" s="6">
        <v>1</v>
      </c>
      <c r="U64" s="6"/>
      <c r="V64" s="6"/>
      <c r="W64" s="6">
        <v>1</v>
      </c>
      <c r="X64" s="6"/>
      <c r="Y64" s="6"/>
      <c r="Z64" s="6"/>
      <c r="AA64" s="6">
        <v>3</v>
      </c>
      <c r="AB64" s="6"/>
      <c r="AC64" s="6"/>
      <c r="AD64" s="6"/>
      <c r="AE64" s="6"/>
      <c r="AF64" s="6">
        <v>1</v>
      </c>
      <c r="AG64" s="6"/>
      <c r="AH64" s="6"/>
      <c r="AI64" s="6">
        <v>4</v>
      </c>
      <c r="AJ64" s="5">
        <f t="shared" si="39"/>
        <v>19</v>
      </c>
    </row>
    <row r="65" spans="1:36" x14ac:dyDescent="0.4">
      <c r="A65" s="7"/>
      <c r="B65" s="52"/>
      <c r="C65" s="24" t="s">
        <v>138</v>
      </c>
      <c r="D65" s="53"/>
      <c r="E65" s="6"/>
      <c r="F65" s="6"/>
      <c r="G65" s="6"/>
      <c r="H65" s="6"/>
      <c r="I65" s="6">
        <v>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1</v>
      </c>
      <c r="X65" s="6"/>
      <c r="Y65" s="6"/>
      <c r="Z65" s="6">
        <v>1</v>
      </c>
      <c r="AA65" s="6"/>
      <c r="AB65" s="6"/>
      <c r="AC65" s="6"/>
      <c r="AD65" s="6"/>
      <c r="AE65" s="6">
        <v>1</v>
      </c>
      <c r="AF65" s="6">
        <v>2</v>
      </c>
      <c r="AG65" s="6">
        <v>1</v>
      </c>
      <c r="AH65" s="6"/>
      <c r="AI65" s="6"/>
      <c r="AJ65" s="5">
        <f t="shared" si="39"/>
        <v>7</v>
      </c>
    </row>
    <row r="66" spans="1:36" x14ac:dyDescent="0.4">
      <c r="A66" s="7"/>
      <c r="B66" s="52"/>
      <c r="C66" s="24" t="s">
        <v>139</v>
      </c>
      <c r="D66" s="53"/>
      <c r="E66" s="6">
        <v>1</v>
      </c>
      <c r="F66" s="6"/>
      <c r="G66" s="6"/>
      <c r="H66" s="6"/>
      <c r="I66" s="6"/>
      <c r="J66" s="6"/>
      <c r="K66" s="6"/>
      <c r="L66" s="6">
        <v>1</v>
      </c>
      <c r="M66" s="6"/>
      <c r="N66" s="6"/>
      <c r="O66" s="6"/>
      <c r="P66" s="6"/>
      <c r="Q66" s="6">
        <v>1</v>
      </c>
      <c r="R66" s="6"/>
      <c r="S66" s="6"/>
      <c r="T66" s="6"/>
      <c r="U66" s="6">
        <v>1</v>
      </c>
      <c r="V66" s="6"/>
      <c r="W66" s="6">
        <v>1</v>
      </c>
      <c r="X66" s="6">
        <v>1</v>
      </c>
      <c r="Y66" s="6"/>
      <c r="Z66" s="6"/>
      <c r="AA66" s="6"/>
      <c r="AB66" s="6"/>
      <c r="AC66" s="6"/>
      <c r="AD66" s="6">
        <v>1</v>
      </c>
      <c r="AE66" s="6"/>
      <c r="AF66" s="6"/>
      <c r="AG66" s="6"/>
      <c r="AH66" s="6">
        <v>1</v>
      </c>
      <c r="AI66" s="6">
        <v>2</v>
      </c>
      <c r="AJ66" s="5">
        <f t="shared" si="39"/>
        <v>10</v>
      </c>
    </row>
    <row r="67" spans="1:36" x14ac:dyDescent="0.4">
      <c r="A67" s="6" t="s">
        <v>26</v>
      </c>
      <c r="B67" s="67" t="s">
        <v>51</v>
      </c>
      <c r="C67" s="83"/>
      <c r="D67" s="74"/>
      <c r="E67" s="5">
        <f t="shared" ref="E67:AJ67" si="40">SUM(E57:E66)</f>
        <v>29</v>
      </c>
      <c r="F67" s="5">
        <f t="shared" si="40"/>
        <v>27</v>
      </c>
      <c r="G67" s="5">
        <f t="shared" si="40"/>
        <v>65</v>
      </c>
      <c r="H67" s="5">
        <f t="shared" si="40"/>
        <v>50</v>
      </c>
      <c r="I67" s="5">
        <f t="shared" si="40"/>
        <v>51</v>
      </c>
      <c r="J67" s="5">
        <f t="shared" si="40"/>
        <v>32</v>
      </c>
      <c r="K67" s="5">
        <f t="shared" si="40"/>
        <v>43</v>
      </c>
      <c r="L67" s="5">
        <f t="shared" si="40"/>
        <v>27</v>
      </c>
      <c r="M67" s="5">
        <f t="shared" si="40"/>
        <v>34</v>
      </c>
      <c r="N67" s="5">
        <f t="shared" si="40"/>
        <v>23</v>
      </c>
      <c r="O67" s="5">
        <f t="shared" si="40"/>
        <v>46</v>
      </c>
      <c r="P67" s="5">
        <f t="shared" si="40"/>
        <v>52</v>
      </c>
      <c r="Q67" s="5">
        <f t="shared" si="40"/>
        <v>56</v>
      </c>
      <c r="R67" s="5">
        <f t="shared" si="40"/>
        <v>26</v>
      </c>
      <c r="S67" s="5">
        <f t="shared" si="40"/>
        <v>35</v>
      </c>
      <c r="T67" s="5">
        <f t="shared" si="40"/>
        <v>42</v>
      </c>
      <c r="U67" s="5">
        <f t="shared" si="40"/>
        <v>38</v>
      </c>
      <c r="V67" s="5">
        <f t="shared" si="40"/>
        <v>45</v>
      </c>
      <c r="W67" s="5">
        <f t="shared" si="40"/>
        <v>38</v>
      </c>
      <c r="X67" s="5">
        <f t="shared" si="40"/>
        <v>44</v>
      </c>
      <c r="Y67" s="5">
        <f t="shared" si="40"/>
        <v>4</v>
      </c>
      <c r="Z67" s="5">
        <f t="shared" si="40"/>
        <v>19</v>
      </c>
      <c r="AA67" s="5">
        <f t="shared" si="40"/>
        <v>25</v>
      </c>
      <c r="AB67" s="5">
        <f t="shared" si="40"/>
        <v>27</v>
      </c>
      <c r="AC67" s="5">
        <f t="shared" si="40"/>
        <v>18</v>
      </c>
      <c r="AD67" s="5">
        <f t="shared" si="40"/>
        <v>45</v>
      </c>
      <c r="AE67" s="5">
        <f t="shared" si="40"/>
        <v>56</v>
      </c>
      <c r="AF67" s="5">
        <f t="shared" si="40"/>
        <v>42</v>
      </c>
      <c r="AG67" s="5">
        <f t="shared" si="40"/>
        <v>32</v>
      </c>
      <c r="AH67" s="5">
        <f t="shared" si="40"/>
        <v>61</v>
      </c>
      <c r="AI67" s="5">
        <f t="shared" si="40"/>
        <v>104</v>
      </c>
      <c r="AJ67" s="5">
        <f t="shared" si="40"/>
        <v>1236</v>
      </c>
    </row>
    <row r="68" spans="1:36" x14ac:dyDescent="0.4">
      <c r="A68" s="84"/>
      <c r="B68" s="85"/>
      <c r="C68" s="85"/>
      <c r="D68" s="85"/>
      <c r="E68" s="85"/>
    </row>
    <row r="69" spans="1:36" x14ac:dyDescent="0.4">
      <c r="A69" s="11" t="s">
        <v>48</v>
      </c>
      <c r="B69" s="17" t="s">
        <v>32</v>
      </c>
      <c r="C69" s="73" t="s">
        <v>53</v>
      </c>
      <c r="D69" s="74"/>
      <c r="E69" s="6"/>
      <c r="F69" s="6">
        <v>9</v>
      </c>
      <c r="G69" s="6">
        <v>7</v>
      </c>
      <c r="H69" s="6">
        <v>6</v>
      </c>
      <c r="I69" s="6">
        <v>5</v>
      </c>
      <c r="J69" s="6">
        <v>4</v>
      </c>
      <c r="K69" s="6">
        <v>4</v>
      </c>
      <c r="L69" s="6">
        <v>1</v>
      </c>
      <c r="M69" s="6">
        <v>2</v>
      </c>
      <c r="N69" s="6">
        <v>6</v>
      </c>
      <c r="O69" s="6">
        <v>5</v>
      </c>
      <c r="P69" s="6">
        <v>2</v>
      </c>
      <c r="Q69" s="6">
        <v>6</v>
      </c>
      <c r="R69" s="6">
        <v>2</v>
      </c>
      <c r="S69" s="6">
        <v>7</v>
      </c>
      <c r="T69" s="6">
        <v>3</v>
      </c>
      <c r="U69" s="6">
        <v>9</v>
      </c>
      <c r="V69" s="6">
        <v>2</v>
      </c>
      <c r="W69" s="6">
        <v>6</v>
      </c>
      <c r="X69" s="6">
        <v>6</v>
      </c>
      <c r="Y69" s="6"/>
      <c r="Z69" s="6">
        <v>3</v>
      </c>
      <c r="AA69" s="6">
        <v>4</v>
      </c>
      <c r="AB69" s="6">
        <v>11</v>
      </c>
      <c r="AC69" s="6">
        <v>8</v>
      </c>
      <c r="AD69" s="6">
        <v>5</v>
      </c>
      <c r="AE69" s="6">
        <v>2</v>
      </c>
      <c r="AF69" s="6">
        <v>2</v>
      </c>
      <c r="AG69" s="6">
        <v>2</v>
      </c>
      <c r="AH69" s="6">
        <v>10</v>
      </c>
      <c r="AI69" s="6">
        <v>7</v>
      </c>
      <c r="AJ69" s="5">
        <f t="shared" ref="AJ69:AJ79" si="41">SUM(E69:AI69)</f>
        <v>146</v>
      </c>
    </row>
    <row r="70" spans="1:36" x14ac:dyDescent="0.4">
      <c r="A70" s="11" t="s">
        <v>50</v>
      </c>
      <c r="B70" s="52"/>
      <c r="C70" s="24" t="s">
        <v>140</v>
      </c>
      <c r="D70" s="50"/>
      <c r="E70" s="6">
        <v>4</v>
      </c>
      <c r="F70" s="6">
        <v>2</v>
      </c>
      <c r="G70" s="6">
        <v>3</v>
      </c>
      <c r="H70" s="6">
        <v>6</v>
      </c>
      <c r="I70" s="6">
        <v>3</v>
      </c>
      <c r="J70" s="6"/>
      <c r="K70" s="6">
        <v>3</v>
      </c>
      <c r="L70" s="6">
        <v>2</v>
      </c>
      <c r="M70" s="6">
        <v>1</v>
      </c>
      <c r="N70" s="6">
        <v>5</v>
      </c>
      <c r="O70" s="6">
        <v>5</v>
      </c>
      <c r="P70" s="6">
        <v>3</v>
      </c>
      <c r="Q70" s="6">
        <v>5</v>
      </c>
      <c r="R70" s="6">
        <v>2</v>
      </c>
      <c r="S70" s="6">
        <v>9</v>
      </c>
      <c r="T70" s="6">
        <v>7</v>
      </c>
      <c r="U70" s="6">
        <v>4</v>
      </c>
      <c r="V70" s="6">
        <v>1</v>
      </c>
      <c r="W70" s="6">
        <v>9</v>
      </c>
      <c r="X70" s="6">
        <v>5</v>
      </c>
      <c r="Y70" s="6"/>
      <c r="Z70" s="6">
        <v>3</v>
      </c>
      <c r="AA70" s="6">
        <v>5</v>
      </c>
      <c r="AB70" s="6">
        <v>2</v>
      </c>
      <c r="AC70" s="6">
        <v>3</v>
      </c>
      <c r="AD70" s="6"/>
      <c r="AE70" s="6">
        <v>4</v>
      </c>
      <c r="AF70" s="6">
        <v>10</v>
      </c>
      <c r="AG70" s="6">
        <v>10</v>
      </c>
      <c r="AH70" s="6">
        <v>7</v>
      </c>
      <c r="AI70" s="6">
        <v>8</v>
      </c>
      <c r="AJ70" s="5">
        <f t="shared" si="41"/>
        <v>131</v>
      </c>
    </row>
    <row r="71" spans="1:36" x14ac:dyDescent="0.4">
      <c r="A71" s="7"/>
      <c r="B71" s="52"/>
      <c r="C71" s="24" t="s">
        <v>141</v>
      </c>
      <c r="D71" s="50"/>
      <c r="E71" s="6">
        <v>1</v>
      </c>
      <c r="F71" s="6">
        <v>2</v>
      </c>
      <c r="G71" s="6"/>
      <c r="H71" s="6">
        <v>4</v>
      </c>
      <c r="I71" s="6">
        <v>1</v>
      </c>
      <c r="J71" s="6">
        <v>4</v>
      </c>
      <c r="K71" s="6">
        <v>1</v>
      </c>
      <c r="L71" s="6">
        <v>3</v>
      </c>
      <c r="M71" s="6"/>
      <c r="N71" s="6">
        <v>1</v>
      </c>
      <c r="O71" s="6"/>
      <c r="P71" s="6">
        <v>1</v>
      </c>
      <c r="Q71" s="6">
        <v>2</v>
      </c>
      <c r="R71" s="6">
        <v>1</v>
      </c>
      <c r="S71" s="6">
        <v>3</v>
      </c>
      <c r="T71" s="6">
        <v>1</v>
      </c>
      <c r="U71" s="6">
        <v>2</v>
      </c>
      <c r="V71" s="6">
        <v>1</v>
      </c>
      <c r="W71" s="6">
        <v>3</v>
      </c>
      <c r="X71" s="6">
        <v>3</v>
      </c>
      <c r="Y71" s="6"/>
      <c r="Z71" s="6">
        <v>1</v>
      </c>
      <c r="AA71" s="6">
        <v>4</v>
      </c>
      <c r="AB71" s="6">
        <v>2</v>
      </c>
      <c r="AC71" s="6"/>
      <c r="AD71" s="6"/>
      <c r="AE71" s="6"/>
      <c r="AF71" s="6">
        <v>1</v>
      </c>
      <c r="AG71" s="6">
        <v>2</v>
      </c>
      <c r="AH71" s="6">
        <v>4</v>
      </c>
      <c r="AI71" s="6"/>
      <c r="AJ71" s="5">
        <f t="shared" si="41"/>
        <v>48</v>
      </c>
    </row>
    <row r="72" spans="1:36" x14ac:dyDescent="0.4">
      <c r="A72" s="7"/>
      <c r="B72" s="52"/>
      <c r="C72" s="24" t="s">
        <v>142</v>
      </c>
      <c r="D72" s="50"/>
      <c r="E72" s="6"/>
      <c r="F72" s="6"/>
      <c r="G72" s="6"/>
      <c r="H72" s="6">
        <v>2</v>
      </c>
      <c r="I72" s="6">
        <v>1</v>
      </c>
      <c r="J72" s="6">
        <v>1</v>
      </c>
      <c r="K72" s="6">
        <v>1</v>
      </c>
      <c r="L72" s="6">
        <v>1</v>
      </c>
      <c r="M72" s="6"/>
      <c r="N72" s="6">
        <v>2</v>
      </c>
      <c r="O72" s="6">
        <v>5</v>
      </c>
      <c r="P72" s="6">
        <v>1</v>
      </c>
      <c r="Q72" s="6">
        <v>1</v>
      </c>
      <c r="R72" s="6">
        <v>2</v>
      </c>
      <c r="S72" s="6"/>
      <c r="T72" s="6">
        <v>2</v>
      </c>
      <c r="U72" s="6">
        <v>2</v>
      </c>
      <c r="V72" s="6">
        <v>1</v>
      </c>
      <c r="W72" s="6">
        <v>2</v>
      </c>
      <c r="X72" s="6">
        <v>2</v>
      </c>
      <c r="Y72" s="6"/>
      <c r="Z72" s="6"/>
      <c r="AA72" s="6">
        <v>2</v>
      </c>
      <c r="AB72" s="6"/>
      <c r="AC72" s="6">
        <v>1</v>
      </c>
      <c r="AD72" s="6">
        <v>1</v>
      </c>
      <c r="AE72" s="6"/>
      <c r="AF72" s="6"/>
      <c r="AG72" s="6"/>
      <c r="AH72" s="6">
        <v>3</v>
      </c>
      <c r="AI72" s="6">
        <v>3</v>
      </c>
      <c r="AJ72" s="5">
        <f t="shared" si="41"/>
        <v>36</v>
      </c>
    </row>
    <row r="73" spans="1:36" x14ac:dyDescent="0.4">
      <c r="A73" s="7"/>
      <c r="B73" s="52"/>
      <c r="C73" s="24" t="s">
        <v>143</v>
      </c>
      <c r="D73" s="50"/>
      <c r="E73" s="6"/>
      <c r="F73" s="6">
        <v>1</v>
      </c>
      <c r="G73" s="6"/>
      <c r="H73" s="6">
        <v>5</v>
      </c>
      <c r="I73" s="6">
        <v>3</v>
      </c>
      <c r="J73" s="6">
        <v>5</v>
      </c>
      <c r="K73" s="6">
        <v>4</v>
      </c>
      <c r="L73" s="6">
        <v>4</v>
      </c>
      <c r="M73" s="6">
        <v>3</v>
      </c>
      <c r="N73" s="6">
        <v>2</v>
      </c>
      <c r="O73" s="6">
        <v>3</v>
      </c>
      <c r="P73" s="6">
        <v>4</v>
      </c>
      <c r="Q73" s="6">
        <v>1</v>
      </c>
      <c r="R73" s="6"/>
      <c r="S73" s="6">
        <v>1</v>
      </c>
      <c r="T73" s="6"/>
      <c r="U73" s="6">
        <v>3</v>
      </c>
      <c r="V73" s="6">
        <v>2</v>
      </c>
      <c r="W73" s="6">
        <v>3</v>
      </c>
      <c r="X73" s="6">
        <v>3</v>
      </c>
      <c r="Y73" s="6"/>
      <c r="Z73" s="6">
        <v>2</v>
      </c>
      <c r="AA73" s="6">
        <v>2</v>
      </c>
      <c r="AB73" s="6">
        <v>3</v>
      </c>
      <c r="AC73" s="6">
        <v>4</v>
      </c>
      <c r="AD73" s="6">
        <v>1</v>
      </c>
      <c r="AE73" s="6"/>
      <c r="AF73" s="6">
        <v>2</v>
      </c>
      <c r="AG73" s="6">
        <v>4</v>
      </c>
      <c r="AH73" s="6">
        <v>3</v>
      </c>
      <c r="AI73" s="6">
        <v>2</v>
      </c>
      <c r="AJ73" s="5">
        <f t="shared" si="41"/>
        <v>70</v>
      </c>
    </row>
    <row r="74" spans="1:36" ht="13.15" customHeight="1" x14ac:dyDescent="0.4">
      <c r="A74" s="7"/>
      <c r="B74" s="52"/>
      <c r="C74" s="24" t="s">
        <v>144</v>
      </c>
      <c r="D74" s="50"/>
      <c r="E74" s="6"/>
      <c r="F74" s="6">
        <v>2</v>
      </c>
      <c r="G74" s="6">
        <v>1</v>
      </c>
      <c r="H74" s="6"/>
      <c r="I74" s="6">
        <v>1</v>
      </c>
      <c r="J74" s="6"/>
      <c r="K74" s="6">
        <v>1</v>
      </c>
      <c r="L74" s="6"/>
      <c r="M74" s="6">
        <v>1</v>
      </c>
      <c r="N74" s="6">
        <v>1</v>
      </c>
      <c r="O74" s="6"/>
      <c r="P74" s="6">
        <v>1</v>
      </c>
      <c r="Q74" s="6">
        <v>2</v>
      </c>
      <c r="R74" s="6">
        <v>1</v>
      </c>
      <c r="S74" s="6">
        <v>1</v>
      </c>
      <c r="T74" s="6"/>
      <c r="U74" s="6"/>
      <c r="V74" s="6">
        <v>1</v>
      </c>
      <c r="W74" s="6"/>
      <c r="X74" s="6"/>
      <c r="Y74" s="6"/>
      <c r="Z74" s="6"/>
      <c r="AA74" s="6">
        <v>1</v>
      </c>
      <c r="AB74" s="6">
        <v>1</v>
      </c>
      <c r="AC74" s="6">
        <v>1</v>
      </c>
      <c r="AD74" s="6"/>
      <c r="AE74" s="6"/>
      <c r="AF74" s="6">
        <v>1</v>
      </c>
      <c r="AG74" s="6"/>
      <c r="AH74" s="6">
        <v>2</v>
      </c>
      <c r="AI74" s="6">
        <v>1</v>
      </c>
      <c r="AJ74" s="5">
        <f t="shared" si="41"/>
        <v>20</v>
      </c>
    </row>
    <row r="75" spans="1:36" x14ac:dyDescent="0.4">
      <c r="A75" s="7"/>
      <c r="B75" s="52"/>
      <c r="C75" s="24" t="s">
        <v>145</v>
      </c>
      <c r="D75" s="50"/>
      <c r="E75" s="6"/>
      <c r="F75" s="6">
        <v>1</v>
      </c>
      <c r="G75" s="6"/>
      <c r="H75" s="6">
        <v>1</v>
      </c>
      <c r="I75" s="6">
        <v>1</v>
      </c>
      <c r="J75" s="6"/>
      <c r="K75" s="6">
        <v>1</v>
      </c>
      <c r="L75" s="6"/>
      <c r="M75" s="6"/>
      <c r="N75" s="6"/>
      <c r="O75" s="6">
        <v>1</v>
      </c>
      <c r="P75" s="6"/>
      <c r="Q75" s="6"/>
      <c r="R75" s="6">
        <v>1</v>
      </c>
      <c r="S75" s="6">
        <v>2</v>
      </c>
      <c r="T75" s="6">
        <v>1</v>
      </c>
      <c r="U75" s="6"/>
      <c r="V75" s="6">
        <v>2</v>
      </c>
      <c r="W75" s="6">
        <v>2</v>
      </c>
      <c r="X75" s="6">
        <v>2</v>
      </c>
      <c r="Y75" s="6"/>
      <c r="Z75" s="6"/>
      <c r="AA75" s="6">
        <v>1</v>
      </c>
      <c r="AB75" s="6"/>
      <c r="AC75" s="6">
        <v>1</v>
      </c>
      <c r="AD75" s="6"/>
      <c r="AE75" s="6"/>
      <c r="AF75" s="6">
        <v>1</v>
      </c>
      <c r="AG75" s="6"/>
      <c r="AH75" s="6"/>
      <c r="AI75" s="6"/>
      <c r="AJ75" s="5">
        <f t="shared" si="41"/>
        <v>18</v>
      </c>
    </row>
    <row r="76" spans="1:36" x14ac:dyDescent="0.4">
      <c r="A76" s="7"/>
      <c r="B76" s="52"/>
      <c r="C76" s="24" t="s">
        <v>146</v>
      </c>
      <c r="D76" s="50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1</v>
      </c>
      <c r="P76" s="6"/>
      <c r="Q76" s="6">
        <v>1</v>
      </c>
      <c r="R76" s="6">
        <v>1</v>
      </c>
      <c r="S76" s="6"/>
      <c r="T76" s="6"/>
      <c r="U76" s="6"/>
      <c r="V76" s="6"/>
      <c r="W76" s="6"/>
      <c r="X76" s="6">
        <v>1</v>
      </c>
      <c r="Y76" s="6"/>
      <c r="Z76" s="6"/>
      <c r="AA76" s="6"/>
      <c r="AB76" s="6">
        <v>1</v>
      </c>
      <c r="AC76" s="6">
        <v>1</v>
      </c>
      <c r="AD76" s="6"/>
      <c r="AE76" s="6"/>
      <c r="AF76" s="6"/>
      <c r="AG76" s="6"/>
      <c r="AH76" s="6">
        <v>1</v>
      </c>
      <c r="AI76" s="6"/>
      <c r="AJ76" s="5">
        <f t="shared" si="41"/>
        <v>7</v>
      </c>
    </row>
    <row r="77" spans="1:36" x14ac:dyDescent="0.4">
      <c r="A77" s="7"/>
      <c r="B77" s="52"/>
      <c r="C77" s="24" t="s">
        <v>147</v>
      </c>
      <c r="D77" s="50"/>
      <c r="E77" s="6"/>
      <c r="F77" s="6"/>
      <c r="G77" s="6"/>
      <c r="H77" s="6"/>
      <c r="I77" s="6"/>
      <c r="J77" s="6"/>
      <c r="K77" s="6">
        <v>1</v>
      </c>
      <c r="L77" s="6">
        <v>1</v>
      </c>
      <c r="M77" s="6"/>
      <c r="N77" s="6"/>
      <c r="O77" s="6">
        <v>2</v>
      </c>
      <c r="P77" s="6">
        <v>1</v>
      </c>
      <c r="Q77" s="6">
        <v>1</v>
      </c>
      <c r="R77" s="6"/>
      <c r="S77" s="6">
        <v>2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</v>
      </c>
      <c r="AI77" s="6"/>
      <c r="AJ77" s="5">
        <f t="shared" si="41"/>
        <v>9</v>
      </c>
    </row>
    <row r="78" spans="1:36" x14ac:dyDescent="0.4">
      <c r="A78" s="7"/>
      <c r="B78" s="52"/>
      <c r="C78" s="24" t="s">
        <v>148</v>
      </c>
      <c r="D78" s="50"/>
      <c r="E78" s="6"/>
      <c r="F78" s="6">
        <v>1</v>
      </c>
      <c r="G78" s="6"/>
      <c r="H78" s="6"/>
      <c r="I78" s="6"/>
      <c r="J78" s="6"/>
      <c r="K78" s="6"/>
      <c r="L78" s="6"/>
      <c r="M78" s="6">
        <v>1</v>
      </c>
      <c r="N78" s="6"/>
      <c r="O78" s="6">
        <v>1</v>
      </c>
      <c r="P78" s="6">
        <v>2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1</v>
      </c>
      <c r="AC78" s="6"/>
      <c r="AD78" s="6"/>
      <c r="AE78" s="6"/>
      <c r="AF78" s="6"/>
      <c r="AG78" s="6"/>
      <c r="AH78" s="6"/>
      <c r="AI78" s="6"/>
      <c r="AJ78" s="5">
        <f t="shared" si="41"/>
        <v>6</v>
      </c>
    </row>
    <row r="79" spans="1:36" x14ac:dyDescent="0.4">
      <c r="A79" s="6" t="s">
        <v>26</v>
      </c>
      <c r="B79" s="67" t="s">
        <v>51</v>
      </c>
      <c r="C79" s="83"/>
      <c r="D79" s="74"/>
      <c r="E79" s="5">
        <f t="shared" ref="E79:AJ79" si="42">SUM(E69:E78)</f>
        <v>5</v>
      </c>
      <c r="F79" s="5">
        <f t="shared" si="42"/>
        <v>18</v>
      </c>
      <c r="G79" s="5">
        <f t="shared" si="42"/>
        <v>11</v>
      </c>
      <c r="H79" s="5">
        <f t="shared" si="42"/>
        <v>24</v>
      </c>
      <c r="I79" s="5">
        <f t="shared" si="42"/>
        <v>15</v>
      </c>
      <c r="J79" s="5">
        <f t="shared" si="42"/>
        <v>14</v>
      </c>
      <c r="K79" s="5">
        <f t="shared" si="42"/>
        <v>16</v>
      </c>
      <c r="L79" s="5">
        <f t="shared" si="42"/>
        <v>12</v>
      </c>
      <c r="M79" s="5">
        <f t="shared" si="42"/>
        <v>8</v>
      </c>
      <c r="N79" s="5">
        <f t="shared" si="42"/>
        <v>17</v>
      </c>
      <c r="O79" s="5">
        <f t="shared" si="42"/>
        <v>23</v>
      </c>
      <c r="P79" s="5">
        <f t="shared" si="42"/>
        <v>15</v>
      </c>
      <c r="Q79" s="5">
        <f t="shared" si="42"/>
        <v>19</v>
      </c>
      <c r="R79" s="5">
        <f t="shared" si="42"/>
        <v>10</v>
      </c>
      <c r="S79" s="5">
        <f t="shared" si="42"/>
        <v>25</v>
      </c>
      <c r="T79" s="5">
        <f t="shared" si="42"/>
        <v>14</v>
      </c>
      <c r="U79" s="5">
        <f t="shared" si="42"/>
        <v>20</v>
      </c>
      <c r="V79" s="5">
        <f t="shared" si="42"/>
        <v>10</v>
      </c>
      <c r="W79" s="5">
        <f t="shared" si="42"/>
        <v>25</v>
      </c>
      <c r="X79" s="5">
        <f t="shared" si="42"/>
        <v>22</v>
      </c>
      <c r="Y79" s="5">
        <f t="shared" si="42"/>
        <v>0</v>
      </c>
      <c r="Z79" s="5">
        <f t="shared" si="42"/>
        <v>9</v>
      </c>
      <c r="AA79" s="5">
        <f t="shared" si="42"/>
        <v>19</v>
      </c>
      <c r="AB79" s="5">
        <f t="shared" si="42"/>
        <v>21</v>
      </c>
      <c r="AC79" s="5">
        <f t="shared" si="42"/>
        <v>19</v>
      </c>
      <c r="AD79" s="5">
        <f t="shared" si="42"/>
        <v>7</v>
      </c>
      <c r="AE79" s="5">
        <f t="shared" si="42"/>
        <v>6</v>
      </c>
      <c r="AF79" s="5">
        <f t="shared" si="42"/>
        <v>17</v>
      </c>
      <c r="AG79" s="5">
        <f t="shared" si="42"/>
        <v>18</v>
      </c>
      <c r="AH79" s="5">
        <f t="shared" si="42"/>
        <v>31</v>
      </c>
      <c r="AI79" s="5">
        <f t="shared" si="42"/>
        <v>21</v>
      </c>
      <c r="AJ79" s="5">
        <f t="shared" si="42"/>
        <v>491</v>
      </c>
    </row>
    <row r="80" spans="1:36" x14ac:dyDescent="0.4">
      <c r="A80" s="84"/>
      <c r="B80" s="85"/>
      <c r="C80" s="85"/>
      <c r="D80" s="85"/>
      <c r="E80" s="85"/>
    </row>
    <row r="81" spans="1:36" x14ac:dyDescent="0.4">
      <c r="A81" s="11" t="s">
        <v>48</v>
      </c>
      <c r="B81" s="17" t="s">
        <v>34</v>
      </c>
      <c r="C81" s="73" t="s">
        <v>54</v>
      </c>
      <c r="D81" s="74"/>
      <c r="E81" s="6">
        <v>10</v>
      </c>
      <c r="F81" s="6">
        <v>7</v>
      </c>
      <c r="G81" s="6">
        <v>1</v>
      </c>
      <c r="H81" s="6">
        <v>6</v>
      </c>
      <c r="I81" s="6"/>
      <c r="J81" s="6">
        <v>13</v>
      </c>
      <c r="K81" s="6">
        <v>6</v>
      </c>
      <c r="L81" s="6">
        <v>2</v>
      </c>
      <c r="M81" s="6">
        <v>12</v>
      </c>
      <c r="N81" s="6">
        <v>5</v>
      </c>
      <c r="O81" s="6">
        <v>7</v>
      </c>
      <c r="P81" s="6">
        <v>6</v>
      </c>
      <c r="Q81" s="6">
        <v>1</v>
      </c>
      <c r="R81" s="6">
        <v>1</v>
      </c>
      <c r="S81" s="6">
        <v>5</v>
      </c>
      <c r="T81" s="6">
        <v>4</v>
      </c>
      <c r="U81" s="6">
        <v>5</v>
      </c>
      <c r="V81" s="6">
        <v>4</v>
      </c>
      <c r="W81" s="6">
        <v>5</v>
      </c>
      <c r="X81" s="6">
        <v>7</v>
      </c>
      <c r="Y81" s="6">
        <v>1</v>
      </c>
      <c r="Z81" s="6">
        <v>6</v>
      </c>
      <c r="AA81" s="6">
        <v>4</v>
      </c>
      <c r="AB81" s="6">
        <v>3</v>
      </c>
      <c r="AC81" s="6">
        <v>1</v>
      </c>
      <c r="AD81" s="6">
        <v>2</v>
      </c>
      <c r="AE81" s="6">
        <v>1</v>
      </c>
      <c r="AF81" s="6">
        <v>3</v>
      </c>
      <c r="AG81" s="6">
        <v>6</v>
      </c>
      <c r="AH81" s="6">
        <v>5</v>
      </c>
      <c r="AI81" s="6">
        <v>2</v>
      </c>
      <c r="AJ81" s="5">
        <f t="shared" ref="AJ81:AJ91" si="43">SUM(E81:AI81)</f>
        <v>141</v>
      </c>
    </row>
    <row r="82" spans="1:36" x14ac:dyDescent="0.4">
      <c r="A82" s="11" t="s">
        <v>50</v>
      </c>
      <c r="B82" s="52"/>
      <c r="C82" s="24" t="s">
        <v>149</v>
      </c>
      <c r="D82" s="50"/>
      <c r="E82" s="6">
        <v>23</v>
      </c>
      <c r="F82" s="6">
        <v>3</v>
      </c>
      <c r="G82" s="6">
        <v>2</v>
      </c>
      <c r="H82" s="6">
        <v>8</v>
      </c>
      <c r="I82" s="6">
        <v>4</v>
      </c>
      <c r="J82" s="6">
        <v>13</v>
      </c>
      <c r="K82" s="6">
        <v>16</v>
      </c>
      <c r="L82" s="6">
        <v>11</v>
      </c>
      <c r="M82" s="6">
        <v>9</v>
      </c>
      <c r="N82" s="6">
        <v>7</v>
      </c>
      <c r="O82" s="6">
        <v>7</v>
      </c>
      <c r="P82" s="6">
        <v>32</v>
      </c>
      <c r="Q82" s="6">
        <v>3</v>
      </c>
      <c r="R82" s="6">
        <v>1</v>
      </c>
      <c r="S82" s="6">
        <v>5</v>
      </c>
      <c r="T82" s="6">
        <v>5</v>
      </c>
      <c r="U82" s="6">
        <v>4</v>
      </c>
      <c r="V82" s="6">
        <v>5</v>
      </c>
      <c r="W82" s="6">
        <v>12</v>
      </c>
      <c r="X82" s="6">
        <v>12</v>
      </c>
      <c r="Y82" s="6">
        <v>3</v>
      </c>
      <c r="Z82" s="6">
        <v>4</v>
      </c>
      <c r="AA82" s="6">
        <v>5</v>
      </c>
      <c r="AB82" s="6">
        <v>5</v>
      </c>
      <c r="AC82" s="6">
        <v>5</v>
      </c>
      <c r="AD82" s="6">
        <v>5</v>
      </c>
      <c r="AE82" s="6">
        <v>9</v>
      </c>
      <c r="AF82" s="6">
        <v>6</v>
      </c>
      <c r="AG82" s="6">
        <v>8</v>
      </c>
      <c r="AH82" s="6">
        <v>12</v>
      </c>
      <c r="AI82" s="6">
        <v>12</v>
      </c>
      <c r="AJ82" s="5">
        <f t="shared" si="43"/>
        <v>256</v>
      </c>
    </row>
    <row r="83" spans="1:36" x14ac:dyDescent="0.4">
      <c r="A83" s="7"/>
      <c r="B83" s="52"/>
      <c r="C83" s="24" t="s">
        <v>150</v>
      </c>
      <c r="D83" s="50"/>
      <c r="E83" s="6"/>
      <c r="F83" s="6">
        <v>1</v>
      </c>
      <c r="G83" s="6"/>
      <c r="H83" s="6">
        <v>1</v>
      </c>
      <c r="I83" s="6"/>
      <c r="J83" s="6">
        <v>3</v>
      </c>
      <c r="K83" s="6">
        <v>2</v>
      </c>
      <c r="L83" s="6">
        <v>1</v>
      </c>
      <c r="M83" s="6">
        <v>4</v>
      </c>
      <c r="N83" s="6">
        <v>2</v>
      </c>
      <c r="O83" s="6"/>
      <c r="P83" s="6">
        <v>3</v>
      </c>
      <c r="Q83" s="6"/>
      <c r="R83" s="6">
        <v>1</v>
      </c>
      <c r="S83" s="6">
        <v>1</v>
      </c>
      <c r="T83" s="6">
        <v>2</v>
      </c>
      <c r="U83" s="6">
        <v>1</v>
      </c>
      <c r="V83" s="6">
        <v>2</v>
      </c>
      <c r="W83" s="6">
        <v>2</v>
      </c>
      <c r="X83" s="6">
        <v>2</v>
      </c>
      <c r="Y83" s="6"/>
      <c r="Z83" s="6"/>
      <c r="AA83" s="6"/>
      <c r="AB83" s="6"/>
      <c r="AC83" s="6"/>
      <c r="AD83" s="6">
        <v>2</v>
      </c>
      <c r="AE83" s="6">
        <v>1</v>
      </c>
      <c r="AF83" s="6"/>
      <c r="AG83" s="6">
        <v>2</v>
      </c>
      <c r="AH83" s="6">
        <v>1</v>
      </c>
      <c r="AI83" s="6">
        <v>1</v>
      </c>
      <c r="AJ83" s="5">
        <f t="shared" si="43"/>
        <v>35</v>
      </c>
    </row>
    <row r="84" spans="1:36" x14ac:dyDescent="0.4">
      <c r="A84" s="7"/>
      <c r="B84" s="52"/>
      <c r="C84" s="24" t="s">
        <v>151</v>
      </c>
      <c r="D84" s="50"/>
      <c r="E84" s="6">
        <v>1</v>
      </c>
      <c r="F84" s="6"/>
      <c r="G84" s="6">
        <v>1</v>
      </c>
      <c r="H84" s="6"/>
      <c r="I84" s="6">
        <v>1</v>
      </c>
      <c r="J84" s="6">
        <v>1</v>
      </c>
      <c r="K84" s="6"/>
      <c r="L84" s="6">
        <v>1</v>
      </c>
      <c r="M84" s="6"/>
      <c r="N84" s="6">
        <v>1</v>
      </c>
      <c r="O84" s="6">
        <v>1</v>
      </c>
      <c r="P84" s="6"/>
      <c r="Q84" s="6">
        <v>3</v>
      </c>
      <c r="R84" s="6">
        <v>1</v>
      </c>
      <c r="S84" s="6">
        <v>2</v>
      </c>
      <c r="T84" s="6">
        <v>2</v>
      </c>
      <c r="U84" s="6">
        <v>1</v>
      </c>
      <c r="V84" s="6"/>
      <c r="W84" s="6">
        <v>2</v>
      </c>
      <c r="X84" s="6">
        <v>2</v>
      </c>
      <c r="Y84" s="6"/>
      <c r="Z84" s="6">
        <v>1</v>
      </c>
      <c r="AA84" s="6">
        <v>1</v>
      </c>
      <c r="AB84" s="6">
        <v>2</v>
      </c>
      <c r="AC84" s="6"/>
      <c r="AD84" s="6"/>
      <c r="AE84" s="6"/>
      <c r="AF84" s="6">
        <v>2</v>
      </c>
      <c r="AG84" s="6">
        <v>3</v>
      </c>
      <c r="AH84" s="6"/>
      <c r="AI84" s="6"/>
      <c r="AJ84" s="5">
        <f t="shared" si="43"/>
        <v>29</v>
      </c>
    </row>
    <row r="85" spans="1:36" ht="13.15" customHeight="1" x14ac:dyDescent="0.4">
      <c r="A85" s="7"/>
      <c r="B85" s="52"/>
      <c r="C85" s="24" t="s">
        <v>152</v>
      </c>
      <c r="D85" s="50"/>
      <c r="E85" s="6">
        <v>4</v>
      </c>
      <c r="F85" s="6">
        <v>4</v>
      </c>
      <c r="G85" s="6">
        <v>2</v>
      </c>
      <c r="H85" s="6">
        <v>1</v>
      </c>
      <c r="I85" s="6">
        <v>4</v>
      </c>
      <c r="J85" s="6">
        <v>7</v>
      </c>
      <c r="K85" s="6"/>
      <c r="L85" s="6">
        <v>2</v>
      </c>
      <c r="M85" s="6">
        <v>7</v>
      </c>
      <c r="N85" s="6">
        <v>4</v>
      </c>
      <c r="O85" s="6">
        <v>1</v>
      </c>
      <c r="P85" s="6"/>
      <c r="Q85" s="6">
        <v>4</v>
      </c>
      <c r="R85" s="6">
        <v>2</v>
      </c>
      <c r="S85" s="6">
        <v>1</v>
      </c>
      <c r="T85" s="6">
        <v>5</v>
      </c>
      <c r="U85" s="6"/>
      <c r="V85" s="6">
        <v>3</v>
      </c>
      <c r="W85" s="6">
        <v>4</v>
      </c>
      <c r="X85" s="6"/>
      <c r="Y85" s="6"/>
      <c r="Z85" s="6">
        <v>2</v>
      </c>
      <c r="AA85" s="6">
        <v>3</v>
      </c>
      <c r="AB85" s="6">
        <v>2</v>
      </c>
      <c r="AC85" s="6">
        <v>1</v>
      </c>
      <c r="AD85" s="6">
        <v>2</v>
      </c>
      <c r="AE85" s="6">
        <v>4</v>
      </c>
      <c r="AF85" s="6">
        <v>1</v>
      </c>
      <c r="AG85" s="6">
        <v>2</v>
      </c>
      <c r="AH85" s="6">
        <v>5</v>
      </c>
      <c r="AI85" s="6">
        <v>2</v>
      </c>
      <c r="AJ85" s="5">
        <f t="shared" si="43"/>
        <v>79</v>
      </c>
    </row>
    <row r="86" spans="1:36" x14ac:dyDescent="0.4">
      <c r="A86" s="7"/>
      <c r="B86" s="52"/>
      <c r="C86" s="24" t="s">
        <v>153</v>
      </c>
      <c r="D86" s="50"/>
      <c r="E86" s="6"/>
      <c r="F86" s="6">
        <v>1</v>
      </c>
      <c r="G86" s="6"/>
      <c r="H86" s="6"/>
      <c r="I86" s="6">
        <v>1</v>
      </c>
      <c r="J86" s="6">
        <v>1</v>
      </c>
      <c r="K86" s="6"/>
      <c r="L86" s="6"/>
      <c r="M86" s="6"/>
      <c r="N86" s="6">
        <v>2</v>
      </c>
      <c r="O86" s="6">
        <v>1</v>
      </c>
      <c r="P86" s="6">
        <v>2</v>
      </c>
      <c r="Q86" s="6">
        <v>1</v>
      </c>
      <c r="R86" s="6">
        <v>1</v>
      </c>
      <c r="S86" s="6">
        <v>1</v>
      </c>
      <c r="T86" s="6">
        <v>1</v>
      </c>
      <c r="U86" s="6">
        <v>2</v>
      </c>
      <c r="V86" s="6">
        <v>1</v>
      </c>
      <c r="W86" s="6"/>
      <c r="X86" s="6"/>
      <c r="Y86" s="6"/>
      <c r="Z86" s="6"/>
      <c r="AA86" s="6"/>
      <c r="AB86" s="6"/>
      <c r="AC86" s="6"/>
      <c r="AD86" s="6">
        <v>2</v>
      </c>
      <c r="AE86" s="6"/>
      <c r="AF86" s="6">
        <v>1</v>
      </c>
      <c r="AG86" s="6">
        <v>1</v>
      </c>
      <c r="AH86" s="6">
        <v>1</v>
      </c>
      <c r="AI86" s="6"/>
      <c r="AJ86" s="5">
        <f t="shared" si="43"/>
        <v>20</v>
      </c>
    </row>
    <row r="87" spans="1:36" x14ac:dyDescent="0.4">
      <c r="A87" s="7"/>
      <c r="B87" s="52"/>
      <c r="C87" s="24" t="s">
        <v>154</v>
      </c>
      <c r="D87" s="50"/>
      <c r="E87" s="6">
        <v>2</v>
      </c>
      <c r="F87" s="6"/>
      <c r="G87" s="6"/>
      <c r="H87" s="6"/>
      <c r="I87" s="6"/>
      <c r="J87" s="6">
        <v>1</v>
      </c>
      <c r="K87" s="6"/>
      <c r="L87" s="6"/>
      <c r="M87" s="6"/>
      <c r="N87" s="6">
        <v>1</v>
      </c>
      <c r="O87" s="6"/>
      <c r="P87" s="6"/>
      <c r="Q87" s="6"/>
      <c r="R87" s="6">
        <v>1</v>
      </c>
      <c r="S87" s="6">
        <v>1</v>
      </c>
      <c r="T87" s="6">
        <v>1</v>
      </c>
      <c r="U87" s="6"/>
      <c r="V87" s="6"/>
      <c r="W87" s="6"/>
      <c r="X87" s="6"/>
      <c r="Y87" s="6"/>
      <c r="Z87" s="6"/>
      <c r="AA87" s="6">
        <v>2</v>
      </c>
      <c r="AB87" s="6"/>
      <c r="AC87" s="6"/>
      <c r="AD87" s="6"/>
      <c r="AE87" s="6">
        <v>1</v>
      </c>
      <c r="AF87" s="6"/>
      <c r="AG87" s="6"/>
      <c r="AH87" s="6">
        <v>1</v>
      </c>
      <c r="AI87" s="6"/>
      <c r="AJ87" s="5">
        <f t="shared" si="43"/>
        <v>11</v>
      </c>
    </row>
    <row r="88" spans="1:36" x14ac:dyDescent="0.4">
      <c r="A88" s="7"/>
      <c r="B88" s="52"/>
      <c r="C88" s="24" t="s">
        <v>155</v>
      </c>
      <c r="D88" s="50"/>
      <c r="E88" s="6">
        <v>1</v>
      </c>
      <c r="F88" s="6"/>
      <c r="G88" s="6">
        <v>1</v>
      </c>
      <c r="H88" s="6"/>
      <c r="I88" s="6"/>
      <c r="J88" s="6"/>
      <c r="K88" s="6"/>
      <c r="L88" s="6">
        <v>1</v>
      </c>
      <c r="M88" s="6"/>
      <c r="N88" s="6"/>
      <c r="O88" s="6"/>
      <c r="P88" s="6"/>
      <c r="Q88" s="6"/>
      <c r="R88" s="6"/>
      <c r="S88" s="6">
        <v>1</v>
      </c>
      <c r="T88" s="6"/>
      <c r="U88" s="6">
        <v>1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5">
        <f t="shared" si="43"/>
        <v>5</v>
      </c>
    </row>
    <row r="89" spans="1:36" x14ac:dyDescent="0.4">
      <c r="A89" s="7"/>
      <c r="B89" s="52"/>
      <c r="C89" s="24" t="s">
        <v>156</v>
      </c>
      <c r="D89" s="5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>
        <v>1</v>
      </c>
      <c r="T89" s="6"/>
      <c r="U89" s="6"/>
      <c r="V89" s="6"/>
      <c r="W89" s="6">
        <v>1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</v>
      </c>
      <c r="AI89" s="6"/>
      <c r="AJ89" s="5">
        <f t="shared" si="43"/>
        <v>4</v>
      </c>
    </row>
    <row r="90" spans="1:36" x14ac:dyDescent="0.4">
      <c r="A90" s="7"/>
      <c r="B90" s="52"/>
      <c r="C90" s="24" t="s">
        <v>157</v>
      </c>
      <c r="D90" s="50"/>
      <c r="E90" s="6"/>
      <c r="F90" s="6"/>
      <c r="G90" s="6">
        <v>1</v>
      </c>
      <c r="H90" s="6">
        <v>1</v>
      </c>
      <c r="I90" s="6"/>
      <c r="J90" s="6">
        <v>1</v>
      </c>
      <c r="K90" s="6"/>
      <c r="L90" s="6"/>
      <c r="M90" s="6"/>
      <c r="N90" s="6">
        <v>1</v>
      </c>
      <c r="O90" s="6"/>
      <c r="P90" s="6"/>
      <c r="Q90" s="6"/>
      <c r="R90" s="6"/>
      <c r="S90" s="6">
        <v>3</v>
      </c>
      <c r="T90" s="6"/>
      <c r="U90" s="6"/>
      <c r="V90" s="6"/>
      <c r="W90" s="6"/>
      <c r="X90" s="6">
        <v>3</v>
      </c>
      <c r="Y90" s="6"/>
      <c r="Z90" s="6">
        <v>1</v>
      </c>
      <c r="AA90" s="6">
        <v>2</v>
      </c>
      <c r="AB90" s="6"/>
      <c r="AC90" s="6"/>
      <c r="AD90" s="6"/>
      <c r="AE90" s="6">
        <v>1</v>
      </c>
      <c r="AF90" s="6"/>
      <c r="AG90" s="6">
        <v>1</v>
      </c>
      <c r="AH90" s="6"/>
      <c r="AI90" s="6"/>
      <c r="AJ90" s="5">
        <f t="shared" si="43"/>
        <v>15</v>
      </c>
    </row>
    <row r="91" spans="1:36" x14ac:dyDescent="0.4">
      <c r="A91" s="6" t="s">
        <v>26</v>
      </c>
      <c r="B91" s="67" t="s">
        <v>51</v>
      </c>
      <c r="C91" s="83"/>
      <c r="D91" s="74"/>
      <c r="E91" s="5">
        <f t="shared" ref="E91:AJ91" si="44">SUM(E81:E90)</f>
        <v>41</v>
      </c>
      <c r="F91" s="5">
        <f t="shared" si="44"/>
        <v>16</v>
      </c>
      <c r="G91" s="5">
        <f t="shared" si="44"/>
        <v>8</v>
      </c>
      <c r="H91" s="5">
        <f t="shared" si="44"/>
        <v>17</v>
      </c>
      <c r="I91" s="5">
        <f t="shared" si="44"/>
        <v>10</v>
      </c>
      <c r="J91" s="5">
        <f t="shared" si="44"/>
        <v>40</v>
      </c>
      <c r="K91" s="5">
        <f t="shared" si="44"/>
        <v>24</v>
      </c>
      <c r="L91" s="5">
        <f t="shared" si="44"/>
        <v>18</v>
      </c>
      <c r="M91" s="5">
        <f t="shared" si="44"/>
        <v>32</v>
      </c>
      <c r="N91" s="5">
        <f t="shared" si="44"/>
        <v>23</v>
      </c>
      <c r="O91" s="5">
        <f t="shared" si="44"/>
        <v>17</v>
      </c>
      <c r="P91" s="5">
        <f t="shared" si="44"/>
        <v>43</v>
      </c>
      <c r="Q91" s="5">
        <f t="shared" si="44"/>
        <v>12</v>
      </c>
      <c r="R91" s="5">
        <f t="shared" si="44"/>
        <v>8</v>
      </c>
      <c r="S91" s="5">
        <f t="shared" si="44"/>
        <v>21</v>
      </c>
      <c r="T91" s="5">
        <f t="shared" si="44"/>
        <v>20</v>
      </c>
      <c r="U91" s="5">
        <f t="shared" si="44"/>
        <v>14</v>
      </c>
      <c r="V91" s="5">
        <f t="shared" si="44"/>
        <v>15</v>
      </c>
      <c r="W91" s="5">
        <f t="shared" si="44"/>
        <v>26</v>
      </c>
      <c r="X91" s="5">
        <f t="shared" si="44"/>
        <v>26</v>
      </c>
      <c r="Y91" s="5">
        <f t="shared" si="44"/>
        <v>4</v>
      </c>
      <c r="Z91" s="5">
        <f t="shared" si="44"/>
        <v>14</v>
      </c>
      <c r="AA91" s="5">
        <f t="shared" si="44"/>
        <v>17</v>
      </c>
      <c r="AB91" s="5">
        <f t="shared" si="44"/>
        <v>12</v>
      </c>
      <c r="AC91" s="5">
        <f t="shared" si="44"/>
        <v>7</v>
      </c>
      <c r="AD91" s="5">
        <f t="shared" si="44"/>
        <v>13</v>
      </c>
      <c r="AE91" s="5">
        <f t="shared" si="44"/>
        <v>17</v>
      </c>
      <c r="AF91" s="5">
        <f t="shared" si="44"/>
        <v>13</v>
      </c>
      <c r="AG91" s="5">
        <f t="shared" si="44"/>
        <v>23</v>
      </c>
      <c r="AH91" s="5">
        <f t="shared" si="44"/>
        <v>27</v>
      </c>
      <c r="AI91" s="5">
        <f t="shared" si="44"/>
        <v>17</v>
      </c>
      <c r="AJ91" s="5">
        <f t="shared" si="44"/>
        <v>595</v>
      </c>
    </row>
    <row r="92" spans="1:36" x14ac:dyDescent="0.4">
      <c r="A92" s="84"/>
      <c r="B92" s="85"/>
      <c r="C92" s="85"/>
      <c r="D92" s="85"/>
      <c r="E92" s="85"/>
    </row>
    <row r="93" spans="1:36" x14ac:dyDescent="0.4">
      <c r="A93" s="11" t="s">
        <v>48</v>
      </c>
      <c r="B93" s="17" t="s">
        <v>55</v>
      </c>
      <c r="C93" s="73" t="s">
        <v>56</v>
      </c>
      <c r="D93" s="74"/>
      <c r="E93" s="6">
        <v>1</v>
      </c>
      <c r="F93" s="6">
        <v>4</v>
      </c>
      <c r="G93" s="6">
        <v>0</v>
      </c>
      <c r="H93" s="6">
        <v>4</v>
      </c>
      <c r="I93" s="6">
        <v>0</v>
      </c>
      <c r="J93" s="6">
        <v>1</v>
      </c>
      <c r="K93" s="6">
        <v>4</v>
      </c>
      <c r="L93" s="6">
        <v>1</v>
      </c>
      <c r="M93" s="6">
        <v>1</v>
      </c>
      <c r="N93" s="6">
        <v>5</v>
      </c>
      <c r="O93" s="6">
        <v>3</v>
      </c>
      <c r="P93" s="6">
        <v>1</v>
      </c>
      <c r="Q93" s="6">
        <v>2</v>
      </c>
      <c r="R93" s="6">
        <v>4</v>
      </c>
      <c r="S93" s="6">
        <v>3</v>
      </c>
      <c r="T93" s="6">
        <v>7</v>
      </c>
      <c r="U93" s="6">
        <v>0</v>
      </c>
      <c r="V93" s="6">
        <v>0</v>
      </c>
      <c r="W93" s="6">
        <v>2</v>
      </c>
      <c r="X93" s="6">
        <v>2</v>
      </c>
      <c r="Y93" s="6">
        <v>0</v>
      </c>
      <c r="Z93" s="6">
        <v>0</v>
      </c>
      <c r="AA93" s="6">
        <v>0</v>
      </c>
      <c r="AB93" s="6">
        <v>1</v>
      </c>
      <c r="AC93" s="6">
        <v>0</v>
      </c>
      <c r="AD93" s="6">
        <v>1</v>
      </c>
      <c r="AE93" s="6">
        <v>1</v>
      </c>
      <c r="AF93" s="6">
        <v>3</v>
      </c>
      <c r="AG93" s="6">
        <v>5</v>
      </c>
      <c r="AH93" s="6">
        <v>2</v>
      </c>
      <c r="AI93" s="6">
        <v>1</v>
      </c>
      <c r="AJ93" s="5">
        <f t="shared" ref="AJ93:AJ103" si="45">SUM(E93:AI93)</f>
        <v>59</v>
      </c>
    </row>
    <row r="94" spans="1:36" x14ac:dyDescent="0.4">
      <c r="A94" s="11" t="s">
        <v>50</v>
      </c>
      <c r="B94" s="52"/>
      <c r="C94" s="24" t="s">
        <v>158</v>
      </c>
      <c r="D94" s="50"/>
      <c r="E94" s="6">
        <v>1</v>
      </c>
      <c r="F94" s="6">
        <v>4</v>
      </c>
      <c r="G94" s="6">
        <v>1</v>
      </c>
      <c r="H94" s="6">
        <v>1</v>
      </c>
      <c r="I94" s="6">
        <v>1</v>
      </c>
      <c r="J94" s="6">
        <v>1</v>
      </c>
      <c r="K94" s="6">
        <v>6</v>
      </c>
      <c r="L94" s="6">
        <v>9</v>
      </c>
      <c r="M94" s="6">
        <v>4</v>
      </c>
      <c r="N94" s="6">
        <v>9</v>
      </c>
      <c r="O94" s="6">
        <v>3</v>
      </c>
      <c r="P94" s="6">
        <v>2</v>
      </c>
      <c r="Q94" s="6">
        <v>2</v>
      </c>
      <c r="R94" s="6">
        <v>12</v>
      </c>
      <c r="S94" s="6">
        <v>1</v>
      </c>
      <c r="T94" s="6">
        <v>4</v>
      </c>
      <c r="U94" s="6">
        <v>2</v>
      </c>
      <c r="V94" s="6">
        <v>4</v>
      </c>
      <c r="W94" s="6">
        <v>5</v>
      </c>
      <c r="X94" s="6">
        <v>0</v>
      </c>
      <c r="Y94" s="6">
        <v>0</v>
      </c>
      <c r="Z94" s="6">
        <v>0</v>
      </c>
      <c r="AA94" s="6">
        <v>1</v>
      </c>
      <c r="AB94" s="6">
        <v>0</v>
      </c>
      <c r="AC94" s="6">
        <v>0</v>
      </c>
      <c r="AD94" s="6">
        <v>0</v>
      </c>
      <c r="AE94" s="6">
        <v>3</v>
      </c>
      <c r="AF94" s="6">
        <v>3</v>
      </c>
      <c r="AG94" s="6">
        <v>8</v>
      </c>
      <c r="AH94" s="6">
        <v>10</v>
      </c>
      <c r="AI94" s="6"/>
      <c r="AJ94" s="5">
        <f t="shared" si="45"/>
        <v>97</v>
      </c>
    </row>
    <row r="95" spans="1:36" x14ac:dyDescent="0.4">
      <c r="A95" s="7"/>
      <c r="B95" s="52"/>
      <c r="C95" s="24" t="s">
        <v>159</v>
      </c>
      <c r="D95" s="50"/>
      <c r="E95" s="6">
        <v>2</v>
      </c>
      <c r="F95" s="6">
        <v>1</v>
      </c>
      <c r="G95" s="6">
        <v>1</v>
      </c>
      <c r="H95" s="6">
        <v>0</v>
      </c>
      <c r="I95" s="6">
        <v>2</v>
      </c>
      <c r="J95" s="6">
        <v>1</v>
      </c>
      <c r="K95" s="6">
        <v>2</v>
      </c>
      <c r="L95" s="6">
        <v>0</v>
      </c>
      <c r="M95" s="6">
        <v>1</v>
      </c>
      <c r="N95" s="6">
        <v>0</v>
      </c>
      <c r="O95" s="6">
        <v>0</v>
      </c>
      <c r="P95" s="6">
        <v>1</v>
      </c>
      <c r="Q95" s="6">
        <v>2</v>
      </c>
      <c r="R95" s="6">
        <v>2</v>
      </c>
      <c r="S95" s="6">
        <v>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1</v>
      </c>
      <c r="AI95" s="6">
        <v>1</v>
      </c>
      <c r="AJ95" s="5">
        <f t="shared" si="45"/>
        <v>18</v>
      </c>
    </row>
    <row r="96" spans="1:36" ht="13.15" customHeight="1" x14ac:dyDescent="0.4">
      <c r="A96" s="7"/>
      <c r="B96" s="52"/>
      <c r="C96" s="24" t="s">
        <v>160</v>
      </c>
      <c r="D96" s="50"/>
      <c r="E96" s="6">
        <v>1</v>
      </c>
      <c r="F96" s="6">
        <v>0</v>
      </c>
      <c r="G96" s="6">
        <v>1</v>
      </c>
      <c r="H96" s="6">
        <v>0</v>
      </c>
      <c r="I96" s="6">
        <v>2</v>
      </c>
      <c r="J96" s="6">
        <v>0</v>
      </c>
      <c r="K96" s="6">
        <v>1</v>
      </c>
      <c r="L96" s="6">
        <v>1</v>
      </c>
      <c r="M96" s="6">
        <v>0</v>
      </c>
      <c r="N96" s="6">
        <v>2</v>
      </c>
      <c r="O96" s="6">
        <v>0</v>
      </c>
      <c r="P96" s="6">
        <v>0</v>
      </c>
      <c r="Q96" s="6">
        <v>0</v>
      </c>
      <c r="R96" s="6">
        <v>5</v>
      </c>
      <c r="S96" s="6">
        <v>0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1</v>
      </c>
      <c r="AH96" s="6">
        <v>0</v>
      </c>
      <c r="AI96" s="6"/>
      <c r="AJ96" s="5">
        <f t="shared" si="45"/>
        <v>15</v>
      </c>
    </row>
    <row r="97" spans="1:36" x14ac:dyDescent="0.4">
      <c r="A97" s="7"/>
      <c r="B97" s="52"/>
      <c r="C97" s="24" t="s">
        <v>161</v>
      </c>
      <c r="D97" s="50"/>
      <c r="E97" s="6">
        <v>1</v>
      </c>
      <c r="F97" s="6">
        <v>1</v>
      </c>
      <c r="G97" s="6">
        <v>0</v>
      </c>
      <c r="H97" s="6">
        <v>0</v>
      </c>
      <c r="I97" s="6">
        <v>1</v>
      </c>
      <c r="J97" s="6">
        <v>1</v>
      </c>
      <c r="K97" s="6">
        <v>1</v>
      </c>
      <c r="L97" s="6">
        <v>1</v>
      </c>
      <c r="M97" s="6">
        <v>0</v>
      </c>
      <c r="N97" s="6">
        <v>0</v>
      </c>
      <c r="O97" s="6">
        <v>2</v>
      </c>
      <c r="P97" s="6">
        <v>0</v>
      </c>
      <c r="Q97" s="6">
        <v>0</v>
      </c>
      <c r="R97" s="6">
        <v>3</v>
      </c>
      <c r="S97" s="6">
        <v>3</v>
      </c>
      <c r="T97" s="6">
        <v>1</v>
      </c>
      <c r="U97" s="6">
        <v>0</v>
      </c>
      <c r="V97" s="6">
        <v>0</v>
      </c>
      <c r="W97" s="6">
        <v>1</v>
      </c>
      <c r="X97" s="6">
        <v>3</v>
      </c>
      <c r="Y97" s="6">
        <v>0</v>
      </c>
      <c r="Z97" s="6">
        <v>1</v>
      </c>
      <c r="AA97" s="6">
        <v>0</v>
      </c>
      <c r="AB97" s="6">
        <v>0</v>
      </c>
      <c r="AC97" s="6">
        <v>0</v>
      </c>
      <c r="AD97" s="6">
        <v>2</v>
      </c>
      <c r="AE97" s="6">
        <v>3</v>
      </c>
      <c r="AF97" s="6">
        <v>1</v>
      </c>
      <c r="AG97" s="6">
        <v>0</v>
      </c>
      <c r="AH97" s="6">
        <v>1</v>
      </c>
      <c r="AI97" s="6"/>
      <c r="AJ97" s="5">
        <f t="shared" si="45"/>
        <v>27</v>
      </c>
    </row>
    <row r="98" spans="1:36" x14ac:dyDescent="0.4">
      <c r="A98" s="7"/>
      <c r="B98" s="52"/>
      <c r="C98" s="24" t="s">
        <v>162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2</v>
      </c>
      <c r="K98" s="6">
        <v>0</v>
      </c>
      <c r="L98" s="6">
        <v>2</v>
      </c>
      <c r="M98" s="6">
        <v>0</v>
      </c>
      <c r="N98" s="6">
        <v>1</v>
      </c>
      <c r="O98" s="6">
        <v>0</v>
      </c>
      <c r="P98" s="6">
        <v>1</v>
      </c>
      <c r="Q98" s="6">
        <v>0</v>
      </c>
      <c r="R98" s="6">
        <v>1</v>
      </c>
      <c r="S98" s="6">
        <v>0</v>
      </c>
      <c r="T98" s="6">
        <v>1</v>
      </c>
      <c r="U98" s="6">
        <v>0</v>
      </c>
      <c r="V98" s="6">
        <v>1</v>
      </c>
      <c r="W98" s="6">
        <v>0</v>
      </c>
      <c r="X98" s="6">
        <v>3</v>
      </c>
      <c r="Y98" s="6">
        <v>0</v>
      </c>
      <c r="Z98" s="6">
        <v>0</v>
      </c>
      <c r="AA98" s="6">
        <v>1</v>
      </c>
      <c r="AB98" s="6">
        <v>1</v>
      </c>
      <c r="AC98" s="6">
        <v>0</v>
      </c>
      <c r="AD98" s="6">
        <v>3</v>
      </c>
      <c r="AE98" s="6">
        <v>0</v>
      </c>
      <c r="AF98" s="6">
        <v>0</v>
      </c>
      <c r="AG98" s="6">
        <v>0</v>
      </c>
      <c r="AH98" s="6">
        <v>0</v>
      </c>
      <c r="AI98" s="6"/>
      <c r="AJ98" s="5">
        <f t="shared" si="45"/>
        <v>18</v>
      </c>
    </row>
    <row r="99" spans="1:36" x14ac:dyDescent="0.4">
      <c r="A99" s="7"/>
      <c r="B99" s="52"/>
      <c r="C99" s="24" t="s">
        <v>163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1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1</v>
      </c>
      <c r="R99" s="6">
        <v>0</v>
      </c>
      <c r="S99" s="6">
        <v>0</v>
      </c>
      <c r="T99" s="6">
        <v>2</v>
      </c>
      <c r="U99" s="6">
        <v>0</v>
      </c>
      <c r="V99" s="6">
        <v>0</v>
      </c>
      <c r="W99" s="6">
        <v>0</v>
      </c>
      <c r="X99" s="6">
        <v>1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1</v>
      </c>
      <c r="AF99" s="6">
        <v>0</v>
      </c>
      <c r="AG99" s="6">
        <v>0</v>
      </c>
      <c r="AH99" s="6">
        <v>0</v>
      </c>
      <c r="AI99" s="6"/>
      <c r="AJ99" s="5">
        <f t="shared" si="45"/>
        <v>7</v>
      </c>
    </row>
    <row r="100" spans="1:36" x14ac:dyDescent="0.4">
      <c r="A100" s="7"/>
      <c r="B100" s="52"/>
      <c r="C100" s="24" t="s">
        <v>164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1</v>
      </c>
      <c r="J100" s="6">
        <v>0</v>
      </c>
      <c r="K100" s="6">
        <v>1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1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1</v>
      </c>
      <c r="AH100" s="6">
        <v>0</v>
      </c>
      <c r="AI100" s="6"/>
      <c r="AJ100" s="5">
        <f t="shared" si="45"/>
        <v>6</v>
      </c>
    </row>
    <row r="101" spans="1:36" x14ac:dyDescent="0.4">
      <c r="A101" s="7"/>
      <c r="B101" s="52"/>
      <c r="C101" s="24" t="s">
        <v>165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0</v>
      </c>
      <c r="K101" s="6">
        <v>1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2</v>
      </c>
      <c r="U101" s="6">
        <v>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1</v>
      </c>
      <c r="AF101" s="6">
        <v>1</v>
      </c>
      <c r="AG101" s="6">
        <v>2</v>
      </c>
      <c r="AH101" s="6">
        <v>0</v>
      </c>
      <c r="AI101" s="6"/>
      <c r="AJ101" s="5">
        <f t="shared" si="45"/>
        <v>9</v>
      </c>
    </row>
    <row r="102" spans="1:36" x14ac:dyDescent="0.4">
      <c r="A102" s="7"/>
      <c r="B102" s="52"/>
      <c r="C102" s="24" t="s">
        <v>166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2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3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1</v>
      </c>
      <c r="AE102" s="6">
        <v>0</v>
      </c>
      <c r="AF102" s="6">
        <v>0</v>
      </c>
      <c r="AG102" s="6">
        <v>1</v>
      </c>
      <c r="AH102" s="6">
        <v>0</v>
      </c>
      <c r="AI102" s="6"/>
      <c r="AJ102" s="5">
        <f t="shared" si="45"/>
        <v>7</v>
      </c>
    </row>
    <row r="103" spans="1:36" x14ac:dyDescent="0.4">
      <c r="A103" s="6" t="s">
        <v>26</v>
      </c>
      <c r="B103" s="67" t="s">
        <v>51</v>
      </c>
      <c r="C103" s="83"/>
      <c r="D103" s="74"/>
      <c r="E103" s="5">
        <f t="shared" ref="E103:AJ103" si="46">SUM(E93:E102)</f>
        <v>6</v>
      </c>
      <c r="F103" s="5">
        <f t="shared" si="46"/>
        <v>10</v>
      </c>
      <c r="G103" s="5">
        <f t="shared" si="46"/>
        <v>3</v>
      </c>
      <c r="H103" s="5">
        <f t="shared" si="46"/>
        <v>5</v>
      </c>
      <c r="I103" s="5">
        <f t="shared" si="46"/>
        <v>10</v>
      </c>
      <c r="J103" s="5">
        <f t="shared" si="46"/>
        <v>6</v>
      </c>
      <c r="K103" s="5">
        <f t="shared" si="46"/>
        <v>19</v>
      </c>
      <c r="L103" s="5">
        <f t="shared" si="46"/>
        <v>15</v>
      </c>
      <c r="M103" s="5">
        <f t="shared" si="46"/>
        <v>6</v>
      </c>
      <c r="N103" s="5">
        <f t="shared" si="46"/>
        <v>17</v>
      </c>
      <c r="O103" s="5">
        <f t="shared" si="46"/>
        <v>8</v>
      </c>
      <c r="P103" s="5">
        <f t="shared" si="46"/>
        <v>5</v>
      </c>
      <c r="Q103" s="5">
        <f t="shared" si="46"/>
        <v>7</v>
      </c>
      <c r="R103" s="5">
        <f t="shared" si="46"/>
        <v>27</v>
      </c>
      <c r="S103" s="5">
        <f t="shared" si="46"/>
        <v>8</v>
      </c>
      <c r="T103" s="5">
        <f t="shared" si="46"/>
        <v>22</v>
      </c>
      <c r="U103" s="5">
        <f t="shared" si="46"/>
        <v>3</v>
      </c>
      <c r="V103" s="5">
        <f t="shared" si="46"/>
        <v>5</v>
      </c>
      <c r="W103" s="5">
        <f t="shared" si="46"/>
        <v>8</v>
      </c>
      <c r="X103" s="5">
        <f t="shared" si="46"/>
        <v>9</v>
      </c>
      <c r="Y103" s="5">
        <f t="shared" si="46"/>
        <v>0</v>
      </c>
      <c r="Z103" s="5">
        <f t="shared" si="46"/>
        <v>1</v>
      </c>
      <c r="AA103" s="5">
        <f t="shared" si="46"/>
        <v>3</v>
      </c>
      <c r="AB103" s="5">
        <f t="shared" si="46"/>
        <v>2</v>
      </c>
      <c r="AC103" s="5">
        <f t="shared" si="46"/>
        <v>0</v>
      </c>
      <c r="AD103" s="5">
        <f t="shared" si="46"/>
        <v>7</v>
      </c>
      <c r="AE103" s="5">
        <f t="shared" si="46"/>
        <v>9</v>
      </c>
      <c r="AF103" s="5">
        <f t="shared" si="46"/>
        <v>8</v>
      </c>
      <c r="AG103" s="5">
        <f t="shared" si="46"/>
        <v>18</v>
      </c>
      <c r="AH103" s="5">
        <f t="shared" si="46"/>
        <v>14</v>
      </c>
      <c r="AI103" s="5">
        <f t="shared" si="46"/>
        <v>2</v>
      </c>
      <c r="AJ103" s="5">
        <f t="shared" si="46"/>
        <v>263</v>
      </c>
    </row>
    <row r="104" spans="1:36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</row>
    <row r="105" spans="1:36" x14ac:dyDescent="0.4">
      <c r="A105" s="11" t="s">
        <v>48</v>
      </c>
      <c r="B105" s="17" t="s">
        <v>57</v>
      </c>
      <c r="C105" s="73" t="s">
        <v>58</v>
      </c>
      <c r="D105" s="74"/>
      <c r="E105" s="6"/>
      <c r="F105" s="6"/>
      <c r="G105" s="6"/>
      <c r="H105" s="6"/>
      <c r="I105" s="6"/>
      <c r="J105" s="6"/>
      <c r="K105" s="6">
        <v>1</v>
      </c>
      <c r="L105" s="6"/>
      <c r="M105" s="6"/>
      <c r="N105" s="6"/>
      <c r="O105" s="6"/>
      <c r="P105" s="6">
        <v>1</v>
      </c>
      <c r="Q105" s="6"/>
      <c r="R105" s="6"/>
      <c r="S105" s="6">
        <v>2</v>
      </c>
      <c r="T105" s="6"/>
      <c r="U105" s="6">
        <v>2</v>
      </c>
      <c r="V105" s="6">
        <v>1</v>
      </c>
      <c r="W105" s="6"/>
      <c r="X105" s="6"/>
      <c r="Y105" s="6"/>
      <c r="Z105" s="6">
        <v>1</v>
      </c>
      <c r="AA105" s="6"/>
      <c r="AB105" s="6">
        <v>1</v>
      </c>
      <c r="AC105" s="6"/>
      <c r="AD105" s="6"/>
      <c r="AE105" s="6"/>
      <c r="AF105" s="6"/>
      <c r="AG105" s="6"/>
      <c r="AH105" s="6"/>
      <c r="AI105" s="6"/>
      <c r="AJ105" s="5">
        <f>SUM(E105:AI105)</f>
        <v>9</v>
      </c>
    </row>
    <row r="106" spans="1:36" x14ac:dyDescent="0.4">
      <c r="A106" s="11" t="s">
        <v>50</v>
      </c>
      <c r="B106" s="52"/>
      <c r="C106" s="24" t="s">
        <v>167</v>
      </c>
      <c r="D106" s="50"/>
      <c r="E106" s="6"/>
      <c r="F106" s="6"/>
      <c r="G106" s="6"/>
      <c r="H106" s="6"/>
      <c r="I106" s="6"/>
      <c r="J106" s="6"/>
      <c r="K106" s="6"/>
      <c r="L106" s="6"/>
      <c r="M106" s="6"/>
      <c r="N106" s="6">
        <v>1</v>
      </c>
      <c r="O106" s="6"/>
      <c r="P106" s="6">
        <v>1</v>
      </c>
      <c r="Q106" s="6"/>
      <c r="R106" s="6">
        <v>1</v>
      </c>
      <c r="S106" s="6"/>
      <c r="T106" s="6"/>
      <c r="U106" s="6">
        <v>1</v>
      </c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>
        <v>1</v>
      </c>
      <c r="AG106" s="6"/>
      <c r="AH106" s="6"/>
      <c r="AI106" s="6"/>
      <c r="AJ106" s="5">
        <f>SUM(E106:AI106)</f>
        <v>5</v>
      </c>
    </row>
    <row r="107" spans="1:36" ht="13.15" customHeight="1" x14ac:dyDescent="0.4">
      <c r="A107" s="7"/>
      <c r="B107" s="52"/>
      <c r="C107" s="24" t="s">
        <v>168</v>
      </c>
      <c r="D107" s="50"/>
      <c r="E107" s="6"/>
      <c r="F107" s="6"/>
      <c r="G107" s="6"/>
      <c r="H107" s="6"/>
      <c r="I107" s="6"/>
      <c r="J107" s="6">
        <v>1</v>
      </c>
      <c r="K107" s="6"/>
      <c r="L107" s="6"/>
      <c r="M107" s="6"/>
      <c r="N107" s="6"/>
      <c r="O107" s="6"/>
      <c r="P107" s="6"/>
      <c r="Q107" s="6">
        <v>1</v>
      </c>
      <c r="R107" s="6"/>
      <c r="S107" s="6"/>
      <c r="T107" s="6">
        <v>2</v>
      </c>
      <c r="U107" s="6">
        <v>1</v>
      </c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5">
        <f>SUM(E107:AI107)</f>
        <v>5</v>
      </c>
    </row>
    <row r="108" spans="1:36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49"/>
    </row>
    <row r="109" spans="1:36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49"/>
    </row>
    <row r="110" spans="1:36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49"/>
    </row>
    <row r="111" spans="1:36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49"/>
    </row>
    <row r="112" spans="1:36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49"/>
    </row>
    <row r="113" spans="1:38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49"/>
    </row>
    <row r="114" spans="1:38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49"/>
    </row>
    <row r="115" spans="1:38" ht="13.15" customHeight="1" x14ac:dyDescent="0.4">
      <c r="A115" s="6" t="s">
        <v>26</v>
      </c>
      <c r="B115" s="67" t="s">
        <v>51</v>
      </c>
      <c r="C115" s="68"/>
      <c r="D115" s="69"/>
      <c r="E115" s="5">
        <f t="shared" ref="E115:AJ115" si="47">SUM(E105:E114)</f>
        <v>0</v>
      </c>
      <c r="F115" s="5">
        <f t="shared" si="47"/>
        <v>0</v>
      </c>
      <c r="G115" s="5">
        <f t="shared" si="47"/>
        <v>0</v>
      </c>
      <c r="H115" s="5">
        <f t="shared" si="47"/>
        <v>0</v>
      </c>
      <c r="I115" s="5">
        <f t="shared" si="47"/>
        <v>0</v>
      </c>
      <c r="J115" s="5">
        <f t="shared" si="47"/>
        <v>1</v>
      </c>
      <c r="K115" s="5">
        <f t="shared" si="47"/>
        <v>1</v>
      </c>
      <c r="L115" s="5">
        <f t="shared" si="47"/>
        <v>0</v>
      </c>
      <c r="M115" s="5">
        <f t="shared" si="47"/>
        <v>0</v>
      </c>
      <c r="N115" s="5">
        <f t="shared" si="47"/>
        <v>1</v>
      </c>
      <c r="O115" s="5">
        <f t="shared" si="47"/>
        <v>0</v>
      </c>
      <c r="P115" s="5">
        <f t="shared" si="47"/>
        <v>2</v>
      </c>
      <c r="Q115" s="5">
        <f t="shared" si="47"/>
        <v>1</v>
      </c>
      <c r="R115" s="5">
        <f t="shared" si="47"/>
        <v>1</v>
      </c>
      <c r="S115" s="5">
        <f t="shared" si="47"/>
        <v>2</v>
      </c>
      <c r="T115" s="5">
        <f t="shared" si="47"/>
        <v>2</v>
      </c>
      <c r="U115" s="5">
        <f t="shared" si="47"/>
        <v>4</v>
      </c>
      <c r="V115" s="5">
        <f t="shared" si="47"/>
        <v>1</v>
      </c>
      <c r="W115" s="5">
        <f t="shared" si="47"/>
        <v>0</v>
      </c>
      <c r="X115" s="5">
        <f t="shared" si="47"/>
        <v>0</v>
      </c>
      <c r="Y115" s="5">
        <f t="shared" si="47"/>
        <v>0</v>
      </c>
      <c r="Z115" s="5">
        <f t="shared" si="47"/>
        <v>1</v>
      </c>
      <c r="AA115" s="5">
        <f t="shared" si="47"/>
        <v>0</v>
      </c>
      <c r="AB115" s="5">
        <f t="shared" si="47"/>
        <v>1</v>
      </c>
      <c r="AC115" s="5">
        <f t="shared" si="47"/>
        <v>0</v>
      </c>
      <c r="AD115" s="5">
        <f t="shared" si="47"/>
        <v>0</v>
      </c>
      <c r="AE115" s="5">
        <f t="shared" si="47"/>
        <v>0</v>
      </c>
      <c r="AF115" s="5">
        <f t="shared" si="47"/>
        <v>1</v>
      </c>
      <c r="AG115" s="5">
        <f t="shared" si="47"/>
        <v>0</v>
      </c>
      <c r="AH115" s="5">
        <f t="shared" si="47"/>
        <v>0</v>
      </c>
      <c r="AI115" s="5">
        <f t="shared" si="47"/>
        <v>0</v>
      </c>
      <c r="AJ115" s="5">
        <f t="shared" si="47"/>
        <v>19</v>
      </c>
    </row>
    <row r="116" spans="1:38" x14ac:dyDescent="0.4">
      <c r="A116" s="70"/>
      <c r="B116" s="71"/>
      <c r="C116" s="71"/>
      <c r="D116" s="71"/>
      <c r="E116" s="7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5"/>
    </row>
    <row r="117" spans="1:38" x14ac:dyDescent="0.4">
      <c r="A117" s="11" t="s">
        <v>48</v>
      </c>
      <c r="B117" s="17" t="s">
        <v>59</v>
      </c>
      <c r="C117" s="73" t="s">
        <v>60</v>
      </c>
      <c r="D117" s="74"/>
      <c r="E117" s="6">
        <v>2</v>
      </c>
      <c r="F117" s="6">
        <v>0</v>
      </c>
      <c r="G117" s="6">
        <v>1</v>
      </c>
      <c r="H117" s="6">
        <v>4</v>
      </c>
      <c r="I117" s="6">
        <v>0</v>
      </c>
      <c r="J117" s="6">
        <v>2</v>
      </c>
      <c r="K117" s="6">
        <v>2</v>
      </c>
      <c r="L117" s="6">
        <v>0</v>
      </c>
      <c r="M117" s="6">
        <v>0</v>
      </c>
      <c r="N117" s="6">
        <v>4</v>
      </c>
      <c r="O117" s="6">
        <v>2</v>
      </c>
      <c r="P117" s="6">
        <v>0</v>
      </c>
      <c r="Q117" s="6">
        <v>0</v>
      </c>
      <c r="R117" s="6">
        <v>1</v>
      </c>
      <c r="S117" s="6">
        <v>0</v>
      </c>
      <c r="T117" s="6">
        <v>0</v>
      </c>
      <c r="U117" s="6">
        <v>2</v>
      </c>
      <c r="V117" s="6">
        <v>1</v>
      </c>
      <c r="W117" s="6">
        <v>3</v>
      </c>
      <c r="X117" s="6">
        <v>2</v>
      </c>
      <c r="Y117" s="6">
        <v>0</v>
      </c>
      <c r="Z117" s="6">
        <v>3</v>
      </c>
      <c r="AA117" s="6">
        <v>3</v>
      </c>
      <c r="AB117" s="6">
        <v>0</v>
      </c>
      <c r="AC117" s="6">
        <v>0</v>
      </c>
      <c r="AD117" s="6">
        <v>1</v>
      </c>
      <c r="AE117" s="6">
        <v>0</v>
      </c>
      <c r="AF117" s="6">
        <v>0</v>
      </c>
      <c r="AG117" s="6">
        <v>0</v>
      </c>
      <c r="AH117" s="6">
        <v>0</v>
      </c>
      <c r="AI117" s="6"/>
      <c r="AJ117" s="5">
        <f t="shared" ref="AJ117:AJ122" si="48">SUM(E117:AI117)</f>
        <v>33</v>
      </c>
      <c r="AK117" s="20"/>
      <c r="AL117" s="20"/>
    </row>
    <row r="118" spans="1:38" x14ac:dyDescent="0.4">
      <c r="A118" s="11" t="s">
        <v>50</v>
      </c>
      <c r="B118" s="52"/>
      <c r="C118" s="24" t="s">
        <v>169</v>
      </c>
      <c r="D118" s="50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2</v>
      </c>
      <c r="S118" s="6">
        <v>1</v>
      </c>
      <c r="T118" s="6">
        <v>0</v>
      </c>
      <c r="U118" s="6">
        <v>0</v>
      </c>
      <c r="V118" s="6">
        <v>1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1</v>
      </c>
      <c r="AC118" s="6">
        <v>0</v>
      </c>
      <c r="AD118" s="6">
        <v>0</v>
      </c>
      <c r="AE118" s="6">
        <v>0</v>
      </c>
      <c r="AF118" s="6">
        <v>1</v>
      </c>
      <c r="AG118" s="6">
        <v>0</v>
      </c>
      <c r="AH118" s="6">
        <v>1</v>
      </c>
      <c r="AI118" s="6">
        <v>1</v>
      </c>
      <c r="AJ118" s="5">
        <f t="shared" si="48"/>
        <v>11</v>
      </c>
      <c r="AK118" s="20"/>
      <c r="AL118" s="20"/>
    </row>
    <row r="119" spans="1:38" x14ac:dyDescent="0.4">
      <c r="A119" s="7"/>
      <c r="B119" s="52"/>
      <c r="C119" s="24" t="s">
        <v>170</v>
      </c>
      <c r="D119" s="50"/>
      <c r="E119" s="6">
        <v>1</v>
      </c>
      <c r="F119" s="6">
        <v>0</v>
      </c>
      <c r="G119" s="6">
        <v>0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1</v>
      </c>
      <c r="AJ119" s="5">
        <f t="shared" si="48"/>
        <v>4</v>
      </c>
      <c r="AK119" s="20"/>
      <c r="AL119" s="20"/>
    </row>
    <row r="120" spans="1:38" x14ac:dyDescent="0.4">
      <c r="A120" s="7"/>
      <c r="B120" s="52"/>
      <c r="C120" s="24" t="s">
        <v>171</v>
      </c>
      <c r="D120" s="50"/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>
        <v>0</v>
      </c>
      <c r="O120" s="6">
        <v>1</v>
      </c>
      <c r="P120" s="6">
        <v>1</v>
      </c>
      <c r="Q120" s="6">
        <v>0</v>
      </c>
      <c r="R120" s="6">
        <v>0</v>
      </c>
      <c r="S120" s="6">
        <v>0</v>
      </c>
      <c r="T120" s="6">
        <v>0</v>
      </c>
      <c r="U120" s="6">
        <v>1</v>
      </c>
      <c r="V120" s="6">
        <v>0</v>
      </c>
      <c r="W120" s="6">
        <v>0</v>
      </c>
      <c r="X120" s="6">
        <v>1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/>
      <c r="AJ120" s="5">
        <f t="shared" si="48"/>
        <v>6</v>
      </c>
      <c r="AK120" s="20"/>
      <c r="AL120" s="20"/>
    </row>
    <row r="121" spans="1:38" x14ac:dyDescent="0.4">
      <c r="A121" s="7"/>
      <c r="B121" s="52"/>
      <c r="C121" s="24" t="s">
        <v>172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1</v>
      </c>
      <c r="AG121" s="6">
        <v>0</v>
      </c>
      <c r="AH121" s="6">
        <v>0</v>
      </c>
      <c r="AI121" s="6"/>
      <c r="AJ121" s="5">
        <f t="shared" si="48"/>
        <v>1</v>
      </c>
      <c r="AK121" s="20"/>
      <c r="AL121" s="20"/>
    </row>
    <row r="122" spans="1:38" x14ac:dyDescent="0.4">
      <c r="A122" s="7"/>
      <c r="B122" s="52"/>
      <c r="C122" s="24" t="s">
        <v>173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1</v>
      </c>
      <c r="AJ122" s="5">
        <f t="shared" si="48"/>
        <v>3</v>
      </c>
      <c r="AK122" s="20"/>
      <c r="AL122" s="20"/>
    </row>
    <row r="123" spans="1:38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49"/>
      <c r="AK123" s="20"/>
      <c r="AL123" s="20"/>
    </row>
    <row r="124" spans="1:38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49"/>
      <c r="AK124" s="20"/>
      <c r="AL124" s="20"/>
    </row>
    <row r="125" spans="1:38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49"/>
      <c r="AK125" s="20"/>
      <c r="AL125" s="20"/>
    </row>
    <row r="126" spans="1:38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49"/>
      <c r="AK126" s="20"/>
      <c r="AL126" s="20"/>
    </row>
    <row r="127" spans="1:38" x14ac:dyDescent="0.4">
      <c r="A127" s="6" t="s">
        <v>26</v>
      </c>
      <c r="B127" s="67" t="s">
        <v>51</v>
      </c>
      <c r="C127" s="68"/>
      <c r="D127" s="69"/>
      <c r="E127" s="5">
        <f t="shared" ref="E127:AJ127" si="49">SUM(E117:E126)</f>
        <v>4</v>
      </c>
      <c r="F127" s="5">
        <f t="shared" si="49"/>
        <v>1</v>
      </c>
      <c r="G127" s="5">
        <f t="shared" si="49"/>
        <v>1</v>
      </c>
      <c r="H127" s="5">
        <f t="shared" si="49"/>
        <v>4</v>
      </c>
      <c r="I127" s="5">
        <f t="shared" si="49"/>
        <v>2</v>
      </c>
      <c r="J127" s="5">
        <f t="shared" si="49"/>
        <v>2</v>
      </c>
      <c r="K127" s="5">
        <f t="shared" si="49"/>
        <v>3</v>
      </c>
      <c r="L127" s="5">
        <f t="shared" si="49"/>
        <v>0</v>
      </c>
      <c r="M127" s="5">
        <f t="shared" si="49"/>
        <v>1</v>
      </c>
      <c r="N127" s="5">
        <f t="shared" si="49"/>
        <v>4</v>
      </c>
      <c r="O127" s="5">
        <f t="shared" si="49"/>
        <v>4</v>
      </c>
      <c r="P127" s="5">
        <f t="shared" si="49"/>
        <v>1</v>
      </c>
      <c r="Q127" s="5">
        <f t="shared" si="49"/>
        <v>1</v>
      </c>
      <c r="R127" s="5">
        <f t="shared" si="49"/>
        <v>3</v>
      </c>
      <c r="S127" s="5">
        <f t="shared" si="49"/>
        <v>1</v>
      </c>
      <c r="T127" s="5">
        <f t="shared" si="49"/>
        <v>0</v>
      </c>
      <c r="U127" s="5">
        <f t="shared" si="49"/>
        <v>3</v>
      </c>
      <c r="V127" s="5">
        <f t="shared" si="49"/>
        <v>2</v>
      </c>
      <c r="W127" s="5">
        <f t="shared" si="49"/>
        <v>4</v>
      </c>
      <c r="X127" s="5">
        <f t="shared" si="49"/>
        <v>3</v>
      </c>
      <c r="Y127" s="5">
        <f t="shared" si="49"/>
        <v>0</v>
      </c>
      <c r="Z127" s="5">
        <f t="shared" si="49"/>
        <v>3</v>
      </c>
      <c r="AA127" s="5">
        <f t="shared" si="49"/>
        <v>3</v>
      </c>
      <c r="AB127" s="5">
        <f t="shared" si="49"/>
        <v>1</v>
      </c>
      <c r="AC127" s="5">
        <f t="shared" si="49"/>
        <v>0</v>
      </c>
      <c r="AD127" s="5">
        <f t="shared" si="49"/>
        <v>1</v>
      </c>
      <c r="AE127" s="5">
        <f t="shared" si="49"/>
        <v>0</v>
      </c>
      <c r="AF127" s="5">
        <f t="shared" si="49"/>
        <v>2</v>
      </c>
      <c r="AG127" s="5">
        <f t="shared" si="49"/>
        <v>0</v>
      </c>
      <c r="AH127" s="5">
        <f t="shared" si="49"/>
        <v>1</v>
      </c>
      <c r="AI127" s="5">
        <f t="shared" si="49"/>
        <v>3</v>
      </c>
      <c r="AJ127" s="5">
        <f t="shared" si="49"/>
        <v>58</v>
      </c>
      <c r="AK127" s="20"/>
      <c r="AL127" s="20"/>
    </row>
    <row r="128" spans="1:38" x14ac:dyDescent="0.4">
      <c r="A128" s="70"/>
      <c r="B128" s="71"/>
      <c r="C128" s="71"/>
      <c r="D128" s="71"/>
      <c r="E128" s="7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20"/>
      <c r="AL128" s="20"/>
    </row>
    <row r="129" spans="1:38" x14ac:dyDescent="0.4">
      <c r="A129" s="11" t="s">
        <v>48</v>
      </c>
      <c r="B129" s="17" t="s">
        <v>61</v>
      </c>
      <c r="C129" s="73" t="s">
        <v>62</v>
      </c>
      <c r="D129" s="74"/>
      <c r="E129" s="6">
        <v>2</v>
      </c>
      <c r="F129" s="6">
        <v>1</v>
      </c>
      <c r="G129" s="6">
        <v>0</v>
      </c>
      <c r="H129" s="6">
        <v>2</v>
      </c>
      <c r="I129" s="6">
        <v>0</v>
      </c>
      <c r="J129" s="6">
        <v>1</v>
      </c>
      <c r="K129" s="6">
        <v>0</v>
      </c>
      <c r="L129" s="6">
        <v>3</v>
      </c>
      <c r="M129" s="6">
        <v>2</v>
      </c>
      <c r="N129" s="6">
        <v>3</v>
      </c>
      <c r="O129" s="6">
        <v>2</v>
      </c>
      <c r="P129" s="6">
        <v>3</v>
      </c>
      <c r="Q129" s="6">
        <v>2</v>
      </c>
      <c r="R129" s="6">
        <v>1</v>
      </c>
      <c r="S129" s="6">
        <v>2</v>
      </c>
      <c r="T129" s="6">
        <v>3</v>
      </c>
      <c r="U129" s="6">
        <v>2</v>
      </c>
      <c r="V129" s="6">
        <v>3</v>
      </c>
      <c r="W129" s="6">
        <v>1</v>
      </c>
      <c r="X129" s="6">
        <v>1</v>
      </c>
      <c r="Y129" s="6">
        <v>0</v>
      </c>
      <c r="Z129" s="6">
        <v>1</v>
      </c>
      <c r="AA129" s="6">
        <v>2</v>
      </c>
      <c r="AB129" s="6">
        <v>3</v>
      </c>
      <c r="AC129" s="6">
        <v>1</v>
      </c>
      <c r="AD129" s="6">
        <v>1</v>
      </c>
      <c r="AE129" s="6">
        <v>0</v>
      </c>
      <c r="AF129" s="6">
        <v>1</v>
      </c>
      <c r="AG129" s="6">
        <v>1</v>
      </c>
      <c r="AH129" s="6">
        <v>0</v>
      </c>
      <c r="AI129" s="6">
        <v>1</v>
      </c>
      <c r="AJ129" s="5">
        <f t="shared" ref="AJ129:AJ139" si="50">SUM(E129:AI129)</f>
        <v>45</v>
      </c>
      <c r="AK129" s="20"/>
      <c r="AL129" s="20"/>
    </row>
    <row r="130" spans="1:38" ht="13.15" customHeight="1" x14ac:dyDescent="0.4">
      <c r="A130" s="11" t="s">
        <v>50</v>
      </c>
      <c r="B130" s="52"/>
      <c r="C130" s="24" t="s">
        <v>174</v>
      </c>
      <c r="D130" s="53"/>
      <c r="E130" s="6">
        <v>1</v>
      </c>
      <c r="F130" s="6">
        <v>0</v>
      </c>
      <c r="G130" s="6">
        <v>0</v>
      </c>
      <c r="H130" s="6">
        <v>3</v>
      </c>
      <c r="I130" s="6">
        <v>3</v>
      </c>
      <c r="J130" s="6">
        <v>1</v>
      </c>
      <c r="K130" s="6">
        <v>2</v>
      </c>
      <c r="L130" s="6">
        <v>1</v>
      </c>
      <c r="M130" s="6">
        <v>0</v>
      </c>
      <c r="N130" s="6">
        <v>2</v>
      </c>
      <c r="O130" s="6">
        <v>1</v>
      </c>
      <c r="P130" s="6">
        <v>1</v>
      </c>
      <c r="Q130" s="6">
        <v>3</v>
      </c>
      <c r="R130" s="6">
        <v>1</v>
      </c>
      <c r="S130" s="6">
        <v>6</v>
      </c>
      <c r="T130" s="6">
        <v>3</v>
      </c>
      <c r="U130" s="6">
        <v>3</v>
      </c>
      <c r="V130" s="6">
        <v>3</v>
      </c>
      <c r="W130" s="6">
        <v>1</v>
      </c>
      <c r="X130" s="6">
        <v>5</v>
      </c>
      <c r="Y130" s="6">
        <v>2</v>
      </c>
      <c r="Z130" s="6">
        <v>5</v>
      </c>
      <c r="AA130" s="6">
        <v>3</v>
      </c>
      <c r="AB130" s="6">
        <v>5</v>
      </c>
      <c r="AC130" s="6">
        <v>2</v>
      </c>
      <c r="AD130" s="6">
        <v>1</v>
      </c>
      <c r="AE130" s="6">
        <v>0</v>
      </c>
      <c r="AF130" s="6">
        <v>6</v>
      </c>
      <c r="AG130" s="6">
        <v>8</v>
      </c>
      <c r="AH130" s="6">
        <v>1</v>
      </c>
      <c r="AI130" s="6">
        <v>4</v>
      </c>
      <c r="AJ130" s="5">
        <f t="shared" si="50"/>
        <v>77</v>
      </c>
      <c r="AK130" s="1"/>
      <c r="AL130" s="1"/>
    </row>
    <row r="131" spans="1:38" x14ac:dyDescent="0.4">
      <c r="A131" s="7"/>
      <c r="B131" s="52"/>
      <c r="C131" s="24" t="s">
        <v>175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2</v>
      </c>
      <c r="J131" s="6">
        <v>0</v>
      </c>
      <c r="K131" s="6">
        <v>3</v>
      </c>
      <c r="L131" s="6">
        <v>1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1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1</v>
      </c>
      <c r="AA131" s="6">
        <v>1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1</v>
      </c>
      <c r="AH131" s="6">
        <v>0</v>
      </c>
      <c r="AI131" s="6">
        <v>1</v>
      </c>
      <c r="AJ131" s="5">
        <f t="shared" si="50"/>
        <v>12</v>
      </c>
      <c r="AK131" s="27"/>
      <c r="AL131" s="27"/>
    </row>
    <row r="132" spans="1:38" x14ac:dyDescent="0.4">
      <c r="A132" s="7"/>
      <c r="B132" s="52"/>
      <c r="C132" s="24" t="s">
        <v>176</v>
      </c>
      <c r="D132" s="53"/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1</v>
      </c>
      <c r="M132" s="6">
        <v>0</v>
      </c>
      <c r="N132" s="6">
        <v>1</v>
      </c>
      <c r="O132" s="6">
        <v>0</v>
      </c>
      <c r="P132" s="6">
        <v>1</v>
      </c>
      <c r="Q132" s="6">
        <v>1</v>
      </c>
      <c r="R132" s="6">
        <v>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1</v>
      </c>
      <c r="AB132" s="6">
        <v>1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1</v>
      </c>
      <c r="AI132" s="6">
        <v>1</v>
      </c>
      <c r="AJ132" s="5">
        <f t="shared" si="50"/>
        <v>10</v>
      </c>
      <c r="AK132" s="20"/>
      <c r="AL132" s="20"/>
    </row>
    <row r="133" spans="1:38" x14ac:dyDescent="0.4">
      <c r="A133" s="7"/>
      <c r="B133" s="52"/>
      <c r="C133" s="24" t="s">
        <v>177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1</v>
      </c>
      <c r="P133" s="6">
        <v>0</v>
      </c>
      <c r="Q133" s="6">
        <v>0</v>
      </c>
      <c r="R133" s="6">
        <v>0</v>
      </c>
      <c r="S133" s="6">
        <v>0</v>
      </c>
      <c r="T133" s="6">
        <v>1</v>
      </c>
      <c r="U133" s="6">
        <v>0</v>
      </c>
      <c r="V133" s="6">
        <v>1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1</v>
      </c>
      <c r="AC133" s="6">
        <v>0</v>
      </c>
      <c r="AD133" s="6">
        <v>0</v>
      </c>
      <c r="AE133" s="6">
        <v>0</v>
      </c>
      <c r="AF133" s="6">
        <v>1</v>
      </c>
      <c r="AG133" s="6">
        <v>2</v>
      </c>
      <c r="AH133" s="6">
        <v>1</v>
      </c>
      <c r="AI133" s="6">
        <v>1</v>
      </c>
      <c r="AJ133" s="5">
        <f t="shared" si="50"/>
        <v>9</v>
      </c>
      <c r="AK133" s="20"/>
      <c r="AL133" s="20"/>
    </row>
    <row r="134" spans="1:38" x14ac:dyDescent="0.4">
      <c r="A134" s="7"/>
      <c r="B134" s="52"/>
      <c r="C134" s="24" t="s">
        <v>178</v>
      </c>
      <c r="D134" s="53"/>
      <c r="E134" s="6">
        <v>0</v>
      </c>
      <c r="F134" s="6">
        <v>0</v>
      </c>
      <c r="G134" s="6">
        <v>0</v>
      </c>
      <c r="H134" s="6">
        <v>2</v>
      </c>
      <c r="I134" s="6">
        <v>1</v>
      </c>
      <c r="J134" s="6">
        <v>0</v>
      </c>
      <c r="K134" s="6">
        <v>1</v>
      </c>
      <c r="L134" s="6">
        <v>0</v>
      </c>
      <c r="M134" s="6">
        <v>2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2</v>
      </c>
      <c r="T134" s="6">
        <v>0</v>
      </c>
      <c r="U134" s="6">
        <v>0</v>
      </c>
      <c r="V134" s="6">
        <v>0</v>
      </c>
      <c r="W134" s="6">
        <v>0</v>
      </c>
      <c r="X134" s="6">
        <v>1</v>
      </c>
      <c r="Y134" s="6">
        <v>0</v>
      </c>
      <c r="Z134" s="6">
        <v>1</v>
      </c>
      <c r="AA134" s="6">
        <v>0</v>
      </c>
      <c r="AB134" s="6">
        <v>0</v>
      </c>
      <c r="AC134" s="6">
        <v>0</v>
      </c>
      <c r="AD134" s="6">
        <v>1</v>
      </c>
      <c r="AE134" s="6">
        <v>0</v>
      </c>
      <c r="AF134" s="6">
        <v>4</v>
      </c>
      <c r="AG134" s="6">
        <v>0</v>
      </c>
      <c r="AH134" s="6">
        <v>0</v>
      </c>
      <c r="AI134" s="6">
        <v>1</v>
      </c>
      <c r="AJ134" s="5">
        <f t="shared" si="50"/>
        <v>16</v>
      </c>
      <c r="AK134" s="20"/>
      <c r="AL134" s="20"/>
    </row>
    <row r="135" spans="1:38" x14ac:dyDescent="0.4">
      <c r="A135" s="7"/>
      <c r="B135" s="52"/>
      <c r="C135" s="24" t="s">
        <v>179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1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1</v>
      </c>
      <c r="V135" s="6">
        <v>1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1</v>
      </c>
      <c r="AC135" s="6">
        <v>0</v>
      </c>
      <c r="AD135" s="6">
        <v>0</v>
      </c>
      <c r="AE135" s="6">
        <v>0</v>
      </c>
      <c r="AF135" s="6">
        <v>2</v>
      </c>
      <c r="AG135" s="6">
        <v>2</v>
      </c>
      <c r="AH135" s="6">
        <v>0</v>
      </c>
      <c r="AI135" s="6"/>
      <c r="AJ135" s="5">
        <f t="shared" si="50"/>
        <v>8</v>
      </c>
      <c r="AK135" s="20"/>
      <c r="AL135" s="20"/>
    </row>
    <row r="136" spans="1:38" x14ac:dyDescent="0.4">
      <c r="A136" s="7"/>
      <c r="B136" s="52"/>
      <c r="C136" s="24" t="s">
        <v>180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1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1</v>
      </c>
      <c r="X136" s="6">
        <v>1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/>
      <c r="AJ136" s="5">
        <f t="shared" si="50"/>
        <v>3</v>
      </c>
      <c r="AK136" s="20"/>
      <c r="AL136" s="20"/>
    </row>
    <row r="137" spans="1:38" x14ac:dyDescent="0.4">
      <c r="A137" s="7"/>
      <c r="B137" s="52"/>
      <c r="C137" s="24" t="s">
        <v>181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1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2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1</v>
      </c>
      <c r="AJ137" s="5">
        <f t="shared" si="50"/>
        <v>4</v>
      </c>
      <c r="AK137" s="20"/>
      <c r="AL137" s="20"/>
    </row>
    <row r="138" spans="1:38" x14ac:dyDescent="0.4">
      <c r="A138" s="7"/>
      <c r="B138" s="52"/>
      <c r="C138" s="24" t="s">
        <v>182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1</v>
      </c>
      <c r="Y138" s="6">
        <v>0</v>
      </c>
      <c r="Z138" s="6">
        <v>0</v>
      </c>
      <c r="AA138" s="6">
        <v>0</v>
      </c>
      <c r="AB138" s="6">
        <v>1</v>
      </c>
      <c r="AC138" s="6">
        <v>0</v>
      </c>
      <c r="AD138" s="6">
        <v>0</v>
      </c>
      <c r="AE138" s="6">
        <v>0</v>
      </c>
      <c r="AF138" s="6">
        <v>0</v>
      </c>
      <c r="AG138" s="6">
        <v>1</v>
      </c>
      <c r="AH138" s="6">
        <v>0</v>
      </c>
      <c r="AI138" s="6"/>
      <c r="AJ138" s="5">
        <f t="shared" si="50"/>
        <v>4</v>
      </c>
      <c r="AK138" s="20"/>
      <c r="AL138" s="20"/>
    </row>
    <row r="139" spans="1:38" x14ac:dyDescent="0.4">
      <c r="A139" s="6" t="s">
        <v>26</v>
      </c>
      <c r="B139" s="67" t="s">
        <v>51</v>
      </c>
      <c r="C139" s="68"/>
      <c r="D139" s="69"/>
      <c r="E139" s="5">
        <f t="shared" ref="E139:AJ139" si="51">SUM(E129:E138)</f>
        <v>3</v>
      </c>
      <c r="F139" s="5">
        <f t="shared" si="51"/>
        <v>1</v>
      </c>
      <c r="G139" s="5">
        <f t="shared" si="51"/>
        <v>0</v>
      </c>
      <c r="H139" s="5">
        <f t="shared" si="51"/>
        <v>8</v>
      </c>
      <c r="I139" s="5">
        <f t="shared" si="51"/>
        <v>6</v>
      </c>
      <c r="J139" s="5">
        <f t="shared" si="51"/>
        <v>3</v>
      </c>
      <c r="K139" s="5">
        <f t="shared" si="51"/>
        <v>6</v>
      </c>
      <c r="L139" s="5">
        <f t="shared" si="51"/>
        <v>6</v>
      </c>
      <c r="M139" s="5">
        <f t="shared" si="51"/>
        <v>5</v>
      </c>
      <c r="N139" s="5">
        <f t="shared" si="51"/>
        <v>7</v>
      </c>
      <c r="O139" s="5">
        <f t="shared" si="51"/>
        <v>4</v>
      </c>
      <c r="P139" s="5">
        <f t="shared" si="51"/>
        <v>5</v>
      </c>
      <c r="Q139" s="5">
        <f t="shared" si="51"/>
        <v>7</v>
      </c>
      <c r="R139" s="5">
        <f t="shared" si="51"/>
        <v>5</v>
      </c>
      <c r="S139" s="5">
        <f t="shared" si="51"/>
        <v>10</v>
      </c>
      <c r="T139" s="5">
        <f t="shared" si="51"/>
        <v>7</v>
      </c>
      <c r="U139" s="5">
        <f t="shared" si="51"/>
        <v>6</v>
      </c>
      <c r="V139" s="5">
        <f t="shared" si="51"/>
        <v>8</v>
      </c>
      <c r="W139" s="5">
        <f t="shared" si="51"/>
        <v>3</v>
      </c>
      <c r="X139" s="5">
        <f t="shared" si="51"/>
        <v>9</v>
      </c>
      <c r="Y139" s="5">
        <f t="shared" si="51"/>
        <v>2</v>
      </c>
      <c r="Z139" s="5">
        <f t="shared" si="51"/>
        <v>10</v>
      </c>
      <c r="AA139" s="5">
        <f t="shared" si="51"/>
        <v>7</v>
      </c>
      <c r="AB139" s="5">
        <f t="shared" si="51"/>
        <v>12</v>
      </c>
      <c r="AC139" s="5">
        <f t="shared" si="51"/>
        <v>3</v>
      </c>
      <c r="AD139" s="5">
        <f t="shared" si="51"/>
        <v>3</v>
      </c>
      <c r="AE139" s="5">
        <f t="shared" si="51"/>
        <v>0</v>
      </c>
      <c r="AF139" s="5">
        <f t="shared" si="51"/>
        <v>14</v>
      </c>
      <c r="AG139" s="5">
        <f t="shared" si="51"/>
        <v>15</v>
      </c>
      <c r="AH139" s="5">
        <f t="shared" si="51"/>
        <v>3</v>
      </c>
      <c r="AI139" s="5">
        <f t="shared" si="51"/>
        <v>10</v>
      </c>
      <c r="AJ139" s="5">
        <f t="shared" si="51"/>
        <v>188</v>
      </c>
      <c r="AK139" s="20"/>
      <c r="AL139" s="20"/>
    </row>
    <row r="140" spans="1:38" x14ac:dyDescent="0.4">
      <c r="A140" s="70"/>
      <c r="B140" s="71"/>
      <c r="C140" s="71"/>
      <c r="D140" s="71"/>
      <c r="E140" s="72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20"/>
      <c r="AL140" s="20"/>
    </row>
    <row r="141" spans="1:38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1</v>
      </c>
      <c r="F141" s="6"/>
      <c r="G141" s="6"/>
      <c r="H141" s="6"/>
      <c r="I141" s="6"/>
      <c r="J141" s="6"/>
      <c r="K141" s="6"/>
      <c r="L141" s="6">
        <v>2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>
        <v>1</v>
      </c>
      <c r="AI141" s="6"/>
      <c r="AJ141" s="5">
        <f>SUM(E141:AI141)</f>
        <v>4</v>
      </c>
      <c r="AK141" s="1"/>
      <c r="AL141" s="1"/>
    </row>
    <row r="142" spans="1:38" x14ac:dyDescent="0.4">
      <c r="A142" s="11" t="s">
        <v>50</v>
      </c>
      <c r="B142" s="52"/>
      <c r="C142" s="24" t="s">
        <v>183</v>
      </c>
      <c r="D142" s="50"/>
      <c r="E142" s="6"/>
      <c r="F142" s="6"/>
      <c r="G142" s="6"/>
      <c r="H142" s="6"/>
      <c r="I142" s="6"/>
      <c r="J142" s="6">
        <v>1</v>
      </c>
      <c r="K142" s="6"/>
      <c r="L142" s="6"/>
      <c r="M142" s="6"/>
      <c r="N142" s="6"/>
      <c r="O142" s="6"/>
      <c r="P142" s="6">
        <v>2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5">
        <f>SUM(E142:AI142)</f>
        <v>3</v>
      </c>
      <c r="AK142" s="27"/>
      <c r="AL142" s="27"/>
    </row>
    <row r="143" spans="1:38" x14ac:dyDescent="0.4">
      <c r="A143" s="7"/>
      <c r="B143" s="52"/>
      <c r="C143" s="24" t="s">
        <v>184</v>
      </c>
      <c r="D143" s="50"/>
      <c r="E143" s="6">
        <v>1</v>
      </c>
      <c r="F143" s="6"/>
      <c r="G143" s="6"/>
      <c r="H143" s="6"/>
      <c r="I143" s="6"/>
      <c r="J143" s="6"/>
      <c r="K143" s="6"/>
      <c r="L143" s="6"/>
      <c r="M143" s="6"/>
      <c r="N143" s="6">
        <v>1</v>
      </c>
      <c r="O143" s="6"/>
      <c r="P143" s="6"/>
      <c r="Q143" s="6"/>
      <c r="R143" s="6">
        <v>1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5">
        <f>SUM(E143:AI143)</f>
        <v>3</v>
      </c>
      <c r="AK143" s="20"/>
      <c r="AL143" s="20"/>
    </row>
    <row r="144" spans="1:38" x14ac:dyDescent="0.4">
      <c r="A144" s="7"/>
      <c r="B144" s="52"/>
      <c r="C144" s="24" t="s">
        <v>185</v>
      </c>
      <c r="D144" s="5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>
        <v>1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5">
        <f>SUM(E144:AI144)</f>
        <v>1</v>
      </c>
      <c r="AK144" s="20"/>
      <c r="AL144" s="20"/>
    </row>
    <row r="145" spans="1:38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49"/>
      <c r="AK145" s="20"/>
      <c r="AL145" s="20"/>
    </row>
    <row r="146" spans="1:38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49"/>
      <c r="AK146" s="20"/>
      <c r="AL146" s="20"/>
    </row>
    <row r="147" spans="1:38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49"/>
      <c r="AK147" s="20"/>
      <c r="AL147" s="20"/>
    </row>
    <row r="148" spans="1:38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49"/>
      <c r="AK148" s="20"/>
      <c r="AL148" s="20"/>
    </row>
    <row r="149" spans="1:38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49"/>
      <c r="AK149" s="20"/>
      <c r="AL149" s="20"/>
    </row>
    <row r="150" spans="1:38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49"/>
      <c r="AK150" s="20"/>
      <c r="AL150" s="20"/>
    </row>
    <row r="151" spans="1:38" ht="13.15" customHeight="1" x14ac:dyDescent="0.4">
      <c r="A151" s="6" t="s">
        <v>26</v>
      </c>
      <c r="B151" s="67" t="s">
        <v>51</v>
      </c>
      <c r="C151" s="68"/>
      <c r="D151" s="69"/>
      <c r="E151" s="5">
        <f t="shared" ref="E151:AJ151" si="52">SUM(E141:E150)</f>
        <v>2</v>
      </c>
      <c r="F151" s="5">
        <f t="shared" si="52"/>
        <v>0</v>
      </c>
      <c r="G151" s="5">
        <f t="shared" si="52"/>
        <v>0</v>
      </c>
      <c r="H151" s="5">
        <f t="shared" si="52"/>
        <v>0</v>
      </c>
      <c r="I151" s="5">
        <f t="shared" si="52"/>
        <v>0</v>
      </c>
      <c r="J151" s="5">
        <f t="shared" si="52"/>
        <v>1</v>
      </c>
      <c r="K151" s="5">
        <f t="shared" si="52"/>
        <v>0</v>
      </c>
      <c r="L151" s="5">
        <f t="shared" si="52"/>
        <v>2</v>
      </c>
      <c r="M151" s="5">
        <f t="shared" si="52"/>
        <v>0</v>
      </c>
      <c r="N151" s="5">
        <f t="shared" si="52"/>
        <v>1</v>
      </c>
      <c r="O151" s="5">
        <f t="shared" si="52"/>
        <v>0</v>
      </c>
      <c r="P151" s="5">
        <f t="shared" si="52"/>
        <v>3</v>
      </c>
      <c r="Q151" s="5">
        <f t="shared" si="52"/>
        <v>0</v>
      </c>
      <c r="R151" s="5">
        <f t="shared" si="52"/>
        <v>1</v>
      </c>
      <c r="S151" s="5">
        <f t="shared" si="52"/>
        <v>0</v>
      </c>
      <c r="T151" s="5">
        <f t="shared" si="52"/>
        <v>0</v>
      </c>
      <c r="U151" s="5">
        <f t="shared" si="52"/>
        <v>0</v>
      </c>
      <c r="V151" s="5">
        <f t="shared" si="52"/>
        <v>0</v>
      </c>
      <c r="W151" s="5">
        <f t="shared" si="52"/>
        <v>0</v>
      </c>
      <c r="X151" s="5">
        <f t="shared" si="52"/>
        <v>0</v>
      </c>
      <c r="Y151" s="5">
        <f t="shared" si="52"/>
        <v>0</v>
      </c>
      <c r="Z151" s="5">
        <f t="shared" si="52"/>
        <v>0</v>
      </c>
      <c r="AA151" s="5">
        <f t="shared" si="52"/>
        <v>0</v>
      </c>
      <c r="AB151" s="5">
        <f t="shared" si="52"/>
        <v>0</v>
      </c>
      <c r="AC151" s="5">
        <f t="shared" si="52"/>
        <v>0</v>
      </c>
      <c r="AD151" s="5">
        <f t="shared" si="52"/>
        <v>0</v>
      </c>
      <c r="AE151" s="5">
        <f t="shared" si="52"/>
        <v>0</v>
      </c>
      <c r="AF151" s="5">
        <f t="shared" si="52"/>
        <v>0</v>
      </c>
      <c r="AG151" s="5">
        <f t="shared" si="52"/>
        <v>0</v>
      </c>
      <c r="AH151" s="5">
        <f t="shared" si="52"/>
        <v>1</v>
      </c>
      <c r="AI151" s="5">
        <f t="shared" si="52"/>
        <v>0</v>
      </c>
      <c r="AJ151" s="5">
        <f t="shared" si="52"/>
        <v>11</v>
      </c>
      <c r="AK151" s="1"/>
      <c r="AL151" s="1"/>
    </row>
    <row r="152" spans="1:38" x14ac:dyDescent="0.4">
      <c r="A152" s="70"/>
      <c r="B152" s="71"/>
      <c r="C152" s="71"/>
      <c r="D152" s="71"/>
      <c r="E152" s="72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5"/>
      <c r="AK152" s="27"/>
      <c r="AL152" s="27"/>
    </row>
    <row r="153" spans="1:38" x14ac:dyDescent="0.4">
      <c r="A153" s="11" t="s">
        <v>48</v>
      </c>
      <c r="B153" s="44" t="s">
        <v>65</v>
      </c>
      <c r="C153" s="78" t="s">
        <v>66</v>
      </c>
      <c r="D153" s="79"/>
      <c r="E153" s="6">
        <v>1</v>
      </c>
      <c r="F153" s="6">
        <v>2</v>
      </c>
      <c r="G153" s="6"/>
      <c r="H153" s="6">
        <v>2</v>
      </c>
      <c r="I153" s="6"/>
      <c r="J153" s="6"/>
      <c r="K153" s="6"/>
      <c r="L153" s="6"/>
      <c r="M153" s="6">
        <v>2</v>
      </c>
      <c r="N153" s="6"/>
      <c r="O153" s="6">
        <v>2</v>
      </c>
      <c r="P153" s="6">
        <v>2</v>
      </c>
      <c r="Q153" s="6">
        <v>3</v>
      </c>
      <c r="R153" s="6">
        <v>3</v>
      </c>
      <c r="S153" s="6"/>
      <c r="T153" s="6">
        <v>1</v>
      </c>
      <c r="U153" s="6">
        <v>1</v>
      </c>
      <c r="V153" s="6"/>
      <c r="W153" s="6"/>
      <c r="X153" s="6"/>
      <c r="Y153" s="6"/>
      <c r="Z153" s="6"/>
      <c r="AA153" s="6"/>
      <c r="AB153" s="6">
        <v>1</v>
      </c>
      <c r="AC153" s="6"/>
      <c r="AD153" s="6">
        <v>1</v>
      </c>
      <c r="AE153" s="6">
        <v>1</v>
      </c>
      <c r="AF153" s="6"/>
      <c r="AG153" s="6"/>
      <c r="AH153" s="6"/>
      <c r="AI153" s="6"/>
      <c r="AJ153" s="5">
        <f t="shared" ref="AJ153:AJ162" si="53">SUM(E153:AI153)</f>
        <v>22</v>
      </c>
      <c r="AK153" s="20"/>
      <c r="AL153" s="20"/>
    </row>
    <row r="154" spans="1:38" x14ac:dyDescent="0.4">
      <c r="A154" s="54" t="s">
        <v>50</v>
      </c>
      <c r="B154" s="56"/>
      <c r="C154" s="24" t="s">
        <v>186</v>
      </c>
      <c r="D154" s="57"/>
      <c r="E154" s="55">
        <v>2</v>
      </c>
      <c r="F154" s="6">
        <v>1</v>
      </c>
      <c r="G154" s="6"/>
      <c r="H154" s="6">
        <v>1</v>
      </c>
      <c r="I154" s="6">
        <v>1</v>
      </c>
      <c r="J154" s="6">
        <v>2</v>
      </c>
      <c r="K154" s="6">
        <v>1</v>
      </c>
      <c r="L154" s="6"/>
      <c r="M154" s="6"/>
      <c r="N154" s="6">
        <v>1</v>
      </c>
      <c r="O154" s="6">
        <v>1</v>
      </c>
      <c r="P154" s="6"/>
      <c r="Q154" s="6"/>
      <c r="R154" s="6"/>
      <c r="S154" s="6">
        <v>1</v>
      </c>
      <c r="T154" s="6"/>
      <c r="U154" s="6">
        <v>2</v>
      </c>
      <c r="V154" s="6"/>
      <c r="W154" s="6"/>
      <c r="X154" s="6">
        <v>1</v>
      </c>
      <c r="Y154" s="6"/>
      <c r="Z154" s="6"/>
      <c r="AA154" s="6">
        <v>1</v>
      </c>
      <c r="AB154" s="6"/>
      <c r="AC154" s="6">
        <v>1</v>
      </c>
      <c r="AD154" s="6"/>
      <c r="AE154" s="6">
        <v>1</v>
      </c>
      <c r="AF154" s="6"/>
      <c r="AG154" s="6"/>
      <c r="AH154" s="6">
        <v>1</v>
      </c>
      <c r="AI154" s="6"/>
      <c r="AJ154" s="5">
        <f t="shared" si="53"/>
        <v>18</v>
      </c>
      <c r="AK154" s="20"/>
      <c r="AL154" s="20"/>
    </row>
    <row r="155" spans="1:38" x14ac:dyDescent="0.4">
      <c r="A155" s="7"/>
      <c r="B155" s="56"/>
      <c r="C155" s="24" t="s">
        <v>187</v>
      </c>
      <c r="D155" s="57"/>
      <c r="E155" s="55"/>
      <c r="F155" s="6"/>
      <c r="G155" s="6"/>
      <c r="H155" s="6"/>
      <c r="I155" s="6"/>
      <c r="J155" s="6"/>
      <c r="K155" s="6">
        <v>1</v>
      </c>
      <c r="L155" s="6">
        <v>2</v>
      </c>
      <c r="M155" s="6"/>
      <c r="N155" s="6"/>
      <c r="O155" s="6"/>
      <c r="P155" s="6"/>
      <c r="Q155" s="6"/>
      <c r="R155" s="6"/>
      <c r="S155" s="6"/>
      <c r="T155" s="6">
        <v>2</v>
      </c>
      <c r="U155" s="6"/>
      <c r="V155" s="6">
        <v>1</v>
      </c>
      <c r="W155" s="6"/>
      <c r="X155" s="6"/>
      <c r="Y155" s="6"/>
      <c r="Z155" s="6"/>
      <c r="AA155" s="6"/>
      <c r="AB155" s="6"/>
      <c r="AC155" s="6"/>
      <c r="AD155" s="6">
        <v>2</v>
      </c>
      <c r="AE155" s="6"/>
      <c r="AF155" s="6">
        <v>1</v>
      </c>
      <c r="AG155" s="6">
        <v>2</v>
      </c>
      <c r="AH155" s="6"/>
      <c r="AI155" s="6"/>
      <c r="AJ155" s="5">
        <f t="shared" si="53"/>
        <v>11</v>
      </c>
      <c r="AK155" s="20"/>
      <c r="AL155" s="20"/>
    </row>
    <row r="156" spans="1:38" x14ac:dyDescent="0.4">
      <c r="A156" s="7"/>
      <c r="B156" s="56"/>
      <c r="C156" s="24" t="s">
        <v>188</v>
      </c>
      <c r="D156" s="57"/>
      <c r="E156" s="55"/>
      <c r="F156" s="6"/>
      <c r="G156" s="6"/>
      <c r="H156" s="6"/>
      <c r="I156" s="6"/>
      <c r="J156" s="6"/>
      <c r="K156" s="6"/>
      <c r="L156" s="6"/>
      <c r="M156" s="6">
        <v>1</v>
      </c>
      <c r="N156" s="6"/>
      <c r="O156" s="6"/>
      <c r="P156" s="6"/>
      <c r="Q156" s="6">
        <v>2</v>
      </c>
      <c r="R156" s="6"/>
      <c r="S156" s="6">
        <v>1</v>
      </c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5">
        <f t="shared" si="53"/>
        <v>4</v>
      </c>
      <c r="AK156" s="20"/>
      <c r="AL156" s="20"/>
    </row>
    <row r="157" spans="1:38" x14ac:dyDescent="0.4">
      <c r="A157" s="7"/>
      <c r="B157" s="56"/>
      <c r="C157" s="24" t="s">
        <v>189</v>
      </c>
      <c r="D157" s="57"/>
      <c r="E157" s="55"/>
      <c r="F157" s="6"/>
      <c r="G157" s="6"/>
      <c r="H157" s="6"/>
      <c r="I157" s="6"/>
      <c r="J157" s="6"/>
      <c r="K157" s="6">
        <v>2</v>
      </c>
      <c r="L157" s="6"/>
      <c r="M157" s="6"/>
      <c r="N157" s="6"/>
      <c r="O157" s="6"/>
      <c r="P157" s="6">
        <v>1</v>
      </c>
      <c r="Q157" s="6">
        <v>1</v>
      </c>
      <c r="R157" s="6">
        <v>1</v>
      </c>
      <c r="S157" s="6"/>
      <c r="T157" s="6"/>
      <c r="U157" s="6"/>
      <c r="V157" s="6"/>
      <c r="W157" s="6"/>
      <c r="X157" s="6">
        <v>1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5">
        <f t="shared" si="53"/>
        <v>6</v>
      </c>
      <c r="AK157" s="20"/>
      <c r="AL157" s="20"/>
    </row>
    <row r="158" spans="1:38" x14ac:dyDescent="0.4">
      <c r="A158" s="7"/>
      <c r="B158" s="56"/>
      <c r="C158" s="24" t="s">
        <v>190</v>
      </c>
      <c r="D158" s="57"/>
      <c r="E158" s="5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>
        <v>1</v>
      </c>
      <c r="AF158" s="6"/>
      <c r="AG158" s="6"/>
      <c r="AH158" s="6"/>
      <c r="AI158" s="6"/>
      <c r="AJ158" s="5">
        <f t="shared" si="53"/>
        <v>1</v>
      </c>
      <c r="AK158" s="20"/>
      <c r="AL158" s="20"/>
    </row>
    <row r="159" spans="1:38" x14ac:dyDescent="0.4">
      <c r="A159" s="7"/>
      <c r="B159" s="56"/>
      <c r="C159" s="24" t="s">
        <v>191</v>
      </c>
      <c r="D159" s="57"/>
      <c r="E159" s="55"/>
      <c r="F159" s="6"/>
      <c r="G159" s="6">
        <v>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>
        <v>1</v>
      </c>
      <c r="AH159" s="6"/>
      <c r="AI159" s="6"/>
      <c r="AJ159" s="5">
        <f t="shared" si="53"/>
        <v>2</v>
      </c>
      <c r="AK159" s="20"/>
      <c r="AL159" s="20"/>
    </row>
    <row r="160" spans="1:38" x14ac:dyDescent="0.4">
      <c r="A160" s="7"/>
      <c r="B160" s="56"/>
      <c r="C160" s="24" t="s">
        <v>192</v>
      </c>
      <c r="D160" s="57"/>
      <c r="E160" s="5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>
        <v>1</v>
      </c>
      <c r="AA160" s="6"/>
      <c r="AB160" s="6"/>
      <c r="AC160" s="6"/>
      <c r="AD160" s="6">
        <v>1</v>
      </c>
      <c r="AE160" s="6"/>
      <c r="AF160" s="6"/>
      <c r="AG160" s="6"/>
      <c r="AH160" s="6"/>
      <c r="AI160" s="6"/>
      <c r="AJ160" s="5">
        <f t="shared" si="53"/>
        <v>2</v>
      </c>
      <c r="AK160" s="20"/>
      <c r="AL160" s="20"/>
    </row>
    <row r="161" spans="1:38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5">
        <f t="shared" si="53"/>
        <v>0</v>
      </c>
      <c r="AK161" s="20"/>
      <c r="AL161" s="20"/>
    </row>
    <row r="162" spans="1:38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5">
        <f t="shared" si="53"/>
        <v>0</v>
      </c>
      <c r="AK162" s="20"/>
      <c r="AL162" s="20"/>
    </row>
    <row r="163" spans="1:38" x14ac:dyDescent="0.4">
      <c r="A163" s="6" t="s">
        <v>26</v>
      </c>
      <c r="B163" s="80" t="s">
        <v>51</v>
      </c>
      <c r="C163" s="81"/>
      <c r="D163" s="82"/>
      <c r="E163" s="5">
        <f t="shared" ref="E163:AJ163" si="54">SUM(E153:E162)</f>
        <v>3</v>
      </c>
      <c r="F163" s="5">
        <f t="shared" si="54"/>
        <v>3</v>
      </c>
      <c r="G163" s="5">
        <f t="shared" si="54"/>
        <v>1</v>
      </c>
      <c r="H163" s="5">
        <f t="shared" si="54"/>
        <v>3</v>
      </c>
      <c r="I163" s="5">
        <f t="shared" si="54"/>
        <v>1</v>
      </c>
      <c r="J163" s="5">
        <f t="shared" si="54"/>
        <v>2</v>
      </c>
      <c r="K163" s="5">
        <f t="shared" si="54"/>
        <v>4</v>
      </c>
      <c r="L163" s="5">
        <f t="shared" si="54"/>
        <v>2</v>
      </c>
      <c r="M163" s="5">
        <f t="shared" si="54"/>
        <v>3</v>
      </c>
      <c r="N163" s="5">
        <f t="shared" si="54"/>
        <v>1</v>
      </c>
      <c r="O163" s="5">
        <f t="shared" si="54"/>
        <v>3</v>
      </c>
      <c r="P163" s="5">
        <f t="shared" si="54"/>
        <v>3</v>
      </c>
      <c r="Q163" s="5">
        <f t="shared" si="54"/>
        <v>6</v>
      </c>
      <c r="R163" s="5">
        <f t="shared" si="54"/>
        <v>4</v>
      </c>
      <c r="S163" s="5">
        <f t="shared" si="54"/>
        <v>2</v>
      </c>
      <c r="T163" s="5">
        <f t="shared" si="54"/>
        <v>3</v>
      </c>
      <c r="U163" s="5">
        <f t="shared" si="54"/>
        <v>3</v>
      </c>
      <c r="V163" s="5">
        <f t="shared" si="54"/>
        <v>1</v>
      </c>
      <c r="W163" s="5">
        <f t="shared" si="54"/>
        <v>0</v>
      </c>
      <c r="X163" s="5">
        <f t="shared" si="54"/>
        <v>2</v>
      </c>
      <c r="Y163" s="5">
        <f t="shared" si="54"/>
        <v>0</v>
      </c>
      <c r="Z163" s="5">
        <f t="shared" si="54"/>
        <v>1</v>
      </c>
      <c r="AA163" s="5">
        <f t="shared" si="54"/>
        <v>1</v>
      </c>
      <c r="AB163" s="5">
        <f t="shared" si="54"/>
        <v>1</v>
      </c>
      <c r="AC163" s="5">
        <f t="shared" si="54"/>
        <v>1</v>
      </c>
      <c r="AD163" s="5">
        <f t="shared" si="54"/>
        <v>4</v>
      </c>
      <c r="AE163" s="5">
        <f t="shared" si="54"/>
        <v>3</v>
      </c>
      <c r="AF163" s="5">
        <f t="shared" si="54"/>
        <v>1</v>
      </c>
      <c r="AG163" s="5">
        <f t="shared" si="54"/>
        <v>3</v>
      </c>
      <c r="AH163" s="5">
        <f t="shared" si="54"/>
        <v>1</v>
      </c>
      <c r="AI163" s="5">
        <f t="shared" si="54"/>
        <v>0</v>
      </c>
      <c r="AJ163" s="5">
        <f t="shared" si="54"/>
        <v>66</v>
      </c>
      <c r="AK163" s="20"/>
      <c r="AL163" s="20"/>
    </row>
    <row r="164" spans="1:38" x14ac:dyDescent="0.4">
      <c r="A164" s="70"/>
      <c r="B164" s="71"/>
      <c r="C164" s="71"/>
      <c r="D164" s="71"/>
      <c r="E164" s="7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20"/>
      <c r="AL164" s="20"/>
    </row>
    <row r="165" spans="1:38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/>
      <c r="F165" s="6"/>
      <c r="G165" s="6"/>
      <c r="H165" s="6"/>
      <c r="I165" s="6">
        <v>1</v>
      </c>
      <c r="J165" s="6">
        <v>1</v>
      </c>
      <c r="K165" s="6"/>
      <c r="L165" s="6"/>
      <c r="M165" s="6"/>
      <c r="N165" s="6"/>
      <c r="O165" s="6"/>
      <c r="P165" s="6"/>
      <c r="Q165" s="6">
        <v>1</v>
      </c>
      <c r="R165" s="6"/>
      <c r="S165" s="6"/>
      <c r="T165" s="6"/>
      <c r="U165" s="6">
        <v>2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>
        <v>1</v>
      </c>
      <c r="AJ165" s="5">
        <f>SUM(E165:AI165)</f>
        <v>6</v>
      </c>
      <c r="AK165" s="1"/>
      <c r="AL165" s="1"/>
    </row>
    <row r="166" spans="1:38" x14ac:dyDescent="0.4">
      <c r="A166" s="11" t="s">
        <v>50</v>
      </c>
      <c r="B166" s="52"/>
      <c r="C166" s="24" t="s">
        <v>193</v>
      </c>
      <c r="D166" s="50"/>
      <c r="E166" s="6"/>
      <c r="F166" s="6"/>
      <c r="G166" s="6"/>
      <c r="H166" s="6">
        <v>2</v>
      </c>
      <c r="I166" s="6">
        <v>1</v>
      </c>
      <c r="J166" s="6"/>
      <c r="K166" s="6"/>
      <c r="L166" s="6">
        <v>1</v>
      </c>
      <c r="M166" s="6">
        <v>1</v>
      </c>
      <c r="N166" s="6"/>
      <c r="O166" s="6"/>
      <c r="P166" s="6"/>
      <c r="Q166" s="6">
        <v>1</v>
      </c>
      <c r="R166" s="6"/>
      <c r="S166" s="6">
        <v>1</v>
      </c>
      <c r="T166" s="6">
        <v>1</v>
      </c>
      <c r="U166" s="6"/>
      <c r="V166" s="6"/>
      <c r="W166" s="6">
        <v>2</v>
      </c>
      <c r="X166" s="6">
        <v>2</v>
      </c>
      <c r="Y166" s="6"/>
      <c r="Z166" s="6"/>
      <c r="AA166" s="6"/>
      <c r="AB166" s="6"/>
      <c r="AC166" s="6"/>
      <c r="AD166" s="6">
        <v>1</v>
      </c>
      <c r="AE166" s="6"/>
      <c r="AF166" s="6">
        <v>2</v>
      </c>
      <c r="AG166" s="6"/>
      <c r="AH166" s="6"/>
      <c r="AI166" s="6"/>
      <c r="AJ166" s="5">
        <f>SUM(E166:AI166)</f>
        <v>15</v>
      </c>
      <c r="AK166" s="27"/>
      <c r="AL166" s="27"/>
    </row>
    <row r="167" spans="1:38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49"/>
      <c r="AK167" s="20"/>
      <c r="AL167" s="20"/>
    </row>
    <row r="168" spans="1:38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49"/>
      <c r="AK168" s="20"/>
      <c r="AL168" s="20"/>
    </row>
    <row r="169" spans="1:38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49"/>
      <c r="AK169" s="20"/>
      <c r="AL169" s="20"/>
    </row>
    <row r="170" spans="1:38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49"/>
      <c r="AK170" s="20"/>
      <c r="AL170" s="20"/>
    </row>
    <row r="171" spans="1:38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49"/>
      <c r="AK171" s="20"/>
      <c r="AL171" s="20"/>
    </row>
    <row r="172" spans="1:38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49"/>
      <c r="AK172" s="20"/>
      <c r="AL172" s="20"/>
    </row>
    <row r="173" spans="1:38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49"/>
      <c r="AK173" s="20"/>
      <c r="AL173" s="20"/>
    </row>
    <row r="174" spans="1:38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49"/>
      <c r="AK174" s="20"/>
      <c r="AL174" s="20"/>
    </row>
    <row r="175" spans="1:38" x14ac:dyDescent="0.4">
      <c r="A175" s="6" t="s">
        <v>26</v>
      </c>
      <c r="B175" s="67" t="s">
        <v>51</v>
      </c>
      <c r="C175" s="68"/>
      <c r="D175" s="69"/>
      <c r="E175" s="5">
        <f t="shared" ref="E175:AJ175" si="55">SUM(E165:E174)</f>
        <v>0</v>
      </c>
      <c r="F175" s="5">
        <f t="shared" si="55"/>
        <v>0</v>
      </c>
      <c r="G175" s="5">
        <f t="shared" si="55"/>
        <v>0</v>
      </c>
      <c r="H175" s="5">
        <f t="shared" si="55"/>
        <v>2</v>
      </c>
      <c r="I175" s="5">
        <f t="shared" si="55"/>
        <v>2</v>
      </c>
      <c r="J175" s="5">
        <f t="shared" si="55"/>
        <v>1</v>
      </c>
      <c r="K175" s="5">
        <f t="shared" si="55"/>
        <v>0</v>
      </c>
      <c r="L175" s="5">
        <f t="shared" si="55"/>
        <v>1</v>
      </c>
      <c r="M175" s="5">
        <f t="shared" si="55"/>
        <v>1</v>
      </c>
      <c r="N175" s="5">
        <f t="shared" si="55"/>
        <v>0</v>
      </c>
      <c r="O175" s="5">
        <f t="shared" si="55"/>
        <v>0</v>
      </c>
      <c r="P175" s="5">
        <f t="shared" si="55"/>
        <v>0</v>
      </c>
      <c r="Q175" s="5">
        <f t="shared" si="55"/>
        <v>2</v>
      </c>
      <c r="R175" s="5">
        <f t="shared" si="55"/>
        <v>0</v>
      </c>
      <c r="S175" s="5">
        <f t="shared" si="55"/>
        <v>1</v>
      </c>
      <c r="T175" s="5">
        <f t="shared" si="55"/>
        <v>1</v>
      </c>
      <c r="U175" s="5">
        <f t="shared" si="55"/>
        <v>2</v>
      </c>
      <c r="V175" s="5">
        <f t="shared" si="55"/>
        <v>0</v>
      </c>
      <c r="W175" s="5">
        <f t="shared" si="55"/>
        <v>2</v>
      </c>
      <c r="X175" s="5">
        <f t="shared" si="55"/>
        <v>2</v>
      </c>
      <c r="Y175" s="5">
        <f t="shared" si="55"/>
        <v>0</v>
      </c>
      <c r="Z175" s="5">
        <f t="shared" si="55"/>
        <v>0</v>
      </c>
      <c r="AA175" s="5">
        <f t="shared" si="55"/>
        <v>0</v>
      </c>
      <c r="AB175" s="5">
        <f t="shared" si="55"/>
        <v>0</v>
      </c>
      <c r="AC175" s="5">
        <f t="shared" si="55"/>
        <v>0</v>
      </c>
      <c r="AD175" s="5">
        <f t="shared" si="55"/>
        <v>1</v>
      </c>
      <c r="AE175" s="5">
        <f t="shared" si="55"/>
        <v>0</v>
      </c>
      <c r="AF175" s="5">
        <f t="shared" si="55"/>
        <v>2</v>
      </c>
      <c r="AG175" s="5">
        <f t="shared" si="55"/>
        <v>0</v>
      </c>
      <c r="AH175" s="5">
        <f t="shared" si="55"/>
        <v>0</v>
      </c>
      <c r="AI175" s="5">
        <f t="shared" si="55"/>
        <v>1</v>
      </c>
      <c r="AJ175" s="5">
        <f t="shared" si="55"/>
        <v>21</v>
      </c>
      <c r="AK175" s="20"/>
      <c r="AL175" s="20"/>
    </row>
    <row r="176" spans="1:38" ht="13.15" customHeight="1" x14ac:dyDescent="0.4">
      <c r="A176" s="70"/>
      <c r="B176" s="71"/>
      <c r="C176" s="71"/>
      <c r="D176" s="71"/>
      <c r="E176" s="7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"/>
      <c r="AL176" s="1"/>
    </row>
    <row r="177" spans="1:38" x14ac:dyDescent="0.4">
      <c r="A177" s="11" t="s">
        <v>48</v>
      </c>
      <c r="B177" s="17" t="s">
        <v>69</v>
      </c>
      <c r="C177" s="73" t="s">
        <v>70</v>
      </c>
      <c r="D177" s="74"/>
      <c r="E177" s="6"/>
      <c r="F177" s="6"/>
      <c r="G177" s="6">
        <v>1</v>
      </c>
      <c r="H177" s="6">
        <v>2</v>
      </c>
      <c r="I177" s="6"/>
      <c r="J177" s="6">
        <v>1</v>
      </c>
      <c r="K177" s="6">
        <v>2</v>
      </c>
      <c r="L177" s="6"/>
      <c r="M177" s="6"/>
      <c r="N177" s="6"/>
      <c r="O177" s="6"/>
      <c r="P177" s="6">
        <v>1</v>
      </c>
      <c r="Q177" s="6"/>
      <c r="R177" s="6"/>
      <c r="S177" s="6"/>
      <c r="T177" s="6">
        <v>2</v>
      </c>
      <c r="U177" s="6"/>
      <c r="V177" s="6"/>
      <c r="W177" s="6">
        <v>5</v>
      </c>
      <c r="X177" s="6">
        <v>1</v>
      </c>
      <c r="Y177" s="6"/>
      <c r="Z177" s="6"/>
      <c r="AA177" s="6"/>
      <c r="AB177" s="6"/>
      <c r="AC177" s="6"/>
      <c r="AD177" s="6"/>
      <c r="AE177" s="6">
        <v>4</v>
      </c>
      <c r="AF177" s="6">
        <v>2</v>
      </c>
      <c r="AG177" s="6">
        <v>1</v>
      </c>
      <c r="AH177" s="6"/>
      <c r="AI177" s="6">
        <v>1</v>
      </c>
      <c r="AJ177" s="5">
        <f t="shared" ref="AJ177:AJ187" si="56">SUM(E177:AI177)</f>
        <v>23</v>
      </c>
    </row>
    <row r="178" spans="1:38" x14ac:dyDescent="0.4">
      <c r="A178" s="11" t="s">
        <v>50</v>
      </c>
      <c r="B178" s="52"/>
      <c r="C178" s="24" t="s">
        <v>194</v>
      </c>
      <c r="D178" s="50"/>
      <c r="E178" s="6">
        <v>1</v>
      </c>
      <c r="F178" s="6">
        <v>3</v>
      </c>
      <c r="G178" s="6"/>
      <c r="H178" s="6">
        <v>1</v>
      </c>
      <c r="I178" s="6">
        <v>2</v>
      </c>
      <c r="J178" s="6"/>
      <c r="K178" s="6"/>
      <c r="L178" s="6"/>
      <c r="M178" s="6">
        <v>1</v>
      </c>
      <c r="N178" s="6"/>
      <c r="O178" s="6">
        <v>3</v>
      </c>
      <c r="P178" s="6">
        <v>2</v>
      </c>
      <c r="Q178" s="6">
        <v>5</v>
      </c>
      <c r="R178" s="6">
        <v>5</v>
      </c>
      <c r="S178" s="6">
        <v>3</v>
      </c>
      <c r="T178" s="6">
        <v>2</v>
      </c>
      <c r="U178" s="6">
        <v>4</v>
      </c>
      <c r="V178" s="6">
        <v>3</v>
      </c>
      <c r="W178" s="6">
        <v>3</v>
      </c>
      <c r="X178" s="6">
        <v>1</v>
      </c>
      <c r="Y178" s="6"/>
      <c r="Z178" s="6"/>
      <c r="AA178" s="6"/>
      <c r="AB178" s="6">
        <v>3</v>
      </c>
      <c r="AC178" s="6"/>
      <c r="AD178" s="6">
        <v>3</v>
      </c>
      <c r="AE178" s="6">
        <v>2</v>
      </c>
      <c r="AF178" s="6">
        <v>4</v>
      </c>
      <c r="AG178" s="6">
        <v>1</v>
      </c>
      <c r="AH178" s="6"/>
      <c r="AI178" s="6"/>
      <c r="AJ178" s="5">
        <f t="shared" si="56"/>
        <v>52</v>
      </c>
      <c r="AK178" s="20"/>
      <c r="AL178" s="20"/>
    </row>
    <row r="179" spans="1:38" x14ac:dyDescent="0.4">
      <c r="A179" s="7"/>
      <c r="B179" s="52"/>
      <c r="C179" s="24" t="s">
        <v>195</v>
      </c>
      <c r="D179" s="50"/>
      <c r="E179" s="6">
        <v>1</v>
      </c>
      <c r="F179" s="6"/>
      <c r="G179" s="6"/>
      <c r="H179" s="6"/>
      <c r="I179" s="6"/>
      <c r="J179" s="6"/>
      <c r="K179" s="6"/>
      <c r="L179" s="6"/>
      <c r="M179" s="6">
        <v>1</v>
      </c>
      <c r="N179" s="6">
        <v>1</v>
      </c>
      <c r="O179" s="6"/>
      <c r="P179" s="6">
        <v>1</v>
      </c>
      <c r="Q179" s="6"/>
      <c r="R179" s="6"/>
      <c r="S179" s="6"/>
      <c r="T179" s="6"/>
      <c r="U179" s="6">
        <v>1</v>
      </c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5">
        <f t="shared" si="56"/>
        <v>5</v>
      </c>
      <c r="AK179" s="20"/>
      <c r="AL179" s="20"/>
    </row>
    <row r="180" spans="1:38" x14ac:dyDescent="0.4">
      <c r="A180" s="7"/>
      <c r="B180" s="52"/>
      <c r="C180" s="24" t="s">
        <v>196</v>
      </c>
      <c r="D180" s="50"/>
      <c r="E180" s="6"/>
      <c r="F180" s="6"/>
      <c r="G180" s="6">
        <v>1</v>
      </c>
      <c r="H180" s="6">
        <v>1</v>
      </c>
      <c r="I180" s="6">
        <v>1</v>
      </c>
      <c r="J180" s="6">
        <v>1</v>
      </c>
      <c r="K180" s="6"/>
      <c r="L180" s="6">
        <v>1</v>
      </c>
      <c r="M180" s="6">
        <v>1</v>
      </c>
      <c r="N180" s="6">
        <v>2</v>
      </c>
      <c r="O180" s="6">
        <v>1</v>
      </c>
      <c r="P180" s="6">
        <v>1</v>
      </c>
      <c r="Q180" s="6">
        <v>2</v>
      </c>
      <c r="R180" s="6"/>
      <c r="S180" s="6">
        <v>2</v>
      </c>
      <c r="T180" s="6"/>
      <c r="U180" s="6"/>
      <c r="V180" s="6"/>
      <c r="W180" s="6"/>
      <c r="X180" s="6"/>
      <c r="Y180" s="6"/>
      <c r="Z180" s="6">
        <v>1</v>
      </c>
      <c r="AA180" s="6">
        <v>6</v>
      </c>
      <c r="AB180" s="6"/>
      <c r="AC180" s="6">
        <v>1</v>
      </c>
      <c r="AD180" s="6"/>
      <c r="AE180" s="6">
        <v>1</v>
      </c>
      <c r="AF180" s="6"/>
      <c r="AG180" s="6">
        <v>4</v>
      </c>
      <c r="AH180" s="6"/>
      <c r="AI180" s="6"/>
      <c r="AJ180" s="5">
        <f t="shared" si="56"/>
        <v>27</v>
      </c>
      <c r="AK180" s="20"/>
      <c r="AL180" s="20"/>
    </row>
    <row r="181" spans="1:38" x14ac:dyDescent="0.4">
      <c r="A181" s="7"/>
      <c r="B181" s="52"/>
      <c r="C181" s="24" t="s">
        <v>197</v>
      </c>
      <c r="D181" s="50"/>
      <c r="E181" s="6"/>
      <c r="F181" s="6"/>
      <c r="G181" s="6"/>
      <c r="H181" s="6"/>
      <c r="I181" s="6"/>
      <c r="J181" s="6"/>
      <c r="K181" s="6"/>
      <c r="L181" s="6">
        <v>1</v>
      </c>
      <c r="M181" s="6"/>
      <c r="N181" s="6"/>
      <c r="O181" s="6"/>
      <c r="P181" s="6"/>
      <c r="Q181" s="6"/>
      <c r="R181" s="6"/>
      <c r="S181" s="6"/>
      <c r="T181" s="6"/>
      <c r="U181" s="6"/>
      <c r="V181" s="6">
        <v>1</v>
      </c>
      <c r="W181" s="6"/>
      <c r="X181" s="6"/>
      <c r="Y181" s="6"/>
      <c r="Z181" s="6"/>
      <c r="AA181" s="6"/>
      <c r="AB181" s="6"/>
      <c r="AC181" s="6"/>
      <c r="AD181" s="6">
        <v>1</v>
      </c>
      <c r="AE181" s="6"/>
      <c r="AF181" s="6">
        <v>1</v>
      </c>
      <c r="AG181" s="6"/>
      <c r="AH181" s="6"/>
      <c r="AI181" s="6">
        <v>1</v>
      </c>
      <c r="AJ181" s="5">
        <f t="shared" si="56"/>
        <v>5</v>
      </c>
      <c r="AK181" s="20"/>
      <c r="AL181" s="20"/>
    </row>
    <row r="182" spans="1:38" x14ac:dyDescent="0.4">
      <c r="A182" s="7"/>
      <c r="B182" s="52"/>
      <c r="C182" s="24" t="s">
        <v>198</v>
      </c>
      <c r="D182" s="50"/>
      <c r="E182" s="6">
        <v>1</v>
      </c>
      <c r="F182" s="6"/>
      <c r="G182" s="6">
        <v>1</v>
      </c>
      <c r="H182" s="6"/>
      <c r="I182" s="6"/>
      <c r="J182" s="6">
        <v>1</v>
      </c>
      <c r="K182" s="6"/>
      <c r="L182" s="6"/>
      <c r="M182" s="6">
        <v>1</v>
      </c>
      <c r="N182" s="6"/>
      <c r="O182" s="6"/>
      <c r="P182" s="6"/>
      <c r="Q182" s="6"/>
      <c r="R182" s="6">
        <v>1</v>
      </c>
      <c r="S182" s="6"/>
      <c r="T182" s="6"/>
      <c r="U182" s="6"/>
      <c r="V182" s="6"/>
      <c r="W182" s="6"/>
      <c r="X182" s="6"/>
      <c r="Y182" s="6"/>
      <c r="Z182" s="6"/>
      <c r="AA182" s="6"/>
      <c r="AB182" s="6">
        <v>1</v>
      </c>
      <c r="AC182" s="6"/>
      <c r="AD182" s="6"/>
      <c r="AE182" s="6"/>
      <c r="AF182" s="6"/>
      <c r="AG182" s="6"/>
      <c r="AH182" s="6"/>
      <c r="AI182" s="6"/>
      <c r="AJ182" s="5">
        <f t="shared" si="56"/>
        <v>6</v>
      </c>
      <c r="AK182" s="20"/>
      <c r="AL182" s="20"/>
    </row>
    <row r="183" spans="1:38" x14ac:dyDescent="0.4">
      <c r="A183" s="7"/>
      <c r="B183" s="52"/>
      <c r="C183" s="24" t="s">
        <v>199</v>
      </c>
      <c r="D183" s="50"/>
      <c r="E183" s="6"/>
      <c r="F183" s="6"/>
      <c r="G183" s="6"/>
      <c r="H183" s="6"/>
      <c r="I183" s="6"/>
      <c r="J183" s="6">
        <v>1</v>
      </c>
      <c r="K183" s="6"/>
      <c r="L183" s="6"/>
      <c r="M183" s="6"/>
      <c r="N183" s="6">
        <v>1</v>
      </c>
      <c r="O183" s="6"/>
      <c r="P183" s="6">
        <v>1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>
        <v>1</v>
      </c>
      <c r="AD183" s="6"/>
      <c r="AE183" s="6"/>
      <c r="AF183" s="6">
        <v>1</v>
      </c>
      <c r="AG183" s="6"/>
      <c r="AH183" s="6"/>
      <c r="AI183" s="6"/>
      <c r="AJ183" s="5">
        <f t="shared" si="56"/>
        <v>5</v>
      </c>
      <c r="AK183" s="20"/>
      <c r="AL183" s="20"/>
    </row>
    <row r="184" spans="1:38" x14ac:dyDescent="0.4">
      <c r="A184" s="7"/>
      <c r="B184" s="52"/>
      <c r="C184" s="24" t="s">
        <v>200</v>
      </c>
      <c r="D184" s="5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>
        <v>1</v>
      </c>
      <c r="V184" s="6"/>
      <c r="W184" s="6"/>
      <c r="X184" s="6">
        <v>1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5">
        <f t="shared" si="56"/>
        <v>2</v>
      </c>
      <c r="AK184" s="20"/>
      <c r="AL184" s="20"/>
    </row>
    <row r="185" spans="1:38" x14ac:dyDescent="0.4">
      <c r="A185" s="7"/>
      <c r="B185" s="52"/>
      <c r="C185" s="24" t="s">
        <v>201</v>
      </c>
      <c r="D185" s="50"/>
      <c r="E185" s="6"/>
      <c r="F185" s="6"/>
      <c r="G185" s="6"/>
      <c r="H185" s="6"/>
      <c r="I185" s="6"/>
      <c r="J185" s="6">
        <v>1</v>
      </c>
      <c r="K185" s="6"/>
      <c r="L185" s="6"/>
      <c r="M185" s="6"/>
      <c r="N185" s="6">
        <v>1</v>
      </c>
      <c r="O185" s="6"/>
      <c r="P185" s="6"/>
      <c r="Q185" s="6"/>
      <c r="R185" s="6">
        <v>1</v>
      </c>
      <c r="S185" s="6"/>
      <c r="T185" s="6"/>
      <c r="U185" s="6"/>
      <c r="V185" s="6"/>
      <c r="W185" s="6"/>
      <c r="X185" s="6">
        <v>1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5">
        <f t="shared" si="56"/>
        <v>4</v>
      </c>
      <c r="AK185" s="20"/>
      <c r="AL185" s="20"/>
    </row>
    <row r="186" spans="1:38" x14ac:dyDescent="0.4">
      <c r="A186" s="7"/>
      <c r="B186" s="52"/>
      <c r="C186" s="24" t="s">
        <v>202</v>
      </c>
      <c r="D186" s="5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>
        <v>1</v>
      </c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5">
        <f t="shared" si="56"/>
        <v>1</v>
      </c>
      <c r="AK186" s="20"/>
      <c r="AL186" s="20"/>
    </row>
    <row r="187" spans="1:38" ht="13.15" customHeight="1" x14ac:dyDescent="0.4">
      <c r="A187" s="6" t="s">
        <v>26</v>
      </c>
      <c r="B187" s="67" t="s">
        <v>51</v>
      </c>
      <c r="C187" s="68"/>
      <c r="D187" s="69"/>
      <c r="E187" s="5">
        <f t="shared" ref="E187:AJ187" si="57">SUM(E177:E186)</f>
        <v>3</v>
      </c>
      <c r="F187" s="5">
        <f t="shared" si="57"/>
        <v>3</v>
      </c>
      <c r="G187" s="5">
        <f t="shared" si="57"/>
        <v>3</v>
      </c>
      <c r="H187" s="5">
        <f t="shared" si="57"/>
        <v>4</v>
      </c>
      <c r="I187" s="5">
        <f t="shared" si="57"/>
        <v>3</v>
      </c>
      <c r="J187" s="5">
        <f t="shared" si="57"/>
        <v>5</v>
      </c>
      <c r="K187" s="5">
        <f t="shared" si="57"/>
        <v>2</v>
      </c>
      <c r="L187" s="5">
        <f t="shared" si="57"/>
        <v>2</v>
      </c>
      <c r="M187" s="5">
        <f t="shared" si="57"/>
        <v>4</v>
      </c>
      <c r="N187" s="5">
        <f t="shared" si="57"/>
        <v>5</v>
      </c>
      <c r="O187" s="5">
        <f t="shared" si="57"/>
        <v>4</v>
      </c>
      <c r="P187" s="5">
        <f t="shared" si="57"/>
        <v>6</v>
      </c>
      <c r="Q187" s="5">
        <f t="shared" si="57"/>
        <v>7</v>
      </c>
      <c r="R187" s="5">
        <f t="shared" si="57"/>
        <v>8</v>
      </c>
      <c r="S187" s="5">
        <f t="shared" si="57"/>
        <v>5</v>
      </c>
      <c r="T187" s="5">
        <f t="shared" si="57"/>
        <v>4</v>
      </c>
      <c r="U187" s="5">
        <f t="shared" si="57"/>
        <v>6</v>
      </c>
      <c r="V187" s="5">
        <f t="shared" si="57"/>
        <v>4</v>
      </c>
      <c r="W187" s="5">
        <f t="shared" si="57"/>
        <v>8</v>
      </c>
      <c r="X187" s="5">
        <f t="shared" si="57"/>
        <v>4</v>
      </c>
      <c r="Y187" s="5">
        <f t="shared" si="57"/>
        <v>0</v>
      </c>
      <c r="Z187" s="5">
        <f t="shared" si="57"/>
        <v>1</v>
      </c>
      <c r="AA187" s="5">
        <f t="shared" si="57"/>
        <v>6</v>
      </c>
      <c r="AB187" s="5">
        <f t="shared" si="57"/>
        <v>4</v>
      </c>
      <c r="AC187" s="5">
        <f t="shared" si="57"/>
        <v>2</v>
      </c>
      <c r="AD187" s="5">
        <f t="shared" si="57"/>
        <v>4</v>
      </c>
      <c r="AE187" s="5">
        <f t="shared" si="57"/>
        <v>7</v>
      </c>
      <c r="AF187" s="5">
        <f t="shared" si="57"/>
        <v>8</v>
      </c>
      <c r="AG187" s="5">
        <f t="shared" si="57"/>
        <v>6</v>
      </c>
      <c r="AH187" s="5">
        <f t="shared" si="57"/>
        <v>0</v>
      </c>
      <c r="AI187" s="5">
        <f t="shared" si="57"/>
        <v>2</v>
      </c>
      <c r="AJ187" s="5">
        <f t="shared" si="57"/>
        <v>130</v>
      </c>
      <c r="AK187" s="1"/>
      <c r="AL187" s="1"/>
    </row>
    <row r="188" spans="1:38" x14ac:dyDescent="0.4">
      <c r="A188" s="70"/>
      <c r="B188" s="71"/>
      <c r="C188" s="71"/>
      <c r="D188" s="71"/>
      <c r="E188" s="7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5"/>
    </row>
    <row r="189" spans="1:38" x14ac:dyDescent="0.4">
      <c r="A189" s="11" t="s">
        <v>48</v>
      </c>
      <c r="B189" s="17" t="s">
        <v>71</v>
      </c>
      <c r="C189" s="73" t="s">
        <v>72</v>
      </c>
      <c r="D189" s="7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5">
        <f t="shared" ref="AJ189:AJ210" si="58">SUM(E189:AI189)</f>
        <v>0</v>
      </c>
      <c r="AK189" s="20"/>
      <c r="AL189" s="20"/>
    </row>
    <row r="190" spans="1:38" x14ac:dyDescent="0.4">
      <c r="A190" s="11" t="s">
        <v>50</v>
      </c>
      <c r="B190" s="52"/>
      <c r="C190" s="24" t="s">
        <v>203</v>
      </c>
      <c r="D190" s="5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>
        <v>1</v>
      </c>
      <c r="AG190" s="6"/>
      <c r="AH190" s="6"/>
      <c r="AI190" s="6"/>
      <c r="AJ190" s="5">
        <f t="shared" si="58"/>
        <v>1</v>
      </c>
      <c r="AK190" s="20"/>
      <c r="AL190" s="20"/>
    </row>
    <row r="191" spans="1:38" x14ac:dyDescent="0.4">
      <c r="A191" s="7"/>
      <c r="B191" s="52"/>
      <c r="C191" s="24" t="s">
        <v>204</v>
      </c>
      <c r="D191" s="50"/>
      <c r="E191" s="6"/>
      <c r="F191" s="6"/>
      <c r="G191" s="6"/>
      <c r="H191" s="6"/>
      <c r="I191" s="6"/>
      <c r="J191" s="6"/>
      <c r="K191" s="6"/>
      <c r="L191" s="6">
        <v>1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>
        <v>1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>
        <v>1</v>
      </c>
      <c r="AI191" s="6"/>
      <c r="AJ191" s="5">
        <f t="shared" si="58"/>
        <v>3</v>
      </c>
      <c r="AK191" s="20"/>
      <c r="AL191" s="20"/>
    </row>
    <row r="192" spans="1:38" x14ac:dyDescent="0.4">
      <c r="A192" s="7"/>
      <c r="B192" s="52"/>
      <c r="C192" s="24" t="s">
        <v>205</v>
      </c>
      <c r="D192" s="5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>
        <v>1</v>
      </c>
      <c r="AD192" s="6"/>
      <c r="AE192" s="6"/>
      <c r="AF192" s="6"/>
      <c r="AG192" s="6"/>
      <c r="AH192" s="6"/>
      <c r="AI192" s="6"/>
      <c r="AJ192" s="5">
        <f t="shared" si="58"/>
        <v>1</v>
      </c>
      <c r="AK192" s="20"/>
      <c r="AL192" s="20"/>
    </row>
    <row r="193" spans="1:38" x14ac:dyDescent="0.4">
      <c r="A193" s="7"/>
      <c r="B193" s="52"/>
      <c r="C193" s="24" t="s">
        <v>206</v>
      </c>
      <c r="D193" s="5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>
        <v>1</v>
      </c>
      <c r="P193" s="6">
        <v>1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5">
        <f t="shared" si="58"/>
        <v>2</v>
      </c>
      <c r="AK193" s="20"/>
      <c r="AL193" s="20"/>
    </row>
    <row r="194" spans="1:38" x14ac:dyDescent="0.4">
      <c r="A194" s="7"/>
      <c r="B194" s="52"/>
      <c r="C194" s="24" t="s">
        <v>207</v>
      </c>
      <c r="D194" s="5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5">
        <f t="shared" si="58"/>
        <v>0</v>
      </c>
      <c r="AK194" s="20"/>
      <c r="AL194" s="20"/>
    </row>
    <row r="195" spans="1:38" x14ac:dyDescent="0.4">
      <c r="A195" s="7"/>
      <c r="B195" s="52"/>
      <c r="C195" s="24" t="s">
        <v>208</v>
      </c>
      <c r="D195" s="5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>
        <v>1</v>
      </c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5">
        <f t="shared" si="58"/>
        <v>1</v>
      </c>
      <c r="AK195" s="20"/>
      <c r="AL195" s="20"/>
    </row>
    <row r="196" spans="1:38" ht="13.15" customHeight="1" x14ac:dyDescent="0.4">
      <c r="A196" s="7"/>
      <c r="B196" s="52"/>
      <c r="C196" s="24" t="s">
        <v>209</v>
      </c>
      <c r="D196" s="5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5">
        <f t="shared" si="58"/>
        <v>0</v>
      </c>
      <c r="AK196" s="1"/>
      <c r="AL196" s="1"/>
    </row>
    <row r="197" spans="1:38" ht="13.15" customHeight="1" x14ac:dyDescent="0.4">
      <c r="A197" s="7"/>
      <c r="B197" s="52"/>
      <c r="C197" s="24" t="s">
        <v>210</v>
      </c>
      <c r="D197" s="5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5">
        <f t="shared" si="58"/>
        <v>0</v>
      </c>
      <c r="AK197" s="1"/>
      <c r="AL197" s="1"/>
    </row>
    <row r="198" spans="1:38" ht="13.15" customHeight="1" x14ac:dyDescent="0.4">
      <c r="A198" s="7"/>
      <c r="B198" s="52"/>
      <c r="C198" s="24" t="s">
        <v>211</v>
      </c>
      <c r="D198" s="5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5">
        <f t="shared" si="58"/>
        <v>0</v>
      </c>
      <c r="AK198" s="1"/>
      <c r="AL198" s="1"/>
    </row>
    <row r="199" spans="1:38" x14ac:dyDescent="0.4">
      <c r="A199" s="6" t="s">
        <v>26</v>
      </c>
      <c r="B199" s="67" t="s">
        <v>51</v>
      </c>
      <c r="C199" s="68"/>
      <c r="D199" s="69"/>
      <c r="E199" s="5">
        <f t="shared" ref="E199:AJ199" si="59">SUM(E189:E198)</f>
        <v>0</v>
      </c>
      <c r="F199" s="5">
        <f t="shared" si="59"/>
        <v>0</v>
      </c>
      <c r="G199" s="5">
        <f t="shared" si="59"/>
        <v>0</v>
      </c>
      <c r="H199" s="5">
        <f t="shared" si="59"/>
        <v>0</v>
      </c>
      <c r="I199" s="5">
        <f t="shared" si="59"/>
        <v>0</v>
      </c>
      <c r="J199" s="5">
        <f t="shared" si="59"/>
        <v>0</v>
      </c>
      <c r="K199" s="5">
        <f t="shared" si="59"/>
        <v>0</v>
      </c>
      <c r="L199" s="5">
        <f t="shared" si="59"/>
        <v>1</v>
      </c>
      <c r="M199" s="5">
        <f t="shared" si="59"/>
        <v>0</v>
      </c>
      <c r="N199" s="5">
        <f t="shared" si="59"/>
        <v>0</v>
      </c>
      <c r="O199" s="5">
        <f t="shared" si="59"/>
        <v>1</v>
      </c>
      <c r="P199" s="5">
        <f t="shared" si="59"/>
        <v>1</v>
      </c>
      <c r="Q199" s="5">
        <f t="shared" si="59"/>
        <v>0</v>
      </c>
      <c r="R199" s="5">
        <f t="shared" si="59"/>
        <v>1</v>
      </c>
      <c r="S199" s="5">
        <f t="shared" si="59"/>
        <v>0</v>
      </c>
      <c r="T199" s="5">
        <f t="shared" si="59"/>
        <v>0</v>
      </c>
      <c r="U199" s="5">
        <f t="shared" si="59"/>
        <v>0</v>
      </c>
      <c r="V199" s="5">
        <f t="shared" si="59"/>
        <v>0</v>
      </c>
      <c r="W199" s="5">
        <f t="shared" si="59"/>
        <v>1</v>
      </c>
      <c r="X199" s="5">
        <f t="shared" si="59"/>
        <v>0</v>
      </c>
      <c r="Y199" s="5">
        <f t="shared" si="59"/>
        <v>0</v>
      </c>
      <c r="Z199" s="5">
        <f t="shared" si="59"/>
        <v>0</v>
      </c>
      <c r="AA199" s="5">
        <f t="shared" si="59"/>
        <v>0</v>
      </c>
      <c r="AB199" s="5">
        <f t="shared" si="59"/>
        <v>0</v>
      </c>
      <c r="AC199" s="5">
        <f t="shared" si="59"/>
        <v>1</v>
      </c>
      <c r="AD199" s="5">
        <f t="shared" si="59"/>
        <v>0</v>
      </c>
      <c r="AE199" s="5">
        <f t="shared" si="59"/>
        <v>0</v>
      </c>
      <c r="AF199" s="5">
        <f t="shared" si="59"/>
        <v>1</v>
      </c>
      <c r="AG199" s="5">
        <f t="shared" si="59"/>
        <v>0</v>
      </c>
      <c r="AH199" s="5">
        <f t="shared" si="59"/>
        <v>1</v>
      </c>
      <c r="AI199" s="5">
        <f t="shared" si="59"/>
        <v>0</v>
      </c>
      <c r="AJ199" s="5">
        <f t="shared" si="59"/>
        <v>8</v>
      </c>
      <c r="AK199" s="27"/>
      <c r="AL199" s="27"/>
    </row>
    <row r="200" spans="1:38" x14ac:dyDescent="0.4">
      <c r="A200" s="70"/>
      <c r="B200" s="71"/>
      <c r="C200" s="71"/>
      <c r="D200" s="71"/>
      <c r="E200" s="7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20"/>
      <c r="AL200" s="20"/>
    </row>
    <row r="201" spans="1:38" x14ac:dyDescent="0.4">
      <c r="A201" s="11" t="s">
        <v>48</v>
      </c>
      <c r="B201" s="17" t="s">
        <v>73</v>
      </c>
      <c r="C201" s="73" t="s">
        <v>74</v>
      </c>
      <c r="D201" s="74"/>
      <c r="E201" s="6">
        <v>7</v>
      </c>
      <c r="F201" s="6">
        <v>8</v>
      </c>
      <c r="G201" s="6">
        <v>8</v>
      </c>
      <c r="H201" s="6">
        <v>6</v>
      </c>
      <c r="I201" s="6">
        <v>1</v>
      </c>
      <c r="J201" s="6">
        <v>6</v>
      </c>
      <c r="K201" s="6">
        <v>2</v>
      </c>
      <c r="L201" s="6">
        <v>6</v>
      </c>
      <c r="M201" s="6">
        <v>2</v>
      </c>
      <c r="N201" s="6">
        <v>5</v>
      </c>
      <c r="O201" s="6">
        <v>5</v>
      </c>
      <c r="P201" s="6">
        <v>2</v>
      </c>
      <c r="Q201" s="6">
        <v>6</v>
      </c>
      <c r="R201" s="6">
        <v>7</v>
      </c>
      <c r="S201" s="6">
        <v>5</v>
      </c>
      <c r="T201" s="6">
        <v>9</v>
      </c>
      <c r="U201" s="6">
        <v>5</v>
      </c>
      <c r="V201" s="6">
        <v>5</v>
      </c>
      <c r="W201" s="6">
        <v>2</v>
      </c>
      <c r="X201" s="6">
        <v>0</v>
      </c>
      <c r="Y201" s="6">
        <v>5</v>
      </c>
      <c r="Z201" s="6">
        <v>4</v>
      </c>
      <c r="AA201" s="6">
        <v>0</v>
      </c>
      <c r="AB201" s="6">
        <v>2</v>
      </c>
      <c r="AC201" s="6">
        <v>1</v>
      </c>
      <c r="AD201" s="6">
        <v>0</v>
      </c>
      <c r="AE201" s="6">
        <v>5</v>
      </c>
      <c r="AF201" s="6">
        <v>4</v>
      </c>
      <c r="AG201" s="6">
        <v>4</v>
      </c>
      <c r="AH201" s="6">
        <v>6</v>
      </c>
      <c r="AI201" s="6">
        <v>3</v>
      </c>
      <c r="AJ201" s="5">
        <f t="shared" si="58"/>
        <v>131</v>
      </c>
      <c r="AK201" s="20"/>
      <c r="AL201" s="20"/>
    </row>
    <row r="202" spans="1:38" x14ac:dyDescent="0.4">
      <c r="A202" s="11" t="s">
        <v>50</v>
      </c>
      <c r="B202" s="52"/>
      <c r="C202" s="24" t="s">
        <v>212</v>
      </c>
      <c r="D202" s="50"/>
      <c r="E202" s="6">
        <v>41</v>
      </c>
      <c r="F202" s="6">
        <v>26</v>
      </c>
      <c r="G202" s="6">
        <v>108</v>
      </c>
      <c r="H202" s="6">
        <v>23</v>
      </c>
      <c r="I202" s="6">
        <v>20</v>
      </c>
      <c r="J202" s="6">
        <v>4</v>
      </c>
      <c r="K202" s="6">
        <v>8</v>
      </c>
      <c r="L202" s="6">
        <v>23</v>
      </c>
      <c r="M202" s="6">
        <v>38</v>
      </c>
      <c r="N202" s="6">
        <v>30</v>
      </c>
      <c r="O202" s="6">
        <v>16</v>
      </c>
      <c r="P202" s="6">
        <v>13</v>
      </c>
      <c r="Q202" s="6">
        <v>30</v>
      </c>
      <c r="R202" s="6">
        <v>11</v>
      </c>
      <c r="S202" s="6">
        <v>15</v>
      </c>
      <c r="T202" s="6">
        <v>13</v>
      </c>
      <c r="U202" s="6">
        <v>12</v>
      </c>
      <c r="V202" s="6">
        <v>7</v>
      </c>
      <c r="W202" s="6">
        <v>10</v>
      </c>
      <c r="X202" s="6">
        <v>6</v>
      </c>
      <c r="Y202" s="6">
        <v>153</v>
      </c>
      <c r="Z202" s="6">
        <v>44</v>
      </c>
      <c r="AA202" s="6">
        <v>8</v>
      </c>
      <c r="AB202" s="6">
        <v>6</v>
      </c>
      <c r="AC202" s="6">
        <v>3</v>
      </c>
      <c r="AD202" s="6">
        <v>16</v>
      </c>
      <c r="AE202" s="6">
        <v>15</v>
      </c>
      <c r="AF202" s="6">
        <v>18</v>
      </c>
      <c r="AG202" s="6">
        <v>15</v>
      </c>
      <c r="AH202" s="6">
        <v>5</v>
      </c>
      <c r="AI202" s="6">
        <v>11</v>
      </c>
      <c r="AJ202" s="5">
        <f t="shared" si="58"/>
        <v>748</v>
      </c>
      <c r="AK202" s="20"/>
      <c r="AL202" s="20"/>
    </row>
    <row r="203" spans="1:38" x14ac:dyDescent="0.4">
      <c r="A203" s="7"/>
      <c r="B203" s="52"/>
      <c r="C203" s="24" t="s">
        <v>213</v>
      </c>
      <c r="D203" s="50"/>
      <c r="E203" s="6">
        <v>4</v>
      </c>
      <c r="F203" s="6">
        <v>3</v>
      </c>
      <c r="G203" s="6">
        <v>3</v>
      </c>
      <c r="H203" s="6">
        <v>4</v>
      </c>
      <c r="I203" s="6">
        <v>4</v>
      </c>
      <c r="J203" s="6">
        <v>1</v>
      </c>
      <c r="K203" s="6">
        <v>2</v>
      </c>
      <c r="L203" s="6">
        <v>0</v>
      </c>
      <c r="M203" s="6">
        <v>1</v>
      </c>
      <c r="N203" s="6">
        <v>0</v>
      </c>
      <c r="O203" s="6">
        <v>1</v>
      </c>
      <c r="P203" s="6">
        <v>4</v>
      </c>
      <c r="Q203" s="6">
        <v>8</v>
      </c>
      <c r="R203" s="6">
        <v>3</v>
      </c>
      <c r="S203" s="6">
        <v>8</v>
      </c>
      <c r="T203" s="6">
        <v>5</v>
      </c>
      <c r="U203" s="6">
        <v>9</v>
      </c>
      <c r="V203" s="6">
        <v>0</v>
      </c>
      <c r="W203" s="6">
        <v>2</v>
      </c>
      <c r="X203" s="6">
        <v>0</v>
      </c>
      <c r="Y203" s="6">
        <v>0</v>
      </c>
      <c r="Z203" s="6">
        <v>0</v>
      </c>
      <c r="AA203" s="6">
        <v>2</v>
      </c>
      <c r="AB203" s="6">
        <v>1</v>
      </c>
      <c r="AC203" s="6">
        <v>0</v>
      </c>
      <c r="AD203" s="6">
        <v>2</v>
      </c>
      <c r="AE203" s="6">
        <v>4</v>
      </c>
      <c r="AF203" s="6">
        <v>10</v>
      </c>
      <c r="AG203" s="6">
        <v>9</v>
      </c>
      <c r="AH203" s="6">
        <v>1</v>
      </c>
      <c r="AI203" s="6">
        <v>1</v>
      </c>
      <c r="AJ203" s="5">
        <f t="shared" si="58"/>
        <v>92</v>
      </c>
      <c r="AK203" s="20"/>
      <c r="AL203" s="20"/>
    </row>
    <row r="204" spans="1:38" x14ac:dyDescent="0.4">
      <c r="A204" s="7"/>
      <c r="B204" s="52"/>
      <c r="C204" s="24" t="s">
        <v>214</v>
      </c>
      <c r="D204" s="50"/>
      <c r="E204" s="6">
        <v>1</v>
      </c>
      <c r="F204" s="6">
        <v>0</v>
      </c>
      <c r="G204" s="6">
        <v>0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  <c r="M204" s="6">
        <v>1</v>
      </c>
      <c r="N204" s="6">
        <v>0</v>
      </c>
      <c r="O204" s="6">
        <v>1</v>
      </c>
      <c r="P204" s="6">
        <v>0</v>
      </c>
      <c r="Q204" s="6">
        <v>0</v>
      </c>
      <c r="R204" s="6">
        <v>1</v>
      </c>
      <c r="S204" s="6">
        <v>1</v>
      </c>
      <c r="T204" s="6">
        <v>0</v>
      </c>
      <c r="U204" s="6">
        <v>2</v>
      </c>
      <c r="V204" s="6">
        <v>0</v>
      </c>
      <c r="W204" s="6">
        <v>0</v>
      </c>
      <c r="X204" s="6">
        <v>0</v>
      </c>
      <c r="Y204" s="6">
        <v>0</v>
      </c>
      <c r="Z204" s="6">
        <v>1</v>
      </c>
      <c r="AA204" s="6">
        <v>1</v>
      </c>
      <c r="AB204" s="6">
        <v>1</v>
      </c>
      <c r="AC204" s="6">
        <v>0</v>
      </c>
      <c r="AD204" s="6">
        <v>0</v>
      </c>
      <c r="AE204" s="6">
        <v>1</v>
      </c>
      <c r="AF204" s="6">
        <v>1</v>
      </c>
      <c r="AG204" s="6">
        <v>0</v>
      </c>
      <c r="AH204" s="6">
        <v>1</v>
      </c>
      <c r="AI204" s="6"/>
      <c r="AJ204" s="5">
        <f t="shared" si="58"/>
        <v>14</v>
      </c>
      <c r="AK204" s="20"/>
      <c r="AL204" s="20"/>
    </row>
    <row r="205" spans="1:38" x14ac:dyDescent="0.4">
      <c r="A205" s="7"/>
      <c r="B205" s="52"/>
      <c r="C205" s="24" t="s">
        <v>215</v>
      </c>
      <c r="D205" s="50"/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0</v>
      </c>
      <c r="P205" s="6">
        <v>2</v>
      </c>
      <c r="Q205" s="6">
        <v>0</v>
      </c>
      <c r="R205" s="6">
        <v>0</v>
      </c>
      <c r="S205" s="6">
        <v>0</v>
      </c>
      <c r="T205" s="6">
        <v>1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1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/>
      <c r="AJ205" s="5">
        <f t="shared" si="58"/>
        <v>6</v>
      </c>
      <c r="AK205" s="20"/>
      <c r="AL205" s="20"/>
    </row>
    <row r="206" spans="1:38" x14ac:dyDescent="0.4">
      <c r="A206" s="7"/>
      <c r="B206" s="52"/>
      <c r="C206" s="24" t="s">
        <v>216</v>
      </c>
      <c r="D206" s="50"/>
      <c r="E206" s="6">
        <v>1</v>
      </c>
      <c r="F206" s="6">
        <v>1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1</v>
      </c>
      <c r="AI206" s="6"/>
      <c r="AJ206" s="5">
        <f t="shared" si="58"/>
        <v>3</v>
      </c>
      <c r="AK206" s="20"/>
      <c r="AL206" s="20"/>
    </row>
    <row r="207" spans="1:38" ht="13.15" customHeight="1" x14ac:dyDescent="0.4">
      <c r="A207" s="7"/>
      <c r="B207" s="52"/>
      <c r="C207" s="24" t="s">
        <v>217</v>
      </c>
      <c r="D207" s="50"/>
      <c r="E207" s="6"/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1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3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1</v>
      </c>
      <c r="AG207" s="6">
        <v>0</v>
      </c>
      <c r="AH207" s="6">
        <v>0</v>
      </c>
      <c r="AI207" s="6">
        <v>1</v>
      </c>
      <c r="AJ207" s="5">
        <f t="shared" si="58"/>
        <v>7</v>
      </c>
      <c r="AK207" s="1"/>
      <c r="AL207" s="1"/>
    </row>
    <row r="208" spans="1:38" x14ac:dyDescent="0.4">
      <c r="A208" s="7"/>
      <c r="B208" s="52"/>
      <c r="C208" s="24" t="s">
        <v>218</v>
      </c>
      <c r="D208" s="50"/>
      <c r="E208" s="6"/>
      <c r="F208" s="6">
        <v>0</v>
      </c>
      <c r="G208" s="6">
        <v>0</v>
      </c>
      <c r="H208" s="6">
        <v>1</v>
      </c>
      <c r="I208" s="6">
        <v>1</v>
      </c>
      <c r="J208" s="6">
        <v>0</v>
      </c>
      <c r="K208" s="6">
        <v>1</v>
      </c>
      <c r="L208" s="6">
        <v>2</v>
      </c>
      <c r="M208" s="6">
        <v>1</v>
      </c>
      <c r="N208" s="6">
        <v>0</v>
      </c>
      <c r="O208" s="6">
        <v>0</v>
      </c>
      <c r="P208" s="6">
        <v>0</v>
      </c>
      <c r="Q208" s="6">
        <v>0</v>
      </c>
      <c r="R208" s="6">
        <v>1</v>
      </c>
      <c r="S208" s="6">
        <v>1</v>
      </c>
      <c r="T208" s="6">
        <v>0</v>
      </c>
      <c r="U208" s="6">
        <v>1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1</v>
      </c>
      <c r="AB208" s="6">
        <v>0</v>
      </c>
      <c r="AC208" s="6">
        <v>1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/>
      <c r="AJ208" s="5">
        <f t="shared" si="58"/>
        <v>11</v>
      </c>
      <c r="AK208" s="27"/>
      <c r="AL208" s="27"/>
    </row>
    <row r="209" spans="1:38" x14ac:dyDescent="0.4">
      <c r="A209" s="7"/>
      <c r="B209" s="52"/>
      <c r="C209" s="24" t="s">
        <v>219</v>
      </c>
      <c r="D209" s="50"/>
      <c r="E209" s="6"/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/>
      <c r="AJ209" s="5">
        <f t="shared" si="58"/>
        <v>0</v>
      </c>
      <c r="AK209" s="27"/>
      <c r="AL209" s="27"/>
    </row>
    <row r="210" spans="1:38" x14ac:dyDescent="0.4">
      <c r="A210" s="7"/>
      <c r="B210" s="52"/>
      <c r="C210" s="24" t="s">
        <v>220</v>
      </c>
      <c r="D210" s="50"/>
      <c r="E210" s="6"/>
      <c r="F210" s="6">
        <v>1</v>
      </c>
      <c r="G210" s="6">
        <v>0</v>
      </c>
      <c r="H210" s="6">
        <v>0</v>
      </c>
      <c r="I210" s="6">
        <v>3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1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1</v>
      </c>
      <c r="AF210" s="6">
        <v>0</v>
      </c>
      <c r="AG210" s="6">
        <v>0</v>
      </c>
      <c r="AH210" s="6">
        <v>0</v>
      </c>
      <c r="AI210" s="6"/>
      <c r="AJ210" s="5">
        <f t="shared" si="58"/>
        <v>6</v>
      </c>
      <c r="AK210" s="27"/>
      <c r="AL210" s="27"/>
    </row>
    <row r="211" spans="1:38" x14ac:dyDescent="0.4">
      <c r="A211" s="6" t="s">
        <v>26</v>
      </c>
      <c r="B211" s="67" t="s">
        <v>51</v>
      </c>
      <c r="C211" s="68"/>
      <c r="D211" s="69"/>
      <c r="E211" s="5">
        <f t="shared" ref="E211:AJ211" si="60">SUM(E201:E210)</f>
        <v>55</v>
      </c>
      <c r="F211" s="5">
        <f t="shared" si="60"/>
        <v>39</v>
      </c>
      <c r="G211" s="5">
        <f t="shared" si="60"/>
        <v>119</v>
      </c>
      <c r="H211" s="5">
        <f t="shared" si="60"/>
        <v>34</v>
      </c>
      <c r="I211" s="5">
        <f t="shared" si="60"/>
        <v>30</v>
      </c>
      <c r="J211" s="5">
        <f t="shared" si="60"/>
        <v>11</v>
      </c>
      <c r="K211" s="5">
        <f t="shared" si="60"/>
        <v>14</v>
      </c>
      <c r="L211" s="5">
        <f t="shared" si="60"/>
        <v>31</v>
      </c>
      <c r="M211" s="5">
        <f t="shared" si="60"/>
        <v>43</v>
      </c>
      <c r="N211" s="5">
        <f t="shared" si="60"/>
        <v>36</v>
      </c>
      <c r="O211" s="5">
        <f t="shared" si="60"/>
        <v>23</v>
      </c>
      <c r="P211" s="5">
        <f t="shared" si="60"/>
        <v>21</v>
      </c>
      <c r="Q211" s="5">
        <f t="shared" si="60"/>
        <v>44</v>
      </c>
      <c r="R211" s="5">
        <f t="shared" si="60"/>
        <v>24</v>
      </c>
      <c r="S211" s="5">
        <f t="shared" si="60"/>
        <v>33</v>
      </c>
      <c r="T211" s="5">
        <f t="shared" si="60"/>
        <v>29</v>
      </c>
      <c r="U211" s="5">
        <f t="shared" si="60"/>
        <v>29</v>
      </c>
      <c r="V211" s="5">
        <f t="shared" si="60"/>
        <v>12</v>
      </c>
      <c r="W211" s="5">
        <f t="shared" si="60"/>
        <v>14</v>
      </c>
      <c r="X211" s="5">
        <f t="shared" si="60"/>
        <v>6</v>
      </c>
      <c r="Y211" s="5">
        <f t="shared" si="60"/>
        <v>158</v>
      </c>
      <c r="Z211" s="5">
        <f t="shared" si="60"/>
        <v>49</v>
      </c>
      <c r="AA211" s="5">
        <f t="shared" si="60"/>
        <v>12</v>
      </c>
      <c r="AB211" s="5">
        <f t="shared" si="60"/>
        <v>11</v>
      </c>
      <c r="AC211" s="5">
        <f t="shared" si="60"/>
        <v>5</v>
      </c>
      <c r="AD211" s="5">
        <f t="shared" si="60"/>
        <v>18</v>
      </c>
      <c r="AE211" s="5">
        <f t="shared" si="60"/>
        <v>26</v>
      </c>
      <c r="AF211" s="5">
        <f t="shared" si="60"/>
        <v>34</v>
      </c>
      <c r="AG211" s="5">
        <f t="shared" si="60"/>
        <v>28</v>
      </c>
      <c r="AH211" s="5">
        <f t="shared" si="60"/>
        <v>14</v>
      </c>
      <c r="AI211" s="5">
        <f t="shared" si="60"/>
        <v>16</v>
      </c>
      <c r="AJ211" s="5">
        <f t="shared" si="60"/>
        <v>1018</v>
      </c>
      <c r="AK211" s="20"/>
      <c r="AL211" s="20"/>
    </row>
    <row r="212" spans="1:38" x14ac:dyDescent="0.4">
      <c r="A212" s="70"/>
      <c r="B212" s="71"/>
      <c r="C212" s="71"/>
      <c r="D212" s="71"/>
      <c r="E212" s="7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20"/>
      <c r="AL212" s="20"/>
    </row>
    <row r="213" spans="1:38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2</v>
      </c>
      <c r="G213" s="6">
        <v>2</v>
      </c>
      <c r="H213" s="6">
        <v>2</v>
      </c>
      <c r="I213" s="6">
        <v>1</v>
      </c>
      <c r="J213" s="6">
        <v>1</v>
      </c>
      <c r="K213" s="6">
        <v>3</v>
      </c>
      <c r="L213" s="6">
        <v>1</v>
      </c>
      <c r="M213" s="6">
        <v>3</v>
      </c>
      <c r="N213" s="6">
        <v>1</v>
      </c>
      <c r="O213" s="6">
        <v>2</v>
      </c>
      <c r="P213" s="6">
        <v>1</v>
      </c>
      <c r="Q213" s="6">
        <v>2</v>
      </c>
      <c r="R213" s="6">
        <v>5</v>
      </c>
      <c r="S213" s="6">
        <v>7</v>
      </c>
      <c r="T213" s="6">
        <v>5</v>
      </c>
      <c r="U213" s="6">
        <v>1</v>
      </c>
      <c r="V213" s="6">
        <v>1</v>
      </c>
      <c r="W213" s="6">
        <v>7</v>
      </c>
      <c r="X213" s="6">
        <v>2</v>
      </c>
      <c r="Y213" s="6">
        <v>0</v>
      </c>
      <c r="Z213" s="6">
        <v>1</v>
      </c>
      <c r="AA213" s="6">
        <v>0</v>
      </c>
      <c r="AB213" s="6">
        <v>0</v>
      </c>
      <c r="AC213" s="6">
        <v>0</v>
      </c>
      <c r="AD213" s="6">
        <v>1</v>
      </c>
      <c r="AE213" s="6">
        <v>0</v>
      </c>
      <c r="AF213" s="6">
        <v>1</v>
      </c>
      <c r="AG213" s="6">
        <v>1</v>
      </c>
      <c r="AH213" s="6">
        <v>5</v>
      </c>
      <c r="AI213" s="6">
        <v>3</v>
      </c>
      <c r="AJ213" s="5">
        <f>SUM(E213:AI213)</f>
        <v>61</v>
      </c>
      <c r="AK213" s="20"/>
      <c r="AL213" s="20"/>
    </row>
    <row r="214" spans="1:38" x14ac:dyDescent="0.4">
      <c r="A214" s="11" t="s">
        <v>50</v>
      </c>
      <c r="B214" s="52"/>
      <c r="C214" s="24" t="s">
        <v>221</v>
      </c>
      <c r="D214" s="53"/>
      <c r="E214" s="6">
        <v>0</v>
      </c>
      <c r="F214" s="6">
        <v>0</v>
      </c>
      <c r="G214" s="6">
        <v>3</v>
      </c>
      <c r="H214" s="6">
        <v>0</v>
      </c>
      <c r="I214" s="6">
        <v>0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1</v>
      </c>
      <c r="P214" s="6">
        <v>2</v>
      </c>
      <c r="Q214" s="6">
        <v>0</v>
      </c>
      <c r="R214" s="6">
        <v>1</v>
      </c>
      <c r="S214" s="6">
        <v>2</v>
      </c>
      <c r="T214" s="6">
        <v>0</v>
      </c>
      <c r="U214" s="6">
        <v>3</v>
      </c>
      <c r="V214" s="6">
        <v>0</v>
      </c>
      <c r="W214" s="6">
        <v>1</v>
      </c>
      <c r="X214" s="6">
        <v>0</v>
      </c>
      <c r="Y214" s="6">
        <v>0</v>
      </c>
      <c r="Z214" s="6">
        <v>2</v>
      </c>
      <c r="AA214" s="6">
        <v>1</v>
      </c>
      <c r="AB214" s="6">
        <v>0</v>
      </c>
      <c r="AC214" s="6">
        <v>0</v>
      </c>
      <c r="AD214" s="6">
        <v>0</v>
      </c>
      <c r="AE214" s="6">
        <v>3</v>
      </c>
      <c r="AF214" s="6">
        <v>2</v>
      </c>
      <c r="AG214" s="6">
        <v>2</v>
      </c>
      <c r="AH214" s="6">
        <v>0</v>
      </c>
      <c r="AI214" s="6"/>
      <c r="AJ214" s="5">
        <f>SUM(E214:AI214)</f>
        <v>26</v>
      </c>
      <c r="AK214" s="20"/>
      <c r="AL214" s="20"/>
    </row>
    <row r="215" spans="1:38" x14ac:dyDescent="0.4">
      <c r="A215" s="7"/>
      <c r="B215" s="52"/>
      <c r="C215" s="24" t="s">
        <v>222</v>
      </c>
      <c r="D215" s="53"/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1</v>
      </c>
      <c r="S215" s="6">
        <v>1</v>
      </c>
      <c r="T215" s="6">
        <v>1</v>
      </c>
      <c r="U215" s="6">
        <v>0</v>
      </c>
      <c r="V215" s="6">
        <v>1</v>
      </c>
      <c r="W215" s="6">
        <v>0</v>
      </c>
      <c r="X215" s="6">
        <v>0</v>
      </c>
      <c r="Y215" s="6">
        <v>0</v>
      </c>
      <c r="Z215" s="6">
        <v>0</v>
      </c>
      <c r="AA215" s="6">
        <v>2</v>
      </c>
      <c r="AB215" s="6">
        <v>0</v>
      </c>
      <c r="AC215" s="6">
        <v>1</v>
      </c>
      <c r="AD215" s="6">
        <v>1</v>
      </c>
      <c r="AE215" s="6">
        <v>3</v>
      </c>
      <c r="AF215" s="6">
        <v>1</v>
      </c>
      <c r="AG215" s="6">
        <v>1</v>
      </c>
      <c r="AH215" s="6">
        <v>2</v>
      </c>
      <c r="AI215" s="6"/>
      <c r="AJ215" s="5">
        <f>SUM(E215:AI215)</f>
        <v>17</v>
      </c>
      <c r="AK215" s="20"/>
      <c r="AL215" s="20"/>
    </row>
    <row r="216" spans="1:38" x14ac:dyDescent="0.4">
      <c r="A216" s="7"/>
      <c r="B216" s="52"/>
      <c r="C216" s="24" t="s">
        <v>223</v>
      </c>
      <c r="E216" s="6">
        <v>0</v>
      </c>
      <c r="F216" s="6">
        <v>1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3</v>
      </c>
      <c r="S216" s="6">
        <v>0</v>
      </c>
      <c r="T216" s="6">
        <v>0</v>
      </c>
      <c r="U216" s="6">
        <v>2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/>
      <c r="AJ216" s="5">
        <f>SUM(E216:AI216)</f>
        <v>6</v>
      </c>
      <c r="AK216" s="20"/>
      <c r="AL216" s="20"/>
    </row>
    <row r="217" spans="1:38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49"/>
      <c r="AK217" s="20"/>
      <c r="AL217" s="20"/>
    </row>
    <row r="218" spans="1:38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49"/>
      <c r="AK218" s="1"/>
      <c r="AL218" s="1"/>
    </row>
    <row r="219" spans="1:38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49"/>
      <c r="AK219" s="27"/>
      <c r="AL219" s="27"/>
    </row>
    <row r="220" spans="1:38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49"/>
      <c r="AK220" s="20"/>
      <c r="AL220" s="20"/>
    </row>
    <row r="221" spans="1:38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49"/>
      <c r="AK221" s="20"/>
      <c r="AL221" s="20"/>
    </row>
    <row r="222" spans="1:38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49"/>
      <c r="AK222" s="20"/>
      <c r="AL222" s="20"/>
    </row>
    <row r="223" spans="1:38" x14ac:dyDescent="0.4">
      <c r="A223" s="6" t="s">
        <v>26</v>
      </c>
      <c r="B223" s="67" t="s">
        <v>51</v>
      </c>
      <c r="C223" s="68"/>
      <c r="D223" s="69"/>
      <c r="E223" s="5">
        <f t="shared" ref="E223:AJ223" si="61">SUM(E213:E222)</f>
        <v>0</v>
      </c>
      <c r="F223" s="5">
        <f t="shared" si="61"/>
        <v>3</v>
      </c>
      <c r="G223" s="5">
        <f t="shared" si="61"/>
        <v>5</v>
      </c>
      <c r="H223" s="5">
        <f t="shared" si="61"/>
        <v>2</v>
      </c>
      <c r="I223" s="5">
        <f t="shared" si="61"/>
        <v>1</v>
      </c>
      <c r="J223" s="5">
        <f t="shared" si="61"/>
        <v>2</v>
      </c>
      <c r="K223" s="5">
        <f t="shared" si="61"/>
        <v>3</v>
      </c>
      <c r="L223" s="5">
        <f t="shared" si="61"/>
        <v>2</v>
      </c>
      <c r="M223" s="5">
        <f t="shared" si="61"/>
        <v>3</v>
      </c>
      <c r="N223" s="5">
        <f t="shared" si="61"/>
        <v>3</v>
      </c>
      <c r="O223" s="5">
        <f t="shared" si="61"/>
        <v>3</v>
      </c>
      <c r="P223" s="5">
        <f t="shared" si="61"/>
        <v>3</v>
      </c>
      <c r="Q223" s="5">
        <f t="shared" si="61"/>
        <v>3</v>
      </c>
      <c r="R223" s="5">
        <f t="shared" si="61"/>
        <v>10</v>
      </c>
      <c r="S223" s="5">
        <f t="shared" si="61"/>
        <v>10</v>
      </c>
      <c r="T223" s="5">
        <f t="shared" si="61"/>
        <v>6</v>
      </c>
      <c r="U223" s="5">
        <f t="shared" si="61"/>
        <v>6</v>
      </c>
      <c r="V223" s="5">
        <f t="shared" si="61"/>
        <v>2</v>
      </c>
      <c r="W223" s="5">
        <f t="shared" si="61"/>
        <v>8</v>
      </c>
      <c r="X223" s="5">
        <f t="shared" si="61"/>
        <v>2</v>
      </c>
      <c r="Y223" s="5">
        <f t="shared" si="61"/>
        <v>0</v>
      </c>
      <c r="Z223" s="5">
        <f t="shared" si="61"/>
        <v>3</v>
      </c>
      <c r="AA223" s="5">
        <f t="shared" si="61"/>
        <v>3</v>
      </c>
      <c r="AB223" s="5">
        <f t="shared" si="61"/>
        <v>0</v>
      </c>
      <c r="AC223" s="5">
        <f t="shared" si="61"/>
        <v>1</v>
      </c>
      <c r="AD223" s="5">
        <f t="shared" si="61"/>
        <v>2</v>
      </c>
      <c r="AE223" s="5">
        <f t="shared" si="61"/>
        <v>6</v>
      </c>
      <c r="AF223" s="5">
        <f t="shared" si="61"/>
        <v>4</v>
      </c>
      <c r="AG223" s="5">
        <f t="shared" si="61"/>
        <v>4</v>
      </c>
      <c r="AH223" s="5">
        <f t="shared" si="61"/>
        <v>7</v>
      </c>
      <c r="AI223" s="5">
        <f t="shared" si="61"/>
        <v>3</v>
      </c>
      <c r="AJ223" s="5">
        <f t="shared" si="61"/>
        <v>110</v>
      </c>
      <c r="AK223" s="20"/>
      <c r="AL223" s="20"/>
    </row>
    <row r="224" spans="1:38" x14ac:dyDescent="0.4">
      <c r="A224" s="70"/>
      <c r="B224" s="71"/>
      <c r="C224" s="71"/>
      <c r="D224" s="71"/>
      <c r="E224" s="7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20"/>
      <c r="AL224" s="20"/>
    </row>
    <row r="225" spans="1:38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1</v>
      </c>
      <c r="I225" s="6">
        <v>1</v>
      </c>
      <c r="J225" s="6">
        <v>3</v>
      </c>
      <c r="K225" s="6">
        <v>2</v>
      </c>
      <c r="L225" s="6">
        <v>1</v>
      </c>
      <c r="M225" s="6">
        <v>1</v>
      </c>
      <c r="N225" s="6">
        <v>1</v>
      </c>
      <c r="O225" s="6">
        <v>0</v>
      </c>
      <c r="P225" s="6">
        <v>0</v>
      </c>
      <c r="Q225" s="6">
        <v>0</v>
      </c>
      <c r="R225" s="6">
        <v>1</v>
      </c>
      <c r="S225" s="6">
        <v>4</v>
      </c>
      <c r="T225" s="6">
        <v>0</v>
      </c>
      <c r="U225" s="6">
        <v>0</v>
      </c>
      <c r="V225" s="6">
        <v>0</v>
      </c>
      <c r="W225" s="6">
        <v>1</v>
      </c>
      <c r="X225" s="6">
        <v>1</v>
      </c>
      <c r="Y225" s="6">
        <v>0</v>
      </c>
      <c r="Z225" s="6">
        <v>0</v>
      </c>
      <c r="AA225" s="6">
        <v>1</v>
      </c>
      <c r="AB225" s="6">
        <v>0</v>
      </c>
      <c r="AC225" s="6">
        <v>1</v>
      </c>
      <c r="AD225" s="6">
        <v>1</v>
      </c>
      <c r="AE225" s="6">
        <v>0</v>
      </c>
      <c r="AF225" s="6">
        <v>0</v>
      </c>
      <c r="AG225" s="6">
        <v>0</v>
      </c>
      <c r="AH225" s="6">
        <v>0</v>
      </c>
      <c r="AI225" s="6"/>
      <c r="AJ225" s="5">
        <f>SUM(E225:AI225)</f>
        <v>20</v>
      </c>
      <c r="AK225" s="20"/>
      <c r="AL225" s="20"/>
    </row>
    <row r="226" spans="1:38" x14ac:dyDescent="0.4">
      <c r="A226" s="11" t="s">
        <v>50</v>
      </c>
      <c r="B226" s="52"/>
      <c r="C226" s="24" t="s">
        <v>224</v>
      </c>
      <c r="D226" s="50"/>
      <c r="E226" s="6">
        <v>0</v>
      </c>
      <c r="F226" s="6">
        <v>0</v>
      </c>
      <c r="G226" s="6">
        <v>2</v>
      </c>
      <c r="H226" s="6">
        <v>9</v>
      </c>
      <c r="I226" s="6">
        <v>3</v>
      </c>
      <c r="J226" s="6">
        <v>4</v>
      </c>
      <c r="K226" s="6">
        <v>2</v>
      </c>
      <c r="L226" s="6">
        <v>9</v>
      </c>
      <c r="M226" s="6">
        <v>14</v>
      </c>
      <c r="N226" s="6">
        <v>2</v>
      </c>
      <c r="O226" s="6">
        <v>3</v>
      </c>
      <c r="P226" s="6">
        <v>3</v>
      </c>
      <c r="Q226" s="6">
        <v>5</v>
      </c>
      <c r="R226" s="6">
        <v>0</v>
      </c>
      <c r="S226" s="6">
        <v>1</v>
      </c>
      <c r="T226" s="6">
        <v>0</v>
      </c>
      <c r="U226" s="6">
        <v>0</v>
      </c>
      <c r="V226" s="6">
        <v>0</v>
      </c>
      <c r="W226" s="6">
        <v>8</v>
      </c>
      <c r="X226" s="6">
        <v>5</v>
      </c>
      <c r="Y226" s="6">
        <v>0</v>
      </c>
      <c r="Z226" s="6">
        <v>1</v>
      </c>
      <c r="AA226" s="6">
        <v>1</v>
      </c>
      <c r="AB226" s="6">
        <v>2</v>
      </c>
      <c r="AC226" s="6">
        <v>1</v>
      </c>
      <c r="AD226" s="6">
        <v>14</v>
      </c>
      <c r="AE226" s="6">
        <v>2</v>
      </c>
      <c r="AF226" s="6">
        <v>0</v>
      </c>
      <c r="AG226" s="6">
        <v>0</v>
      </c>
      <c r="AH226" s="6">
        <v>1</v>
      </c>
      <c r="AI226" s="6">
        <v>1</v>
      </c>
      <c r="AJ226" s="5">
        <f>SUM(E226:AI226)</f>
        <v>93</v>
      </c>
      <c r="AK226" s="20"/>
      <c r="AL226" s="20"/>
    </row>
    <row r="227" spans="1:38" x14ac:dyDescent="0.4">
      <c r="A227" s="7"/>
      <c r="B227" s="52"/>
      <c r="C227" s="24" t="s">
        <v>225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6">
        <v>1</v>
      </c>
      <c r="M227" s="6">
        <v>0</v>
      </c>
      <c r="N227" s="6">
        <v>1</v>
      </c>
      <c r="O227" s="6">
        <v>0</v>
      </c>
      <c r="P227" s="6">
        <v>0</v>
      </c>
      <c r="Q227" s="6">
        <v>0</v>
      </c>
      <c r="R227" s="6">
        <v>0</v>
      </c>
      <c r="S227" s="6">
        <v>1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1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1</v>
      </c>
      <c r="AJ227" s="5">
        <f>SUM(E227:AI227)</f>
        <v>6</v>
      </c>
      <c r="AK227" s="20"/>
      <c r="AL227" s="20"/>
    </row>
    <row r="228" spans="1:38" x14ac:dyDescent="0.4">
      <c r="A228" s="7"/>
      <c r="B228" s="52"/>
      <c r="C228" s="24" t="s">
        <v>226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1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1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1</v>
      </c>
      <c r="AE228" s="6">
        <v>1</v>
      </c>
      <c r="AF228" s="6">
        <v>0</v>
      </c>
      <c r="AG228" s="6">
        <v>0</v>
      </c>
      <c r="AH228" s="6">
        <v>0</v>
      </c>
      <c r="AI228" s="6"/>
      <c r="AJ228" s="5">
        <f>SUM(E228:AI228)</f>
        <v>4</v>
      </c>
      <c r="AK228" s="20"/>
      <c r="AL228" s="20"/>
    </row>
    <row r="229" spans="1:38" ht="13.15" customHeight="1" x14ac:dyDescent="0.4">
      <c r="A229" s="7"/>
      <c r="B229" s="52"/>
      <c r="C229" s="24" t="s">
        <v>227</v>
      </c>
      <c r="D229" s="50"/>
      <c r="E229" s="6">
        <v>1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>
        <v>1</v>
      </c>
      <c r="Q229" s="6">
        <v>0</v>
      </c>
      <c r="R229" s="6">
        <v>1</v>
      </c>
      <c r="S229" s="6">
        <v>0</v>
      </c>
      <c r="T229" s="6">
        <v>1</v>
      </c>
      <c r="U229" s="6">
        <v>0</v>
      </c>
      <c r="V229" s="6">
        <v>0</v>
      </c>
      <c r="W229" s="6">
        <v>0</v>
      </c>
      <c r="X229" s="6">
        <v>1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3</v>
      </c>
      <c r="AG229" s="6">
        <v>0</v>
      </c>
      <c r="AH229" s="6">
        <v>0</v>
      </c>
      <c r="AI229" s="6"/>
      <c r="AJ229" s="5">
        <f>SUM(E229:AI229)</f>
        <v>10</v>
      </c>
      <c r="AK229" s="1"/>
      <c r="AL229" s="1"/>
    </row>
    <row r="230" spans="1:38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49"/>
      <c r="AK230" s="27"/>
      <c r="AL230" s="27"/>
    </row>
    <row r="231" spans="1:38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49"/>
      <c r="AK231" s="20"/>
      <c r="AL231" s="20"/>
    </row>
    <row r="232" spans="1:38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49"/>
      <c r="AK232" s="20"/>
      <c r="AL232" s="20"/>
    </row>
    <row r="233" spans="1:38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49"/>
      <c r="AK233" s="20"/>
      <c r="AL233" s="20"/>
    </row>
    <row r="234" spans="1:38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49"/>
      <c r="AK234" s="20"/>
      <c r="AL234" s="20"/>
    </row>
    <row r="235" spans="1:38" x14ac:dyDescent="0.4">
      <c r="A235" s="6" t="s">
        <v>26</v>
      </c>
      <c r="B235" s="67" t="s">
        <v>51</v>
      </c>
      <c r="C235" s="68"/>
      <c r="D235" s="69"/>
      <c r="E235" s="5">
        <f t="shared" ref="E235:AJ235" si="62">SUM(E225:E234)</f>
        <v>1</v>
      </c>
      <c r="F235" s="5">
        <f t="shared" si="62"/>
        <v>0</v>
      </c>
      <c r="G235" s="5">
        <f t="shared" si="62"/>
        <v>2</v>
      </c>
      <c r="H235" s="5">
        <f t="shared" si="62"/>
        <v>10</v>
      </c>
      <c r="I235" s="5">
        <f t="shared" si="62"/>
        <v>4</v>
      </c>
      <c r="J235" s="5">
        <f t="shared" si="62"/>
        <v>8</v>
      </c>
      <c r="K235" s="5">
        <f t="shared" si="62"/>
        <v>5</v>
      </c>
      <c r="L235" s="5">
        <f t="shared" si="62"/>
        <v>11</v>
      </c>
      <c r="M235" s="5">
        <f t="shared" si="62"/>
        <v>15</v>
      </c>
      <c r="N235" s="5">
        <f t="shared" si="62"/>
        <v>6</v>
      </c>
      <c r="O235" s="5">
        <f t="shared" si="62"/>
        <v>3</v>
      </c>
      <c r="P235" s="5">
        <f t="shared" si="62"/>
        <v>4</v>
      </c>
      <c r="Q235" s="5">
        <f t="shared" si="62"/>
        <v>5</v>
      </c>
      <c r="R235" s="5">
        <f t="shared" si="62"/>
        <v>2</v>
      </c>
      <c r="S235" s="5">
        <f t="shared" si="62"/>
        <v>6</v>
      </c>
      <c r="T235" s="5">
        <f t="shared" si="62"/>
        <v>1</v>
      </c>
      <c r="U235" s="5">
        <f t="shared" si="62"/>
        <v>0</v>
      </c>
      <c r="V235" s="5">
        <f t="shared" si="62"/>
        <v>1</v>
      </c>
      <c r="W235" s="5">
        <f t="shared" si="62"/>
        <v>9</v>
      </c>
      <c r="X235" s="5">
        <f t="shared" si="62"/>
        <v>7</v>
      </c>
      <c r="Y235" s="5">
        <f t="shared" si="62"/>
        <v>1</v>
      </c>
      <c r="Z235" s="5">
        <f t="shared" si="62"/>
        <v>1</v>
      </c>
      <c r="AA235" s="5">
        <f t="shared" si="62"/>
        <v>2</v>
      </c>
      <c r="AB235" s="5">
        <f t="shared" si="62"/>
        <v>2</v>
      </c>
      <c r="AC235" s="5">
        <f t="shared" si="62"/>
        <v>2</v>
      </c>
      <c r="AD235" s="5">
        <f t="shared" si="62"/>
        <v>16</v>
      </c>
      <c r="AE235" s="5">
        <f t="shared" si="62"/>
        <v>3</v>
      </c>
      <c r="AF235" s="5">
        <f t="shared" si="62"/>
        <v>3</v>
      </c>
      <c r="AG235" s="5">
        <f t="shared" si="62"/>
        <v>0</v>
      </c>
      <c r="AH235" s="5">
        <f t="shared" si="62"/>
        <v>1</v>
      </c>
      <c r="AI235" s="5">
        <f t="shared" si="62"/>
        <v>2</v>
      </c>
      <c r="AJ235" s="5">
        <f t="shared" si="62"/>
        <v>133</v>
      </c>
      <c r="AK235" s="20"/>
      <c r="AL235" s="20"/>
    </row>
    <row r="236" spans="1:38" x14ac:dyDescent="0.4">
      <c r="A236" s="70"/>
      <c r="B236" s="71"/>
      <c r="C236" s="71"/>
      <c r="D236" s="71"/>
      <c r="E236" s="7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20"/>
      <c r="AL236" s="20"/>
    </row>
    <row r="237" spans="1:38" x14ac:dyDescent="0.4">
      <c r="A237" s="11" t="s">
        <v>48</v>
      </c>
      <c r="B237" s="17" t="s">
        <v>79</v>
      </c>
      <c r="C237" s="73" t="s">
        <v>80</v>
      </c>
      <c r="D237" s="74"/>
      <c r="E237" s="6">
        <v>2</v>
      </c>
      <c r="F237" s="6">
        <v>0</v>
      </c>
      <c r="G237" s="6">
        <v>0</v>
      </c>
      <c r="H237" s="6">
        <v>1</v>
      </c>
      <c r="I237" s="6">
        <v>0</v>
      </c>
      <c r="J237" s="6">
        <v>7</v>
      </c>
      <c r="K237" s="6">
        <v>0</v>
      </c>
      <c r="L237" s="6">
        <v>0</v>
      </c>
      <c r="M237" s="6">
        <v>2</v>
      </c>
      <c r="N237" s="6">
        <v>0</v>
      </c>
      <c r="O237" s="6">
        <v>1</v>
      </c>
      <c r="P237" s="6">
        <v>0</v>
      </c>
      <c r="Q237" s="6">
        <v>1</v>
      </c>
      <c r="R237" s="6">
        <v>0</v>
      </c>
      <c r="S237" s="6">
        <v>0</v>
      </c>
      <c r="T237" s="6">
        <v>1</v>
      </c>
      <c r="U237" s="6">
        <v>4</v>
      </c>
      <c r="V237" s="6">
        <v>0</v>
      </c>
      <c r="W237" s="6">
        <v>1</v>
      </c>
      <c r="X237" s="6">
        <v>0</v>
      </c>
      <c r="Y237" s="6">
        <v>0</v>
      </c>
      <c r="Z237" s="6">
        <v>1</v>
      </c>
      <c r="AA237" s="6">
        <v>1</v>
      </c>
      <c r="AB237" s="6">
        <v>0</v>
      </c>
      <c r="AC237" s="6">
        <v>3</v>
      </c>
      <c r="AD237" s="6">
        <v>3</v>
      </c>
      <c r="AE237" s="6">
        <v>2</v>
      </c>
      <c r="AF237" s="6">
        <v>2</v>
      </c>
      <c r="AG237" s="6">
        <v>0</v>
      </c>
      <c r="AH237" s="6">
        <v>3</v>
      </c>
      <c r="AI237" s="6">
        <v>5</v>
      </c>
      <c r="AJ237" s="5">
        <f t="shared" ref="AJ237:AJ246" si="63">SUM(E237:AI237)</f>
        <v>40</v>
      </c>
      <c r="AK237" s="20"/>
      <c r="AL237" s="20"/>
    </row>
    <row r="238" spans="1:38" x14ac:dyDescent="0.4">
      <c r="A238" s="11" t="s">
        <v>50</v>
      </c>
      <c r="B238" s="52"/>
      <c r="C238" s="24" t="s">
        <v>228</v>
      </c>
      <c r="D238" s="50"/>
      <c r="E238" s="6">
        <v>4</v>
      </c>
      <c r="F238" s="6">
        <v>14</v>
      </c>
      <c r="G238" s="6">
        <v>1</v>
      </c>
      <c r="H238" s="6">
        <v>1</v>
      </c>
      <c r="I238" s="6">
        <v>0</v>
      </c>
      <c r="J238" s="6">
        <v>11</v>
      </c>
      <c r="K238" s="6">
        <v>3</v>
      </c>
      <c r="L238" s="6">
        <v>1</v>
      </c>
      <c r="M238" s="6">
        <v>9</v>
      </c>
      <c r="N238" s="6">
        <v>1</v>
      </c>
      <c r="O238" s="6">
        <v>0</v>
      </c>
      <c r="P238" s="6">
        <v>1</v>
      </c>
      <c r="Q238" s="6">
        <v>0</v>
      </c>
      <c r="R238" s="6">
        <v>1</v>
      </c>
      <c r="S238" s="6">
        <v>0</v>
      </c>
      <c r="T238" s="6">
        <v>0</v>
      </c>
      <c r="U238" s="6">
        <v>2</v>
      </c>
      <c r="V238" s="6">
        <v>0</v>
      </c>
      <c r="W238" s="6">
        <v>0</v>
      </c>
      <c r="X238" s="6">
        <v>5</v>
      </c>
      <c r="Y238" s="6">
        <v>0</v>
      </c>
      <c r="Z238" s="6">
        <v>1</v>
      </c>
      <c r="AA238" s="6">
        <v>0</v>
      </c>
      <c r="AB238" s="6">
        <v>1</v>
      </c>
      <c r="AC238" s="6">
        <v>81</v>
      </c>
      <c r="AD238" s="6">
        <v>13</v>
      </c>
      <c r="AE238" s="6">
        <v>3</v>
      </c>
      <c r="AF238" s="6">
        <v>9</v>
      </c>
      <c r="AG238" s="6">
        <v>0</v>
      </c>
      <c r="AH238" s="6">
        <v>0</v>
      </c>
      <c r="AI238" s="6">
        <v>10</v>
      </c>
      <c r="AJ238" s="5">
        <f t="shared" si="63"/>
        <v>172</v>
      </c>
      <c r="AK238" s="20"/>
      <c r="AL238" s="20"/>
    </row>
    <row r="239" spans="1:38" x14ac:dyDescent="0.4">
      <c r="A239" s="7"/>
      <c r="B239" s="52"/>
      <c r="C239" s="24" t="s">
        <v>229</v>
      </c>
      <c r="D239" s="50"/>
      <c r="E239" s="6">
        <v>0</v>
      </c>
      <c r="F239" s="6">
        <v>0</v>
      </c>
      <c r="G239" s="6">
        <v>0</v>
      </c>
      <c r="H239" s="6">
        <v>0</v>
      </c>
      <c r="I239" s="6">
        <v>7</v>
      </c>
      <c r="J239" s="6">
        <v>3</v>
      </c>
      <c r="K239" s="6">
        <v>3</v>
      </c>
      <c r="L239" s="6">
        <v>0</v>
      </c>
      <c r="M239" s="6">
        <v>3</v>
      </c>
      <c r="N239" s="6">
        <v>0</v>
      </c>
      <c r="O239" s="6">
        <v>7</v>
      </c>
      <c r="P239" s="6">
        <v>1</v>
      </c>
      <c r="Q239" s="6">
        <v>5</v>
      </c>
      <c r="R239" s="6">
        <v>6</v>
      </c>
      <c r="S239" s="6">
        <v>0</v>
      </c>
      <c r="T239" s="6">
        <v>0</v>
      </c>
      <c r="U239" s="6">
        <v>8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1</v>
      </c>
      <c r="AC239" s="6">
        <v>0</v>
      </c>
      <c r="AD239" s="6">
        <v>0</v>
      </c>
      <c r="AE239" s="6">
        <v>1</v>
      </c>
      <c r="AF239" s="6">
        <v>0</v>
      </c>
      <c r="AG239" s="6">
        <v>0</v>
      </c>
      <c r="AH239" s="6">
        <v>8</v>
      </c>
      <c r="AI239" s="6"/>
      <c r="AJ239" s="5">
        <f t="shared" si="63"/>
        <v>53</v>
      </c>
      <c r="AK239" s="20"/>
      <c r="AL239" s="20"/>
    </row>
    <row r="240" spans="1:38" ht="13.15" customHeight="1" x14ac:dyDescent="0.4">
      <c r="A240" s="7"/>
      <c r="B240" s="52"/>
      <c r="C240" s="24" t="s">
        <v>230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1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/>
      <c r="AJ240" s="5">
        <f t="shared" si="63"/>
        <v>1</v>
      </c>
      <c r="AK240" s="1"/>
      <c r="AL240" s="1"/>
    </row>
    <row r="241" spans="1:36" x14ac:dyDescent="0.4">
      <c r="A241" s="7"/>
      <c r="B241" s="52"/>
      <c r="C241" s="24" t="s">
        <v>231</v>
      </c>
      <c r="D241" s="50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1</v>
      </c>
      <c r="K241" s="6">
        <v>0</v>
      </c>
      <c r="L241" s="6">
        <v>1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1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1</v>
      </c>
      <c r="AE241" s="6">
        <v>1</v>
      </c>
      <c r="AF241" s="6">
        <v>0</v>
      </c>
      <c r="AG241" s="6">
        <v>1</v>
      </c>
      <c r="AH241" s="6">
        <v>0</v>
      </c>
      <c r="AI241" s="6">
        <v>1</v>
      </c>
      <c r="AJ241" s="5">
        <f t="shared" si="63"/>
        <v>8</v>
      </c>
    </row>
    <row r="242" spans="1:36" ht="12.75" customHeight="1" x14ac:dyDescent="0.4">
      <c r="A242" s="7"/>
      <c r="B242" s="52"/>
      <c r="C242" s="24" t="s">
        <v>232</v>
      </c>
      <c r="D242" s="50"/>
      <c r="E242" s="6">
        <v>0</v>
      </c>
      <c r="F242" s="6">
        <v>1</v>
      </c>
      <c r="G242" s="6">
        <v>0</v>
      </c>
      <c r="H242" s="6">
        <v>0</v>
      </c>
      <c r="I242" s="6">
        <v>0</v>
      </c>
      <c r="J242" s="6">
        <v>3</v>
      </c>
      <c r="K242" s="6">
        <v>0</v>
      </c>
      <c r="L242" s="6">
        <v>0</v>
      </c>
      <c r="M242" s="6">
        <v>7</v>
      </c>
      <c r="N242" s="6">
        <v>4</v>
      </c>
      <c r="O242" s="6">
        <v>0</v>
      </c>
      <c r="P242" s="6">
        <v>4</v>
      </c>
      <c r="Q242" s="6">
        <v>1</v>
      </c>
      <c r="R242" s="6">
        <v>2</v>
      </c>
      <c r="S242" s="6">
        <v>7</v>
      </c>
      <c r="T242" s="6">
        <v>4</v>
      </c>
      <c r="U242" s="6">
        <v>2</v>
      </c>
      <c r="V242" s="6">
        <v>7</v>
      </c>
      <c r="W242" s="6">
        <v>13</v>
      </c>
      <c r="X242" s="6">
        <v>6</v>
      </c>
      <c r="Y242" s="6">
        <v>0</v>
      </c>
      <c r="Z242" s="6">
        <v>5</v>
      </c>
      <c r="AA242" s="6">
        <v>5</v>
      </c>
      <c r="AB242" s="6">
        <v>3</v>
      </c>
      <c r="AC242" s="6">
        <v>0</v>
      </c>
      <c r="AD242" s="6">
        <v>8</v>
      </c>
      <c r="AE242" s="6">
        <v>9</v>
      </c>
      <c r="AF242" s="6">
        <v>12</v>
      </c>
      <c r="AG242" s="6">
        <v>1</v>
      </c>
      <c r="AH242" s="6">
        <v>1</v>
      </c>
      <c r="AI242" s="6"/>
      <c r="AJ242" s="5">
        <f t="shared" si="63"/>
        <v>105</v>
      </c>
    </row>
    <row r="243" spans="1:36" x14ac:dyDescent="0.4">
      <c r="A243" s="7"/>
      <c r="B243" s="52"/>
      <c r="C243" s="24" t="s">
        <v>233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0</v>
      </c>
      <c r="L243" s="6">
        <v>0</v>
      </c>
      <c r="M243" s="6">
        <v>1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/>
      <c r="AJ243" s="5">
        <f t="shared" si="63"/>
        <v>2</v>
      </c>
    </row>
    <row r="244" spans="1:36" x14ac:dyDescent="0.4">
      <c r="A244" s="7"/>
      <c r="B244" s="52"/>
      <c r="C244" s="24" t="s">
        <v>234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1</v>
      </c>
      <c r="Y244" s="6">
        <v>0</v>
      </c>
      <c r="Z244" s="6">
        <v>0</v>
      </c>
      <c r="AA244" s="6">
        <v>0</v>
      </c>
      <c r="AB244" s="6">
        <v>1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/>
      <c r="AJ244" s="5">
        <f t="shared" si="63"/>
        <v>2</v>
      </c>
    </row>
    <row r="245" spans="1:36" x14ac:dyDescent="0.4">
      <c r="A245" s="7"/>
      <c r="B245" s="52"/>
      <c r="C245" s="24" t="s">
        <v>235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1</v>
      </c>
      <c r="AJ245" s="5">
        <f t="shared" si="63"/>
        <v>1</v>
      </c>
    </row>
    <row r="246" spans="1:36" x14ac:dyDescent="0.4">
      <c r="A246" s="7"/>
      <c r="B246" s="52"/>
      <c r="C246" s="24" t="s">
        <v>236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1</v>
      </c>
      <c r="V246" s="6">
        <v>2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4</v>
      </c>
      <c r="AE246" s="6">
        <v>0</v>
      </c>
      <c r="AF246" s="6">
        <v>0</v>
      </c>
      <c r="AG246" s="6">
        <v>0</v>
      </c>
      <c r="AH246" s="6">
        <v>0</v>
      </c>
      <c r="AI246" s="6">
        <v>1</v>
      </c>
      <c r="AJ246" s="5">
        <f t="shared" si="63"/>
        <v>9</v>
      </c>
    </row>
    <row r="247" spans="1:36" ht="12.75" customHeight="1" x14ac:dyDescent="0.4">
      <c r="A247" s="6" t="s">
        <v>26</v>
      </c>
      <c r="B247" s="67" t="s">
        <v>51</v>
      </c>
      <c r="C247" s="68"/>
      <c r="D247" s="69"/>
      <c r="E247" s="5">
        <f t="shared" ref="E247:AJ247" si="64">SUM(E237:E246)</f>
        <v>6</v>
      </c>
      <c r="F247" s="5">
        <f t="shared" si="64"/>
        <v>15</v>
      </c>
      <c r="G247" s="5">
        <f t="shared" si="64"/>
        <v>1</v>
      </c>
      <c r="H247" s="5">
        <f t="shared" si="64"/>
        <v>2</v>
      </c>
      <c r="I247" s="5">
        <f t="shared" si="64"/>
        <v>7</v>
      </c>
      <c r="J247" s="5">
        <f t="shared" si="64"/>
        <v>26</v>
      </c>
      <c r="K247" s="5">
        <f t="shared" si="64"/>
        <v>7</v>
      </c>
      <c r="L247" s="5">
        <f t="shared" si="64"/>
        <v>2</v>
      </c>
      <c r="M247" s="5">
        <f t="shared" si="64"/>
        <v>22</v>
      </c>
      <c r="N247" s="5">
        <f t="shared" si="64"/>
        <v>6</v>
      </c>
      <c r="O247" s="5">
        <f t="shared" si="64"/>
        <v>8</v>
      </c>
      <c r="P247" s="5">
        <f t="shared" si="64"/>
        <v>6</v>
      </c>
      <c r="Q247" s="5">
        <f t="shared" si="64"/>
        <v>7</v>
      </c>
      <c r="R247" s="5">
        <f t="shared" si="64"/>
        <v>11</v>
      </c>
      <c r="S247" s="5">
        <f t="shared" si="64"/>
        <v>7</v>
      </c>
      <c r="T247" s="5">
        <f t="shared" si="64"/>
        <v>5</v>
      </c>
      <c r="U247" s="5">
        <f t="shared" si="64"/>
        <v>17</v>
      </c>
      <c r="V247" s="5">
        <f t="shared" si="64"/>
        <v>9</v>
      </c>
      <c r="W247" s="5">
        <f t="shared" si="64"/>
        <v>14</v>
      </c>
      <c r="X247" s="5">
        <f t="shared" si="64"/>
        <v>12</v>
      </c>
      <c r="Y247" s="5">
        <f t="shared" si="64"/>
        <v>0</v>
      </c>
      <c r="Z247" s="5">
        <f t="shared" si="64"/>
        <v>7</v>
      </c>
      <c r="AA247" s="5">
        <f t="shared" si="64"/>
        <v>6</v>
      </c>
      <c r="AB247" s="5">
        <f t="shared" si="64"/>
        <v>6</v>
      </c>
      <c r="AC247" s="5">
        <f t="shared" si="64"/>
        <v>84</v>
      </c>
      <c r="AD247" s="5">
        <f t="shared" si="64"/>
        <v>29</v>
      </c>
      <c r="AE247" s="5">
        <f t="shared" si="64"/>
        <v>16</v>
      </c>
      <c r="AF247" s="5">
        <f t="shared" si="64"/>
        <v>23</v>
      </c>
      <c r="AG247" s="5">
        <f t="shared" si="64"/>
        <v>2</v>
      </c>
      <c r="AH247" s="5">
        <f t="shared" si="64"/>
        <v>12</v>
      </c>
      <c r="AI247" s="5">
        <f t="shared" si="64"/>
        <v>18</v>
      </c>
      <c r="AJ247" s="5">
        <f t="shared" si="64"/>
        <v>393</v>
      </c>
    </row>
    <row r="248" spans="1:36" x14ac:dyDescent="0.4">
      <c r="A248" s="70"/>
      <c r="B248" s="71"/>
      <c r="C248" s="71"/>
      <c r="D248" s="71"/>
      <c r="E248" s="72"/>
    </row>
    <row r="249" spans="1:36" x14ac:dyDescent="0.4">
      <c r="A249" s="11" t="s">
        <v>48</v>
      </c>
      <c r="B249" s="17" t="s">
        <v>81</v>
      </c>
      <c r="C249" s="73" t="s">
        <v>82</v>
      </c>
      <c r="D249" s="74"/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3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/>
      <c r="AJ249" s="5">
        <f>SUM(E249:AI249)</f>
        <v>5</v>
      </c>
    </row>
    <row r="250" spans="1:36" x14ac:dyDescent="0.4">
      <c r="A250" s="11" t="s">
        <v>50</v>
      </c>
      <c r="B250" s="52"/>
      <c r="C250" s="24" t="s">
        <v>237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4</v>
      </c>
      <c r="M250" s="6">
        <v>1</v>
      </c>
      <c r="N250" s="6">
        <v>1</v>
      </c>
      <c r="O250" s="6">
        <v>0</v>
      </c>
      <c r="P250" s="6">
        <v>0</v>
      </c>
      <c r="Q250" s="6">
        <v>3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1</v>
      </c>
      <c r="X250" s="6">
        <v>2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4</v>
      </c>
      <c r="AG250" s="6">
        <v>0</v>
      </c>
      <c r="AH250" s="6">
        <v>0</v>
      </c>
      <c r="AI250" s="6"/>
      <c r="AJ250" s="5">
        <f>SUM(E250:AI250)</f>
        <v>16</v>
      </c>
    </row>
    <row r="251" spans="1:36" x14ac:dyDescent="0.4">
      <c r="A251" s="7"/>
      <c r="B251" s="52"/>
      <c r="C251" s="24" t="s">
        <v>238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/>
      <c r="AJ251" s="5">
        <f>SUM(E251:AI251)</f>
        <v>0</v>
      </c>
    </row>
    <row r="252" spans="1:36" x14ac:dyDescent="0.4">
      <c r="A252" s="7"/>
      <c r="B252" s="52"/>
      <c r="C252" s="24" t="s">
        <v>239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1</v>
      </c>
      <c r="J252" s="6">
        <v>0</v>
      </c>
      <c r="K252" s="6">
        <v>1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/>
      <c r="AJ252" s="5">
        <f>SUM(E252:AI252)</f>
        <v>2</v>
      </c>
    </row>
    <row r="253" spans="1:36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49"/>
    </row>
    <row r="254" spans="1:36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49"/>
    </row>
    <row r="255" spans="1:36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49"/>
    </row>
    <row r="256" spans="1:36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49"/>
    </row>
    <row r="257" spans="1:36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49"/>
    </row>
    <row r="258" spans="1:36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49"/>
    </row>
    <row r="259" spans="1:36" x14ac:dyDescent="0.4">
      <c r="A259" s="6" t="s">
        <v>26</v>
      </c>
      <c r="B259" s="67" t="s">
        <v>51</v>
      </c>
      <c r="C259" s="68"/>
      <c r="D259" s="69"/>
      <c r="E259" s="5">
        <f t="shared" ref="E259:AJ259" si="65">SUM(E249:E258)</f>
        <v>1</v>
      </c>
      <c r="F259" s="5">
        <f t="shared" si="65"/>
        <v>0</v>
      </c>
      <c r="G259" s="5">
        <f t="shared" si="65"/>
        <v>0</v>
      </c>
      <c r="H259" s="5">
        <f t="shared" si="65"/>
        <v>0</v>
      </c>
      <c r="I259" s="5">
        <f t="shared" si="65"/>
        <v>1</v>
      </c>
      <c r="J259" s="5">
        <f t="shared" si="65"/>
        <v>0</v>
      </c>
      <c r="K259" s="5">
        <f t="shared" si="65"/>
        <v>1</v>
      </c>
      <c r="L259" s="5">
        <f t="shared" si="65"/>
        <v>5</v>
      </c>
      <c r="M259" s="5">
        <f t="shared" si="65"/>
        <v>1</v>
      </c>
      <c r="N259" s="5">
        <f t="shared" si="65"/>
        <v>4</v>
      </c>
      <c r="O259" s="5">
        <f t="shared" si="65"/>
        <v>0</v>
      </c>
      <c r="P259" s="5">
        <f t="shared" si="65"/>
        <v>0</v>
      </c>
      <c r="Q259" s="5">
        <f t="shared" si="65"/>
        <v>3</v>
      </c>
      <c r="R259" s="5">
        <f t="shared" si="65"/>
        <v>0</v>
      </c>
      <c r="S259" s="5">
        <f t="shared" si="65"/>
        <v>0</v>
      </c>
      <c r="T259" s="5">
        <f t="shared" si="65"/>
        <v>0</v>
      </c>
      <c r="U259" s="5">
        <f t="shared" si="65"/>
        <v>0</v>
      </c>
      <c r="V259" s="5">
        <f t="shared" si="65"/>
        <v>0</v>
      </c>
      <c r="W259" s="5">
        <f t="shared" si="65"/>
        <v>1</v>
      </c>
      <c r="X259" s="5">
        <f t="shared" si="65"/>
        <v>2</v>
      </c>
      <c r="Y259" s="5">
        <f t="shared" si="65"/>
        <v>0</v>
      </c>
      <c r="Z259" s="5">
        <f t="shared" si="65"/>
        <v>0</v>
      </c>
      <c r="AA259" s="5">
        <f t="shared" si="65"/>
        <v>0</v>
      </c>
      <c r="AB259" s="5">
        <f t="shared" si="65"/>
        <v>0</v>
      </c>
      <c r="AC259" s="5">
        <f t="shared" si="65"/>
        <v>0</v>
      </c>
      <c r="AD259" s="5">
        <f t="shared" si="65"/>
        <v>0</v>
      </c>
      <c r="AE259" s="5">
        <f t="shared" si="65"/>
        <v>0</v>
      </c>
      <c r="AF259" s="5">
        <f t="shared" si="65"/>
        <v>4</v>
      </c>
      <c r="AG259" s="5">
        <f t="shared" si="65"/>
        <v>0</v>
      </c>
      <c r="AH259" s="5">
        <f t="shared" si="65"/>
        <v>0</v>
      </c>
      <c r="AI259" s="5">
        <f t="shared" si="65"/>
        <v>0</v>
      </c>
      <c r="AJ259" s="5">
        <f t="shared" si="65"/>
        <v>23</v>
      </c>
    </row>
    <row r="261" spans="1:36" x14ac:dyDescent="0.4">
      <c r="A261" s="16" t="s">
        <v>83</v>
      </c>
      <c r="B261" s="75" t="s">
        <v>84</v>
      </c>
      <c r="C261" s="76"/>
      <c r="D261" s="7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  <c r="AF261" s="5"/>
      <c r="AG261" s="5"/>
      <c r="AH261" s="15"/>
      <c r="AI261" s="5"/>
      <c r="AJ261" s="5"/>
    </row>
    <row r="262" spans="1:36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188</v>
      </c>
      <c r="F262" s="6">
        <f t="shared" ref="F262:AH262" si="66">F55+F67+F79+F91+F103+F115+F127+F139+F151+F163+F175+F187+F199+F211+F223+F235+F247+F259</f>
        <v>161</v>
      </c>
      <c r="G262" s="6">
        <f t="shared" si="66"/>
        <v>229</v>
      </c>
      <c r="H262" s="6">
        <f t="shared" si="66"/>
        <v>187</v>
      </c>
      <c r="I262" s="6">
        <f t="shared" si="66"/>
        <v>160</v>
      </c>
      <c r="J262" s="6">
        <f t="shared" si="66"/>
        <v>211</v>
      </c>
      <c r="K262" s="6">
        <f t="shared" si="66"/>
        <v>162</v>
      </c>
      <c r="L262" s="6">
        <f t="shared" si="66"/>
        <v>144</v>
      </c>
      <c r="M262" s="6">
        <f t="shared" si="66"/>
        <v>200</v>
      </c>
      <c r="N262" s="6">
        <f t="shared" si="66"/>
        <v>181</v>
      </c>
      <c r="O262" s="6">
        <f t="shared" ref="O262:S262" si="67">O55+O67+O79+O91+O103+O115+O127+O139+O151+O163+O175+O187+O199+O211+O223+O235+O247+O259</f>
        <v>166</v>
      </c>
      <c r="P262" s="6">
        <f t="shared" si="67"/>
        <v>192</v>
      </c>
      <c r="Q262" s="6">
        <f t="shared" si="67"/>
        <v>204</v>
      </c>
      <c r="R262" s="6">
        <f t="shared" si="67"/>
        <v>179</v>
      </c>
      <c r="S262" s="6">
        <f t="shared" si="67"/>
        <v>189</v>
      </c>
      <c r="T262" s="6">
        <f t="shared" si="66"/>
        <v>168</v>
      </c>
      <c r="U262" s="6">
        <f t="shared" si="66"/>
        <v>158</v>
      </c>
      <c r="V262" s="6">
        <f t="shared" si="66"/>
        <v>131</v>
      </c>
      <c r="W262" s="6">
        <f t="shared" si="66"/>
        <v>174</v>
      </c>
      <c r="X262" s="6">
        <f t="shared" si="66"/>
        <v>197</v>
      </c>
      <c r="Y262" s="6">
        <f t="shared" ref="Y262:AC262" si="68">Y55+Y67+Y79+Y91+Y103+Y115+Y127+Y139+Y151+Y163+Y175+Y187+Y199+Y211+Y223+Y235+Y247+Y259</f>
        <v>174</v>
      </c>
      <c r="Z262" s="6">
        <f t="shared" si="68"/>
        <v>145</v>
      </c>
      <c r="AA262" s="6">
        <f t="shared" si="68"/>
        <v>163</v>
      </c>
      <c r="AB262" s="6">
        <f t="shared" si="68"/>
        <v>154</v>
      </c>
      <c r="AC262" s="6">
        <f t="shared" si="68"/>
        <v>160</v>
      </c>
      <c r="AD262" s="6">
        <f t="shared" si="66"/>
        <v>168</v>
      </c>
      <c r="AE262" s="6">
        <f t="shared" si="66"/>
        <v>155</v>
      </c>
      <c r="AF262" s="6">
        <f t="shared" si="66"/>
        <v>192</v>
      </c>
      <c r="AG262" s="6">
        <f t="shared" si="66"/>
        <v>159</v>
      </c>
      <c r="AH262" s="6">
        <f t="shared" si="66"/>
        <v>188</v>
      </c>
      <c r="AI262" s="6">
        <f t="shared" ref="AI262" si="69">AI55+AI67+AI79+AI91+AI103+AI115+AI127+AI139+AI151+AI163+AI175+AI187+AI199+AI211+AI223+AI235+AI247+AI259</f>
        <v>221</v>
      </c>
      <c r="AJ262" s="5">
        <f>SUM(E262:AI262)</f>
        <v>5460</v>
      </c>
    </row>
    <row r="263" spans="1:36" x14ac:dyDescent="0.4">
      <c r="A263" s="13"/>
      <c r="B263" s="19" t="s">
        <v>87</v>
      </c>
      <c r="C263" s="65" t="s">
        <v>88</v>
      </c>
      <c r="D263" s="66"/>
      <c r="E263" s="6">
        <v>34</v>
      </c>
      <c r="F263" s="6">
        <v>37</v>
      </c>
      <c r="G263" s="6">
        <v>2</v>
      </c>
      <c r="H263" s="6">
        <v>30</v>
      </c>
      <c r="I263" s="6">
        <v>26</v>
      </c>
      <c r="J263" s="6">
        <v>31</v>
      </c>
      <c r="K263" s="6">
        <v>19</v>
      </c>
      <c r="L263" s="6">
        <v>23</v>
      </c>
      <c r="M263" s="6">
        <v>29</v>
      </c>
      <c r="N263" s="6">
        <v>33</v>
      </c>
      <c r="O263" s="6">
        <v>22</v>
      </c>
      <c r="P263" s="6">
        <v>21</v>
      </c>
      <c r="Q263" s="6">
        <v>16</v>
      </c>
      <c r="R263" s="6">
        <v>54</v>
      </c>
      <c r="S263" s="6">
        <v>18</v>
      </c>
      <c r="T263" s="6">
        <v>42</v>
      </c>
      <c r="U263" s="6">
        <v>27</v>
      </c>
      <c r="V263" s="6">
        <v>67</v>
      </c>
      <c r="W263" s="6">
        <v>21</v>
      </c>
      <c r="X263" s="6">
        <v>19</v>
      </c>
      <c r="Y263" s="6">
        <v>6</v>
      </c>
      <c r="Z263" s="6">
        <v>21</v>
      </c>
      <c r="AA263" s="6">
        <v>26</v>
      </c>
      <c r="AB263" s="6">
        <v>17</v>
      </c>
      <c r="AC263" s="6">
        <v>20</v>
      </c>
      <c r="AD263" s="6">
        <v>25</v>
      </c>
      <c r="AE263" s="6">
        <v>45</v>
      </c>
      <c r="AF263" s="6">
        <v>25</v>
      </c>
      <c r="AG263" s="6">
        <v>26</v>
      </c>
      <c r="AH263" s="6">
        <v>39</v>
      </c>
      <c r="AI263" s="6">
        <v>23</v>
      </c>
      <c r="AJ263" s="5">
        <f>SUM(E263:AI263)</f>
        <v>844</v>
      </c>
    </row>
    <row r="264" spans="1:36" x14ac:dyDescent="0.4">
      <c r="A264" s="14"/>
      <c r="B264" s="19" t="s">
        <v>89</v>
      </c>
      <c r="C264" s="65" t="s">
        <v>90</v>
      </c>
      <c r="D264" s="66"/>
      <c r="E264" s="5">
        <f>SUM(E262:E263)</f>
        <v>222</v>
      </c>
      <c r="F264" s="5">
        <f t="shared" ref="F264:AH264" si="70">SUM(F262:F263)</f>
        <v>198</v>
      </c>
      <c r="G264" s="5">
        <f t="shared" si="70"/>
        <v>231</v>
      </c>
      <c r="H264" s="5">
        <f t="shared" si="70"/>
        <v>217</v>
      </c>
      <c r="I264" s="5">
        <f t="shared" si="70"/>
        <v>186</v>
      </c>
      <c r="J264" s="5">
        <f t="shared" si="70"/>
        <v>242</v>
      </c>
      <c r="K264" s="5">
        <f t="shared" si="70"/>
        <v>181</v>
      </c>
      <c r="L264" s="5">
        <f t="shared" si="70"/>
        <v>167</v>
      </c>
      <c r="M264" s="5">
        <f t="shared" si="70"/>
        <v>229</v>
      </c>
      <c r="N264" s="5">
        <f t="shared" si="70"/>
        <v>214</v>
      </c>
      <c r="O264" s="5">
        <f t="shared" ref="O264:S264" si="71">SUM(O262:O263)</f>
        <v>188</v>
      </c>
      <c r="P264" s="5">
        <f t="shared" si="71"/>
        <v>213</v>
      </c>
      <c r="Q264" s="5">
        <f t="shared" si="71"/>
        <v>220</v>
      </c>
      <c r="R264" s="5">
        <f t="shared" si="71"/>
        <v>233</v>
      </c>
      <c r="S264" s="5">
        <f t="shared" si="71"/>
        <v>207</v>
      </c>
      <c r="T264" s="5">
        <f t="shared" si="70"/>
        <v>210</v>
      </c>
      <c r="U264" s="5">
        <f t="shared" si="70"/>
        <v>185</v>
      </c>
      <c r="V264" s="5">
        <f t="shared" si="70"/>
        <v>198</v>
      </c>
      <c r="W264" s="5">
        <f t="shared" si="70"/>
        <v>195</v>
      </c>
      <c r="X264" s="5">
        <f t="shared" si="70"/>
        <v>216</v>
      </c>
      <c r="Y264" s="5">
        <f t="shared" ref="Y264:AC264" si="72">SUM(Y262:Y263)</f>
        <v>180</v>
      </c>
      <c r="Z264" s="5">
        <f t="shared" si="72"/>
        <v>166</v>
      </c>
      <c r="AA264" s="5">
        <f t="shared" si="72"/>
        <v>189</v>
      </c>
      <c r="AB264" s="5">
        <f t="shared" si="72"/>
        <v>171</v>
      </c>
      <c r="AC264" s="5">
        <f t="shared" si="72"/>
        <v>180</v>
      </c>
      <c r="AD264" s="5">
        <f t="shared" si="70"/>
        <v>193</v>
      </c>
      <c r="AE264" s="5">
        <f t="shared" si="70"/>
        <v>200</v>
      </c>
      <c r="AF264" s="5">
        <f t="shared" si="70"/>
        <v>217</v>
      </c>
      <c r="AG264" s="5">
        <f t="shared" si="70"/>
        <v>185</v>
      </c>
      <c r="AH264" s="5">
        <f t="shared" si="70"/>
        <v>227</v>
      </c>
      <c r="AI264" s="5">
        <f t="shared" ref="AI264" si="73">SUM(AI262:AI263)</f>
        <v>244</v>
      </c>
      <c r="AJ264" s="5">
        <f>SUM(E264:AI264)</f>
        <v>6304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I12"/>
    <mergeCell ref="AJ12:AJ13"/>
    <mergeCell ref="B13:D13"/>
    <mergeCell ref="B14:C16"/>
  </mergeCells>
  <phoneticPr fontId="9" type="noConversion"/>
  <conditionalFormatting sqref="E14:AI15">
    <cfRule type="containsBlanks" dxfId="113" priority="20">
      <formula>LEN(TRIM(E14))=0</formula>
    </cfRule>
  </conditionalFormatting>
  <conditionalFormatting sqref="E19:AI20">
    <cfRule type="containsBlanks" dxfId="112" priority="23">
      <formula>LEN(TRIM(E19))=0</formula>
    </cfRule>
  </conditionalFormatting>
  <conditionalFormatting sqref="E22:AI23 E25:AI26 E33:AI33 E35:AI35 E39:AI40">
    <cfRule type="containsBlanks" dxfId="111" priority="24">
      <formula>LEN(TRIM(E22))=0</formula>
    </cfRule>
  </conditionalFormatting>
  <conditionalFormatting sqref="E30:AI30">
    <cfRule type="expression" dxfId="110" priority="25">
      <formula>E30&lt;&gt;E47</formula>
    </cfRule>
    <cfRule type="expression" dxfId="109" priority="26">
      <formula>E30&lt;&gt;E34</formula>
    </cfRule>
  </conditionalFormatting>
  <conditionalFormatting sqref="E34:AI34">
    <cfRule type="expression" dxfId="108" priority="21">
      <formula>E30&lt;&gt;E34</formula>
    </cfRule>
    <cfRule type="expression" dxfId="107" priority="22">
      <formula>E30=E34</formula>
    </cfRule>
    <cfRule type="expression" dxfId="106" priority="27">
      <formula>E34&lt;&gt;E30</formula>
    </cfRule>
    <cfRule type="expression" dxfId="105" priority="29">
      <formula>E34&lt;&gt;E64</formula>
    </cfRule>
  </conditionalFormatting>
  <conditionalFormatting sqref="E45:AI54">
    <cfRule type="containsBlanks" dxfId="104" priority="19">
      <formula>LEN(TRIM(E45))=0</formula>
    </cfRule>
  </conditionalFormatting>
  <conditionalFormatting sqref="E57:AI66">
    <cfRule type="containsBlanks" dxfId="103" priority="18">
      <formula>LEN(TRIM(E57))=0</formula>
    </cfRule>
  </conditionalFormatting>
  <conditionalFormatting sqref="E69:AI78">
    <cfRule type="containsBlanks" dxfId="102" priority="17">
      <formula>LEN(TRIM(E69))=0</formula>
    </cfRule>
  </conditionalFormatting>
  <conditionalFormatting sqref="E81:AI90">
    <cfRule type="containsBlanks" dxfId="101" priority="16">
      <formula>LEN(TRIM(E81))=0</formula>
    </cfRule>
  </conditionalFormatting>
  <conditionalFormatting sqref="E93:AI102">
    <cfRule type="containsBlanks" dxfId="100" priority="15">
      <formula>LEN(TRIM(E93))=0</formula>
    </cfRule>
  </conditionalFormatting>
  <conditionalFormatting sqref="E105:AI114">
    <cfRule type="containsBlanks" dxfId="99" priority="14">
      <formula>LEN(TRIM(E105))=0</formula>
    </cfRule>
  </conditionalFormatting>
  <conditionalFormatting sqref="E117:AI126">
    <cfRule type="containsBlanks" dxfId="98" priority="1">
      <formula>LEN(TRIM(E117))=0</formula>
    </cfRule>
  </conditionalFormatting>
  <conditionalFormatting sqref="E129:AI138">
    <cfRule type="containsBlanks" dxfId="97" priority="13">
      <formula>LEN(TRIM(E129))=0</formula>
    </cfRule>
  </conditionalFormatting>
  <conditionalFormatting sqref="E141:AI150">
    <cfRule type="containsBlanks" dxfId="96" priority="12">
      <formula>LEN(TRIM(E141))=0</formula>
    </cfRule>
  </conditionalFormatting>
  <conditionalFormatting sqref="E153:AI162">
    <cfRule type="containsBlanks" dxfId="95" priority="3">
      <formula>LEN(TRIM(E153))=0</formula>
    </cfRule>
  </conditionalFormatting>
  <conditionalFormatting sqref="E165:AI174">
    <cfRule type="containsBlanks" dxfId="94" priority="11">
      <formula>LEN(TRIM(E165))=0</formula>
    </cfRule>
  </conditionalFormatting>
  <conditionalFormatting sqref="E177:AI186">
    <cfRule type="containsBlanks" dxfId="93" priority="10">
      <formula>LEN(TRIM(E177))=0</formula>
    </cfRule>
  </conditionalFormatting>
  <conditionalFormatting sqref="E189:AI198">
    <cfRule type="containsBlanks" dxfId="92" priority="9">
      <formula>LEN(TRIM(E189))=0</formula>
    </cfRule>
  </conditionalFormatting>
  <conditionalFormatting sqref="E201:AI210">
    <cfRule type="containsBlanks" dxfId="91" priority="8">
      <formula>LEN(TRIM(E201))=0</formula>
    </cfRule>
  </conditionalFormatting>
  <conditionalFormatting sqref="E213:AI222">
    <cfRule type="containsBlanks" dxfId="90" priority="7">
      <formula>LEN(TRIM(E213))=0</formula>
    </cfRule>
  </conditionalFormatting>
  <conditionalFormatting sqref="E225:AI234">
    <cfRule type="containsBlanks" dxfId="89" priority="6">
      <formula>LEN(TRIM(E225))=0</formula>
    </cfRule>
  </conditionalFormatting>
  <conditionalFormatting sqref="E237:AI246">
    <cfRule type="containsBlanks" dxfId="88" priority="5">
      <formula>LEN(TRIM(E237))=0</formula>
    </cfRule>
  </conditionalFormatting>
  <conditionalFormatting sqref="E249:AI258">
    <cfRule type="containsBlanks" dxfId="87" priority="4">
      <formula>LEN(TRIM(E249))=0</formula>
    </cfRule>
  </conditionalFormatting>
  <conditionalFormatting sqref="E262:AI263">
    <cfRule type="containsBlanks" dxfId="86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92D050"/>
  </sheetPr>
  <dimension ref="A2:AD264"/>
  <sheetViews>
    <sheetView topLeftCell="D13" zoomScale="85" zoomScaleNormal="85" workbookViewId="0">
      <pane ySplit="1" topLeftCell="A257" activePane="bottomLeft" state="frozen"/>
      <selection activeCell="A13" sqref="A13"/>
      <selection pane="bottomLeft" activeCell="Q265" sqref="Q265"/>
    </sheetView>
  </sheetViews>
  <sheetFormatPr defaultRowHeight="13.15" x14ac:dyDescent="0.4"/>
  <cols>
    <col min="3" max="3" width="67.140625" bestFit="1" customWidth="1"/>
    <col min="4" max="4" width="5.85546875" bestFit="1" customWidth="1"/>
    <col min="28" max="28" width="13.28515625" customWidth="1"/>
  </cols>
  <sheetData>
    <row r="2" spans="1:28" x14ac:dyDescent="0.4">
      <c r="C2" s="43" t="s">
        <v>116</v>
      </c>
      <c r="D2" s="43" t="s">
        <v>257</v>
      </c>
    </row>
    <row r="3" spans="1:28" x14ac:dyDescent="0.4">
      <c r="C3" s="43" t="s">
        <v>117</v>
      </c>
      <c r="D3" s="43" t="s">
        <v>118</v>
      </c>
    </row>
    <row r="4" spans="1:28" x14ac:dyDescent="0.4">
      <c r="C4" s="43" t="s">
        <v>119</v>
      </c>
      <c r="D4" s="43" t="s">
        <v>120</v>
      </c>
    </row>
    <row r="5" spans="1:28" x14ac:dyDescent="0.4">
      <c r="C5" s="43"/>
      <c r="D5" s="43"/>
    </row>
    <row r="6" spans="1:28" x14ac:dyDescent="0.4">
      <c r="C6" s="43"/>
      <c r="D6" s="43"/>
    </row>
    <row r="7" spans="1:28" x14ac:dyDescent="0.4">
      <c r="C7" s="43"/>
      <c r="D7" s="43"/>
    </row>
    <row r="8" spans="1:28" x14ac:dyDescent="0.4">
      <c r="C8" s="43"/>
      <c r="D8" s="43"/>
    </row>
    <row r="9" spans="1:28" x14ac:dyDescent="0.4">
      <c r="C9" s="43" t="s">
        <v>121</v>
      </c>
      <c r="D9" s="43" t="s">
        <v>262</v>
      </c>
    </row>
    <row r="11" spans="1:2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</row>
    <row r="12" spans="1:28" x14ac:dyDescent="0.4">
      <c r="A12" s="5" t="s">
        <v>0</v>
      </c>
      <c r="B12" s="75" t="s">
        <v>1</v>
      </c>
      <c r="C12" s="83"/>
      <c r="D12" s="74"/>
      <c r="E12" s="100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2" t="s">
        <v>115</v>
      </c>
    </row>
    <row r="13" spans="1:28" x14ac:dyDescent="0.4">
      <c r="A13" s="6" t="s">
        <v>2</v>
      </c>
      <c r="B13" s="93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103"/>
    </row>
    <row r="14" spans="1:28" x14ac:dyDescent="0.4">
      <c r="A14" s="7"/>
      <c r="B14" s="104" t="s">
        <v>22</v>
      </c>
      <c r="C14" s="79"/>
      <c r="D14" s="6" t="s">
        <v>23</v>
      </c>
      <c r="E14" s="6">
        <v>126</v>
      </c>
      <c r="F14" s="6">
        <v>129</v>
      </c>
      <c r="G14" s="6">
        <v>134</v>
      </c>
      <c r="H14" s="6">
        <v>125</v>
      </c>
      <c r="I14" s="6">
        <v>79</v>
      </c>
      <c r="J14" s="6">
        <v>90</v>
      </c>
      <c r="K14" s="6">
        <v>102</v>
      </c>
      <c r="L14" s="6">
        <v>83</v>
      </c>
      <c r="M14" s="6">
        <v>154</v>
      </c>
      <c r="N14" s="6">
        <v>128</v>
      </c>
      <c r="O14" s="6">
        <v>152</v>
      </c>
      <c r="P14" s="6">
        <v>134</v>
      </c>
      <c r="Q14" s="6">
        <v>146</v>
      </c>
      <c r="R14" s="6">
        <v>144</v>
      </c>
      <c r="S14" s="6">
        <v>137</v>
      </c>
      <c r="T14" s="6">
        <v>130</v>
      </c>
      <c r="U14" s="6">
        <v>143</v>
      </c>
      <c r="V14" s="6">
        <v>131</v>
      </c>
      <c r="W14" s="6">
        <v>124</v>
      </c>
      <c r="X14" s="6">
        <v>143</v>
      </c>
      <c r="Y14" s="6">
        <v>134</v>
      </c>
      <c r="Z14" s="6">
        <v>117</v>
      </c>
      <c r="AA14" s="6">
        <v>86</v>
      </c>
      <c r="AB14" s="5">
        <f>SUM(E14:AA14)</f>
        <v>2871</v>
      </c>
    </row>
    <row r="15" spans="1:28" x14ac:dyDescent="0.4">
      <c r="A15" s="7"/>
      <c r="B15" s="105"/>
      <c r="C15" s="89"/>
      <c r="D15" s="6" t="s">
        <v>24</v>
      </c>
      <c r="E15" s="6">
        <v>123</v>
      </c>
      <c r="F15" s="6">
        <v>119</v>
      </c>
      <c r="G15" s="6">
        <v>158</v>
      </c>
      <c r="H15" s="6">
        <v>130</v>
      </c>
      <c r="I15" s="6">
        <v>81</v>
      </c>
      <c r="J15" s="6">
        <v>80</v>
      </c>
      <c r="K15" s="6">
        <v>96</v>
      </c>
      <c r="L15" s="6">
        <v>86</v>
      </c>
      <c r="M15" s="6">
        <v>146</v>
      </c>
      <c r="N15" s="6">
        <v>122</v>
      </c>
      <c r="O15" s="6">
        <v>141</v>
      </c>
      <c r="P15" s="6">
        <v>144</v>
      </c>
      <c r="Q15" s="6">
        <v>133</v>
      </c>
      <c r="R15" s="6">
        <v>148</v>
      </c>
      <c r="S15" s="6">
        <v>137</v>
      </c>
      <c r="T15" s="6">
        <v>143</v>
      </c>
      <c r="U15" s="6">
        <v>155</v>
      </c>
      <c r="V15" s="6">
        <v>130</v>
      </c>
      <c r="W15" s="6">
        <v>144</v>
      </c>
      <c r="X15" s="6">
        <v>146</v>
      </c>
      <c r="Y15" s="6">
        <v>124</v>
      </c>
      <c r="Z15" s="6">
        <v>113</v>
      </c>
      <c r="AA15" s="6">
        <v>80</v>
      </c>
      <c r="AB15" s="5">
        <f>SUM(E15:AA15)</f>
        <v>2879</v>
      </c>
    </row>
    <row r="16" spans="1:28" x14ac:dyDescent="0.4">
      <c r="A16" s="8"/>
      <c r="B16" s="106"/>
      <c r="C16" s="90"/>
      <c r="D16" s="5" t="s">
        <v>25</v>
      </c>
      <c r="E16" s="5">
        <f t="shared" ref="E16:X16" si="0">SUM(E14:E15)</f>
        <v>249</v>
      </c>
      <c r="F16" s="5">
        <f t="shared" si="0"/>
        <v>248</v>
      </c>
      <c r="G16" s="5">
        <f t="shared" si="0"/>
        <v>292</v>
      </c>
      <c r="H16" s="5">
        <f t="shared" si="0"/>
        <v>255</v>
      </c>
      <c r="I16" s="5">
        <f t="shared" si="0"/>
        <v>160</v>
      </c>
      <c r="J16" s="5">
        <f t="shared" si="0"/>
        <v>170</v>
      </c>
      <c r="K16" s="5">
        <f t="shared" si="0"/>
        <v>198</v>
      </c>
      <c r="L16" s="5">
        <f t="shared" si="0"/>
        <v>169</v>
      </c>
      <c r="M16" s="5">
        <f t="shared" si="0"/>
        <v>300</v>
      </c>
      <c r="N16" s="5">
        <f t="shared" si="0"/>
        <v>250</v>
      </c>
      <c r="O16" s="5">
        <f t="shared" ref="O16:S16" si="1">SUM(O14:O15)</f>
        <v>293</v>
      </c>
      <c r="P16" s="5">
        <f t="shared" si="1"/>
        <v>278</v>
      </c>
      <c r="Q16" s="5">
        <f t="shared" si="1"/>
        <v>279</v>
      </c>
      <c r="R16" s="5">
        <f t="shared" si="1"/>
        <v>292</v>
      </c>
      <c r="S16" s="5">
        <f t="shared" si="1"/>
        <v>274</v>
      </c>
      <c r="T16" s="5">
        <f t="shared" si="0"/>
        <v>273</v>
      </c>
      <c r="U16" s="5">
        <f t="shared" si="0"/>
        <v>298</v>
      </c>
      <c r="V16" s="5">
        <f t="shared" si="0"/>
        <v>261</v>
      </c>
      <c r="W16" s="5">
        <f t="shared" si="0"/>
        <v>268</v>
      </c>
      <c r="X16" s="5">
        <f t="shared" si="0"/>
        <v>289</v>
      </c>
      <c r="Y16" s="5">
        <f t="shared" ref="Y16:AA16" si="2">SUM(Y14:Y15)</f>
        <v>258</v>
      </c>
      <c r="Z16" s="5">
        <f t="shared" si="2"/>
        <v>230</v>
      </c>
      <c r="AA16" s="5">
        <f t="shared" si="2"/>
        <v>166</v>
      </c>
      <c r="AB16" s="5">
        <f>SUM(E16:AA16)</f>
        <v>5750</v>
      </c>
    </row>
    <row r="17" spans="1:28" x14ac:dyDescent="0.4">
      <c r="A17" s="70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28"/>
    </row>
    <row r="18" spans="1:28" x14ac:dyDescent="0.4">
      <c r="A18" s="11" t="s">
        <v>26</v>
      </c>
      <c r="B18" s="93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28"/>
    </row>
    <row r="19" spans="1:28" x14ac:dyDescent="0.4">
      <c r="A19" s="11"/>
      <c r="B19" s="94" t="s">
        <v>28</v>
      </c>
      <c r="C19" s="95" t="s">
        <v>29</v>
      </c>
      <c r="D19" s="6" t="s">
        <v>23</v>
      </c>
      <c r="E19" s="6">
        <v>81</v>
      </c>
      <c r="F19" s="6">
        <v>83</v>
      </c>
      <c r="G19" s="6">
        <v>103</v>
      </c>
      <c r="H19" s="6">
        <v>97</v>
      </c>
      <c r="I19" s="6">
        <v>59</v>
      </c>
      <c r="J19" s="6">
        <v>71</v>
      </c>
      <c r="K19" s="6">
        <v>74</v>
      </c>
      <c r="L19" s="6">
        <v>61</v>
      </c>
      <c r="M19" s="6">
        <v>112</v>
      </c>
      <c r="N19" s="6">
        <v>98</v>
      </c>
      <c r="O19" s="6">
        <v>109</v>
      </c>
      <c r="P19" s="6">
        <v>105</v>
      </c>
      <c r="Q19" s="6">
        <v>95</v>
      </c>
      <c r="R19" s="6">
        <v>105</v>
      </c>
      <c r="S19" s="6">
        <v>88</v>
      </c>
      <c r="T19" s="6">
        <v>96</v>
      </c>
      <c r="U19" s="6">
        <v>116</v>
      </c>
      <c r="V19" s="6">
        <v>90</v>
      </c>
      <c r="W19" s="6">
        <v>93</v>
      </c>
      <c r="X19" s="6">
        <v>93</v>
      </c>
      <c r="Y19" s="6">
        <v>103</v>
      </c>
      <c r="Z19" s="6">
        <v>63</v>
      </c>
      <c r="AA19" s="6">
        <v>59</v>
      </c>
      <c r="AB19" s="5">
        <f t="shared" ref="AB19:AB30" si="3">SUM(E19:AA19)</f>
        <v>2054</v>
      </c>
    </row>
    <row r="20" spans="1:28" x14ac:dyDescent="0.4">
      <c r="A20" s="12"/>
      <c r="B20" s="89"/>
      <c r="C20" s="96"/>
      <c r="D20" s="6" t="s">
        <v>24</v>
      </c>
      <c r="E20" s="6">
        <v>91</v>
      </c>
      <c r="F20" s="6">
        <v>105</v>
      </c>
      <c r="G20" s="6">
        <v>131</v>
      </c>
      <c r="H20" s="6">
        <v>98</v>
      </c>
      <c r="I20" s="6">
        <v>62</v>
      </c>
      <c r="J20" s="6">
        <v>63</v>
      </c>
      <c r="K20" s="6">
        <v>67</v>
      </c>
      <c r="L20" s="6">
        <v>64</v>
      </c>
      <c r="M20" s="6">
        <v>117</v>
      </c>
      <c r="N20" s="6">
        <v>89</v>
      </c>
      <c r="O20" s="6">
        <v>119</v>
      </c>
      <c r="P20" s="6">
        <v>109</v>
      </c>
      <c r="Q20" s="6">
        <v>106</v>
      </c>
      <c r="R20" s="6">
        <v>117</v>
      </c>
      <c r="S20" s="6">
        <v>99</v>
      </c>
      <c r="T20" s="6">
        <v>114</v>
      </c>
      <c r="U20" s="6">
        <v>124</v>
      </c>
      <c r="V20" s="6">
        <v>100</v>
      </c>
      <c r="W20" s="6">
        <v>108</v>
      </c>
      <c r="X20" s="6">
        <v>126</v>
      </c>
      <c r="Y20" s="6">
        <v>91</v>
      </c>
      <c r="Z20" s="6">
        <v>79</v>
      </c>
      <c r="AA20" s="6">
        <v>61</v>
      </c>
      <c r="AB20" s="5">
        <f t="shared" si="3"/>
        <v>2240</v>
      </c>
    </row>
    <row r="21" spans="1:28" x14ac:dyDescent="0.4">
      <c r="A21" s="13"/>
      <c r="B21" s="90"/>
      <c r="C21" s="97"/>
      <c r="D21" s="5" t="s">
        <v>25</v>
      </c>
      <c r="E21" s="5">
        <f t="shared" ref="E21:X21" si="4">SUM(E19:E20)</f>
        <v>172</v>
      </c>
      <c r="F21" s="5">
        <f t="shared" si="4"/>
        <v>188</v>
      </c>
      <c r="G21" s="5">
        <f t="shared" si="4"/>
        <v>234</v>
      </c>
      <c r="H21" s="5">
        <f t="shared" si="4"/>
        <v>195</v>
      </c>
      <c r="I21" s="5">
        <f t="shared" si="4"/>
        <v>121</v>
      </c>
      <c r="J21" s="5">
        <f t="shared" si="4"/>
        <v>134</v>
      </c>
      <c r="K21" s="5">
        <f t="shared" si="4"/>
        <v>141</v>
      </c>
      <c r="L21" s="5">
        <f t="shared" si="4"/>
        <v>125</v>
      </c>
      <c r="M21" s="5">
        <f t="shared" si="4"/>
        <v>229</v>
      </c>
      <c r="N21" s="5">
        <f t="shared" si="4"/>
        <v>187</v>
      </c>
      <c r="O21" s="5">
        <f t="shared" ref="O21:S21" si="5">SUM(O19:O20)</f>
        <v>228</v>
      </c>
      <c r="P21" s="5">
        <f t="shared" si="5"/>
        <v>214</v>
      </c>
      <c r="Q21" s="5">
        <f t="shared" si="5"/>
        <v>201</v>
      </c>
      <c r="R21" s="5">
        <f t="shared" si="5"/>
        <v>222</v>
      </c>
      <c r="S21" s="5">
        <f t="shared" si="5"/>
        <v>187</v>
      </c>
      <c r="T21" s="5">
        <f t="shared" si="4"/>
        <v>210</v>
      </c>
      <c r="U21" s="5">
        <f t="shared" si="4"/>
        <v>240</v>
      </c>
      <c r="V21" s="5">
        <f t="shared" si="4"/>
        <v>190</v>
      </c>
      <c r="W21" s="5">
        <f t="shared" si="4"/>
        <v>201</v>
      </c>
      <c r="X21" s="5">
        <f t="shared" si="4"/>
        <v>219</v>
      </c>
      <c r="Y21" s="5">
        <f t="shared" ref="Y21:AA21" si="6">SUM(Y19:Y20)</f>
        <v>194</v>
      </c>
      <c r="Z21" s="5">
        <f t="shared" si="6"/>
        <v>142</v>
      </c>
      <c r="AA21" s="5">
        <f t="shared" si="6"/>
        <v>120</v>
      </c>
      <c r="AB21" s="5">
        <f t="shared" si="3"/>
        <v>4294</v>
      </c>
    </row>
    <row r="22" spans="1:28" x14ac:dyDescent="0.4">
      <c r="A22" s="12"/>
      <c r="B22" s="94" t="s">
        <v>30</v>
      </c>
      <c r="C22" s="95" t="s">
        <v>31</v>
      </c>
      <c r="D22" s="6" t="s">
        <v>23</v>
      </c>
      <c r="E22" s="6"/>
      <c r="F22" s="6">
        <v>1</v>
      </c>
      <c r="G22" s="6"/>
      <c r="H22" s="6"/>
      <c r="I22" s="6">
        <v>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5">
        <f t="shared" si="3"/>
        <v>3</v>
      </c>
    </row>
    <row r="23" spans="1:28" x14ac:dyDescent="0.4">
      <c r="A23" s="12"/>
      <c r="B23" s="89"/>
      <c r="C23" s="96"/>
      <c r="D23" s="6" t="s">
        <v>24</v>
      </c>
      <c r="E23" s="6"/>
      <c r="F23" s="6"/>
      <c r="G23" s="6"/>
      <c r="H23" s="6"/>
      <c r="I23" s="6">
        <v>1</v>
      </c>
      <c r="J23" s="6"/>
      <c r="K23" s="6"/>
      <c r="L23" s="6"/>
      <c r="M23" s="6"/>
      <c r="N23" s="6"/>
      <c r="O23" s="6"/>
      <c r="P23" s="6">
        <v>1</v>
      </c>
      <c r="Q23" s="6">
        <v>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5">
        <f t="shared" si="3"/>
        <v>3</v>
      </c>
    </row>
    <row r="24" spans="1:28" x14ac:dyDescent="0.4">
      <c r="A24" s="13"/>
      <c r="B24" s="90"/>
      <c r="C24" s="97"/>
      <c r="D24" s="5" t="s">
        <v>25</v>
      </c>
      <c r="E24" s="5">
        <f t="shared" ref="E24:X24" si="7">SUM(E22:E23)</f>
        <v>0</v>
      </c>
      <c r="F24" s="5">
        <f t="shared" si="7"/>
        <v>1</v>
      </c>
      <c r="G24" s="5">
        <f t="shared" si="7"/>
        <v>0</v>
      </c>
      <c r="H24" s="5">
        <f t="shared" si="7"/>
        <v>0</v>
      </c>
      <c r="I24" s="5">
        <f t="shared" si="7"/>
        <v>3</v>
      </c>
      <c r="J24" s="5">
        <f t="shared" si="7"/>
        <v>0</v>
      </c>
      <c r="K24" s="5">
        <f t="shared" si="7"/>
        <v>0</v>
      </c>
      <c r="L24" s="5">
        <f t="shared" si="7"/>
        <v>0</v>
      </c>
      <c r="M24" s="5">
        <f t="shared" si="7"/>
        <v>0</v>
      </c>
      <c r="N24" s="5">
        <f t="shared" si="7"/>
        <v>0</v>
      </c>
      <c r="O24" s="5">
        <f t="shared" ref="O24:S24" si="8">SUM(O22:O23)</f>
        <v>0</v>
      </c>
      <c r="P24" s="5">
        <f t="shared" si="8"/>
        <v>1</v>
      </c>
      <c r="Q24" s="5">
        <f t="shared" si="8"/>
        <v>1</v>
      </c>
      <c r="R24" s="5">
        <f t="shared" si="8"/>
        <v>0</v>
      </c>
      <c r="S24" s="5">
        <f t="shared" si="8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ref="Y24:AA24" si="9">SUM(Y22:Y23)</f>
        <v>0</v>
      </c>
      <c r="Z24" s="5">
        <f t="shared" si="9"/>
        <v>0</v>
      </c>
      <c r="AA24" s="5">
        <f t="shared" si="9"/>
        <v>0</v>
      </c>
      <c r="AB24" s="5">
        <f t="shared" si="3"/>
        <v>6</v>
      </c>
    </row>
    <row r="25" spans="1:28" x14ac:dyDescent="0.4">
      <c r="A25" s="12"/>
      <c r="B25" s="94" t="s">
        <v>32</v>
      </c>
      <c r="C25" s="95" t="s">
        <v>33</v>
      </c>
      <c r="D25" s="6" t="s">
        <v>23</v>
      </c>
      <c r="E25" s="6"/>
      <c r="F25" s="6"/>
      <c r="G25" s="6"/>
      <c r="H25" s="6">
        <v>1</v>
      </c>
      <c r="I25" s="6"/>
      <c r="J25" s="6">
        <v>1</v>
      </c>
      <c r="K25" s="6"/>
      <c r="L25" s="6"/>
      <c r="M25" s="6"/>
      <c r="N25" s="6"/>
      <c r="O25" s="6"/>
      <c r="P25" s="6">
        <v>2</v>
      </c>
      <c r="Q25" s="6">
        <v>2</v>
      </c>
      <c r="R25" s="6"/>
      <c r="S25" s="6"/>
      <c r="T25" s="6"/>
      <c r="U25" s="6"/>
      <c r="V25" s="6">
        <v>1</v>
      </c>
      <c r="W25" s="6"/>
      <c r="X25" s="6">
        <v>4</v>
      </c>
      <c r="Y25" s="6">
        <v>1</v>
      </c>
      <c r="Z25" s="6"/>
      <c r="AA25" s="6"/>
      <c r="AB25" s="5">
        <f t="shared" si="3"/>
        <v>12</v>
      </c>
    </row>
    <row r="26" spans="1:28" x14ac:dyDescent="0.4">
      <c r="A26" s="12"/>
      <c r="B26" s="89"/>
      <c r="C26" s="96"/>
      <c r="D26" s="6" t="s">
        <v>24</v>
      </c>
      <c r="E26" s="6">
        <v>3</v>
      </c>
      <c r="F26" s="6">
        <v>1</v>
      </c>
      <c r="G26" s="6">
        <v>1</v>
      </c>
      <c r="H26" s="6">
        <v>1</v>
      </c>
      <c r="I26" s="6"/>
      <c r="J26" s="6">
        <v>3</v>
      </c>
      <c r="K26" s="6">
        <v>3</v>
      </c>
      <c r="L26" s="6">
        <v>1</v>
      </c>
      <c r="M26" s="6"/>
      <c r="N26" s="6">
        <v>1</v>
      </c>
      <c r="O26" s="6"/>
      <c r="P26" s="6">
        <v>2</v>
      </c>
      <c r="Q26" s="6"/>
      <c r="R26" s="6"/>
      <c r="S26" s="6"/>
      <c r="T26" s="6">
        <v>1</v>
      </c>
      <c r="U26" s="6">
        <v>1</v>
      </c>
      <c r="V26" s="6">
        <v>2</v>
      </c>
      <c r="W26" s="6">
        <v>1</v>
      </c>
      <c r="X26" s="6">
        <v>3</v>
      </c>
      <c r="Y26" s="6">
        <v>4</v>
      </c>
      <c r="Z26" s="6"/>
      <c r="AA26" s="6">
        <v>1</v>
      </c>
      <c r="AB26" s="5">
        <f t="shared" si="3"/>
        <v>29</v>
      </c>
    </row>
    <row r="27" spans="1:28" x14ac:dyDescent="0.4">
      <c r="A27" s="13"/>
      <c r="B27" s="90"/>
      <c r="C27" s="97"/>
      <c r="D27" s="5" t="s">
        <v>25</v>
      </c>
      <c r="E27" s="5">
        <f t="shared" ref="E27:X27" si="10">SUM(E25:E26)</f>
        <v>3</v>
      </c>
      <c r="F27" s="5">
        <f t="shared" si="10"/>
        <v>1</v>
      </c>
      <c r="G27" s="5">
        <f t="shared" si="10"/>
        <v>1</v>
      </c>
      <c r="H27" s="5">
        <f t="shared" si="10"/>
        <v>2</v>
      </c>
      <c r="I27" s="5">
        <f t="shared" si="10"/>
        <v>0</v>
      </c>
      <c r="J27" s="5">
        <f t="shared" si="10"/>
        <v>4</v>
      </c>
      <c r="K27" s="5">
        <f t="shared" si="10"/>
        <v>3</v>
      </c>
      <c r="L27" s="5">
        <f t="shared" si="10"/>
        <v>1</v>
      </c>
      <c r="M27" s="5">
        <f t="shared" si="10"/>
        <v>0</v>
      </c>
      <c r="N27" s="5">
        <f t="shared" si="10"/>
        <v>1</v>
      </c>
      <c r="O27" s="5">
        <f t="shared" ref="O27:S27" si="11">SUM(O25:O26)</f>
        <v>0</v>
      </c>
      <c r="P27" s="5">
        <f t="shared" si="11"/>
        <v>4</v>
      </c>
      <c r="Q27" s="5">
        <f t="shared" si="11"/>
        <v>2</v>
      </c>
      <c r="R27" s="5">
        <f t="shared" si="11"/>
        <v>0</v>
      </c>
      <c r="S27" s="5">
        <f t="shared" si="11"/>
        <v>0</v>
      </c>
      <c r="T27" s="5">
        <f t="shared" si="10"/>
        <v>1</v>
      </c>
      <c r="U27" s="5">
        <f t="shared" si="10"/>
        <v>1</v>
      </c>
      <c r="V27" s="5">
        <f t="shared" si="10"/>
        <v>3</v>
      </c>
      <c r="W27" s="5">
        <f t="shared" si="10"/>
        <v>1</v>
      </c>
      <c r="X27" s="5">
        <f t="shared" si="10"/>
        <v>7</v>
      </c>
      <c r="Y27" s="5">
        <f t="shared" ref="Y27:AA27" si="12">SUM(Y25:Y26)</f>
        <v>5</v>
      </c>
      <c r="Z27" s="5">
        <f t="shared" si="12"/>
        <v>0</v>
      </c>
      <c r="AA27" s="5">
        <f t="shared" si="12"/>
        <v>1</v>
      </c>
      <c r="AB27" s="5">
        <f t="shared" si="3"/>
        <v>41</v>
      </c>
    </row>
    <row r="28" spans="1:28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81</v>
      </c>
      <c r="F28" s="5">
        <f t="shared" ref="F28:X29" si="13">SUM(F19,F22,F25)</f>
        <v>84</v>
      </c>
      <c r="G28" s="5">
        <f t="shared" si="13"/>
        <v>103</v>
      </c>
      <c r="H28" s="5">
        <f t="shared" si="13"/>
        <v>98</v>
      </c>
      <c r="I28" s="5">
        <f t="shared" si="13"/>
        <v>61</v>
      </c>
      <c r="J28" s="5">
        <f t="shared" si="13"/>
        <v>72</v>
      </c>
      <c r="K28" s="5">
        <f t="shared" si="13"/>
        <v>74</v>
      </c>
      <c r="L28" s="5">
        <f t="shared" si="13"/>
        <v>61</v>
      </c>
      <c r="M28" s="5">
        <f t="shared" si="13"/>
        <v>112</v>
      </c>
      <c r="N28" s="5">
        <f t="shared" si="13"/>
        <v>98</v>
      </c>
      <c r="O28" s="5">
        <f t="shared" ref="O28:S28" si="14">SUM(O19,O22,O25)</f>
        <v>109</v>
      </c>
      <c r="P28" s="5">
        <f t="shared" si="14"/>
        <v>107</v>
      </c>
      <c r="Q28" s="5">
        <f t="shared" si="14"/>
        <v>97</v>
      </c>
      <c r="R28" s="5">
        <f t="shared" si="14"/>
        <v>105</v>
      </c>
      <c r="S28" s="5">
        <f t="shared" si="14"/>
        <v>88</v>
      </c>
      <c r="T28" s="5">
        <f t="shared" si="13"/>
        <v>96</v>
      </c>
      <c r="U28" s="5">
        <f t="shared" si="13"/>
        <v>116</v>
      </c>
      <c r="V28" s="5">
        <f t="shared" si="13"/>
        <v>91</v>
      </c>
      <c r="W28" s="5">
        <f t="shared" si="13"/>
        <v>93</v>
      </c>
      <c r="X28" s="5">
        <f t="shared" si="13"/>
        <v>97</v>
      </c>
      <c r="Y28" s="5">
        <f t="shared" ref="Y28:AA28" si="15">SUM(Y19,Y22,Y25)</f>
        <v>104</v>
      </c>
      <c r="Z28" s="5">
        <f t="shared" si="15"/>
        <v>63</v>
      </c>
      <c r="AA28" s="5">
        <f t="shared" si="15"/>
        <v>59</v>
      </c>
      <c r="AB28" s="5">
        <f t="shared" si="3"/>
        <v>2069</v>
      </c>
    </row>
    <row r="29" spans="1:28" x14ac:dyDescent="0.4">
      <c r="A29" s="13"/>
      <c r="B29" s="89"/>
      <c r="C29" s="96"/>
      <c r="D29" s="5" t="s">
        <v>24</v>
      </c>
      <c r="E29" s="5">
        <f>SUM(E20,E23,E26)</f>
        <v>94</v>
      </c>
      <c r="F29" s="5">
        <f t="shared" si="13"/>
        <v>106</v>
      </c>
      <c r="G29" s="5">
        <f t="shared" si="13"/>
        <v>132</v>
      </c>
      <c r="H29" s="5">
        <f t="shared" si="13"/>
        <v>99</v>
      </c>
      <c r="I29" s="5">
        <f t="shared" si="13"/>
        <v>63</v>
      </c>
      <c r="J29" s="5">
        <f t="shared" si="13"/>
        <v>66</v>
      </c>
      <c r="K29" s="5">
        <f t="shared" si="13"/>
        <v>70</v>
      </c>
      <c r="L29" s="5">
        <f t="shared" si="13"/>
        <v>65</v>
      </c>
      <c r="M29" s="5">
        <f t="shared" si="13"/>
        <v>117</v>
      </c>
      <c r="N29" s="5">
        <f t="shared" si="13"/>
        <v>90</v>
      </c>
      <c r="O29" s="5">
        <f t="shared" ref="O29:S29" si="16">SUM(O20,O23,O26)</f>
        <v>119</v>
      </c>
      <c r="P29" s="5">
        <f t="shared" si="16"/>
        <v>112</v>
      </c>
      <c r="Q29" s="5">
        <f t="shared" si="16"/>
        <v>107</v>
      </c>
      <c r="R29" s="5">
        <f t="shared" si="16"/>
        <v>117</v>
      </c>
      <c r="S29" s="5">
        <f t="shared" si="16"/>
        <v>99</v>
      </c>
      <c r="T29" s="5">
        <f t="shared" si="13"/>
        <v>115</v>
      </c>
      <c r="U29" s="5">
        <f t="shared" si="13"/>
        <v>125</v>
      </c>
      <c r="V29" s="5">
        <f t="shared" si="13"/>
        <v>102</v>
      </c>
      <c r="W29" s="5">
        <f t="shared" si="13"/>
        <v>109</v>
      </c>
      <c r="X29" s="5">
        <f t="shared" si="13"/>
        <v>129</v>
      </c>
      <c r="Y29" s="5">
        <f t="shared" ref="Y29:AA29" si="17">SUM(Y20,Y23,Y26)</f>
        <v>95</v>
      </c>
      <c r="Z29" s="5">
        <f t="shared" si="17"/>
        <v>79</v>
      </c>
      <c r="AA29" s="5">
        <f t="shared" si="17"/>
        <v>62</v>
      </c>
      <c r="AB29" s="5">
        <f t="shared" si="3"/>
        <v>2272</v>
      </c>
    </row>
    <row r="30" spans="1:28" x14ac:dyDescent="0.4">
      <c r="A30" s="13"/>
      <c r="B30" s="90"/>
      <c r="C30" s="97"/>
      <c r="D30" s="5" t="s">
        <v>25</v>
      </c>
      <c r="E30" s="5">
        <f t="shared" ref="E30" si="18">SUM(E28:E29)</f>
        <v>175</v>
      </c>
      <c r="F30" s="5">
        <f t="shared" ref="F30:X30" si="19">SUM(F28:F29)</f>
        <v>190</v>
      </c>
      <c r="G30" s="5">
        <f t="shared" si="19"/>
        <v>235</v>
      </c>
      <c r="H30" s="5">
        <f t="shared" si="19"/>
        <v>197</v>
      </c>
      <c r="I30" s="5">
        <f t="shared" si="19"/>
        <v>124</v>
      </c>
      <c r="J30" s="5">
        <f t="shared" si="19"/>
        <v>138</v>
      </c>
      <c r="K30" s="5">
        <f t="shared" si="19"/>
        <v>144</v>
      </c>
      <c r="L30" s="5">
        <f t="shared" si="19"/>
        <v>126</v>
      </c>
      <c r="M30" s="5">
        <f t="shared" si="19"/>
        <v>229</v>
      </c>
      <c r="N30" s="5">
        <f t="shared" si="19"/>
        <v>188</v>
      </c>
      <c r="O30" s="5">
        <f t="shared" ref="O30:S30" si="20">SUM(O28:O29)</f>
        <v>228</v>
      </c>
      <c r="P30" s="5">
        <f t="shared" si="20"/>
        <v>219</v>
      </c>
      <c r="Q30" s="5">
        <f t="shared" si="20"/>
        <v>204</v>
      </c>
      <c r="R30" s="5">
        <f t="shared" si="20"/>
        <v>222</v>
      </c>
      <c r="S30" s="5">
        <f t="shared" si="20"/>
        <v>187</v>
      </c>
      <c r="T30" s="5">
        <f t="shared" si="19"/>
        <v>211</v>
      </c>
      <c r="U30" s="5">
        <f t="shared" si="19"/>
        <v>241</v>
      </c>
      <c r="V30" s="5">
        <f t="shared" si="19"/>
        <v>193</v>
      </c>
      <c r="W30" s="5">
        <f t="shared" si="19"/>
        <v>202</v>
      </c>
      <c r="X30" s="5">
        <f t="shared" si="19"/>
        <v>226</v>
      </c>
      <c r="Y30" s="5">
        <f t="shared" ref="Y30:AA30" si="21">SUM(Y28:Y29)</f>
        <v>199</v>
      </c>
      <c r="Z30" s="5">
        <f t="shared" si="21"/>
        <v>142</v>
      </c>
      <c r="AA30" s="5">
        <f t="shared" si="21"/>
        <v>121</v>
      </c>
      <c r="AB30" s="5">
        <f t="shared" si="3"/>
        <v>4341</v>
      </c>
    </row>
    <row r="31" spans="1:28" x14ac:dyDescent="0.4">
      <c r="A31" s="70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28"/>
    </row>
    <row r="32" spans="1:28" x14ac:dyDescent="0.4">
      <c r="A32" s="14" t="s">
        <v>36</v>
      </c>
      <c r="B32" s="75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28"/>
    </row>
    <row r="33" spans="1:28" x14ac:dyDescent="0.4">
      <c r="A33" s="6">
        <v>1</v>
      </c>
      <c r="B33" s="93" t="s">
        <v>38</v>
      </c>
      <c r="C33" s="83"/>
      <c r="D33" s="74"/>
      <c r="E33" s="6">
        <v>254</v>
      </c>
      <c r="F33" s="6">
        <v>253</v>
      </c>
      <c r="G33" s="6">
        <v>298</v>
      </c>
      <c r="H33" s="6">
        <v>261</v>
      </c>
      <c r="I33" s="6">
        <v>164</v>
      </c>
      <c r="J33" s="6">
        <v>174</v>
      </c>
      <c r="K33" s="6">
        <v>201</v>
      </c>
      <c r="L33" s="6">
        <v>173</v>
      </c>
      <c r="M33" s="6">
        <v>306</v>
      </c>
      <c r="N33" s="6">
        <v>255</v>
      </c>
      <c r="O33" s="6">
        <v>299</v>
      </c>
      <c r="P33" s="6">
        <v>284</v>
      </c>
      <c r="Q33" s="6">
        <v>285</v>
      </c>
      <c r="R33" s="6">
        <v>298</v>
      </c>
      <c r="S33" s="6">
        <v>280</v>
      </c>
      <c r="T33" s="6">
        <v>279</v>
      </c>
      <c r="U33" s="6">
        <v>305</v>
      </c>
      <c r="V33" s="6">
        <v>267</v>
      </c>
      <c r="W33" s="6">
        <v>274</v>
      </c>
      <c r="X33" s="6">
        <v>294</v>
      </c>
      <c r="Y33" s="6">
        <v>268</v>
      </c>
      <c r="Z33" s="6">
        <v>235</v>
      </c>
      <c r="AA33" s="6">
        <v>170</v>
      </c>
      <c r="AB33" s="5">
        <f>SUM(E33:AA33)</f>
        <v>5877</v>
      </c>
    </row>
    <row r="34" spans="1:28" x14ac:dyDescent="0.4">
      <c r="A34" s="6">
        <v>2</v>
      </c>
      <c r="B34" s="93" t="s">
        <v>39</v>
      </c>
      <c r="C34" s="83"/>
      <c r="D34" s="74"/>
      <c r="E34" s="5">
        <v>175</v>
      </c>
      <c r="F34" s="5">
        <v>190</v>
      </c>
      <c r="G34" s="5">
        <v>235</v>
      </c>
      <c r="H34" s="5">
        <v>197</v>
      </c>
      <c r="I34" s="5">
        <v>124</v>
      </c>
      <c r="J34" s="5">
        <v>138</v>
      </c>
      <c r="K34" s="5">
        <v>144</v>
      </c>
      <c r="L34" s="5">
        <v>126</v>
      </c>
      <c r="M34" s="5">
        <v>229</v>
      </c>
      <c r="N34" s="5">
        <v>188</v>
      </c>
      <c r="O34" s="5">
        <v>228</v>
      </c>
      <c r="P34" s="5">
        <v>219</v>
      </c>
      <c r="Q34" s="5">
        <v>204</v>
      </c>
      <c r="R34" s="5">
        <v>222</v>
      </c>
      <c r="S34" s="5">
        <v>187</v>
      </c>
      <c r="T34" s="5">
        <v>211</v>
      </c>
      <c r="U34" s="5">
        <v>241</v>
      </c>
      <c r="V34" s="5">
        <v>193</v>
      </c>
      <c r="W34" s="5">
        <v>202</v>
      </c>
      <c r="X34" s="5">
        <v>226</v>
      </c>
      <c r="Y34" s="5">
        <v>199</v>
      </c>
      <c r="Z34" s="5">
        <v>142</v>
      </c>
      <c r="AA34" s="5">
        <v>121</v>
      </c>
      <c r="AB34" s="5">
        <f>SUM(E34:AA34)</f>
        <v>4341</v>
      </c>
    </row>
    <row r="35" spans="1:28" x14ac:dyDescent="0.4">
      <c r="A35" s="6">
        <v>3</v>
      </c>
      <c r="B35" s="93" t="s">
        <v>40</v>
      </c>
      <c r="C35" s="83"/>
      <c r="D35" s="74"/>
      <c r="E35" s="6"/>
      <c r="F35" s="6"/>
      <c r="G35" s="6"/>
      <c r="H35" s="6"/>
      <c r="I35" s="6"/>
      <c r="J35" s="6"/>
      <c r="K35" s="6">
        <v>2</v>
      </c>
      <c r="L35" s="6"/>
      <c r="M35" s="6"/>
      <c r="N35" s="6"/>
      <c r="O35" s="6"/>
      <c r="P35" s="6"/>
      <c r="Q35" s="6"/>
      <c r="R35" s="6"/>
      <c r="S35" s="6"/>
      <c r="T35" s="6"/>
      <c r="U35" s="6">
        <v>1</v>
      </c>
      <c r="V35" s="6">
        <v>1</v>
      </c>
      <c r="W35" s="6"/>
      <c r="X35" s="6">
        <v>1</v>
      </c>
      <c r="Y35" s="6"/>
      <c r="Z35" s="6"/>
      <c r="AA35" s="6"/>
      <c r="AB35" s="5">
        <f>SUM(E35:AA35)</f>
        <v>5</v>
      </c>
    </row>
    <row r="36" spans="1:28" x14ac:dyDescent="0.4">
      <c r="A36" s="6">
        <v>4</v>
      </c>
      <c r="B36" s="93" t="s">
        <v>41</v>
      </c>
      <c r="C36" s="83"/>
      <c r="D36" s="74"/>
      <c r="E36" s="5">
        <f t="shared" ref="E36:X36" si="22">E33-(E34+E35)</f>
        <v>79</v>
      </c>
      <c r="F36" s="5">
        <f t="shared" si="22"/>
        <v>63</v>
      </c>
      <c r="G36" s="5">
        <f t="shared" si="22"/>
        <v>63</v>
      </c>
      <c r="H36" s="5">
        <f t="shared" si="22"/>
        <v>64</v>
      </c>
      <c r="I36" s="5">
        <f t="shared" si="22"/>
        <v>40</v>
      </c>
      <c r="J36" s="5">
        <f t="shared" si="22"/>
        <v>36</v>
      </c>
      <c r="K36" s="5">
        <f t="shared" si="22"/>
        <v>55</v>
      </c>
      <c r="L36" s="5">
        <f t="shared" si="22"/>
        <v>47</v>
      </c>
      <c r="M36" s="5">
        <f t="shared" si="22"/>
        <v>77</v>
      </c>
      <c r="N36" s="5">
        <f t="shared" si="22"/>
        <v>67</v>
      </c>
      <c r="O36" s="5">
        <f t="shared" ref="O36:S36" si="23">O33-(O34+O35)</f>
        <v>71</v>
      </c>
      <c r="P36" s="5">
        <f t="shared" si="23"/>
        <v>65</v>
      </c>
      <c r="Q36" s="5">
        <f t="shared" si="23"/>
        <v>81</v>
      </c>
      <c r="R36" s="5">
        <f t="shared" si="23"/>
        <v>76</v>
      </c>
      <c r="S36" s="5">
        <f t="shared" si="23"/>
        <v>93</v>
      </c>
      <c r="T36" s="5">
        <f t="shared" si="22"/>
        <v>68</v>
      </c>
      <c r="U36" s="5">
        <f t="shared" si="22"/>
        <v>63</v>
      </c>
      <c r="V36" s="5">
        <f t="shared" si="22"/>
        <v>73</v>
      </c>
      <c r="W36" s="5">
        <f t="shared" si="22"/>
        <v>72</v>
      </c>
      <c r="X36" s="5">
        <f t="shared" si="22"/>
        <v>67</v>
      </c>
      <c r="Y36" s="5">
        <f t="shared" ref="Y36:AA36" si="24">Y33-(Y34+Y35)</f>
        <v>69</v>
      </c>
      <c r="Z36" s="5">
        <f t="shared" si="24"/>
        <v>93</v>
      </c>
      <c r="AA36" s="5">
        <f t="shared" si="24"/>
        <v>49</v>
      </c>
      <c r="AB36" s="5">
        <f>SUM(E36:AA36)</f>
        <v>1531</v>
      </c>
    </row>
    <row r="37" spans="1:28" x14ac:dyDescent="0.4">
      <c r="A37" s="70"/>
      <c r="B37" s="83"/>
      <c r="C37" s="83"/>
      <c r="D37" s="83"/>
      <c r="E37" s="70"/>
      <c r="F37" s="91"/>
      <c r="G37" s="91"/>
      <c r="H37" s="91"/>
      <c r="I37" s="92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28"/>
    </row>
    <row r="38" spans="1:28" x14ac:dyDescent="0.4">
      <c r="A38" s="16" t="s">
        <v>42</v>
      </c>
      <c r="B38" s="75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28"/>
    </row>
    <row r="39" spans="1:28" x14ac:dyDescent="0.4">
      <c r="A39" s="11"/>
      <c r="B39" s="86" t="s">
        <v>44</v>
      </c>
      <c r="C39" s="79"/>
      <c r="D39" s="6" t="s">
        <v>23</v>
      </c>
      <c r="E39" s="6"/>
      <c r="F39" s="6"/>
      <c r="G39" s="6"/>
      <c r="H39" s="6"/>
      <c r="I39" s="6"/>
      <c r="J39" s="6">
        <v>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</v>
      </c>
      <c r="W39" s="6"/>
      <c r="X39" s="6"/>
      <c r="Y39" s="6"/>
      <c r="Z39" s="6"/>
      <c r="AA39" s="6"/>
      <c r="AB39" s="5">
        <f>SUM(E39:AA39)</f>
        <v>2</v>
      </c>
    </row>
    <row r="40" spans="1:28" x14ac:dyDescent="0.4">
      <c r="A40" s="12"/>
      <c r="B40" s="88"/>
      <c r="C40" s="89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5">
        <f>SUM(E40:AA40)</f>
        <v>0</v>
      </c>
    </row>
    <row r="41" spans="1:28" x14ac:dyDescent="0.4">
      <c r="A41" s="14"/>
      <c r="B41" s="85"/>
      <c r="C41" s="90"/>
      <c r="D41" s="5" t="s">
        <v>25</v>
      </c>
      <c r="E41" s="5">
        <f t="shared" ref="E41:X41" si="25">SUM(E39:E40)</f>
        <v>0</v>
      </c>
      <c r="F41" s="5">
        <f t="shared" si="25"/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1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ref="O41:S41" si="26">SUM(O39:O40)</f>
        <v>0</v>
      </c>
      <c r="P41" s="5">
        <f t="shared" si="26"/>
        <v>0</v>
      </c>
      <c r="Q41" s="5">
        <f t="shared" si="26"/>
        <v>0</v>
      </c>
      <c r="R41" s="5">
        <f t="shared" si="26"/>
        <v>0</v>
      </c>
      <c r="S41" s="5">
        <f t="shared" si="26"/>
        <v>0</v>
      </c>
      <c r="T41" s="5">
        <f t="shared" si="25"/>
        <v>0</v>
      </c>
      <c r="U41" s="5">
        <f t="shared" si="25"/>
        <v>0</v>
      </c>
      <c r="V41" s="5">
        <f t="shared" si="25"/>
        <v>1</v>
      </c>
      <c r="W41" s="5">
        <f t="shared" si="25"/>
        <v>0</v>
      </c>
      <c r="X41" s="5">
        <f t="shared" si="25"/>
        <v>0</v>
      </c>
      <c r="Y41" s="5">
        <f t="shared" ref="Y41:AA41" si="27">SUM(Y39:Y40)</f>
        <v>0</v>
      </c>
      <c r="Z41" s="5">
        <f t="shared" si="27"/>
        <v>0</v>
      </c>
      <c r="AA41" s="5">
        <f t="shared" si="27"/>
        <v>0</v>
      </c>
      <c r="AB41" s="5">
        <f>SUM(E41:AA41)</f>
        <v>2</v>
      </c>
    </row>
    <row r="42" spans="1:28" x14ac:dyDescent="0.4">
      <c r="A42" s="84"/>
      <c r="B42" s="85"/>
      <c r="C42" s="85"/>
      <c r="D42" s="90"/>
      <c r="E42" s="70"/>
      <c r="F42" s="83"/>
      <c r="G42" s="83"/>
      <c r="H42" s="83"/>
      <c r="I42" s="74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5"/>
    </row>
    <row r="43" spans="1:28" ht="13.15" customHeight="1" x14ac:dyDescent="0.4">
      <c r="A43" s="16" t="s">
        <v>45</v>
      </c>
      <c r="B43" s="75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</row>
    <row r="44" spans="1:28" ht="13.15" customHeight="1" x14ac:dyDescent="0.4">
      <c r="A44" s="86" t="s">
        <v>47</v>
      </c>
      <c r="B44" s="87"/>
      <c r="C44" s="87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5"/>
    </row>
    <row r="45" spans="1:28" x14ac:dyDescent="0.4">
      <c r="A45" s="11" t="s">
        <v>48</v>
      </c>
      <c r="B45" s="17" t="s">
        <v>28</v>
      </c>
      <c r="C45" s="73" t="s">
        <v>49</v>
      </c>
      <c r="D45" s="74"/>
      <c r="E45" s="6">
        <v>8</v>
      </c>
      <c r="F45" s="6">
        <v>10</v>
      </c>
      <c r="G45" s="6">
        <v>6</v>
      </c>
      <c r="H45" s="6">
        <v>6</v>
      </c>
      <c r="I45" s="6">
        <v>0</v>
      </c>
      <c r="J45" s="6">
        <v>1</v>
      </c>
      <c r="K45" s="6">
        <v>6</v>
      </c>
      <c r="L45" s="6">
        <v>4</v>
      </c>
      <c r="M45" s="6">
        <v>3</v>
      </c>
      <c r="N45" s="6">
        <v>1</v>
      </c>
      <c r="O45" s="6">
        <v>8</v>
      </c>
      <c r="P45" s="6">
        <v>10</v>
      </c>
      <c r="Q45" s="6">
        <v>7</v>
      </c>
      <c r="R45" s="6">
        <v>1</v>
      </c>
      <c r="S45" s="6">
        <v>12</v>
      </c>
      <c r="T45" s="6">
        <v>7</v>
      </c>
      <c r="U45" s="6">
        <v>5</v>
      </c>
      <c r="V45" s="6">
        <v>15</v>
      </c>
      <c r="W45" s="6">
        <v>2</v>
      </c>
      <c r="X45" s="6">
        <v>9</v>
      </c>
      <c r="Y45" s="6">
        <v>7</v>
      </c>
      <c r="Z45" s="6">
        <v>4</v>
      </c>
      <c r="AA45" s="6">
        <v>2</v>
      </c>
      <c r="AB45" s="5">
        <f t="shared" ref="AB45:AB55" si="28">SUM(E45:AA45)</f>
        <v>134</v>
      </c>
    </row>
    <row r="46" spans="1:28" x14ac:dyDescent="0.4">
      <c r="A46" s="11" t="s">
        <v>50</v>
      </c>
      <c r="B46" s="51"/>
      <c r="C46" s="24" t="s">
        <v>122</v>
      </c>
      <c r="D46" s="24"/>
      <c r="E46" s="6">
        <v>11</v>
      </c>
      <c r="F46" s="6">
        <v>38</v>
      </c>
      <c r="G46" s="6">
        <v>81</v>
      </c>
      <c r="H46" s="6">
        <v>32</v>
      </c>
      <c r="I46" s="6">
        <v>5</v>
      </c>
      <c r="J46" s="6">
        <v>4</v>
      </c>
      <c r="K46" s="6">
        <v>22</v>
      </c>
      <c r="L46" s="6">
        <v>6</v>
      </c>
      <c r="M46" s="6">
        <v>6</v>
      </c>
      <c r="N46" s="6">
        <v>3</v>
      </c>
      <c r="O46" s="6">
        <v>14</v>
      </c>
      <c r="P46" s="6">
        <v>18</v>
      </c>
      <c r="Q46" s="6">
        <v>11</v>
      </c>
      <c r="R46" s="6">
        <v>9</v>
      </c>
      <c r="S46" s="6">
        <v>14</v>
      </c>
      <c r="T46" s="6">
        <v>14</v>
      </c>
      <c r="U46" s="6">
        <v>13</v>
      </c>
      <c r="V46" s="6">
        <v>14</v>
      </c>
      <c r="W46" s="6">
        <v>15</v>
      </c>
      <c r="X46" s="6">
        <v>38</v>
      </c>
      <c r="Y46" s="6">
        <v>15</v>
      </c>
      <c r="Z46" s="6">
        <v>2</v>
      </c>
      <c r="AA46" s="6">
        <v>5</v>
      </c>
      <c r="AB46" s="5">
        <f t="shared" si="28"/>
        <v>390</v>
      </c>
    </row>
    <row r="47" spans="1:28" x14ac:dyDescent="0.4">
      <c r="A47" s="7"/>
      <c r="B47" s="52"/>
      <c r="C47" s="24" t="s">
        <v>123</v>
      </c>
      <c r="D47" s="24"/>
      <c r="E47" s="6">
        <v>3</v>
      </c>
      <c r="F47" s="6">
        <v>2</v>
      </c>
      <c r="G47" s="6">
        <v>9</v>
      </c>
      <c r="H47" s="6">
        <v>5</v>
      </c>
      <c r="I47" s="6">
        <v>1</v>
      </c>
      <c r="J47" s="6">
        <v>0</v>
      </c>
      <c r="K47" s="6">
        <v>3</v>
      </c>
      <c r="L47" s="6">
        <v>4</v>
      </c>
      <c r="M47" s="6">
        <v>2</v>
      </c>
      <c r="N47" s="6">
        <v>0</v>
      </c>
      <c r="O47" s="6">
        <v>6</v>
      </c>
      <c r="P47" s="6">
        <v>10</v>
      </c>
      <c r="Q47" s="6">
        <v>11</v>
      </c>
      <c r="R47" s="6">
        <v>36</v>
      </c>
      <c r="S47" s="6">
        <v>17</v>
      </c>
      <c r="T47" s="6">
        <v>60</v>
      </c>
      <c r="U47" s="6">
        <v>20</v>
      </c>
      <c r="V47" s="6">
        <v>46</v>
      </c>
      <c r="W47" s="6">
        <v>20</v>
      </c>
      <c r="X47" s="6">
        <v>37</v>
      </c>
      <c r="Y47" s="6">
        <v>69</v>
      </c>
      <c r="Z47" s="6">
        <v>10</v>
      </c>
      <c r="AA47" s="6">
        <v>13</v>
      </c>
      <c r="AB47" s="5">
        <f t="shared" si="28"/>
        <v>384</v>
      </c>
    </row>
    <row r="48" spans="1:28" x14ac:dyDescent="0.4">
      <c r="A48" s="7"/>
      <c r="B48" s="52"/>
      <c r="C48" s="24" t="s">
        <v>124</v>
      </c>
      <c r="D48" s="24"/>
      <c r="E48" s="6">
        <v>2</v>
      </c>
      <c r="F48" s="6">
        <v>0</v>
      </c>
      <c r="G48" s="6">
        <v>1</v>
      </c>
      <c r="H48" s="6">
        <v>0</v>
      </c>
      <c r="I48" s="6">
        <v>0</v>
      </c>
      <c r="J48" s="6">
        <v>0</v>
      </c>
      <c r="K48" s="6">
        <v>2</v>
      </c>
      <c r="L48" s="6">
        <v>0</v>
      </c>
      <c r="M48" s="6">
        <v>0</v>
      </c>
      <c r="N48" s="6">
        <v>0</v>
      </c>
      <c r="O48" s="6">
        <v>2</v>
      </c>
      <c r="P48" s="6">
        <v>2</v>
      </c>
      <c r="Q48" s="6">
        <v>2</v>
      </c>
      <c r="R48" s="6">
        <v>1</v>
      </c>
      <c r="S48" s="6">
        <v>7</v>
      </c>
      <c r="T48" s="6">
        <v>1</v>
      </c>
      <c r="U48" s="6">
        <v>1</v>
      </c>
      <c r="V48" s="6">
        <v>0</v>
      </c>
      <c r="W48" s="6">
        <v>2</v>
      </c>
      <c r="X48" s="6">
        <v>0</v>
      </c>
      <c r="Y48" s="6">
        <v>1</v>
      </c>
      <c r="Z48" s="6">
        <v>1</v>
      </c>
      <c r="AA48" s="6">
        <v>1</v>
      </c>
      <c r="AB48" s="5">
        <f t="shared" si="28"/>
        <v>26</v>
      </c>
    </row>
    <row r="49" spans="1:28" x14ac:dyDescent="0.4">
      <c r="A49" s="7"/>
      <c r="B49" s="52"/>
      <c r="C49" s="24" t="s">
        <v>125</v>
      </c>
      <c r="D49" s="24"/>
      <c r="E49" s="6">
        <v>2</v>
      </c>
      <c r="F49" s="6">
        <v>1</v>
      </c>
      <c r="G49" s="6">
        <v>1</v>
      </c>
      <c r="H49" s="6">
        <v>3</v>
      </c>
      <c r="I49" s="6">
        <v>1</v>
      </c>
      <c r="J49" s="6">
        <v>0</v>
      </c>
      <c r="K49" s="6">
        <v>1</v>
      </c>
      <c r="L49" s="6">
        <v>0</v>
      </c>
      <c r="M49" s="6">
        <v>2</v>
      </c>
      <c r="N49" s="6">
        <v>0</v>
      </c>
      <c r="O49" s="6">
        <v>2</v>
      </c>
      <c r="P49" s="6">
        <v>1</v>
      </c>
      <c r="Q49" s="6">
        <v>2</v>
      </c>
      <c r="R49" s="6">
        <v>0</v>
      </c>
      <c r="S49" s="6">
        <v>0</v>
      </c>
      <c r="T49" s="6">
        <v>1</v>
      </c>
      <c r="U49" s="6">
        <v>0</v>
      </c>
      <c r="V49" s="6">
        <v>0</v>
      </c>
      <c r="W49" s="6">
        <v>1</v>
      </c>
      <c r="X49" s="6">
        <v>1</v>
      </c>
      <c r="Y49" s="6">
        <v>1</v>
      </c>
      <c r="Z49" s="6">
        <v>0</v>
      </c>
      <c r="AA49" s="6">
        <v>1</v>
      </c>
      <c r="AB49" s="5">
        <f t="shared" si="28"/>
        <v>21</v>
      </c>
    </row>
    <row r="50" spans="1:28" x14ac:dyDescent="0.4">
      <c r="A50" s="7"/>
      <c r="B50" s="52"/>
      <c r="C50" s="24" t="s">
        <v>126</v>
      </c>
      <c r="D50" s="24"/>
      <c r="E50" s="6">
        <v>0</v>
      </c>
      <c r="F50" s="6">
        <v>2</v>
      </c>
      <c r="G50" s="6">
        <v>7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1</v>
      </c>
      <c r="W50" s="6">
        <v>2</v>
      </c>
      <c r="X50" s="6">
        <v>0</v>
      </c>
      <c r="Y50" s="6">
        <v>0</v>
      </c>
      <c r="Z50" s="6">
        <v>1</v>
      </c>
      <c r="AA50" s="6">
        <v>0</v>
      </c>
      <c r="AB50" s="5">
        <f t="shared" si="28"/>
        <v>15</v>
      </c>
    </row>
    <row r="51" spans="1:28" x14ac:dyDescent="0.4">
      <c r="A51" s="7"/>
      <c r="B51" s="52"/>
      <c r="C51" s="24" t="s">
        <v>127</v>
      </c>
      <c r="D51" s="24"/>
      <c r="E51" s="6">
        <v>0</v>
      </c>
      <c r="F51" s="6">
        <v>0</v>
      </c>
      <c r="G51" s="6">
        <v>2</v>
      </c>
      <c r="H51" s="6">
        <v>3</v>
      </c>
      <c r="I51" s="6">
        <v>0</v>
      </c>
      <c r="J51" s="6">
        <v>0</v>
      </c>
      <c r="K51" s="6">
        <v>2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1</v>
      </c>
      <c r="U51" s="6">
        <v>1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5">
        <f t="shared" si="28"/>
        <v>10</v>
      </c>
    </row>
    <row r="52" spans="1:28" ht="13.15" customHeight="1" x14ac:dyDescent="0.4">
      <c r="A52" s="7"/>
      <c r="B52" s="52"/>
      <c r="C52" s="24" t="s">
        <v>128</v>
      </c>
      <c r="D52" s="24"/>
      <c r="E52" s="6">
        <v>1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1</v>
      </c>
      <c r="R52" s="6">
        <v>0</v>
      </c>
      <c r="S52" s="6">
        <v>1</v>
      </c>
      <c r="T52" s="6">
        <v>0</v>
      </c>
      <c r="U52" s="6">
        <v>1</v>
      </c>
      <c r="V52" s="6">
        <v>0</v>
      </c>
      <c r="W52" s="6">
        <v>1</v>
      </c>
      <c r="X52" s="6">
        <v>3</v>
      </c>
      <c r="Y52" s="6">
        <v>0</v>
      </c>
      <c r="Z52" s="6">
        <v>1</v>
      </c>
      <c r="AA52" s="6">
        <v>0</v>
      </c>
      <c r="AB52" s="5">
        <f t="shared" si="28"/>
        <v>11</v>
      </c>
    </row>
    <row r="53" spans="1:28" ht="13.15" customHeight="1" x14ac:dyDescent="0.4">
      <c r="A53" s="7"/>
      <c r="B53" s="52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5">
        <f t="shared" si="28"/>
        <v>0</v>
      </c>
    </row>
    <row r="54" spans="1:28" ht="13.15" customHeight="1" x14ac:dyDescent="0.4">
      <c r="A54" s="7"/>
      <c r="B54" s="52"/>
      <c r="C54" s="24" t="s">
        <v>130</v>
      </c>
      <c r="D54" s="24"/>
      <c r="E54" s="6">
        <v>0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1</v>
      </c>
      <c r="L54" s="6">
        <v>1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1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5">
        <f t="shared" si="28"/>
        <v>5</v>
      </c>
    </row>
    <row r="55" spans="1:28" x14ac:dyDescent="0.4">
      <c r="A55" s="6" t="s">
        <v>26</v>
      </c>
      <c r="B55" s="67" t="s">
        <v>51</v>
      </c>
      <c r="C55" s="83"/>
      <c r="D55" s="74"/>
      <c r="E55" s="5">
        <f>SUM(E45:E54)</f>
        <v>27</v>
      </c>
      <c r="F55" s="5">
        <f t="shared" ref="F55:AB55" si="29">SUM(F45:F54)</f>
        <v>54</v>
      </c>
      <c r="G55" s="5">
        <f t="shared" si="29"/>
        <v>108</v>
      </c>
      <c r="H55" s="5">
        <f t="shared" si="29"/>
        <v>50</v>
      </c>
      <c r="I55" s="5">
        <f t="shared" si="29"/>
        <v>7</v>
      </c>
      <c r="J55" s="5">
        <f t="shared" si="29"/>
        <v>5</v>
      </c>
      <c r="K55" s="5">
        <f t="shared" si="29"/>
        <v>37</v>
      </c>
      <c r="L55" s="5">
        <f t="shared" si="29"/>
        <v>15</v>
      </c>
      <c r="M55" s="5">
        <f t="shared" si="29"/>
        <v>13</v>
      </c>
      <c r="N55" s="5">
        <f t="shared" si="29"/>
        <v>5</v>
      </c>
      <c r="O55" s="5">
        <f t="shared" si="29"/>
        <v>32</v>
      </c>
      <c r="P55" s="5">
        <f t="shared" si="29"/>
        <v>43</v>
      </c>
      <c r="Q55" s="5">
        <f t="shared" si="29"/>
        <v>34</v>
      </c>
      <c r="R55" s="5">
        <f t="shared" si="29"/>
        <v>47</v>
      </c>
      <c r="S55" s="5">
        <f t="shared" si="29"/>
        <v>52</v>
      </c>
      <c r="T55" s="5">
        <f t="shared" si="29"/>
        <v>84</v>
      </c>
      <c r="U55" s="5">
        <f t="shared" si="29"/>
        <v>42</v>
      </c>
      <c r="V55" s="5">
        <f t="shared" si="29"/>
        <v>76</v>
      </c>
      <c r="W55" s="5">
        <f t="shared" si="29"/>
        <v>43</v>
      </c>
      <c r="X55" s="5">
        <f t="shared" si="29"/>
        <v>88</v>
      </c>
      <c r="Y55" s="5">
        <f t="shared" si="29"/>
        <v>93</v>
      </c>
      <c r="Z55" s="5">
        <f t="shared" si="29"/>
        <v>19</v>
      </c>
      <c r="AA55" s="5">
        <f t="shared" si="29"/>
        <v>22</v>
      </c>
      <c r="AB55" s="5">
        <f t="shared" si="29"/>
        <v>996</v>
      </c>
    </row>
    <row r="56" spans="1:28" x14ac:dyDescent="0.4">
      <c r="A56" s="84"/>
      <c r="B56" s="85"/>
      <c r="C56" s="85"/>
      <c r="D56" s="85"/>
      <c r="E56" s="85"/>
      <c r="AB56" s="5"/>
    </row>
    <row r="57" spans="1:28" x14ac:dyDescent="0.4">
      <c r="A57" s="11" t="s">
        <v>48</v>
      </c>
      <c r="B57" s="17" t="s">
        <v>30</v>
      </c>
      <c r="C57" s="73" t="s">
        <v>52</v>
      </c>
      <c r="D57" s="74"/>
      <c r="E57" s="6">
        <v>10</v>
      </c>
      <c r="F57" s="6">
        <v>6</v>
      </c>
      <c r="G57" s="6">
        <v>10</v>
      </c>
      <c r="H57" s="6">
        <v>15</v>
      </c>
      <c r="I57" s="6">
        <v>3</v>
      </c>
      <c r="J57" s="6">
        <v>3</v>
      </c>
      <c r="K57" s="6">
        <v>3</v>
      </c>
      <c r="L57" s="6">
        <v>4</v>
      </c>
      <c r="M57" s="6">
        <v>6</v>
      </c>
      <c r="N57" s="6">
        <v>2</v>
      </c>
      <c r="O57" s="6">
        <v>4</v>
      </c>
      <c r="P57" s="6">
        <v>9</v>
      </c>
      <c r="Q57" s="6">
        <v>12</v>
      </c>
      <c r="R57" s="6">
        <v>3</v>
      </c>
      <c r="S57" s="6">
        <v>10</v>
      </c>
      <c r="T57" s="6">
        <v>12</v>
      </c>
      <c r="U57" s="6">
        <v>13</v>
      </c>
      <c r="V57" s="6">
        <v>10</v>
      </c>
      <c r="W57" s="6">
        <v>8</v>
      </c>
      <c r="X57" s="6">
        <v>10</v>
      </c>
      <c r="Y57" s="6">
        <v>7</v>
      </c>
      <c r="Z57" s="6">
        <v>4</v>
      </c>
      <c r="AA57" s="6">
        <v>4</v>
      </c>
      <c r="AB57" s="5">
        <f t="shared" ref="AB57:AB67" si="30">SUM(E57:AA57)</f>
        <v>168</v>
      </c>
    </row>
    <row r="58" spans="1:28" x14ac:dyDescent="0.4">
      <c r="A58" s="11" t="s">
        <v>50</v>
      </c>
      <c r="B58" s="52"/>
      <c r="C58" s="24" t="s">
        <v>131</v>
      </c>
      <c r="D58" s="53"/>
      <c r="E58" s="6">
        <v>7</v>
      </c>
      <c r="F58" s="6">
        <v>5</v>
      </c>
      <c r="G58" s="6">
        <v>8</v>
      </c>
      <c r="H58" s="6">
        <v>13</v>
      </c>
      <c r="I58" s="6">
        <v>1</v>
      </c>
      <c r="J58" s="6">
        <v>5</v>
      </c>
      <c r="K58" s="6">
        <v>38</v>
      </c>
      <c r="L58" s="6">
        <v>13</v>
      </c>
      <c r="M58" s="6">
        <v>11</v>
      </c>
      <c r="N58" s="6">
        <v>3</v>
      </c>
      <c r="O58" s="6">
        <v>14</v>
      </c>
      <c r="P58" s="6">
        <v>10</v>
      </c>
      <c r="Q58" s="6">
        <v>6</v>
      </c>
      <c r="R58" s="6">
        <v>6</v>
      </c>
      <c r="S58" s="6">
        <v>3</v>
      </c>
      <c r="T58" s="6">
        <v>7</v>
      </c>
      <c r="U58" s="6">
        <v>11</v>
      </c>
      <c r="V58" s="6">
        <v>6</v>
      </c>
      <c r="W58" s="6">
        <v>6</v>
      </c>
      <c r="X58" s="6">
        <v>12</v>
      </c>
      <c r="Y58" s="6">
        <v>6</v>
      </c>
      <c r="Z58" s="6">
        <v>5</v>
      </c>
      <c r="AA58" s="6">
        <v>3</v>
      </c>
      <c r="AB58" s="5">
        <f t="shared" si="30"/>
        <v>199</v>
      </c>
    </row>
    <row r="59" spans="1:28" x14ac:dyDescent="0.4">
      <c r="A59" s="7"/>
      <c r="B59" s="52"/>
      <c r="C59" s="24" t="s">
        <v>132</v>
      </c>
      <c r="D59" s="53"/>
      <c r="E59" s="6">
        <v>7</v>
      </c>
      <c r="F59" s="6">
        <v>2</v>
      </c>
      <c r="G59" s="6">
        <v>1</v>
      </c>
      <c r="H59" s="6">
        <v>6</v>
      </c>
      <c r="I59" s="6">
        <v>1</v>
      </c>
      <c r="J59" s="6">
        <v>0</v>
      </c>
      <c r="K59" s="6">
        <v>1</v>
      </c>
      <c r="L59" s="6">
        <v>3</v>
      </c>
      <c r="M59" s="6">
        <v>2</v>
      </c>
      <c r="N59" s="6">
        <v>2</v>
      </c>
      <c r="O59" s="6">
        <v>7</v>
      </c>
      <c r="P59" s="6">
        <v>0</v>
      </c>
      <c r="Q59" s="6">
        <v>7</v>
      </c>
      <c r="R59" s="6">
        <v>5</v>
      </c>
      <c r="S59" s="6">
        <v>8</v>
      </c>
      <c r="T59" s="6">
        <v>3</v>
      </c>
      <c r="U59" s="6">
        <v>17</v>
      </c>
      <c r="V59" s="6">
        <v>6</v>
      </c>
      <c r="W59" s="6">
        <v>2</v>
      </c>
      <c r="X59" s="6">
        <v>13</v>
      </c>
      <c r="Y59" s="6">
        <v>2</v>
      </c>
      <c r="Z59" s="6">
        <v>4</v>
      </c>
      <c r="AA59" s="6">
        <v>3</v>
      </c>
      <c r="AB59" s="5">
        <f t="shared" si="30"/>
        <v>102</v>
      </c>
    </row>
    <row r="60" spans="1:28" x14ac:dyDescent="0.4">
      <c r="A60" s="7"/>
      <c r="B60" s="52"/>
      <c r="C60" s="24" t="s">
        <v>133</v>
      </c>
      <c r="D60" s="53"/>
      <c r="E60" s="6">
        <v>1</v>
      </c>
      <c r="F60" s="6">
        <v>0</v>
      </c>
      <c r="G60" s="6">
        <v>2</v>
      </c>
      <c r="H60" s="6">
        <v>3</v>
      </c>
      <c r="I60" s="6">
        <v>0</v>
      </c>
      <c r="J60" s="6">
        <v>2</v>
      </c>
      <c r="K60" s="6">
        <v>1</v>
      </c>
      <c r="L60" s="6">
        <v>1</v>
      </c>
      <c r="M60" s="6">
        <v>3</v>
      </c>
      <c r="N60" s="6">
        <v>0</v>
      </c>
      <c r="O60" s="6">
        <v>3</v>
      </c>
      <c r="P60" s="6">
        <v>2</v>
      </c>
      <c r="Q60" s="6">
        <v>2</v>
      </c>
      <c r="R60" s="6">
        <v>0</v>
      </c>
      <c r="S60" s="6">
        <v>1</v>
      </c>
      <c r="T60" s="6">
        <v>1</v>
      </c>
      <c r="U60" s="6">
        <v>2</v>
      </c>
      <c r="V60" s="6">
        <v>2</v>
      </c>
      <c r="W60" s="6">
        <v>1</v>
      </c>
      <c r="X60" s="6">
        <v>0</v>
      </c>
      <c r="Y60" s="6">
        <v>0</v>
      </c>
      <c r="Z60" s="6">
        <v>1</v>
      </c>
      <c r="AA60" s="6">
        <v>1</v>
      </c>
      <c r="AB60" s="5">
        <f t="shared" si="30"/>
        <v>29</v>
      </c>
    </row>
    <row r="61" spans="1:28" x14ac:dyDescent="0.4">
      <c r="A61" s="7"/>
      <c r="B61" s="52"/>
      <c r="C61" s="24" t="s">
        <v>134</v>
      </c>
      <c r="D61" s="53"/>
      <c r="E61" s="6">
        <v>6</v>
      </c>
      <c r="F61" s="6">
        <v>13</v>
      </c>
      <c r="G61" s="6">
        <v>22</v>
      </c>
      <c r="H61" s="6">
        <v>5</v>
      </c>
      <c r="I61" s="6">
        <v>1</v>
      </c>
      <c r="J61" s="6">
        <v>3</v>
      </c>
      <c r="K61" s="6">
        <v>0</v>
      </c>
      <c r="L61" s="6">
        <v>1</v>
      </c>
      <c r="M61" s="6">
        <v>3</v>
      </c>
      <c r="N61" s="6">
        <v>0</v>
      </c>
      <c r="O61" s="6">
        <v>2</v>
      </c>
      <c r="P61" s="6">
        <v>0</v>
      </c>
      <c r="Q61" s="6">
        <v>0</v>
      </c>
      <c r="R61" s="6">
        <v>7</v>
      </c>
      <c r="S61" s="6">
        <v>1</v>
      </c>
      <c r="T61" s="6">
        <v>1</v>
      </c>
      <c r="U61" s="6">
        <v>5</v>
      </c>
      <c r="V61" s="6">
        <v>4</v>
      </c>
      <c r="W61" s="6">
        <v>4</v>
      </c>
      <c r="X61" s="6">
        <v>7</v>
      </c>
      <c r="Y61" s="6">
        <v>2</v>
      </c>
      <c r="Z61" s="6">
        <v>1</v>
      </c>
      <c r="AA61" s="6">
        <v>1</v>
      </c>
      <c r="AB61" s="5">
        <f t="shared" si="30"/>
        <v>89</v>
      </c>
    </row>
    <row r="62" spans="1:28" x14ac:dyDescent="0.4">
      <c r="A62" s="7"/>
      <c r="B62" s="52"/>
      <c r="C62" s="24" t="s">
        <v>135</v>
      </c>
      <c r="D62" s="53"/>
      <c r="E62" s="6">
        <v>0</v>
      </c>
      <c r="F62" s="6">
        <v>0</v>
      </c>
      <c r="G62" s="6">
        <v>3</v>
      </c>
      <c r="H62" s="6">
        <v>0</v>
      </c>
      <c r="I62" s="6">
        <v>1</v>
      </c>
      <c r="J62" s="6">
        <v>1</v>
      </c>
      <c r="K62" s="6">
        <v>1</v>
      </c>
      <c r="L62" s="6">
        <v>1</v>
      </c>
      <c r="M62" s="6">
        <v>2</v>
      </c>
      <c r="N62" s="6">
        <v>0</v>
      </c>
      <c r="O62" s="6">
        <v>1</v>
      </c>
      <c r="P62" s="6">
        <v>1</v>
      </c>
      <c r="Q62" s="6">
        <v>3</v>
      </c>
      <c r="R62" s="6">
        <v>1</v>
      </c>
      <c r="S62" s="6">
        <v>0</v>
      </c>
      <c r="T62" s="6">
        <v>1</v>
      </c>
      <c r="U62" s="6">
        <v>2</v>
      </c>
      <c r="V62" s="6">
        <v>0</v>
      </c>
      <c r="W62" s="6">
        <v>0</v>
      </c>
      <c r="X62" s="6">
        <v>1</v>
      </c>
      <c r="Y62" s="6">
        <v>0</v>
      </c>
      <c r="Z62" s="6">
        <v>0</v>
      </c>
      <c r="AA62" s="6">
        <v>0</v>
      </c>
      <c r="AB62" s="5">
        <f t="shared" si="30"/>
        <v>19</v>
      </c>
    </row>
    <row r="63" spans="1:28" ht="13.15" customHeight="1" x14ac:dyDescent="0.4">
      <c r="A63" s="7"/>
      <c r="B63" s="52"/>
      <c r="C63" s="24" t="s">
        <v>136</v>
      </c>
      <c r="D63" s="50"/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2</v>
      </c>
      <c r="R63" s="6">
        <v>0</v>
      </c>
      <c r="S63" s="6">
        <v>0</v>
      </c>
      <c r="T63" s="6">
        <v>2</v>
      </c>
      <c r="U63" s="6">
        <v>1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5">
        <f t="shared" si="30"/>
        <v>6</v>
      </c>
    </row>
    <row r="64" spans="1:28" x14ac:dyDescent="0.4">
      <c r="A64" s="7"/>
      <c r="B64" s="52"/>
      <c r="C64" s="24" t="s">
        <v>137</v>
      </c>
      <c r="D64" s="53"/>
      <c r="E64" s="6">
        <v>0</v>
      </c>
      <c r="F64" s="6">
        <v>0</v>
      </c>
      <c r="G64" s="6">
        <v>1</v>
      </c>
      <c r="H64" s="6">
        <v>0</v>
      </c>
      <c r="I64" s="6">
        <v>0</v>
      </c>
      <c r="J64" s="6">
        <v>0</v>
      </c>
      <c r="K64" s="6">
        <v>0</v>
      </c>
      <c r="L64" s="6">
        <v>2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2</v>
      </c>
      <c r="T64" s="6">
        <v>0</v>
      </c>
      <c r="U64" s="6">
        <v>2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5">
        <f t="shared" si="30"/>
        <v>7</v>
      </c>
    </row>
    <row r="65" spans="1:28" x14ac:dyDescent="0.4">
      <c r="A65" s="7"/>
      <c r="B65" s="52"/>
      <c r="C65" s="24" t="s">
        <v>138</v>
      </c>
      <c r="D65" s="53"/>
      <c r="E65" s="6">
        <v>0</v>
      </c>
      <c r="F65" s="6">
        <v>0</v>
      </c>
      <c r="G65" s="6">
        <v>0</v>
      </c>
      <c r="H65" s="6">
        <v>1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1</v>
      </c>
      <c r="U65" s="6">
        <v>0</v>
      </c>
      <c r="V65" s="6">
        <v>1</v>
      </c>
      <c r="W65" s="6">
        <v>0</v>
      </c>
      <c r="X65" s="6">
        <v>0</v>
      </c>
      <c r="Y65" s="6">
        <v>0</v>
      </c>
      <c r="Z65" s="6">
        <v>1</v>
      </c>
      <c r="AA65" s="6">
        <v>0</v>
      </c>
      <c r="AB65" s="5">
        <f t="shared" si="30"/>
        <v>5</v>
      </c>
    </row>
    <row r="66" spans="1:28" x14ac:dyDescent="0.4">
      <c r="A66" s="7"/>
      <c r="B66" s="52"/>
      <c r="C66" s="24" t="s">
        <v>139</v>
      </c>
      <c r="D66" s="53"/>
      <c r="E66" s="6">
        <v>0</v>
      </c>
      <c r="F66" s="6">
        <v>0</v>
      </c>
      <c r="G66" s="6">
        <v>2</v>
      </c>
      <c r="H66" s="6">
        <v>1</v>
      </c>
      <c r="I66" s="6">
        <v>0</v>
      </c>
      <c r="J66" s="6">
        <v>0</v>
      </c>
      <c r="K66" s="6">
        <v>1</v>
      </c>
      <c r="L66" s="6">
        <v>1</v>
      </c>
      <c r="M66" s="6">
        <v>0</v>
      </c>
      <c r="N66" s="6">
        <v>0</v>
      </c>
      <c r="O66" s="6">
        <v>0</v>
      </c>
      <c r="P66" s="6">
        <v>2</v>
      </c>
      <c r="Q66" s="6">
        <v>0</v>
      </c>
      <c r="R66" s="6">
        <v>0</v>
      </c>
      <c r="S66" s="6">
        <v>1</v>
      </c>
      <c r="T66" s="6">
        <v>0</v>
      </c>
      <c r="U66" s="6">
        <v>0</v>
      </c>
      <c r="V66" s="6">
        <v>0</v>
      </c>
      <c r="W66" s="6">
        <v>0</v>
      </c>
      <c r="X66" s="6">
        <v>2</v>
      </c>
      <c r="Y66" s="6">
        <v>0</v>
      </c>
      <c r="Z66" s="6">
        <v>1</v>
      </c>
      <c r="AA66" s="6">
        <v>0</v>
      </c>
      <c r="AB66" s="5">
        <f t="shared" si="30"/>
        <v>11</v>
      </c>
    </row>
    <row r="67" spans="1:28" x14ac:dyDescent="0.4">
      <c r="A67" s="6" t="s">
        <v>26</v>
      </c>
      <c r="B67" s="67" t="s">
        <v>51</v>
      </c>
      <c r="C67" s="83"/>
      <c r="D67" s="74"/>
      <c r="E67" s="5">
        <f t="shared" ref="E67:AB67" si="31">SUM(E57:E66)</f>
        <v>32</v>
      </c>
      <c r="F67" s="5">
        <f t="shared" si="31"/>
        <v>26</v>
      </c>
      <c r="G67" s="5">
        <f t="shared" si="31"/>
        <v>49</v>
      </c>
      <c r="H67" s="5">
        <f t="shared" si="31"/>
        <v>44</v>
      </c>
      <c r="I67" s="5">
        <f t="shared" si="31"/>
        <v>8</v>
      </c>
      <c r="J67" s="5">
        <f t="shared" si="31"/>
        <v>14</v>
      </c>
      <c r="K67" s="5">
        <f t="shared" si="31"/>
        <v>45</v>
      </c>
      <c r="L67" s="5">
        <f t="shared" si="31"/>
        <v>26</v>
      </c>
      <c r="M67" s="5">
        <f t="shared" si="31"/>
        <v>27</v>
      </c>
      <c r="N67" s="5">
        <f t="shared" si="31"/>
        <v>7</v>
      </c>
      <c r="O67" s="5">
        <f t="shared" si="31"/>
        <v>31</v>
      </c>
      <c r="P67" s="5">
        <f t="shared" si="31"/>
        <v>24</v>
      </c>
      <c r="Q67" s="5">
        <f t="shared" si="31"/>
        <v>32</v>
      </c>
      <c r="R67" s="5">
        <f t="shared" si="31"/>
        <v>22</v>
      </c>
      <c r="S67" s="5">
        <f t="shared" si="31"/>
        <v>26</v>
      </c>
      <c r="T67" s="5">
        <f t="shared" si="31"/>
        <v>28</v>
      </c>
      <c r="U67" s="5">
        <f t="shared" si="31"/>
        <v>53</v>
      </c>
      <c r="V67" s="5">
        <f t="shared" si="31"/>
        <v>29</v>
      </c>
      <c r="W67" s="5">
        <f t="shared" si="31"/>
        <v>21</v>
      </c>
      <c r="X67" s="5">
        <f t="shared" si="31"/>
        <v>45</v>
      </c>
      <c r="Y67" s="5">
        <f t="shared" si="31"/>
        <v>17</v>
      </c>
      <c r="Z67" s="5">
        <f t="shared" si="31"/>
        <v>17</v>
      </c>
      <c r="AA67" s="5">
        <f t="shared" si="31"/>
        <v>12</v>
      </c>
      <c r="AB67" s="5">
        <f t="shared" si="31"/>
        <v>635</v>
      </c>
    </row>
    <row r="68" spans="1:28" x14ac:dyDescent="0.4">
      <c r="A68" s="84"/>
      <c r="B68" s="85"/>
      <c r="C68" s="85"/>
      <c r="D68" s="85"/>
      <c r="E68" s="85"/>
    </row>
    <row r="69" spans="1:28" x14ac:dyDescent="0.4">
      <c r="A69" s="11" t="s">
        <v>48</v>
      </c>
      <c r="B69" s="17" t="s">
        <v>32</v>
      </c>
      <c r="C69" s="73" t="s">
        <v>53</v>
      </c>
      <c r="D69" s="74"/>
      <c r="E69" s="6">
        <v>11</v>
      </c>
      <c r="F69" s="6">
        <v>18</v>
      </c>
      <c r="G69" s="6">
        <v>6</v>
      </c>
      <c r="H69" s="6">
        <v>8</v>
      </c>
      <c r="I69" s="6">
        <v>7</v>
      </c>
      <c r="J69" s="6">
        <v>7</v>
      </c>
      <c r="K69" s="6">
        <v>1</v>
      </c>
      <c r="L69" s="6">
        <v>13</v>
      </c>
      <c r="M69" s="6">
        <v>18</v>
      </c>
      <c r="N69" s="6">
        <v>6</v>
      </c>
      <c r="O69" s="6">
        <v>16</v>
      </c>
      <c r="P69" s="6">
        <v>16</v>
      </c>
      <c r="Q69" s="6">
        <v>7</v>
      </c>
      <c r="R69" s="6">
        <v>2</v>
      </c>
      <c r="S69" s="6">
        <v>14</v>
      </c>
      <c r="T69" s="6">
        <v>12</v>
      </c>
      <c r="U69" s="6">
        <v>16</v>
      </c>
      <c r="V69" s="6">
        <v>4</v>
      </c>
      <c r="W69" s="6">
        <v>12</v>
      </c>
      <c r="X69" s="6">
        <v>7</v>
      </c>
      <c r="Y69" s="6">
        <v>10</v>
      </c>
      <c r="Z69" s="6">
        <v>12</v>
      </c>
      <c r="AA69" s="6">
        <v>8</v>
      </c>
      <c r="AB69" s="5">
        <f t="shared" ref="AB69:AB79" si="32">SUM(E69:AA69)</f>
        <v>231</v>
      </c>
    </row>
    <row r="70" spans="1:28" x14ac:dyDescent="0.4">
      <c r="A70" s="11" t="s">
        <v>50</v>
      </c>
      <c r="B70" s="52"/>
      <c r="C70" s="24" t="s">
        <v>140</v>
      </c>
      <c r="D70" s="50"/>
      <c r="E70" s="6">
        <v>5</v>
      </c>
      <c r="F70" s="6">
        <v>6</v>
      </c>
      <c r="G70" s="6">
        <v>6</v>
      </c>
      <c r="H70" s="6">
        <v>10</v>
      </c>
      <c r="I70" s="6">
        <v>4</v>
      </c>
      <c r="J70" s="6">
        <v>13</v>
      </c>
      <c r="K70" s="6">
        <v>0</v>
      </c>
      <c r="L70" s="6">
        <v>6</v>
      </c>
      <c r="M70" s="6">
        <v>17</v>
      </c>
      <c r="N70" s="6">
        <v>12</v>
      </c>
      <c r="O70" s="6">
        <v>7</v>
      </c>
      <c r="P70" s="6">
        <v>17</v>
      </c>
      <c r="Q70" s="6">
        <v>8</v>
      </c>
      <c r="R70" s="6">
        <v>3</v>
      </c>
      <c r="S70" s="6">
        <v>5</v>
      </c>
      <c r="T70" s="6">
        <v>6</v>
      </c>
      <c r="U70" s="6">
        <v>10</v>
      </c>
      <c r="V70" s="6">
        <v>7</v>
      </c>
      <c r="W70" s="6">
        <v>11</v>
      </c>
      <c r="X70" s="6">
        <v>5</v>
      </c>
      <c r="Y70" s="6">
        <v>7</v>
      </c>
      <c r="Z70" s="6">
        <v>4</v>
      </c>
      <c r="AA70" s="6">
        <v>6</v>
      </c>
      <c r="AB70" s="5">
        <f t="shared" si="32"/>
        <v>175</v>
      </c>
    </row>
    <row r="71" spans="1:28" x14ac:dyDescent="0.4">
      <c r="A71" s="7"/>
      <c r="B71" s="52"/>
      <c r="C71" s="24" t="s">
        <v>141</v>
      </c>
      <c r="D71" s="50"/>
      <c r="E71" s="6">
        <v>7</v>
      </c>
      <c r="F71" s="6">
        <v>5</v>
      </c>
      <c r="G71" s="6">
        <v>3</v>
      </c>
      <c r="H71" s="6">
        <v>4</v>
      </c>
      <c r="I71" s="6">
        <v>2</v>
      </c>
      <c r="J71" s="6">
        <v>5</v>
      </c>
      <c r="K71" s="6">
        <v>4</v>
      </c>
      <c r="L71" s="6">
        <v>4</v>
      </c>
      <c r="M71" s="6">
        <v>8</v>
      </c>
      <c r="N71" s="6">
        <v>4</v>
      </c>
      <c r="O71" s="6">
        <v>5</v>
      </c>
      <c r="P71" s="6">
        <v>4</v>
      </c>
      <c r="Q71" s="6">
        <v>2</v>
      </c>
      <c r="R71" s="6">
        <v>1</v>
      </c>
      <c r="S71" s="6">
        <v>8</v>
      </c>
      <c r="T71" s="6">
        <v>8</v>
      </c>
      <c r="U71" s="6">
        <v>2</v>
      </c>
      <c r="V71" s="6">
        <v>2</v>
      </c>
      <c r="W71" s="6">
        <v>4</v>
      </c>
      <c r="X71" s="6">
        <v>2</v>
      </c>
      <c r="Y71" s="6">
        <v>1</v>
      </c>
      <c r="Z71" s="6">
        <v>1</v>
      </c>
      <c r="AA71" s="6">
        <v>1</v>
      </c>
      <c r="AB71" s="5">
        <f t="shared" si="32"/>
        <v>87</v>
      </c>
    </row>
    <row r="72" spans="1:28" x14ac:dyDescent="0.4">
      <c r="A72" s="7"/>
      <c r="B72" s="52"/>
      <c r="C72" s="24" t="s">
        <v>142</v>
      </c>
      <c r="D72" s="50"/>
      <c r="E72" s="6">
        <v>5</v>
      </c>
      <c r="F72" s="6">
        <v>2</v>
      </c>
      <c r="G72" s="6">
        <v>3</v>
      </c>
      <c r="H72" s="6">
        <v>6</v>
      </c>
      <c r="I72" s="6">
        <v>0</v>
      </c>
      <c r="J72" s="6">
        <v>2</v>
      </c>
      <c r="K72" s="6">
        <v>2</v>
      </c>
      <c r="L72" s="6">
        <v>1</v>
      </c>
      <c r="M72" s="6">
        <v>2</v>
      </c>
      <c r="N72" s="6">
        <v>1</v>
      </c>
      <c r="O72" s="6">
        <v>5</v>
      </c>
      <c r="P72" s="6">
        <v>3</v>
      </c>
      <c r="Q72" s="6">
        <v>1</v>
      </c>
      <c r="R72" s="6">
        <v>0</v>
      </c>
      <c r="S72" s="6">
        <v>9</v>
      </c>
      <c r="T72" s="6">
        <v>4</v>
      </c>
      <c r="U72" s="6">
        <v>3</v>
      </c>
      <c r="V72" s="6">
        <v>1</v>
      </c>
      <c r="W72" s="6">
        <v>1</v>
      </c>
      <c r="X72" s="6">
        <v>1</v>
      </c>
      <c r="Y72" s="6">
        <v>1</v>
      </c>
      <c r="Z72" s="6">
        <v>2</v>
      </c>
      <c r="AA72" s="6">
        <v>0</v>
      </c>
      <c r="AB72" s="5">
        <f t="shared" si="32"/>
        <v>55</v>
      </c>
    </row>
    <row r="73" spans="1:28" x14ac:dyDescent="0.4">
      <c r="A73" s="7"/>
      <c r="B73" s="52"/>
      <c r="C73" s="24" t="s">
        <v>143</v>
      </c>
      <c r="D73" s="50"/>
      <c r="E73" s="6">
        <v>1</v>
      </c>
      <c r="F73" s="6">
        <v>0</v>
      </c>
      <c r="G73" s="6">
        <v>6</v>
      </c>
      <c r="H73" s="6">
        <v>2</v>
      </c>
      <c r="I73" s="6">
        <v>0</v>
      </c>
      <c r="J73" s="6">
        <v>1</v>
      </c>
      <c r="K73" s="6">
        <v>0</v>
      </c>
      <c r="L73" s="6">
        <v>1</v>
      </c>
      <c r="M73" s="6">
        <v>0</v>
      </c>
      <c r="N73" s="6">
        <v>2</v>
      </c>
      <c r="O73" s="6">
        <v>1</v>
      </c>
      <c r="P73" s="6">
        <v>1</v>
      </c>
      <c r="Q73" s="6">
        <v>2</v>
      </c>
      <c r="R73" s="6">
        <v>2</v>
      </c>
      <c r="S73" s="6">
        <v>1</v>
      </c>
      <c r="T73" s="6">
        <v>2</v>
      </c>
      <c r="U73" s="6">
        <v>4</v>
      </c>
      <c r="V73" s="6">
        <v>0</v>
      </c>
      <c r="W73" s="6">
        <v>7</v>
      </c>
      <c r="X73" s="6">
        <v>7</v>
      </c>
      <c r="Y73" s="6">
        <v>0</v>
      </c>
      <c r="Z73" s="6">
        <v>0</v>
      </c>
      <c r="AA73" s="6">
        <v>0</v>
      </c>
      <c r="AB73" s="5">
        <f t="shared" si="32"/>
        <v>40</v>
      </c>
    </row>
    <row r="74" spans="1:28" ht="13.15" customHeight="1" x14ac:dyDescent="0.4">
      <c r="A74" s="7"/>
      <c r="B74" s="52"/>
      <c r="C74" s="24" t="s">
        <v>144</v>
      </c>
      <c r="D74" s="50"/>
      <c r="E74" s="6">
        <v>1</v>
      </c>
      <c r="F74" s="6">
        <v>0</v>
      </c>
      <c r="G74" s="6">
        <v>2</v>
      </c>
      <c r="H74" s="6">
        <v>1</v>
      </c>
      <c r="I74" s="6">
        <v>0</v>
      </c>
      <c r="J74" s="6">
        <v>2</v>
      </c>
      <c r="K74" s="6">
        <v>0</v>
      </c>
      <c r="L74" s="6">
        <v>1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1</v>
      </c>
      <c r="S74" s="6">
        <v>1</v>
      </c>
      <c r="T74" s="6">
        <v>1</v>
      </c>
      <c r="U74" s="6">
        <v>3</v>
      </c>
      <c r="V74" s="6">
        <v>1</v>
      </c>
      <c r="W74" s="6">
        <v>2</v>
      </c>
      <c r="X74" s="6">
        <v>0</v>
      </c>
      <c r="Y74" s="6">
        <v>1</v>
      </c>
      <c r="Z74" s="6">
        <v>0</v>
      </c>
      <c r="AA74" s="6">
        <v>1</v>
      </c>
      <c r="AB74" s="5">
        <f t="shared" si="32"/>
        <v>19</v>
      </c>
    </row>
    <row r="75" spans="1:28" x14ac:dyDescent="0.4">
      <c r="A75" s="7"/>
      <c r="B75" s="52"/>
      <c r="C75" s="24" t="s">
        <v>145</v>
      </c>
      <c r="D75" s="50"/>
      <c r="E75" s="6">
        <v>2</v>
      </c>
      <c r="F75" s="6">
        <v>0</v>
      </c>
      <c r="G75" s="6">
        <v>0</v>
      </c>
      <c r="H75" s="6">
        <v>0</v>
      </c>
      <c r="I75" s="6">
        <v>0</v>
      </c>
      <c r="J75" s="6">
        <v>2</v>
      </c>
      <c r="K75" s="6">
        <v>0</v>
      </c>
      <c r="L75" s="6">
        <v>1</v>
      </c>
      <c r="M75" s="6">
        <v>1</v>
      </c>
      <c r="N75" s="6">
        <v>0</v>
      </c>
      <c r="O75" s="6">
        <v>0</v>
      </c>
      <c r="P75" s="6">
        <v>3</v>
      </c>
      <c r="Q75" s="6">
        <v>0</v>
      </c>
      <c r="R75" s="6">
        <v>0</v>
      </c>
      <c r="S75" s="6">
        <v>3</v>
      </c>
      <c r="T75" s="6">
        <v>0</v>
      </c>
      <c r="U75" s="6">
        <v>4</v>
      </c>
      <c r="V75" s="6">
        <v>0</v>
      </c>
      <c r="W75" s="6">
        <v>2</v>
      </c>
      <c r="X75" s="6">
        <v>0</v>
      </c>
      <c r="Y75" s="6">
        <v>0</v>
      </c>
      <c r="Z75" s="6">
        <v>0</v>
      </c>
      <c r="AA75" s="6">
        <v>0</v>
      </c>
      <c r="AB75" s="5">
        <f t="shared" si="32"/>
        <v>18</v>
      </c>
    </row>
    <row r="76" spans="1:28" x14ac:dyDescent="0.4">
      <c r="A76" s="7"/>
      <c r="B76" s="52"/>
      <c r="C76" s="24" t="s">
        <v>146</v>
      </c>
      <c r="D76" s="50"/>
      <c r="E76" s="6">
        <v>1</v>
      </c>
      <c r="F76" s="6">
        <v>0</v>
      </c>
      <c r="G76" s="6">
        <v>1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1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1</v>
      </c>
      <c r="X76" s="6">
        <v>0</v>
      </c>
      <c r="Y76" s="6">
        <v>1</v>
      </c>
      <c r="Z76" s="6">
        <v>0</v>
      </c>
      <c r="AA76" s="6">
        <v>1</v>
      </c>
      <c r="AB76" s="5">
        <f t="shared" si="32"/>
        <v>8</v>
      </c>
    </row>
    <row r="77" spans="1:28" x14ac:dyDescent="0.4">
      <c r="A77" s="7"/>
      <c r="B77" s="52"/>
      <c r="C77" s="24" t="s">
        <v>147</v>
      </c>
      <c r="D77" s="50"/>
      <c r="E77" s="6">
        <v>1</v>
      </c>
      <c r="F77" s="6">
        <v>1</v>
      </c>
      <c r="G77" s="6">
        <v>1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1</v>
      </c>
      <c r="X77" s="6">
        <v>1</v>
      </c>
      <c r="Y77" s="6">
        <v>0</v>
      </c>
      <c r="Z77" s="6">
        <v>1</v>
      </c>
      <c r="AA77" s="6">
        <v>0</v>
      </c>
      <c r="AB77" s="5">
        <f t="shared" si="32"/>
        <v>7</v>
      </c>
    </row>
    <row r="78" spans="1:28" x14ac:dyDescent="0.4">
      <c r="A78" s="7"/>
      <c r="B78" s="52"/>
      <c r="C78" s="24" t="s">
        <v>148</v>
      </c>
      <c r="D78" s="50"/>
      <c r="E78" s="6">
        <v>6</v>
      </c>
      <c r="F78" s="6">
        <v>3</v>
      </c>
      <c r="G78" s="6">
        <v>1</v>
      </c>
      <c r="H78" s="6">
        <v>2</v>
      </c>
      <c r="I78" s="6">
        <v>2</v>
      </c>
      <c r="J78" s="6">
        <v>2</v>
      </c>
      <c r="K78" s="6">
        <v>1</v>
      </c>
      <c r="L78" s="6">
        <v>0</v>
      </c>
      <c r="M78" s="6">
        <v>5</v>
      </c>
      <c r="N78" s="6">
        <v>0</v>
      </c>
      <c r="O78" s="6">
        <v>0</v>
      </c>
      <c r="P78" s="6">
        <v>5</v>
      </c>
      <c r="Q78" s="6">
        <v>2</v>
      </c>
      <c r="R78" s="6">
        <v>0</v>
      </c>
      <c r="S78" s="6">
        <v>3</v>
      </c>
      <c r="T78" s="6">
        <v>2</v>
      </c>
      <c r="U78" s="6">
        <v>1</v>
      </c>
      <c r="V78" s="6">
        <v>3</v>
      </c>
      <c r="W78" s="6">
        <v>0</v>
      </c>
      <c r="X78" s="6">
        <v>1</v>
      </c>
      <c r="Y78" s="6">
        <v>0</v>
      </c>
      <c r="Z78" s="6">
        <v>2</v>
      </c>
      <c r="AA78" s="6">
        <v>1</v>
      </c>
      <c r="AB78" s="5">
        <f t="shared" si="32"/>
        <v>42</v>
      </c>
    </row>
    <row r="79" spans="1:28" x14ac:dyDescent="0.4">
      <c r="A79" s="6" t="s">
        <v>26</v>
      </c>
      <c r="B79" s="67" t="s">
        <v>51</v>
      </c>
      <c r="C79" s="83"/>
      <c r="D79" s="74"/>
      <c r="E79" s="5">
        <f t="shared" ref="E79:AB79" si="33">SUM(E69:E78)</f>
        <v>40</v>
      </c>
      <c r="F79" s="5">
        <f t="shared" si="33"/>
        <v>35</v>
      </c>
      <c r="G79" s="5">
        <f t="shared" si="33"/>
        <v>29</v>
      </c>
      <c r="H79" s="5">
        <f t="shared" si="33"/>
        <v>34</v>
      </c>
      <c r="I79" s="5">
        <f t="shared" si="33"/>
        <v>16</v>
      </c>
      <c r="J79" s="5">
        <f t="shared" si="33"/>
        <v>34</v>
      </c>
      <c r="K79" s="5">
        <f t="shared" si="33"/>
        <v>8</v>
      </c>
      <c r="L79" s="5">
        <f t="shared" si="33"/>
        <v>27</v>
      </c>
      <c r="M79" s="5">
        <f t="shared" si="33"/>
        <v>52</v>
      </c>
      <c r="N79" s="5">
        <f t="shared" si="33"/>
        <v>26</v>
      </c>
      <c r="O79" s="5">
        <f t="shared" si="33"/>
        <v>34</v>
      </c>
      <c r="P79" s="5">
        <f t="shared" si="33"/>
        <v>50</v>
      </c>
      <c r="Q79" s="5">
        <f t="shared" si="33"/>
        <v>22</v>
      </c>
      <c r="R79" s="5">
        <f t="shared" si="33"/>
        <v>9</v>
      </c>
      <c r="S79" s="5">
        <f t="shared" si="33"/>
        <v>44</v>
      </c>
      <c r="T79" s="5">
        <f t="shared" si="33"/>
        <v>35</v>
      </c>
      <c r="U79" s="5">
        <f t="shared" si="33"/>
        <v>43</v>
      </c>
      <c r="V79" s="5">
        <f t="shared" si="33"/>
        <v>18</v>
      </c>
      <c r="W79" s="5">
        <f t="shared" si="33"/>
        <v>41</v>
      </c>
      <c r="X79" s="5">
        <f t="shared" si="33"/>
        <v>24</v>
      </c>
      <c r="Y79" s="5">
        <f t="shared" si="33"/>
        <v>21</v>
      </c>
      <c r="Z79" s="5">
        <f t="shared" si="33"/>
        <v>22</v>
      </c>
      <c r="AA79" s="5">
        <f t="shared" si="33"/>
        <v>18</v>
      </c>
      <c r="AB79" s="5">
        <f t="shared" si="33"/>
        <v>682</v>
      </c>
    </row>
    <row r="80" spans="1:28" x14ac:dyDescent="0.4">
      <c r="A80" s="84"/>
      <c r="B80" s="85"/>
      <c r="C80" s="85"/>
      <c r="D80" s="85"/>
      <c r="E80" s="85"/>
    </row>
    <row r="81" spans="1:28" x14ac:dyDescent="0.4">
      <c r="A81" s="11" t="s">
        <v>48</v>
      </c>
      <c r="B81" s="17" t="s">
        <v>34</v>
      </c>
      <c r="C81" s="73" t="s">
        <v>54</v>
      </c>
      <c r="D81" s="74"/>
      <c r="E81" s="6">
        <v>3</v>
      </c>
      <c r="F81" s="6">
        <v>2</v>
      </c>
      <c r="G81" s="6">
        <v>2</v>
      </c>
      <c r="H81" s="6">
        <v>4</v>
      </c>
      <c r="I81" s="6">
        <v>3</v>
      </c>
      <c r="J81" s="6">
        <v>3</v>
      </c>
      <c r="K81" s="6">
        <v>5</v>
      </c>
      <c r="L81" s="6">
        <v>4</v>
      </c>
      <c r="M81" s="6">
        <v>2</v>
      </c>
      <c r="N81" s="6">
        <v>9</v>
      </c>
      <c r="O81" s="6">
        <v>19</v>
      </c>
      <c r="P81" s="6">
        <v>8</v>
      </c>
      <c r="Q81" s="6">
        <v>17</v>
      </c>
      <c r="R81" s="6">
        <v>24</v>
      </c>
      <c r="S81" s="6">
        <v>6</v>
      </c>
      <c r="T81" s="6">
        <v>4</v>
      </c>
      <c r="U81" s="6">
        <v>8</v>
      </c>
      <c r="V81" s="6">
        <v>2</v>
      </c>
      <c r="W81" s="6">
        <v>3</v>
      </c>
      <c r="X81" s="6">
        <v>0</v>
      </c>
      <c r="Y81" s="6">
        <v>1</v>
      </c>
      <c r="Z81" s="6">
        <v>28</v>
      </c>
      <c r="AA81" s="6">
        <v>2</v>
      </c>
      <c r="AB81" s="5">
        <f t="shared" ref="AB81:AB91" si="34">SUM(E81:AA81)</f>
        <v>159</v>
      </c>
    </row>
    <row r="82" spans="1:28" x14ac:dyDescent="0.4">
      <c r="A82" s="11" t="s">
        <v>50</v>
      </c>
      <c r="B82" s="52"/>
      <c r="C82" s="24" t="s">
        <v>149</v>
      </c>
      <c r="D82" s="50"/>
      <c r="E82" s="6">
        <v>6</v>
      </c>
      <c r="F82" s="6">
        <v>6</v>
      </c>
      <c r="G82" s="6">
        <v>3</v>
      </c>
      <c r="H82" s="6">
        <v>9</v>
      </c>
      <c r="I82" s="6">
        <v>2</v>
      </c>
      <c r="J82" s="6">
        <v>2</v>
      </c>
      <c r="K82" s="6">
        <v>7</v>
      </c>
      <c r="L82" s="6">
        <v>13</v>
      </c>
      <c r="M82" s="6">
        <v>22</v>
      </c>
      <c r="N82" s="6">
        <v>51</v>
      </c>
      <c r="O82" s="6">
        <v>55</v>
      </c>
      <c r="P82" s="6">
        <v>26</v>
      </c>
      <c r="Q82" s="6">
        <v>35</v>
      </c>
      <c r="R82" s="6">
        <v>58</v>
      </c>
      <c r="S82" s="6">
        <v>7</v>
      </c>
      <c r="T82" s="6">
        <v>9</v>
      </c>
      <c r="U82" s="6">
        <v>18</v>
      </c>
      <c r="V82" s="6">
        <v>15</v>
      </c>
      <c r="W82" s="6">
        <v>10</v>
      </c>
      <c r="X82" s="6">
        <v>15</v>
      </c>
      <c r="Y82" s="6">
        <v>6</v>
      </c>
      <c r="Z82" s="6">
        <v>14</v>
      </c>
      <c r="AA82" s="6">
        <v>27</v>
      </c>
      <c r="AB82" s="5">
        <f t="shared" si="34"/>
        <v>416</v>
      </c>
    </row>
    <row r="83" spans="1:28" x14ac:dyDescent="0.4">
      <c r="A83" s="7"/>
      <c r="B83" s="52"/>
      <c r="C83" s="24" t="s">
        <v>150</v>
      </c>
      <c r="D83" s="50"/>
      <c r="E83" s="6">
        <v>2</v>
      </c>
      <c r="F83" s="6">
        <v>1</v>
      </c>
      <c r="G83" s="6">
        <v>0</v>
      </c>
      <c r="H83" s="6">
        <v>0</v>
      </c>
      <c r="I83" s="6">
        <v>0</v>
      </c>
      <c r="J83" s="6">
        <v>4</v>
      </c>
      <c r="K83" s="6">
        <v>2</v>
      </c>
      <c r="L83" s="6">
        <v>4</v>
      </c>
      <c r="M83" s="6">
        <v>5</v>
      </c>
      <c r="N83" s="6">
        <v>6</v>
      </c>
      <c r="O83" s="6">
        <v>4</v>
      </c>
      <c r="P83" s="6">
        <v>2</v>
      </c>
      <c r="Q83" s="6">
        <v>6</v>
      </c>
      <c r="R83" s="6">
        <v>0</v>
      </c>
      <c r="S83" s="6">
        <v>1</v>
      </c>
      <c r="T83" s="6">
        <v>0</v>
      </c>
      <c r="U83" s="6">
        <v>1</v>
      </c>
      <c r="V83" s="6">
        <v>1</v>
      </c>
      <c r="W83" s="6">
        <v>4</v>
      </c>
      <c r="X83" s="6">
        <v>1</v>
      </c>
      <c r="Y83" s="6">
        <v>0</v>
      </c>
      <c r="Z83" s="6">
        <v>0</v>
      </c>
      <c r="AA83" s="6">
        <v>0</v>
      </c>
      <c r="AB83" s="5">
        <f t="shared" si="34"/>
        <v>44</v>
      </c>
    </row>
    <row r="84" spans="1:28" x14ac:dyDescent="0.4">
      <c r="A84" s="7"/>
      <c r="B84" s="52"/>
      <c r="C84" s="24" t="s">
        <v>151</v>
      </c>
      <c r="D84" s="50"/>
      <c r="E84" s="6">
        <v>1</v>
      </c>
      <c r="F84" s="6">
        <v>0</v>
      </c>
      <c r="G84" s="6">
        <v>1</v>
      </c>
      <c r="H84" s="6">
        <v>2</v>
      </c>
      <c r="I84" s="6">
        <v>1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1</v>
      </c>
      <c r="R84" s="6">
        <v>1</v>
      </c>
      <c r="S84" s="6">
        <v>1</v>
      </c>
      <c r="T84" s="6">
        <v>0</v>
      </c>
      <c r="U84" s="6">
        <v>0</v>
      </c>
      <c r="V84" s="6">
        <v>2</v>
      </c>
      <c r="W84" s="6">
        <v>0</v>
      </c>
      <c r="X84" s="6">
        <v>1</v>
      </c>
      <c r="Y84" s="6">
        <v>1</v>
      </c>
      <c r="Z84" s="6">
        <v>1</v>
      </c>
      <c r="AA84" s="6">
        <v>1</v>
      </c>
      <c r="AB84" s="5">
        <f t="shared" si="34"/>
        <v>15</v>
      </c>
    </row>
    <row r="85" spans="1:28" ht="13.15" customHeight="1" x14ac:dyDescent="0.4">
      <c r="A85" s="7"/>
      <c r="B85" s="52"/>
      <c r="C85" s="24" t="s">
        <v>152</v>
      </c>
      <c r="D85" s="50"/>
      <c r="E85" s="6">
        <v>1</v>
      </c>
      <c r="F85" s="6">
        <v>0</v>
      </c>
      <c r="G85" s="6">
        <v>0</v>
      </c>
      <c r="H85" s="6">
        <v>1</v>
      </c>
      <c r="I85" s="6">
        <v>1</v>
      </c>
      <c r="J85" s="6">
        <v>2</v>
      </c>
      <c r="K85" s="6">
        <v>1</v>
      </c>
      <c r="L85" s="6">
        <v>1</v>
      </c>
      <c r="M85" s="6">
        <v>1</v>
      </c>
      <c r="N85" s="6">
        <v>1</v>
      </c>
      <c r="O85" s="6">
        <v>2</v>
      </c>
      <c r="P85" s="6">
        <v>0</v>
      </c>
      <c r="Q85" s="6">
        <v>2</v>
      </c>
      <c r="R85" s="6">
        <v>1</v>
      </c>
      <c r="S85" s="6">
        <v>3</v>
      </c>
      <c r="T85" s="6">
        <v>1</v>
      </c>
      <c r="U85" s="6">
        <v>2</v>
      </c>
      <c r="V85" s="6">
        <v>0</v>
      </c>
      <c r="W85" s="6">
        <v>1</v>
      </c>
      <c r="X85" s="6">
        <v>0</v>
      </c>
      <c r="Y85" s="6">
        <v>1</v>
      </c>
      <c r="Z85" s="6">
        <v>0</v>
      </c>
      <c r="AA85" s="6">
        <v>0</v>
      </c>
      <c r="AB85" s="5">
        <f t="shared" si="34"/>
        <v>22</v>
      </c>
    </row>
    <row r="86" spans="1:28" x14ac:dyDescent="0.4">
      <c r="A86" s="7"/>
      <c r="B86" s="52"/>
      <c r="C86" s="24" t="s">
        <v>153</v>
      </c>
      <c r="D86" s="50"/>
      <c r="E86" s="6">
        <v>0</v>
      </c>
      <c r="F86" s="6">
        <v>0</v>
      </c>
      <c r="G86" s="6">
        <v>1</v>
      </c>
      <c r="H86" s="6">
        <v>1</v>
      </c>
      <c r="I86" s="6">
        <v>1</v>
      </c>
      <c r="J86" s="6">
        <v>0</v>
      </c>
      <c r="K86" s="6">
        <v>1</v>
      </c>
      <c r="L86" s="6">
        <v>0</v>
      </c>
      <c r="M86" s="6">
        <v>0</v>
      </c>
      <c r="N86" s="6">
        <v>0</v>
      </c>
      <c r="O86" s="6">
        <v>3</v>
      </c>
      <c r="P86" s="6">
        <v>0</v>
      </c>
      <c r="Q86" s="6">
        <v>0</v>
      </c>
      <c r="R86" s="6">
        <v>0</v>
      </c>
      <c r="S86" s="6">
        <v>1</v>
      </c>
      <c r="T86" s="6">
        <v>1</v>
      </c>
      <c r="U86" s="6">
        <v>0</v>
      </c>
      <c r="V86" s="6">
        <v>1</v>
      </c>
      <c r="W86" s="6">
        <v>5</v>
      </c>
      <c r="X86" s="6">
        <v>0</v>
      </c>
      <c r="Y86" s="6">
        <v>1</v>
      </c>
      <c r="Z86" s="6">
        <v>0</v>
      </c>
      <c r="AA86" s="6">
        <v>0</v>
      </c>
      <c r="AB86" s="5">
        <f t="shared" si="34"/>
        <v>16</v>
      </c>
    </row>
    <row r="87" spans="1:28" x14ac:dyDescent="0.4">
      <c r="A87" s="7"/>
      <c r="B87" s="52"/>
      <c r="C87" s="24" t="s">
        <v>154</v>
      </c>
      <c r="D87" s="50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1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5">
        <f t="shared" si="34"/>
        <v>5</v>
      </c>
    </row>
    <row r="88" spans="1:28" x14ac:dyDescent="0.4">
      <c r="A88" s="7"/>
      <c r="B88" s="52"/>
      <c r="C88" s="24" t="s">
        <v>155</v>
      </c>
      <c r="D88" s="50"/>
      <c r="E88" s="6">
        <v>0</v>
      </c>
      <c r="F88" s="6">
        <v>0</v>
      </c>
      <c r="G88" s="6">
        <v>0</v>
      </c>
      <c r="H88" s="6">
        <v>1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2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1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5">
        <f t="shared" si="34"/>
        <v>4</v>
      </c>
    </row>
    <row r="89" spans="1:28" x14ac:dyDescent="0.4">
      <c r="A89" s="7"/>
      <c r="B89" s="52"/>
      <c r="C89" s="24" t="s">
        <v>156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5">
        <f t="shared" si="34"/>
        <v>1</v>
      </c>
    </row>
    <row r="90" spans="1:28" x14ac:dyDescent="0.4">
      <c r="A90" s="7"/>
      <c r="B90" s="52"/>
      <c r="C90" s="24" t="s">
        <v>157</v>
      </c>
      <c r="D90" s="50"/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1</v>
      </c>
      <c r="Y90" s="6">
        <v>0</v>
      </c>
      <c r="Z90" s="6">
        <v>0</v>
      </c>
      <c r="AA90" s="6">
        <v>0</v>
      </c>
      <c r="AB90" s="5">
        <f t="shared" si="34"/>
        <v>3</v>
      </c>
    </row>
    <row r="91" spans="1:28" x14ac:dyDescent="0.4">
      <c r="A91" s="6" t="s">
        <v>26</v>
      </c>
      <c r="B91" s="67" t="s">
        <v>51</v>
      </c>
      <c r="C91" s="83"/>
      <c r="D91" s="74"/>
      <c r="E91" s="5">
        <f t="shared" ref="E91:AB91" si="35">SUM(E81:E90)</f>
        <v>13</v>
      </c>
      <c r="F91" s="5">
        <f t="shared" si="35"/>
        <v>9</v>
      </c>
      <c r="G91" s="5">
        <f t="shared" si="35"/>
        <v>7</v>
      </c>
      <c r="H91" s="5">
        <f t="shared" si="35"/>
        <v>20</v>
      </c>
      <c r="I91" s="5">
        <f t="shared" si="35"/>
        <v>8</v>
      </c>
      <c r="J91" s="5">
        <f t="shared" si="35"/>
        <v>11</v>
      </c>
      <c r="K91" s="5">
        <f t="shared" si="35"/>
        <v>18</v>
      </c>
      <c r="L91" s="5">
        <f t="shared" si="35"/>
        <v>22</v>
      </c>
      <c r="M91" s="5">
        <f t="shared" si="35"/>
        <v>31</v>
      </c>
      <c r="N91" s="5">
        <f t="shared" si="35"/>
        <v>67</v>
      </c>
      <c r="O91" s="5">
        <f t="shared" si="35"/>
        <v>86</v>
      </c>
      <c r="P91" s="5">
        <f t="shared" si="35"/>
        <v>36</v>
      </c>
      <c r="Q91" s="5">
        <f t="shared" si="35"/>
        <v>61</v>
      </c>
      <c r="R91" s="5">
        <f t="shared" si="35"/>
        <v>85</v>
      </c>
      <c r="S91" s="5">
        <f t="shared" si="35"/>
        <v>19</v>
      </c>
      <c r="T91" s="5">
        <f t="shared" si="35"/>
        <v>15</v>
      </c>
      <c r="U91" s="5">
        <f t="shared" si="35"/>
        <v>31</v>
      </c>
      <c r="V91" s="5">
        <f t="shared" si="35"/>
        <v>21</v>
      </c>
      <c r="W91" s="5">
        <f t="shared" si="35"/>
        <v>23</v>
      </c>
      <c r="X91" s="5">
        <f t="shared" si="35"/>
        <v>18</v>
      </c>
      <c r="Y91" s="5">
        <f t="shared" si="35"/>
        <v>10</v>
      </c>
      <c r="Z91" s="5">
        <f t="shared" si="35"/>
        <v>43</v>
      </c>
      <c r="AA91" s="5">
        <f t="shared" si="35"/>
        <v>31</v>
      </c>
      <c r="AB91" s="5">
        <f t="shared" si="35"/>
        <v>685</v>
      </c>
    </row>
    <row r="92" spans="1:28" x14ac:dyDescent="0.4">
      <c r="A92" s="84"/>
      <c r="B92" s="85"/>
      <c r="C92" s="85"/>
      <c r="D92" s="85"/>
      <c r="E92" s="85"/>
    </row>
    <row r="93" spans="1:28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1</v>
      </c>
      <c r="G93" s="6">
        <v>1</v>
      </c>
      <c r="H93" s="6">
        <v>0</v>
      </c>
      <c r="I93" s="6">
        <v>0</v>
      </c>
      <c r="J93" s="6">
        <v>0</v>
      </c>
      <c r="K93" s="6">
        <v>0</v>
      </c>
      <c r="L93" s="6">
        <v>2</v>
      </c>
      <c r="M93" s="6">
        <v>1</v>
      </c>
      <c r="N93" s="6">
        <v>0</v>
      </c>
      <c r="O93" s="6">
        <v>2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1</v>
      </c>
      <c r="V93" s="6">
        <v>1</v>
      </c>
      <c r="W93" s="6">
        <v>0</v>
      </c>
      <c r="X93" s="6">
        <v>1</v>
      </c>
      <c r="Y93" s="6">
        <v>0</v>
      </c>
      <c r="Z93" s="6">
        <v>3</v>
      </c>
      <c r="AA93" s="6">
        <v>2</v>
      </c>
      <c r="AB93" s="5">
        <f t="shared" ref="AB93:AB103" si="36">SUM(E93:AA93)</f>
        <v>15</v>
      </c>
    </row>
    <row r="94" spans="1:28" x14ac:dyDescent="0.4">
      <c r="A94" s="11" t="s">
        <v>50</v>
      </c>
      <c r="B94" s="52"/>
      <c r="C94" s="24" t="s">
        <v>158</v>
      </c>
      <c r="D94" s="50"/>
      <c r="E94" s="6">
        <v>0</v>
      </c>
      <c r="F94" s="6">
        <v>1</v>
      </c>
      <c r="G94" s="6">
        <v>0</v>
      </c>
      <c r="H94" s="6">
        <v>0</v>
      </c>
      <c r="I94" s="6">
        <v>0</v>
      </c>
      <c r="J94" s="6">
        <v>1</v>
      </c>
      <c r="K94" s="6">
        <v>1</v>
      </c>
      <c r="L94" s="6">
        <v>2</v>
      </c>
      <c r="M94" s="6">
        <v>0</v>
      </c>
      <c r="N94" s="6">
        <v>0</v>
      </c>
      <c r="O94" s="6">
        <v>4</v>
      </c>
      <c r="P94" s="6">
        <v>2</v>
      </c>
      <c r="Q94" s="6">
        <v>0</v>
      </c>
      <c r="R94" s="6">
        <v>0</v>
      </c>
      <c r="S94" s="6">
        <v>0</v>
      </c>
      <c r="T94" s="6">
        <v>2</v>
      </c>
      <c r="U94" s="6">
        <v>0</v>
      </c>
      <c r="V94" s="6">
        <v>0</v>
      </c>
      <c r="W94" s="6">
        <v>2</v>
      </c>
      <c r="X94" s="6">
        <v>1</v>
      </c>
      <c r="Y94" s="6">
        <v>0</v>
      </c>
      <c r="Z94" s="6">
        <v>0</v>
      </c>
      <c r="AA94" s="6">
        <v>0</v>
      </c>
      <c r="AB94" s="5">
        <f t="shared" si="36"/>
        <v>16</v>
      </c>
    </row>
    <row r="95" spans="1:28" x14ac:dyDescent="0.4">
      <c r="A95" s="7"/>
      <c r="B95" s="52"/>
      <c r="C95" s="24" t="s">
        <v>159</v>
      </c>
      <c r="D95" s="50"/>
      <c r="E95" s="6">
        <v>1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1</v>
      </c>
      <c r="L95" s="6">
        <v>2</v>
      </c>
      <c r="M95" s="6">
        <v>0</v>
      </c>
      <c r="N95" s="6">
        <v>0</v>
      </c>
      <c r="O95" s="6">
        <v>5</v>
      </c>
      <c r="P95" s="6">
        <v>2</v>
      </c>
      <c r="Q95" s="6">
        <v>0</v>
      </c>
      <c r="R95" s="6">
        <v>0</v>
      </c>
      <c r="S95" s="6">
        <v>1</v>
      </c>
      <c r="T95" s="6">
        <v>0</v>
      </c>
      <c r="U95" s="6">
        <v>0</v>
      </c>
      <c r="V95" s="6">
        <v>2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5">
        <f t="shared" si="36"/>
        <v>15</v>
      </c>
    </row>
    <row r="96" spans="1:28" ht="13.15" customHeight="1" x14ac:dyDescent="0.4">
      <c r="A96" s="7"/>
      <c r="B96" s="52"/>
      <c r="C96" s="24" t="s">
        <v>160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5">
        <f t="shared" si="36"/>
        <v>2</v>
      </c>
    </row>
    <row r="97" spans="1:28" x14ac:dyDescent="0.4">
      <c r="A97" s="7"/>
      <c r="B97" s="52"/>
      <c r="C97" s="24" t="s">
        <v>161</v>
      </c>
      <c r="D97" s="50"/>
      <c r="E97" s="6">
        <v>0</v>
      </c>
      <c r="F97" s="6">
        <v>1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  <c r="U97" s="6">
        <v>0</v>
      </c>
      <c r="V97" s="6">
        <v>0</v>
      </c>
      <c r="W97" s="6">
        <v>0</v>
      </c>
      <c r="X97" s="6">
        <v>0</v>
      </c>
      <c r="Y97" s="6">
        <v>1</v>
      </c>
      <c r="Z97" s="6">
        <v>0</v>
      </c>
      <c r="AA97" s="6">
        <v>0</v>
      </c>
      <c r="AB97" s="5">
        <f t="shared" si="36"/>
        <v>4</v>
      </c>
    </row>
    <row r="98" spans="1:28" x14ac:dyDescent="0.4">
      <c r="A98" s="7"/>
      <c r="B98" s="52"/>
      <c r="C98" s="24" t="s">
        <v>162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5">
        <f t="shared" si="36"/>
        <v>2</v>
      </c>
    </row>
    <row r="99" spans="1:28" x14ac:dyDescent="0.4">
      <c r="A99" s="7"/>
      <c r="B99" s="52"/>
      <c r="C99" s="24" t="s">
        <v>163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1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5">
        <f t="shared" si="36"/>
        <v>1</v>
      </c>
    </row>
    <row r="100" spans="1:28" x14ac:dyDescent="0.4">
      <c r="A100" s="7"/>
      <c r="B100" s="52"/>
      <c r="C100" s="24" t="s">
        <v>164</v>
      </c>
      <c r="D100" s="50"/>
      <c r="E100" s="6">
        <v>1</v>
      </c>
      <c r="F100" s="6">
        <v>0</v>
      </c>
      <c r="G100" s="6">
        <v>0</v>
      </c>
      <c r="H100" s="6">
        <v>1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1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5">
        <f t="shared" si="36"/>
        <v>3</v>
      </c>
    </row>
    <row r="101" spans="1:28" x14ac:dyDescent="0.4">
      <c r="A101" s="7"/>
      <c r="B101" s="52"/>
      <c r="C101" s="24" t="s">
        <v>165</v>
      </c>
      <c r="D101" s="50"/>
      <c r="E101" s="6">
        <v>0</v>
      </c>
      <c r="F101" s="6">
        <v>0</v>
      </c>
      <c r="G101" s="6">
        <v>0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5">
        <f t="shared" si="36"/>
        <v>1</v>
      </c>
    </row>
    <row r="102" spans="1:28" x14ac:dyDescent="0.4">
      <c r="A102" s="7"/>
      <c r="B102" s="52"/>
      <c r="C102" s="24" t="s">
        <v>166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1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5">
        <f t="shared" si="36"/>
        <v>1</v>
      </c>
    </row>
    <row r="103" spans="1:28" x14ac:dyDescent="0.4">
      <c r="A103" s="6" t="s">
        <v>26</v>
      </c>
      <c r="B103" s="67" t="s">
        <v>51</v>
      </c>
      <c r="C103" s="83"/>
      <c r="D103" s="74"/>
      <c r="E103" s="5">
        <f t="shared" ref="E103:AB103" si="37">SUM(E93:E102)</f>
        <v>2</v>
      </c>
      <c r="F103" s="5">
        <f t="shared" si="37"/>
        <v>3</v>
      </c>
      <c r="G103" s="5">
        <f t="shared" si="37"/>
        <v>1</v>
      </c>
      <c r="H103" s="5">
        <f t="shared" si="37"/>
        <v>2</v>
      </c>
      <c r="I103" s="5">
        <f t="shared" si="37"/>
        <v>1</v>
      </c>
      <c r="J103" s="5">
        <f t="shared" si="37"/>
        <v>2</v>
      </c>
      <c r="K103" s="5">
        <f t="shared" si="37"/>
        <v>3</v>
      </c>
      <c r="L103" s="5">
        <f t="shared" si="37"/>
        <v>7</v>
      </c>
      <c r="M103" s="5">
        <f t="shared" si="37"/>
        <v>1</v>
      </c>
      <c r="N103" s="5">
        <f t="shared" si="37"/>
        <v>0</v>
      </c>
      <c r="O103" s="5">
        <f t="shared" si="37"/>
        <v>14</v>
      </c>
      <c r="P103" s="5">
        <f t="shared" si="37"/>
        <v>5</v>
      </c>
      <c r="Q103" s="5">
        <f t="shared" si="37"/>
        <v>1</v>
      </c>
      <c r="R103" s="5">
        <f t="shared" si="37"/>
        <v>0</v>
      </c>
      <c r="S103" s="5">
        <f t="shared" si="37"/>
        <v>1</v>
      </c>
      <c r="T103" s="5">
        <f t="shared" si="37"/>
        <v>3</v>
      </c>
      <c r="U103" s="5">
        <f t="shared" si="37"/>
        <v>1</v>
      </c>
      <c r="V103" s="5">
        <f t="shared" si="37"/>
        <v>3</v>
      </c>
      <c r="W103" s="5">
        <f t="shared" si="37"/>
        <v>2</v>
      </c>
      <c r="X103" s="5">
        <f t="shared" si="37"/>
        <v>2</v>
      </c>
      <c r="Y103" s="5">
        <f t="shared" si="37"/>
        <v>1</v>
      </c>
      <c r="Z103" s="5">
        <f t="shared" si="37"/>
        <v>3</v>
      </c>
      <c r="AA103" s="5">
        <f t="shared" si="37"/>
        <v>2</v>
      </c>
      <c r="AB103" s="5">
        <f t="shared" si="37"/>
        <v>60</v>
      </c>
    </row>
    <row r="104" spans="1:28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1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5">
        <f>SUM(E105:AA105)</f>
        <v>2</v>
      </c>
    </row>
    <row r="106" spans="1:28" x14ac:dyDescent="0.4">
      <c r="A106" s="11" t="s">
        <v>50</v>
      </c>
      <c r="B106" s="52"/>
      <c r="C106" s="24" t="s">
        <v>167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1</v>
      </c>
      <c r="V106" s="6">
        <v>1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5">
        <f>SUM(E106:AA106)</f>
        <v>2</v>
      </c>
    </row>
    <row r="107" spans="1:28" ht="13.15" customHeight="1" x14ac:dyDescent="0.4">
      <c r="A107" s="7"/>
      <c r="B107" s="52"/>
      <c r="C107" s="24" t="s">
        <v>168</v>
      </c>
      <c r="D107" s="50"/>
      <c r="E107" s="6">
        <v>0</v>
      </c>
      <c r="F107" s="6">
        <v>0</v>
      </c>
      <c r="G107" s="6">
        <v>0</v>
      </c>
      <c r="H107" s="6">
        <v>1</v>
      </c>
      <c r="I107" s="6">
        <v>0</v>
      </c>
      <c r="J107" s="6">
        <v>0</v>
      </c>
      <c r="K107" s="6">
        <v>1</v>
      </c>
      <c r="L107" s="6">
        <v>0</v>
      </c>
      <c r="M107" s="6">
        <v>0</v>
      </c>
      <c r="N107" s="6">
        <v>0</v>
      </c>
      <c r="O107" s="6">
        <v>1</v>
      </c>
      <c r="P107" s="6">
        <v>1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5">
        <f>SUM(E107:AA107)</f>
        <v>4</v>
      </c>
    </row>
    <row r="108" spans="1:28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49"/>
    </row>
    <row r="109" spans="1:28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49"/>
    </row>
    <row r="110" spans="1:28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49"/>
    </row>
    <row r="111" spans="1:28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49"/>
    </row>
    <row r="112" spans="1:28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49"/>
    </row>
    <row r="113" spans="1:30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49"/>
    </row>
    <row r="114" spans="1:30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49"/>
    </row>
    <row r="115" spans="1:30" ht="13.15" customHeight="1" x14ac:dyDescent="0.4">
      <c r="A115" s="6" t="s">
        <v>26</v>
      </c>
      <c r="B115" s="67" t="s">
        <v>51</v>
      </c>
      <c r="C115" s="68"/>
      <c r="D115" s="69"/>
      <c r="E115" s="5">
        <f t="shared" ref="E115:AB115" si="38">SUM(E105:E114)</f>
        <v>0</v>
      </c>
      <c r="F115" s="5">
        <f t="shared" si="38"/>
        <v>1</v>
      </c>
      <c r="G115" s="5">
        <f t="shared" si="38"/>
        <v>0</v>
      </c>
      <c r="H115" s="5">
        <f t="shared" si="38"/>
        <v>1</v>
      </c>
      <c r="I115" s="5">
        <f t="shared" si="38"/>
        <v>0</v>
      </c>
      <c r="J115" s="5">
        <f t="shared" si="38"/>
        <v>0</v>
      </c>
      <c r="K115" s="5">
        <f t="shared" si="38"/>
        <v>2</v>
      </c>
      <c r="L115" s="5">
        <f t="shared" si="38"/>
        <v>0</v>
      </c>
      <c r="M115" s="5">
        <f t="shared" si="38"/>
        <v>0</v>
      </c>
      <c r="N115" s="5">
        <f t="shared" si="38"/>
        <v>0</v>
      </c>
      <c r="O115" s="5">
        <f t="shared" si="38"/>
        <v>1</v>
      </c>
      <c r="P115" s="5">
        <f t="shared" si="38"/>
        <v>1</v>
      </c>
      <c r="Q115" s="5">
        <f t="shared" si="38"/>
        <v>0</v>
      </c>
      <c r="R115" s="5">
        <f t="shared" si="38"/>
        <v>0</v>
      </c>
      <c r="S115" s="5">
        <f t="shared" si="38"/>
        <v>0</v>
      </c>
      <c r="T115" s="5">
        <f t="shared" si="38"/>
        <v>0</v>
      </c>
      <c r="U115" s="5">
        <f t="shared" si="38"/>
        <v>1</v>
      </c>
      <c r="V115" s="5">
        <f t="shared" si="38"/>
        <v>1</v>
      </c>
      <c r="W115" s="5">
        <f t="shared" si="38"/>
        <v>0</v>
      </c>
      <c r="X115" s="5">
        <f t="shared" si="38"/>
        <v>0</v>
      </c>
      <c r="Y115" s="5">
        <f t="shared" si="38"/>
        <v>0</v>
      </c>
      <c r="Z115" s="5">
        <f t="shared" si="38"/>
        <v>0</v>
      </c>
      <c r="AA115" s="5">
        <f t="shared" si="38"/>
        <v>0</v>
      </c>
      <c r="AB115" s="5">
        <f t="shared" si="38"/>
        <v>8</v>
      </c>
    </row>
    <row r="116" spans="1:30" x14ac:dyDescent="0.4">
      <c r="A116" s="70"/>
      <c r="B116" s="71"/>
      <c r="C116" s="71"/>
      <c r="D116" s="71"/>
      <c r="E116" s="7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5"/>
    </row>
    <row r="117" spans="1:30" x14ac:dyDescent="0.4">
      <c r="A117" s="11" t="s">
        <v>48</v>
      </c>
      <c r="B117" s="17" t="s">
        <v>59</v>
      </c>
      <c r="C117" s="73" t="s">
        <v>60</v>
      </c>
      <c r="D117" s="74"/>
      <c r="E117" s="6">
        <v>1</v>
      </c>
      <c r="F117" s="6">
        <v>0</v>
      </c>
      <c r="G117" s="6">
        <v>0</v>
      </c>
      <c r="H117" s="6">
        <v>1</v>
      </c>
      <c r="I117" s="6">
        <v>0</v>
      </c>
      <c r="J117" s="6">
        <v>0</v>
      </c>
      <c r="K117" s="6">
        <v>2</v>
      </c>
      <c r="L117" s="6">
        <v>0</v>
      </c>
      <c r="M117" s="6">
        <v>1</v>
      </c>
      <c r="N117" s="6">
        <v>0</v>
      </c>
      <c r="O117" s="6">
        <v>2</v>
      </c>
      <c r="P117" s="6">
        <v>1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1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5">
        <f t="shared" ref="AB117:AB122" si="39">SUM(E117:AA117)</f>
        <v>9</v>
      </c>
      <c r="AC117" s="20"/>
      <c r="AD117" s="20"/>
    </row>
    <row r="118" spans="1:30" x14ac:dyDescent="0.4">
      <c r="A118" s="11" t="s">
        <v>50</v>
      </c>
      <c r="B118" s="52"/>
      <c r="C118" s="24" t="s">
        <v>169</v>
      </c>
      <c r="D118" s="50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1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1</v>
      </c>
      <c r="AA118" s="6">
        <v>1</v>
      </c>
      <c r="AB118" s="5">
        <f t="shared" si="39"/>
        <v>3</v>
      </c>
      <c r="AC118" s="20"/>
      <c r="AD118" s="20"/>
    </row>
    <row r="119" spans="1:30" x14ac:dyDescent="0.4">
      <c r="A119" s="7"/>
      <c r="B119" s="52"/>
      <c r="C119" s="24" t="s">
        <v>170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5">
        <f t="shared" si="39"/>
        <v>0</v>
      </c>
      <c r="AC119" s="20"/>
      <c r="AD119" s="20"/>
    </row>
    <row r="120" spans="1:30" x14ac:dyDescent="0.4">
      <c r="A120" s="7"/>
      <c r="B120" s="52"/>
      <c r="C120" s="24" t="s">
        <v>171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1</v>
      </c>
      <c r="P120" s="6">
        <v>1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1</v>
      </c>
      <c r="Y120" s="6">
        <v>0</v>
      </c>
      <c r="Z120" s="6">
        <v>0</v>
      </c>
      <c r="AA120" s="6">
        <v>0</v>
      </c>
      <c r="AB120" s="5">
        <f t="shared" si="39"/>
        <v>3</v>
      </c>
      <c r="AC120" s="20"/>
      <c r="AD120" s="20"/>
    </row>
    <row r="121" spans="1:30" x14ac:dyDescent="0.4">
      <c r="A121" s="7"/>
      <c r="B121" s="52"/>
      <c r="C121" s="24" t="s">
        <v>172</v>
      </c>
      <c r="D121" s="50"/>
      <c r="E121" s="6">
        <v>1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5">
        <f t="shared" si="39"/>
        <v>1</v>
      </c>
      <c r="AC121" s="20"/>
      <c r="AD121" s="20"/>
    </row>
    <row r="122" spans="1:30" x14ac:dyDescent="0.4">
      <c r="A122" s="7"/>
      <c r="B122" s="52"/>
      <c r="C122" s="24" t="s">
        <v>173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1</v>
      </c>
      <c r="Y122" s="6">
        <v>0</v>
      </c>
      <c r="Z122" s="6">
        <v>0</v>
      </c>
      <c r="AA122" s="6">
        <v>0</v>
      </c>
      <c r="AB122" s="5">
        <f t="shared" si="39"/>
        <v>1</v>
      </c>
      <c r="AC122" s="20"/>
      <c r="AD122" s="20"/>
    </row>
    <row r="123" spans="1:30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49"/>
      <c r="AC123" s="20"/>
      <c r="AD123" s="20"/>
    </row>
    <row r="124" spans="1:30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49"/>
      <c r="AC124" s="20"/>
      <c r="AD124" s="20"/>
    </row>
    <row r="125" spans="1:30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49"/>
      <c r="AC125" s="20"/>
      <c r="AD125" s="20"/>
    </row>
    <row r="126" spans="1:30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49"/>
      <c r="AC126" s="20"/>
      <c r="AD126" s="20"/>
    </row>
    <row r="127" spans="1:30" x14ac:dyDescent="0.4">
      <c r="A127" s="6" t="s">
        <v>26</v>
      </c>
      <c r="B127" s="67" t="s">
        <v>51</v>
      </c>
      <c r="C127" s="68"/>
      <c r="D127" s="69"/>
      <c r="E127" s="5">
        <f t="shared" ref="E127:AB127" si="40">SUM(E117:E126)</f>
        <v>2</v>
      </c>
      <c r="F127" s="5">
        <f t="shared" si="40"/>
        <v>0</v>
      </c>
      <c r="G127" s="5">
        <f t="shared" si="40"/>
        <v>0</v>
      </c>
      <c r="H127" s="5">
        <f t="shared" si="40"/>
        <v>1</v>
      </c>
      <c r="I127" s="5">
        <f t="shared" si="40"/>
        <v>0</v>
      </c>
      <c r="J127" s="5">
        <f t="shared" si="40"/>
        <v>0</v>
      </c>
      <c r="K127" s="5">
        <f t="shared" si="40"/>
        <v>2</v>
      </c>
      <c r="L127" s="5">
        <f t="shared" si="40"/>
        <v>0</v>
      </c>
      <c r="M127" s="5">
        <f t="shared" si="40"/>
        <v>1</v>
      </c>
      <c r="N127" s="5">
        <f t="shared" si="40"/>
        <v>0</v>
      </c>
      <c r="O127" s="5">
        <f t="shared" si="40"/>
        <v>3</v>
      </c>
      <c r="P127" s="5">
        <f t="shared" si="40"/>
        <v>2</v>
      </c>
      <c r="Q127" s="5">
        <f t="shared" si="40"/>
        <v>0</v>
      </c>
      <c r="R127" s="5">
        <f t="shared" si="40"/>
        <v>0</v>
      </c>
      <c r="S127" s="5">
        <f t="shared" si="40"/>
        <v>0</v>
      </c>
      <c r="T127" s="5">
        <f t="shared" si="40"/>
        <v>1</v>
      </c>
      <c r="U127" s="5">
        <f t="shared" si="40"/>
        <v>0</v>
      </c>
      <c r="V127" s="5">
        <f t="shared" si="40"/>
        <v>1</v>
      </c>
      <c r="W127" s="5">
        <f t="shared" si="40"/>
        <v>0</v>
      </c>
      <c r="X127" s="5">
        <f t="shared" si="40"/>
        <v>2</v>
      </c>
      <c r="Y127" s="5">
        <f t="shared" si="40"/>
        <v>0</v>
      </c>
      <c r="Z127" s="5">
        <f t="shared" si="40"/>
        <v>1</v>
      </c>
      <c r="AA127" s="5">
        <f t="shared" si="40"/>
        <v>1</v>
      </c>
      <c r="AB127" s="5">
        <f t="shared" si="40"/>
        <v>17</v>
      </c>
      <c r="AC127" s="20"/>
      <c r="AD127" s="20"/>
    </row>
    <row r="128" spans="1:30" x14ac:dyDescent="0.4">
      <c r="A128" s="70"/>
      <c r="B128" s="71"/>
      <c r="C128" s="71"/>
      <c r="D128" s="71"/>
      <c r="E128" s="7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0"/>
      <c r="AD128" s="20"/>
    </row>
    <row r="129" spans="1:30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0</v>
      </c>
      <c r="G129" s="6">
        <v>1</v>
      </c>
      <c r="H129" s="6">
        <v>1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1</v>
      </c>
      <c r="P129" s="6">
        <v>0</v>
      </c>
      <c r="Q129" s="6">
        <v>0</v>
      </c>
      <c r="R129" s="6">
        <v>0</v>
      </c>
      <c r="S129" s="6">
        <v>1</v>
      </c>
      <c r="T129" s="6">
        <v>2</v>
      </c>
      <c r="U129" s="6">
        <v>1</v>
      </c>
      <c r="V129" s="6">
        <v>1</v>
      </c>
      <c r="W129" s="6">
        <v>0</v>
      </c>
      <c r="X129" s="6">
        <v>0</v>
      </c>
      <c r="Y129" s="6">
        <v>0</v>
      </c>
      <c r="Z129" s="6">
        <v>1</v>
      </c>
      <c r="AA129" s="6">
        <v>0</v>
      </c>
      <c r="AB129" s="5">
        <f t="shared" ref="AB129:AB139" si="41">SUM(E129:AA129)</f>
        <v>10</v>
      </c>
      <c r="AC129" s="20"/>
      <c r="AD129" s="20"/>
    </row>
    <row r="130" spans="1:30" ht="13.15" customHeight="1" x14ac:dyDescent="0.4">
      <c r="A130" s="11" t="s">
        <v>50</v>
      </c>
      <c r="B130" s="52"/>
      <c r="C130" s="24" t="s">
        <v>174</v>
      </c>
      <c r="D130" s="53"/>
      <c r="E130" s="6">
        <v>0</v>
      </c>
      <c r="F130" s="6">
        <v>0</v>
      </c>
      <c r="G130" s="6">
        <v>5</v>
      </c>
      <c r="H130" s="6">
        <v>1</v>
      </c>
      <c r="I130" s="6">
        <v>0</v>
      </c>
      <c r="J130" s="6">
        <v>0</v>
      </c>
      <c r="K130" s="6">
        <v>1</v>
      </c>
      <c r="L130" s="6">
        <v>0</v>
      </c>
      <c r="M130" s="6">
        <v>1</v>
      </c>
      <c r="N130" s="6">
        <v>0</v>
      </c>
      <c r="O130" s="6">
        <v>0</v>
      </c>
      <c r="P130" s="6">
        <v>3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2</v>
      </c>
      <c r="Y130" s="6">
        <v>0</v>
      </c>
      <c r="Z130" s="6">
        <v>2</v>
      </c>
      <c r="AA130" s="6">
        <v>0</v>
      </c>
      <c r="AB130" s="5">
        <f t="shared" si="41"/>
        <v>15</v>
      </c>
      <c r="AC130" s="1"/>
      <c r="AD130" s="1"/>
    </row>
    <row r="131" spans="1:30" x14ac:dyDescent="0.4">
      <c r="A131" s="7"/>
      <c r="B131" s="52"/>
      <c r="C131" s="24" t="s">
        <v>175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1</v>
      </c>
      <c r="U131" s="6">
        <v>1</v>
      </c>
      <c r="V131" s="6">
        <v>0</v>
      </c>
      <c r="W131" s="6">
        <v>1</v>
      </c>
      <c r="X131" s="6">
        <v>0</v>
      </c>
      <c r="Y131" s="6">
        <v>0</v>
      </c>
      <c r="Z131" s="6">
        <v>0</v>
      </c>
      <c r="AA131" s="6">
        <v>0</v>
      </c>
      <c r="AB131" s="5">
        <f t="shared" si="41"/>
        <v>4</v>
      </c>
      <c r="AC131" s="27"/>
      <c r="AD131" s="27"/>
    </row>
    <row r="132" spans="1:30" x14ac:dyDescent="0.4">
      <c r="A132" s="7"/>
      <c r="B132" s="52"/>
      <c r="C132" s="24" t="s">
        <v>176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3</v>
      </c>
      <c r="Y132" s="6">
        <v>0</v>
      </c>
      <c r="Z132" s="6">
        <v>0</v>
      </c>
      <c r="AA132" s="6">
        <v>0</v>
      </c>
      <c r="AB132" s="5">
        <f t="shared" si="41"/>
        <v>3</v>
      </c>
      <c r="AC132" s="20"/>
      <c r="AD132" s="20"/>
    </row>
    <row r="133" spans="1:30" x14ac:dyDescent="0.4">
      <c r="A133" s="7"/>
      <c r="B133" s="52"/>
      <c r="C133" s="24" t="s">
        <v>177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5">
        <f t="shared" si="41"/>
        <v>1</v>
      </c>
      <c r="AC133" s="20"/>
      <c r="AD133" s="20"/>
    </row>
    <row r="134" spans="1:30" x14ac:dyDescent="0.4">
      <c r="A134" s="7"/>
      <c r="B134" s="52"/>
      <c r="C134" s="24" t="s">
        <v>178</v>
      </c>
      <c r="D134" s="53"/>
      <c r="E134" s="6">
        <v>0</v>
      </c>
      <c r="F134" s="6">
        <v>1</v>
      </c>
      <c r="G134" s="6">
        <v>1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5">
        <f t="shared" si="41"/>
        <v>3</v>
      </c>
      <c r="AC134" s="20"/>
      <c r="AD134" s="20"/>
    </row>
    <row r="135" spans="1:30" x14ac:dyDescent="0.4">
      <c r="A135" s="7"/>
      <c r="B135" s="52"/>
      <c r="C135" s="24" t="s">
        <v>179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5">
        <f t="shared" si="41"/>
        <v>0</v>
      </c>
      <c r="AC135" s="20"/>
      <c r="AD135" s="20"/>
    </row>
    <row r="136" spans="1:30" x14ac:dyDescent="0.4">
      <c r="A136" s="7"/>
      <c r="B136" s="52"/>
      <c r="C136" s="24" t="s">
        <v>180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1</v>
      </c>
      <c r="Z136" s="6">
        <v>0</v>
      </c>
      <c r="AA136" s="6">
        <v>0</v>
      </c>
      <c r="AB136" s="5">
        <f t="shared" si="41"/>
        <v>1</v>
      </c>
      <c r="AC136" s="20"/>
      <c r="AD136" s="20"/>
    </row>
    <row r="137" spans="1:30" x14ac:dyDescent="0.4">
      <c r="A137" s="7"/>
      <c r="B137" s="52"/>
      <c r="C137" s="24" t="s">
        <v>181</v>
      </c>
      <c r="D137" s="53"/>
      <c r="E137" s="6">
        <v>0</v>
      </c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5">
        <f t="shared" si="41"/>
        <v>2</v>
      </c>
      <c r="AC137" s="20"/>
      <c r="AD137" s="20"/>
    </row>
    <row r="138" spans="1:30" x14ac:dyDescent="0.4">
      <c r="A138" s="7"/>
      <c r="B138" s="52"/>
      <c r="C138" s="24" t="s">
        <v>182</v>
      </c>
      <c r="D138" s="53"/>
      <c r="E138" s="6">
        <v>0</v>
      </c>
      <c r="F138" s="6">
        <v>0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1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5">
        <f t="shared" si="41"/>
        <v>2</v>
      </c>
      <c r="AC138" s="20"/>
      <c r="AD138" s="20"/>
    </row>
    <row r="139" spans="1:30" x14ac:dyDescent="0.4">
      <c r="A139" s="6" t="s">
        <v>26</v>
      </c>
      <c r="B139" s="67" t="s">
        <v>51</v>
      </c>
      <c r="C139" s="68"/>
      <c r="D139" s="69"/>
      <c r="E139" s="5">
        <f t="shared" ref="E139:AB139" si="42">SUM(E129:E138)</f>
        <v>0</v>
      </c>
      <c r="F139" s="5">
        <f t="shared" si="42"/>
        <v>2</v>
      </c>
      <c r="G139" s="5">
        <f t="shared" si="42"/>
        <v>7</v>
      </c>
      <c r="H139" s="5">
        <f t="shared" si="42"/>
        <v>4</v>
      </c>
      <c r="I139" s="5">
        <f t="shared" si="42"/>
        <v>1</v>
      </c>
      <c r="J139" s="5">
        <f t="shared" si="42"/>
        <v>1</v>
      </c>
      <c r="K139" s="5">
        <f t="shared" si="42"/>
        <v>1</v>
      </c>
      <c r="L139" s="5">
        <f t="shared" si="42"/>
        <v>1</v>
      </c>
      <c r="M139" s="5">
        <f t="shared" si="42"/>
        <v>2</v>
      </c>
      <c r="N139" s="5">
        <f t="shared" si="42"/>
        <v>0</v>
      </c>
      <c r="O139" s="5">
        <f t="shared" si="42"/>
        <v>1</v>
      </c>
      <c r="P139" s="5">
        <f t="shared" si="42"/>
        <v>3</v>
      </c>
      <c r="Q139" s="5">
        <f t="shared" si="42"/>
        <v>0</v>
      </c>
      <c r="R139" s="5">
        <f t="shared" si="42"/>
        <v>0</v>
      </c>
      <c r="S139" s="5">
        <f t="shared" si="42"/>
        <v>2</v>
      </c>
      <c r="T139" s="5">
        <f t="shared" si="42"/>
        <v>3</v>
      </c>
      <c r="U139" s="5">
        <f t="shared" si="42"/>
        <v>2</v>
      </c>
      <c r="V139" s="5">
        <f t="shared" si="42"/>
        <v>1</v>
      </c>
      <c r="W139" s="5">
        <f t="shared" si="42"/>
        <v>1</v>
      </c>
      <c r="X139" s="5">
        <f t="shared" si="42"/>
        <v>5</v>
      </c>
      <c r="Y139" s="5">
        <f t="shared" si="42"/>
        <v>1</v>
      </c>
      <c r="Z139" s="5">
        <f t="shared" si="42"/>
        <v>3</v>
      </c>
      <c r="AA139" s="5">
        <f t="shared" si="42"/>
        <v>0</v>
      </c>
      <c r="AB139" s="5">
        <f t="shared" si="42"/>
        <v>41</v>
      </c>
      <c r="AC139" s="20"/>
      <c r="AD139" s="20"/>
    </row>
    <row r="140" spans="1:30" x14ac:dyDescent="0.4">
      <c r="A140" s="70"/>
      <c r="B140" s="71"/>
      <c r="C140" s="71"/>
      <c r="D140" s="71"/>
      <c r="E140" s="72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20"/>
      <c r="AD140" s="20"/>
    </row>
    <row r="141" spans="1:30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>
        <v>1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5">
        <f>SUM(E141:AA141)</f>
        <v>1</v>
      </c>
      <c r="AC141" s="1"/>
      <c r="AD141" s="1"/>
    </row>
    <row r="142" spans="1:30" x14ac:dyDescent="0.4">
      <c r="A142" s="11" t="s">
        <v>50</v>
      </c>
      <c r="B142" s="52"/>
      <c r="C142" s="24" t="s">
        <v>183</v>
      </c>
      <c r="D142" s="50"/>
      <c r="E142" s="6"/>
      <c r="F142" s="6"/>
      <c r="G142" s="6"/>
      <c r="H142" s="6">
        <v>1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5">
        <f>SUM(E142:AA142)</f>
        <v>1</v>
      </c>
      <c r="AC142" s="27"/>
      <c r="AD142" s="27"/>
    </row>
    <row r="143" spans="1:30" x14ac:dyDescent="0.4">
      <c r="A143" s="7"/>
      <c r="B143" s="52"/>
      <c r="C143" s="24" t="s">
        <v>184</v>
      </c>
      <c r="D143" s="5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5">
        <f>SUM(E143:AA143)</f>
        <v>0</v>
      </c>
      <c r="AC143" s="20"/>
      <c r="AD143" s="20"/>
    </row>
    <row r="144" spans="1:30" x14ac:dyDescent="0.4">
      <c r="A144" s="7"/>
      <c r="B144" s="52"/>
      <c r="C144" s="24" t="s">
        <v>185</v>
      </c>
      <c r="D144" s="50"/>
      <c r="E144" s="6"/>
      <c r="F144" s="6"/>
      <c r="G144" s="6"/>
      <c r="H144" s="6"/>
      <c r="I144" s="6"/>
      <c r="J144" s="6"/>
      <c r="K144" s="6"/>
      <c r="L144" s="6"/>
      <c r="M144" s="6"/>
      <c r="N144" s="6">
        <v>1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5">
        <f>SUM(E144:AA144)</f>
        <v>1</v>
      </c>
      <c r="AC144" s="20"/>
      <c r="AD144" s="20"/>
    </row>
    <row r="145" spans="1:30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49"/>
      <c r="AC145" s="20"/>
      <c r="AD145" s="20"/>
    </row>
    <row r="146" spans="1:30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49"/>
      <c r="AC146" s="20"/>
      <c r="AD146" s="20"/>
    </row>
    <row r="147" spans="1:30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49"/>
      <c r="AC147" s="20"/>
      <c r="AD147" s="20"/>
    </row>
    <row r="148" spans="1:30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49"/>
      <c r="AC148" s="20"/>
      <c r="AD148" s="20"/>
    </row>
    <row r="149" spans="1:30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49"/>
      <c r="AC149" s="20"/>
      <c r="AD149" s="20"/>
    </row>
    <row r="150" spans="1:30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49"/>
      <c r="AC150" s="20"/>
      <c r="AD150" s="20"/>
    </row>
    <row r="151" spans="1:30" ht="13.15" customHeight="1" x14ac:dyDescent="0.4">
      <c r="A151" s="6" t="s">
        <v>26</v>
      </c>
      <c r="B151" s="67" t="s">
        <v>51</v>
      </c>
      <c r="C151" s="68"/>
      <c r="D151" s="69"/>
      <c r="E151" s="5">
        <f t="shared" ref="E151:AB151" si="43">SUM(E141:E150)</f>
        <v>0</v>
      </c>
      <c r="F151" s="5">
        <f t="shared" si="43"/>
        <v>0</v>
      </c>
      <c r="G151" s="5">
        <f t="shared" si="43"/>
        <v>0</v>
      </c>
      <c r="H151" s="5">
        <f t="shared" si="43"/>
        <v>1</v>
      </c>
      <c r="I151" s="5">
        <f t="shared" si="43"/>
        <v>0</v>
      </c>
      <c r="J151" s="5">
        <f t="shared" si="43"/>
        <v>0</v>
      </c>
      <c r="K151" s="5">
        <f t="shared" si="43"/>
        <v>0</v>
      </c>
      <c r="L151" s="5">
        <f t="shared" si="43"/>
        <v>0</v>
      </c>
      <c r="M151" s="5">
        <f t="shared" si="43"/>
        <v>0</v>
      </c>
      <c r="N151" s="5">
        <f t="shared" si="43"/>
        <v>1</v>
      </c>
      <c r="O151" s="5">
        <f t="shared" si="43"/>
        <v>0</v>
      </c>
      <c r="P151" s="5">
        <f t="shared" si="43"/>
        <v>1</v>
      </c>
      <c r="Q151" s="5">
        <f t="shared" si="43"/>
        <v>0</v>
      </c>
      <c r="R151" s="5">
        <f t="shared" si="43"/>
        <v>0</v>
      </c>
      <c r="S151" s="5">
        <f t="shared" si="43"/>
        <v>0</v>
      </c>
      <c r="T151" s="5">
        <f t="shared" si="43"/>
        <v>0</v>
      </c>
      <c r="U151" s="5">
        <f t="shared" si="43"/>
        <v>0</v>
      </c>
      <c r="V151" s="5">
        <f t="shared" si="43"/>
        <v>0</v>
      </c>
      <c r="W151" s="5">
        <f t="shared" si="43"/>
        <v>0</v>
      </c>
      <c r="X151" s="5">
        <f t="shared" si="43"/>
        <v>0</v>
      </c>
      <c r="Y151" s="5">
        <f t="shared" si="43"/>
        <v>0</v>
      </c>
      <c r="Z151" s="5">
        <f t="shared" si="43"/>
        <v>0</v>
      </c>
      <c r="AA151" s="5">
        <f t="shared" si="43"/>
        <v>0</v>
      </c>
      <c r="AB151" s="5">
        <f t="shared" si="43"/>
        <v>3</v>
      </c>
      <c r="AC151" s="1"/>
      <c r="AD151" s="1"/>
    </row>
    <row r="152" spans="1:30" x14ac:dyDescent="0.4">
      <c r="A152" s="70"/>
      <c r="B152" s="71"/>
      <c r="C152" s="71"/>
      <c r="D152" s="71"/>
      <c r="E152" s="72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5"/>
      <c r="AC152" s="27"/>
      <c r="AD152" s="27"/>
    </row>
    <row r="153" spans="1:30" x14ac:dyDescent="0.4">
      <c r="A153" s="11" t="s">
        <v>48</v>
      </c>
      <c r="B153" s="44" t="s">
        <v>65</v>
      </c>
      <c r="C153" s="78" t="s">
        <v>66</v>
      </c>
      <c r="D153" s="79"/>
      <c r="E153" s="6"/>
      <c r="F153" s="6"/>
      <c r="G153" s="6"/>
      <c r="H153" s="6"/>
      <c r="I153" s="6">
        <v>2</v>
      </c>
      <c r="J153" s="6">
        <v>1</v>
      </c>
      <c r="K153" s="6"/>
      <c r="L153" s="6">
        <v>1</v>
      </c>
      <c r="M153" s="6">
        <v>1</v>
      </c>
      <c r="N153" s="6"/>
      <c r="O153" s="6">
        <v>1</v>
      </c>
      <c r="P153" s="6"/>
      <c r="Q153" s="6">
        <v>1</v>
      </c>
      <c r="R153" s="6"/>
      <c r="S153" s="6"/>
      <c r="T153" s="6"/>
      <c r="U153" s="6">
        <v>1</v>
      </c>
      <c r="V153" s="6"/>
      <c r="W153" s="6"/>
      <c r="X153" s="6"/>
      <c r="Y153" s="6"/>
      <c r="Z153" s="6"/>
      <c r="AA153" s="6"/>
      <c r="AB153" s="5">
        <f t="shared" ref="AB153:AB162" si="44">SUM(E153:AA153)</f>
        <v>8</v>
      </c>
      <c r="AC153" s="20"/>
      <c r="AD153" s="20"/>
    </row>
    <row r="154" spans="1:30" x14ac:dyDescent="0.4">
      <c r="A154" s="54" t="s">
        <v>50</v>
      </c>
      <c r="B154" s="56"/>
      <c r="C154" s="24" t="s">
        <v>186</v>
      </c>
      <c r="D154" s="57"/>
      <c r="E154" s="55"/>
      <c r="F154" s="6">
        <v>1</v>
      </c>
      <c r="G154" s="6"/>
      <c r="H154" s="6"/>
      <c r="I154" s="6"/>
      <c r="J154" s="6"/>
      <c r="K154" s="6">
        <v>1</v>
      </c>
      <c r="L154" s="6"/>
      <c r="M154" s="6"/>
      <c r="N154" s="6">
        <v>1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5">
        <f t="shared" si="44"/>
        <v>3</v>
      </c>
      <c r="AC154" s="20"/>
      <c r="AD154" s="20"/>
    </row>
    <row r="155" spans="1:30" x14ac:dyDescent="0.4">
      <c r="A155" s="7"/>
      <c r="B155" s="56"/>
      <c r="C155" s="24" t="s">
        <v>187</v>
      </c>
      <c r="D155" s="57"/>
      <c r="E155" s="55"/>
      <c r="F155" s="6"/>
      <c r="G155" s="6"/>
      <c r="H155" s="6"/>
      <c r="I155" s="6"/>
      <c r="J155" s="6"/>
      <c r="K155" s="6"/>
      <c r="L155" s="6">
        <v>1</v>
      </c>
      <c r="M155" s="6"/>
      <c r="N155" s="6"/>
      <c r="O155" s="6">
        <v>1</v>
      </c>
      <c r="P155" s="6"/>
      <c r="Q155" s="6">
        <v>1</v>
      </c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5">
        <f t="shared" si="44"/>
        <v>3</v>
      </c>
      <c r="AC155" s="20"/>
      <c r="AD155" s="20"/>
    </row>
    <row r="156" spans="1:30" x14ac:dyDescent="0.4">
      <c r="A156" s="7"/>
      <c r="B156" s="56"/>
      <c r="C156" s="24" t="s">
        <v>188</v>
      </c>
      <c r="D156" s="57"/>
      <c r="E156" s="55"/>
      <c r="F156" s="6"/>
      <c r="G156" s="6"/>
      <c r="H156" s="6"/>
      <c r="I156" s="6"/>
      <c r="J156" s="6"/>
      <c r="K156" s="6"/>
      <c r="L156" s="6">
        <v>1</v>
      </c>
      <c r="M156" s="6"/>
      <c r="N156" s="6"/>
      <c r="O156" s="6"/>
      <c r="P156" s="6"/>
      <c r="Q156" s="6"/>
      <c r="R156" s="6"/>
      <c r="S156" s="6"/>
      <c r="T156" s="6"/>
      <c r="U156" s="6">
        <v>1</v>
      </c>
      <c r="V156" s="6"/>
      <c r="W156" s="6"/>
      <c r="X156" s="6"/>
      <c r="Y156" s="6"/>
      <c r="Z156" s="6"/>
      <c r="AA156" s="6"/>
      <c r="AB156" s="5">
        <f t="shared" si="44"/>
        <v>2</v>
      </c>
      <c r="AC156" s="20"/>
      <c r="AD156" s="20"/>
    </row>
    <row r="157" spans="1:30" x14ac:dyDescent="0.4">
      <c r="A157" s="7"/>
      <c r="B157" s="56"/>
      <c r="C157" s="24" t="s">
        <v>189</v>
      </c>
      <c r="D157" s="57"/>
      <c r="E157" s="5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5">
        <f t="shared" si="44"/>
        <v>0</v>
      </c>
      <c r="AC157" s="20"/>
      <c r="AD157" s="20"/>
    </row>
    <row r="158" spans="1:30" x14ac:dyDescent="0.4">
      <c r="A158" s="7"/>
      <c r="B158" s="56"/>
      <c r="C158" s="24" t="s">
        <v>190</v>
      </c>
      <c r="D158" s="57"/>
      <c r="E158" s="5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5">
        <f t="shared" si="44"/>
        <v>0</v>
      </c>
      <c r="AC158" s="20"/>
      <c r="AD158" s="20"/>
    </row>
    <row r="159" spans="1:30" x14ac:dyDescent="0.4">
      <c r="A159" s="7"/>
      <c r="B159" s="56"/>
      <c r="C159" s="24" t="s">
        <v>191</v>
      </c>
      <c r="D159" s="57"/>
      <c r="E159" s="5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5">
        <f t="shared" si="44"/>
        <v>0</v>
      </c>
      <c r="AC159" s="20"/>
      <c r="AD159" s="20"/>
    </row>
    <row r="160" spans="1:30" x14ac:dyDescent="0.4">
      <c r="A160" s="7"/>
      <c r="B160" s="56"/>
      <c r="C160" s="24" t="s">
        <v>192</v>
      </c>
      <c r="D160" s="57"/>
      <c r="E160" s="55"/>
      <c r="F160" s="6"/>
      <c r="G160" s="6"/>
      <c r="H160" s="6"/>
      <c r="I160" s="6"/>
      <c r="J160" s="6">
        <v>2</v>
      </c>
      <c r="K160" s="6"/>
      <c r="L160" s="6"/>
      <c r="M160" s="6"/>
      <c r="N160" s="6"/>
      <c r="O160" s="6"/>
      <c r="P160" s="6">
        <v>1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5">
        <f t="shared" si="44"/>
        <v>3</v>
      </c>
      <c r="AC160" s="20"/>
      <c r="AD160" s="20"/>
    </row>
    <row r="161" spans="1:30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5">
        <f t="shared" si="44"/>
        <v>0</v>
      </c>
      <c r="AC161" s="20"/>
      <c r="AD161" s="20"/>
    </row>
    <row r="162" spans="1:30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5">
        <f t="shared" si="44"/>
        <v>0</v>
      </c>
      <c r="AC162" s="20"/>
      <c r="AD162" s="20"/>
    </row>
    <row r="163" spans="1:30" x14ac:dyDescent="0.4">
      <c r="A163" s="6" t="s">
        <v>26</v>
      </c>
      <c r="B163" s="80" t="s">
        <v>51</v>
      </c>
      <c r="C163" s="81"/>
      <c r="D163" s="82"/>
      <c r="E163" s="5">
        <f t="shared" ref="E163:AB163" si="45">SUM(E153:E162)</f>
        <v>0</v>
      </c>
      <c r="F163" s="5">
        <f t="shared" si="45"/>
        <v>1</v>
      </c>
      <c r="G163" s="5">
        <f t="shared" si="45"/>
        <v>0</v>
      </c>
      <c r="H163" s="5">
        <f t="shared" si="45"/>
        <v>0</v>
      </c>
      <c r="I163" s="5">
        <f t="shared" si="45"/>
        <v>2</v>
      </c>
      <c r="J163" s="5">
        <f t="shared" si="45"/>
        <v>3</v>
      </c>
      <c r="K163" s="5">
        <f t="shared" si="45"/>
        <v>1</v>
      </c>
      <c r="L163" s="5">
        <f t="shared" si="45"/>
        <v>3</v>
      </c>
      <c r="M163" s="5">
        <f t="shared" si="45"/>
        <v>1</v>
      </c>
      <c r="N163" s="5">
        <f t="shared" si="45"/>
        <v>1</v>
      </c>
      <c r="O163" s="5">
        <f t="shared" si="45"/>
        <v>2</v>
      </c>
      <c r="P163" s="5">
        <f t="shared" si="45"/>
        <v>1</v>
      </c>
      <c r="Q163" s="5">
        <f t="shared" si="45"/>
        <v>2</v>
      </c>
      <c r="R163" s="5">
        <f t="shared" si="45"/>
        <v>0</v>
      </c>
      <c r="S163" s="5">
        <f t="shared" si="45"/>
        <v>0</v>
      </c>
      <c r="T163" s="5">
        <f t="shared" si="45"/>
        <v>0</v>
      </c>
      <c r="U163" s="5">
        <f t="shared" si="45"/>
        <v>2</v>
      </c>
      <c r="V163" s="5">
        <f t="shared" si="45"/>
        <v>0</v>
      </c>
      <c r="W163" s="5">
        <f t="shared" si="45"/>
        <v>0</v>
      </c>
      <c r="X163" s="5">
        <f t="shared" si="45"/>
        <v>0</v>
      </c>
      <c r="Y163" s="5">
        <f t="shared" si="45"/>
        <v>0</v>
      </c>
      <c r="Z163" s="5">
        <f t="shared" si="45"/>
        <v>0</v>
      </c>
      <c r="AA163" s="5">
        <f t="shared" si="45"/>
        <v>0</v>
      </c>
      <c r="AB163" s="5">
        <f t="shared" si="45"/>
        <v>19</v>
      </c>
      <c r="AC163" s="20"/>
      <c r="AD163" s="20"/>
    </row>
    <row r="164" spans="1:30" x14ac:dyDescent="0.4">
      <c r="A164" s="70"/>
      <c r="B164" s="71"/>
      <c r="C164" s="71"/>
      <c r="D164" s="71"/>
      <c r="E164" s="7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20"/>
      <c r="AD164" s="20"/>
    </row>
    <row r="165" spans="1:30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/>
      <c r="F165" s="6">
        <v>1</v>
      </c>
      <c r="G165" s="6"/>
      <c r="H165" s="6"/>
      <c r="I165" s="6"/>
      <c r="J165" s="6"/>
      <c r="K165" s="6"/>
      <c r="L165" s="6">
        <v>1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>
        <v>1</v>
      </c>
      <c r="X165" s="6"/>
      <c r="Y165" s="6"/>
      <c r="Z165" s="6"/>
      <c r="AA165" s="6"/>
      <c r="AB165" s="5">
        <f>SUM(E165:AA165)</f>
        <v>3</v>
      </c>
      <c r="AC165" s="1"/>
      <c r="AD165" s="1"/>
    </row>
    <row r="166" spans="1:30" x14ac:dyDescent="0.4">
      <c r="A166" s="11" t="s">
        <v>50</v>
      </c>
      <c r="B166" s="52"/>
      <c r="C166" s="24" t="s">
        <v>193</v>
      </c>
      <c r="D166" s="5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>
        <v>1</v>
      </c>
      <c r="S166" s="6"/>
      <c r="T166" s="6">
        <v>2</v>
      </c>
      <c r="U166" s="6">
        <v>1</v>
      </c>
      <c r="V166" s="6">
        <v>1</v>
      </c>
      <c r="W166" s="6"/>
      <c r="X166" s="6"/>
      <c r="Y166" s="6"/>
      <c r="Z166" s="6"/>
      <c r="AA166" s="6"/>
      <c r="AB166" s="5">
        <f>SUM(E166:AA166)</f>
        <v>5</v>
      </c>
      <c r="AC166" s="27"/>
      <c r="AD166" s="27"/>
    </row>
    <row r="167" spans="1:30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49"/>
      <c r="AC167" s="20"/>
      <c r="AD167" s="20"/>
    </row>
    <row r="168" spans="1:30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49"/>
      <c r="AC168" s="20"/>
      <c r="AD168" s="20"/>
    </row>
    <row r="169" spans="1:30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49"/>
      <c r="AC169" s="20"/>
      <c r="AD169" s="20"/>
    </row>
    <row r="170" spans="1:30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49"/>
      <c r="AC170" s="20"/>
      <c r="AD170" s="20"/>
    </row>
    <row r="171" spans="1:30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49"/>
      <c r="AC171" s="20"/>
      <c r="AD171" s="20"/>
    </row>
    <row r="172" spans="1:30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49"/>
      <c r="AC172" s="20"/>
      <c r="AD172" s="20"/>
    </row>
    <row r="173" spans="1:30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49"/>
      <c r="AC173" s="20"/>
      <c r="AD173" s="20"/>
    </row>
    <row r="174" spans="1:30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49"/>
      <c r="AC174" s="20"/>
      <c r="AD174" s="20"/>
    </row>
    <row r="175" spans="1:30" x14ac:dyDescent="0.4">
      <c r="A175" s="6" t="s">
        <v>26</v>
      </c>
      <c r="B175" s="67" t="s">
        <v>51</v>
      </c>
      <c r="C175" s="68"/>
      <c r="D175" s="69"/>
      <c r="E175" s="5">
        <f t="shared" ref="E175:AB175" si="46">SUM(E165:E174)</f>
        <v>0</v>
      </c>
      <c r="F175" s="5">
        <f t="shared" si="46"/>
        <v>1</v>
      </c>
      <c r="G175" s="5">
        <f t="shared" si="46"/>
        <v>0</v>
      </c>
      <c r="H175" s="5">
        <f t="shared" si="46"/>
        <v>0</v>
      </c>
      <c r="I175" s="5">
        <f t="shared" si="46"/>
        <v>0</v>
      </c>
      <c r="J175" s="5">
        <f t="shared" si="46"/>
        <v>0</v>
      </c>
      <c r="K175" s="5">
        <f t="shared" si="46"/>
        <v>0</v>
      </c>
      <c r="L175" s="5">
        <f t="shared" si="46"/>
        <v>1</v>
      </c>
      <c r="M175" s="5">
        <f t="shared" si="46"/>
        <v>0</v>
      </c>
      <c r="N175" s="5">
        <f t="shared" si="46"/>
        <v>0</v>
      </c>
      <c r="O175" s="5">
        <f t="shared" si="46"/>
        <v>0</v>
      </c>
      <c r="P175" s="5">
        <f t="shared" si="46"/>
        <v>0</v>
      </c>
      <c r="Q175" s="5">
        <f t="shared" si="46"/>
        <v>0</v>
      </c>
      <c r="R175" s="5">
        <f t="shared" si="46"/>
        <v>1</v>
      </c>
      <c r="S175" s="5">
        <f t="shared" si="46"/>
        <v>0</v>
      </c>
      <c r="T175" s="5">
        <f t="shared" si="46"/>
        <v>2</v>
      </c>
      <c r="U175" s="5">
        <f t="shared" si="46"/>
        <v>1</v>
      </c>
      <c r="V175" s="5">
        <f t="shared" si="46"/>
        <v>1</v>
      </c>
      <c r="W175" s="5">
        <f t="shared" si="46"/>
        <v>1</v>
      </c>
      <c r="X175" s="5">
        <f t="shared" si="46"/>
        <v>0</v>
      </c>
      <c r="Y175" s="5">
        <f t="shared" si="46"/>
        <v>0</v>
      </c>
      <c r="Z175" s="5">
        <f t="shared" si="46"/>
        <v>0</v>
      </c>
      <c r="AA175" s="5">
        <f t="shared" si="46"/>
        <v>0</v>
      </c>
      <c r="AB175" s="5">
        <f t="shared" si="46"/>
        <v>8</v>
      </c>
      <c r="AC175" s="20"/>
      <c r="AD175" s="20"/>
    </row>
    <row r="176" spans="1:30" ht="13.15" customHeight="1" x14ac:dyDescent="0.4">
      <c r="A176" s="70"/>
      <c r="B176" s="71"/>
      <c r="C176" s="71"/>
      <c r="D176" s="71"/>
      <c r="E176" s="7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"/>
      <c r="AD176" s="1"/>
    </row>
    <row r="177" spans="1:30" x14ac:dyDescent="0.4">
      <c r="A177" s="11" t="s">
        <v>48</v>
      </c>
      <c r="B177" s="17" t="s">
        <v>69</v>
      </c>
      <c r="C177" s="73" t="s">
        <v>70</v>
      </c>
      <c r="D177" s="74"/>
      <c r="E177" s="6"/>
      <c r="F177" s="6">
        <v>2</v>
      </c>
      <c r="G177" s="6"/>
      <c r="H177" s="6"/>
      <c r="I177" s="6"/>
      <c r="J177" s="6"/>
      <c r="K177" s="6">
        <v>1</v>
      </c>
      <c r="L177" s="6"/>
      <c r="M177" s="6">
        <v>3</v>
      </c>
      <c r="N177" s="6"/>
      <c r="O177" s="6"/>
      <c r="P177" s="6"/>
      <c r="Q177" s="6">
        <v>1</v>
      </c>
      <c r="R177" s="6"/>
      <c r="S177" s="6"/>
      <c r="T177" s="6"/>
      <c r="U177" s="6"/>
      <c r="V177" s="6"/>
      <c r="W177" s="6"/>
      <c r="X177" s="6"/>
      <c r="Y177" s="6">
        <v>1</v>
      </c>
      <c r="Z177" s="6"/>
      <c r="AA177" s="6"/>
      <c r="AB177" s="5">
        <f t="shared" ref="AB177:AB187" si="47">SUM(E177:AA177)</f>
        <v>8</v>
      </c>
    </row>
    <row r="178" spans="1:30" x14ac:dyDescent="0.4">
      <c r="A178" s="11" t="s">
        <v>50</v>
      </c>
      <c r="B178" s="52"/>
      <c r="C178" s="24" t="s">
        <v>194</v>
      </c>
      <c r="D178" s="50"/>
      <c r="E178" s="6"/>
      <c r="F178" s="6">
        <v>1</v>
      </c>
      <c r="G178" s="6"/>
      <c r="H178" s="6"/>
      <c r="I178" s="6"/>
      <c r="J178" s="6"/>
      <c r="K178" s="6"/>
      <c r="L178" s="6"/>
      <c r="M178" s="6">
        <v>1</v>
      </c>
      <c r="N178" s="6">
        <v>1</v>
      </c>
      <c r="O178" s="6">
        <v>2</v>
      </c>
      <c r="P178" s="6"/>
      <c r="Q178" s="6">
        <v>1</v>
      </c>
      <c r="R178" s="6">
        <v>1</v>
      </c>
      <c r="S178" s="6">
        <v>1</v>
      </c>
      <c r="T178" s="6">
        <v>1</v>
      </c>
      <c r="U178" s="6"/>
      <c r="V178" s="6"/>
      <c r="W178" s="6"/>
      <c r="X178" s="6">
        <v>1</v>
      </c>
      <c r="Y178" s="6"/>
      <c r="Z178" s="6"/>
      <c r="AA178" s="6">
        <v>1</v>
      </c>
      <c r="AB178" s="5">
        <f t="shared" si="47"/>
        <v>11</v>
      </c>
      <c r="AC178" s="20"/>
      <c r="AD178" s="20"/>
    </row>
    <row r="179" spans="1:30" x14ac:dyDescent="0.4">
      <c r="A179" s="7"/>
      <c r="B179" s="52"/>
      <c r="C179" s="24" t="s">
        <v>195</v>
      </c>
      <c r="D179" s="50"/>
      <c r="E179" s="6"/>
      <c r="F179" s="6"/>
      <c r="G179" s="6"/>
      <c r="H179" s="6"/>
      <c r="I179" s="6"/>
      <c r="J179" s="6"/>
      <c r="K179" s="6"/>
      <c r="L179" s="6"/>
      <c r="M179" s="6"/>
      <c r="N179" s="6">
        <v>1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5">
        <f t="shared" si="47"/>
        <v>1</v>
      </c>
      <c r="AC179" s="20"/>
      <c r="AD179" s="20"/>
    </row>
    <row r="180" spans="1:30" x14ac:dyDescent="0.4">
      <c r="A180" s="7"/>
      <c r="B180" s="52"/>
      <c r="C180" s="24" t="s">
        <v>196</v>
      </c>
      <c r="D180" s="5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>
        <v>2</v>
      </c>
      <c r="U180" s="6">
        <v>1</v>
      </c>
      <c r="V180" s="6">
        <v>2</v>
      </c>
      <c r="W180" s="6"/>
      <c r="X180" s="6">
        <v>1</v>
      </c>
      <c r="Y180" s="6"/>
      <c r="Z180" s="6"/>
      <c r="AA180" s="6"/>
      <c r="AB180" s="5">
        <f t="shared" si="47"/>
        <v>6</v>
      </c>
      <c r="AC180" s="20"/>
      <c r="AD180" s="20"/>
    </row>
    <row r="181" spans="1:30" x14ac:dyDescent="0.4">
      <c r="A181" s="7"/>
      <c r="B181" s="52"/>
      <c r="C181" s="24" t="s">
        <v>197</v>
      </c>
      <c r="D181" s="5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>
        <v>1</v>
      </c>
      <c r="R181" s="6"/>
      <c r="S181" s="6"/>
      <c r="T181" s="6"/>
      <c r="U181" s="6"/>
      <c r="V181" s="6"/>
      <c r="W181" s="6"/>
      <c r="X181" s="6">
        <v>1</v>
      </c>
      <c r="Y181" s="6"/>
      <c r="Z181" s="6"/>
      <c r="AA181" s="6"/>
      <c r="AB181" s="5">
        <f t="shared" si="47"/>
        <v>2</v>
      </c>
      <c r="AC181" s="20"/>
      <c r="AD181" s="20"/>
    </row>
    <row r="182" spans="1:30" x14ac:dyDescent="0.4">
      <c r="A182" s="7"/>
      <c r="B182" s="52"/>
      <c r="C182" s="24" t="s">
        <v>198</v>
      </c>
      <c r="D182" s="50"/>
      <c r="E182" s="6"/>
      <c r="F182" s="6">
        <v>1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>
        <v>1</v>
      </c>
      <c r="V182" s="6"/>
      <c r="W182" s="6"/>
      <c r="X182" s="6"/>
      <c r="Y182" s="6"/>
      <c r="Z182" s="6"/>
      <c r="AA182" s="6"/>
      <c r="AB182" s="5">
        <f t="shared" si="47"/>
        <v>2</v>
      </c>
      <c r="AC182" s="20"/>
      <c r="AD182" s="20"/>
    </row>
    <row r="183" spans="1:30" x14ac:dyDescent="0.4">
      <c r="A183" s="7"/>
      <c r="B183" s="52"/>
      <c r="C183" s="24" t="s">
        <v>199</v>
      </c>
      <c r="D183" s="5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5">
        <f t="shared" si="47"/>
        <v>0</v>
      </c>
      <c r="AC183" s="20"/>
      <c r="AD183" s="20"/>
    </row>
    <row r="184" spans="1:30" x14ac:dyDescent="0.4">
      <c r="A184" s="7"/>
      <c r="B184" s="52"/>
      <c r="C184" s="24" t="s">
        <v>200</v>
      </c>
      <c r="D184" s="5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5">
        <f t="shared" si="47"/>
        <v>0</v>
      </c>
      <c r="AC184" s="20"/>
      <c r="AD184" s="20"/>
    </row>
    <row r="185" spans="1:30" x14ac:dyDescent="0.4">
      <c r="A185" s="7"/>
      <c r="B185" s="52"/>
      <c r="C185" s="24" t="s">
        <v>201</v>
      </c>
      <c r="D185" s="5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5">
        <f t="shared" si="47"/>
        <v>0</v>
      </c>
      <c r="AC185" s="20"/>
      <c r="AD185" s="20"/>
    </row>
    <row r="186" spans="1:30" x14ac:dyDescent="0.4">
      <c r="A186" s="7"/>
      <c r="B186" s="52"/>
      <c r="C186" s="24" t="s">
        <v>202</v>
      </c>
      <c r="D186" s="5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5">
        <f t="shared" si="47"/>
        <v>0</v>
      </c>
      <c r="AC186" s="20"/>
      <c r="AD186" s="20"/>
    </row>
    <row r="187" spans="1:30" ht="13.15" customHeight="1" x14ac:dyDescent="0.4">
      <c r="A187" s="6" t="s">
        <v>26</v>
      </c>
      <c r="B187" s="67" t="s">
        <v>51</v>
      </c>
      <c r="C187" s="68"/>
      <c r="D187" s="69"/>
      <c r="E187" s="5">
        <f t="shared" ref="E187:AB187" si="48">SUM(E177:E186)</f>
        <v>0</v>
      </c>
      <c r="F187" s="5">
        <f t="shared" si="48"/>
        <v>4</v>
      </c>
      <c r="G187" s="5">
        <f t="shared" si="48"/>
        <v>0</v>
      </c>
      <c r="H187" s="5">
        <f t="shared" si="48"/>
        <v>0</v>
      </c>
      <c r="I187" s="5">
        <f t="shared" si="48"/>
        <v>0</v>
      </c>
      <c r="J187" s="5">
        <f t="shared" si="48"/>
        <v>0</v>
      </c>
      <c r="K187" s="5">
        <f t="shared" si="48"/>
        <v>1</v>
      </c>
      <c r="L187" s="5">
        <f t="shared" si="48"/>
        <v>0</v>
      </c>
      <c r="M187" s="5">
        <f t="shared" si="48"/>
        <v>4</v>
      </c>
      <c r="N187" s="5">
        <f t="shared" si="48"/>
        <v>2</v>
      </c>
      <c r="O187" s="5">
        <f t="shared" si="48"/>
        <v>2</v>
      </c>
      <c r="P187" s="5">
        <f t="shared" si="48"/>
        <v>0</v>
      </c>
      <c r="Q187" s="5">
        <f t="shared" si="48"/>
        <v>3</v>
      </c>
      <c r="R187" s="5">
        <f t="shared" si="48"/>
        <v>1</v>
      </c>
      <c r="S187" s="5">
        <f t="shared" si="48"/>
        <v>1</v>
      </c>
      <c r="T187" s="5">
        <f t="shared" si="48"/>
        <v>3</v>
      </c>
      <c r="U187" s="5">
        <f t="shared" si="48"/>
        <v>2</v>
      </c>
      <c r="V187" s="5">
        <f t="shared" si="48"/>
        <v>2</v>
      </c>
      <c r="W187" s="5">
        <f t="shared" si="48"/>
        <v>0</v>
      </c>
      <c r="X187" s="5">
        <f t="shared" si="48"/>
        <v>3</v>
      </c>
      <c r="Y187" s="5">
        <f t="shared" si="48"/>
        <v>1</v>
      </c>
      <c r="Z187" s="5">
        <f t="shared" si="48"/>
        <v>0</v>
      </c>
      <c r="AA187" s="5">
        <f t="shared" si="48"/>
        <v>1</v>
      </c>
      <c r="AB187" s="5">
        <f t="shared" si="48"/>
        <v>30</v>
      </c>
      <c r="AC187" s="1"/>
      <c r="AD187" s="1"/>
    </row>
    <row r="188" spans="1:30" x14ac:dyDescent="0.4">
      <c r="A188" s="70"/>
      <c r="B188" s="71"/>
      <c r="C188" s="71"/>
      <c r="D188" s="71"/>
      <c r="E188" s="7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5"/>
    </row>
    <row r="189" spans="1:30" x14ac:dyDescent="0.4">
      <c r="A189" s="11" t="s">
        <v>48</v>
      </c>
      <c r="B189" s="17" t="s">
        <v>71</v>
      </c>
      <c r="C189" s="73" t="s">
        <v>72</v>
      </c>
      <c r="D189" s="7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>
        <v>1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5">
        <f t="shared" ref="AB189:AB199" si="49">SUM(E189:AA189)</f>
        <v>1</v>
      </c>
      <c r="AC189" s="20"/>
      <c r="AD189" s="20"/>
    </row>
    <row r="190" spans="1:30" x14ac:dyDescent="0.4">
      <c r="A190" s="11" t="s">
        <v>50</v>
      </c>
      <c r="B190" s="52"/>
      <c r="C190" s="24" t="s">
        <v>203</v>
      </c>
      <c r="D190" s="5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>
        <v>1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5">
        <f t="shared" si="49"/>
        <v>1</v>
      </c>
      <c r="AC190" s="20"/>
      <c r="AD190" s="20"/>
    </row>
    <row r="191" spans="1:30" x14ac:dyDescent="0.4">
      <c r="A191" s="7"/>
      <c r="B191" s="52"/>
      <c r="C191" s="24" t="s">
        <v>204</v>
      </c>
      <c r="D191" s="5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>
        <v>1</v>
      </c>
      <c r="V191" s="6"/>
      <c r="W191" s="6"/>
      <c r="X191" s="6"/>
      <c r="Y191" s="6"/>
      <c r="Z191" s="6"/>
      <c r="AA191" s="6"/>
      <c r="AB191" s="5">
        <f t="shared" si="49"/>
        <v>1</v>
      </c>
      <c r="AC191" s="20"/>
      <c r="AD191" s="20"/>
    </row>
    <row r="192" spans="1:30" x14ac:dyDescent="0.4">
      <c r="A192" s="7"/>
      <c r="B192" s="52"/>
      <c r="C192" s="24" t="s">
        <v>205</v>
      </c>
      <c r="D192" s="5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5">
        <f t="shared" si="49"/>
        <v>0</v>
      </c>
      <c r="AC192" s="20"/>
      <c r="AD192" s="20"/>
    </row>
    <row r="193" spans="1:30" x14ac:dyDescent="0.4">
      <c r="A193" s="7"/>
      <c r="B193" s="52"/>
      <c r="C193" s="24" t="s">
        <v>206</v>
      </c>
      <c r="D193" s="5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5">
        <f t="shared" si="49"/>
        <v>0</v>
      </c>
      <c r="AC193" s="20"/>
      <c r="AD193" s="20"/>
    </row>
    <row r="194" spans="1:30" x14ac:dyDescent="0.4">
      <c r="A194" s="7"/>
      <c r="B194" s="52"/>
      <c r="C194" s="24" t="s">
        <v>207</v>
      </c>
      <c r="D194" s="5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5">
        <f t="shared" si="49"/>
        <v>0</v>
      </c>
      <c r="AC194" s="20"/>
      <c r="AD194" s="20"/>
    </row>
    <row r="195" spans="1:30" x14ac:dyDescent="0.4">
      <c r="A195" s="7"/>
      <c r="B195" s="52"/>
      <c r="C195" s="24" t="s">
        <v>208</v>
      </c>
      <c r="D195" s="5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5">
        <f t="shared" si="49"/>
        <v>0</v>
      </c>
      <c r="AC195" s="20"/>
      <c r="AD195" s="20"/>
    </row>
    <row r="196" spans="1:30" ht="13.15" customHeight="1" x14ac:dyDescent="0.4">
      <c r="A196" s="7"/>
      <c r="B196" s="52"/>
      <c r="C196" s="24" t="s">
        <v>209</v>
      </c>
      <c r="D196" s="5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5">
        <f t="shared" si="49"/>
        <v>0</v>
      </c>
      <c r="AC196" s="1"/>
      <c r="AD196" s="1"/>
    </row>
    <row r="197" spans="1:30" ht="13.15" customHeight="1" x14ac:dyDescent="0.4">
      <c r="A197" s="7"/>
      <c r="B197" s="52"/>
      <c r="C197" s="24" t="s">
        <v>210</v>
      </c>
      <c r="D197" s="5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>
        <v>1</v>
      </c>
      <c r="Z197" s="6"/>
      <c r="AA197" s="6"/>
      <c r="AB197" s="5">
        <f t="shared" si="49"/>
        <v>1</v>
      </c>
      <c r="AC197" s="1"/>
      <c r="AD197" s="1"/>
    </row>
    <row r="198" spans="1:30" ht="13.15" customHeight="1" x14ac:dyDescent="0.4">
      <c r="A198" s="7"/>
      <c r="B198" s="52"/>
      <c r="C198" s="24" t="s">
        <v>211</v>
      </c>
      <c r="D198" s="5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5">
        <f t="shared" si="49"/>
        <v>0</v>
      </c>
      <c r="AC198" s="1"/>
      <c r="AD198" s="1"/>
    </row>
    <row r="199" spans="1:30" x14ac:dyDescent="0.4">
      <c r="A199" s="6" t="s">
        <v>26</v>
      </c>
      <c r="B199" s="67" t="s">
        <v>51</v>
      </c>
      <c r="C199" s="68"/>
      <c r="D199" s="69"/>
      <c r="E199" s="5">
        <f t="shared" ref="E199:AB199" si="50">SUM(E189:E198)</f>
        <v>0</v>
      </c>
      <c r="F199" s="5">
        <f t="shared" si="50"/>
        <v>0</v>
      </c>
      <c r="G199" s="5">
        <f t="shared" si="50"/>
        <v>0</v>
      </c>
      <c r="H199" s="5">
        <f t="shared" si="50"/>
        <v>0</v>
      </c>
      <c r="I199" s="5">
        <f t="shared" si="50"/>
        <v>0</v>
      </c>
      <c r="J199" s="5">
        <f t="shared" si="50"/>
        <v>0</v>
      </c>
      <c r="K199" s="5">
        <f t="shared" si="50"/>
        <v>0</v>
      </c>
      <c r="L199" s="5">
        <f t="shared" si="50"/>
        <v>0</v>
      </c>
      <c r="M199" s="5">
        <f t="shared" si="50"/>
        <v>0</v>
      </c>
      <c r="N199" s="5">
        <f t="shared" si="50"/>
        <v>0</v>
      </c>
      <c r="O199" s="5">
        <f t="shared" si="50"/>
        <v>1</v>
      </c>
      <c r="P199" s="5">
        <f t="shared" si="50"/>
        <v>1</v>
      </c>
      <c r="Q199" s="5">
        <f t="shared" si="50"/>
        <v>0</v>
      </c>
      <c r="R199" s="5">
        <f t="shared" si="50"/>
        <v>0</v>
      </c>
      <c r="S199" s="5">
        <f t="shared" si="50"/>
        <v>0</v>
      </c>
      <c r="T199" s="5">
        <f t="shared" si="50"/>
        <v>0</v>
      </c>
      <c r="U199" s="5">
        <f t="shared" si="50"/>
        <v>1</v>
      </c>
      <c r="V199" s="5">
        <f t="shared" si="50"/>
        <v>0</v>
      </c>
      <c r="W199" s="5">
        <f t="shared" si="50"/>
        <v>0</v>
      </c>
      <c r="X199" s="5">
        <f t="shared" si="50"/>
        <v>0</v>
      </c>
      <c r="Y199" s="5">
        <f t="shared" si="50"/>
        <v>1</v>
      </c>
      <c r="Z199" s="5">
        <f t="shared" si="50"/>
        <v>0</v>
      </c>
      <c r="AA199" s="5">
        <f t="shared" si="50"/>
        <v>0</v>
      </c>
      <c r="AB199" s="5">
        <f t="shared" si="50"/>
        <v>4</v>
      </c>
      <c r="AC199" s="27"/>
      <c r="AD199" s="27"/>
    </row>
    <row r="200" spans="1:30" x14ac:dyDescent="0.4">
      <c r="A200" s="70"/>
      <c r="B200" s="71"/>
      <c r="C200" s="71"/>
      <c r="D200" s="71"/>
      <c r="E200" s="7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20"/>
      <c r="AD200" s="20"/>
    </row>
    <row r="201" spans="1:30" x14ac:dyDescent="0.4">
      <c r="A201" s="11" t="s">
        <v>48</v>
      </c>
      <c r="B201" s="17" t="s">
        <v>73</v>
      </c>
      <c r="C201" s="73" t="s">
        <v>74</v>
      </c>
      <c r="D201" s="74"/>
      <c r="E201" s="6">
        <v>1</v>
      </c>
      <c r="F201" s="6">
        <v>1</v>
      </c>
      <c r="G201" s="6">
        <v>0</v>
      </c>
      <c r="H201" s="6">
        <v>3</v>
      </c>
      <c r="I201" s="6">
        <v>5</v>
      </c>
      <c r="J201" s="6">
        <v>5</v>
      </c>
      <c r="K201" s="6">
        <v>0</v>
      </c>
      <c r="L201" s="6">
        <v>1</v>
      </c>
      <c r="M201" s="6">
        <v>4</v>
      </c>
      <c r="N201" s="6">
        <v>0</v>
      </c>
      <c r="O201" s="6">
        <v>0</v>
      </c>
      <c r="P201" s="6">
        <v>0</v>
      </c>
      <c r="Q201" s="6">
        <v>1</v>
      </c>
      <c r="R201" s="6">
        <v>6</v>
      </c>
      <c r="S201" s="6">
        <v>2</v>
      </c>
      <c r="T201" s="6">
        <v>3</v>
      </c>
      <c r="U201" s="6">
        <v>5</v>
      </c>
      <c r="V201" s="6">
        <v>2</v>
      </c>
      <c r="W201" s="6">
        <v>8</v>
      </c>
      <c r="X201" s="6">
        <v>1</v>
      </c>
      <c r="Y201" s="6">
        <v>2</v>
      </c>
      <c r="Z201" s="6">
        <v>3</v>
      </c>
      <c r="AA201" s="6">
        <v>1</v>
      </c>
      <c r="AB201" s="5">
        <f t="shared" ref="AB201:AB211" si="51">SUM(E201:AA201)</f>
        <v>54</v>
      </c>
      <c r="AC201" s="20"/>
      <c r="AD201" s="20"/>
    </row>
    <row r="202" spans="1:30" x14ac:dyDescent="0.4">
      <c r="A202" s="11" t="s">
        <v>50</v>
      </c>
      <c r="B202" s="52"/>
      <c r="C202" s="24" t="s">
        <v>212</v>
      </c>
      <c r="D202" s="50"/>
      <c r="E202" s="6">
        <v>36</v>
      </c>
      <c r="F202" s="6">
        <v>36</v>
      </c>
      <c r="G202" s="6">
        <v>2</v>
      </c>
      <c r="H202" s="6">
        <v>4</v>
      </c>
      <c r="I202" s="6">
        <v>61</v>
      </c>
      <c r="J202" s="6">
        <v>52</v>
      </c>
      <c r="K202" s="6">
        <v>6</v>
      </c>
      <c r="L202" s="6">
        <v>1</v>
      </c>
      <c r="M202" s="6">
        <v>0</v>
      </c>
      <c r="N202" s="6">
        <v>1</v>
      </c>
      <c r="O202" s="6">
        <v>2</v>
      </c>
      <c r="P202" s="6">
        <v>0</v>
      </c>
      <c r="Q202" s="6">
        <v>8</v>
      </c>
      <c r="R202" s="6">
        <v>19</v>
      </c>
      <c r="S202" s="6">
        <v>6</v>
      </c>
      <c r="T202" s="6">
        <v>3</v>
      </c>
      <c r="U202" s="6">
        <v>10</v>
      </c>
      <c r="V202" s="6">
        <v>7</v>
      </c>
      <c r="W202" s="6">
        <v>13</v>
      </c>
      <c r="X202" s="6">
        <v>7</v>
      </c>
      <c r="Y202" s="6">
        <v>6</v>
      </c>
      <c r="Z202" s="6">
        <v>10</v>
      </c>
      <c r="AA202" s="6">
        <v>3</v>
      </c>
      <c r="AB202" s="5">
        <f t="shared" si="51"/>
        <v>293</v>
      </c>
      <c r="AC202" s="20"/>
      <c r="AD202" s="20"/>
    </row>
    <row r="203" spans="1:30" x14ac:dyDescent="0.4">
      <c r="A203" s="7"/>
      <c r="B203" s="52"/>
      <c r="C203" s="24" t="s">
        <v>213</v>
      </c>
      <c r="D203" s="50"/>
      <c r="E203" s="6">
        <v>0</v>
      </c>
      <c r="F203" s="6">
        <v>0</v>
      </c>
      <c r="G203" s="6">
        <v>0</v>
      </c>
      <c r="H203" s="6">
        <v>0</v>
      </c>
      <c r="I203" s="6">
        <v>1</v>
      </c>
      <c r="J203" s="6">
        <v>0</v>
      </c>
      <c r="K203" s="6">
        <v>0</v>
      </c>
      <c r="L203" s="6">
        <v>0</v>
      </c>
      <c r="M203" s="6">
        <v>0</v>
      </c>
      <c r="N203" s="6">
        <v>1</v>
      </c>
      <c r="O203" s="6">
        <v>0</v>
      </c>
      <c r="P203" s="6">
        <v>0</v>
      </c>
      <c r="Q203" s="6">
        <v>1</v>
      </c>
      <c r="R203" s="6">
        <v>0</v>
      </c>
      <c r="S203" s="6">
        <v>2</v>
      </c>
      <c r="T203" s="6">
        <v>6</v>
      </c>
      <c r="U203" s="6">
        <v>2</v>
      </c>
      <c r="V203" s="6">
        <v>1</v>
      </c>
      <c r="W203" s="6">
        <v>5</v>
      </c>
      <c r="X203" s="6">
        <v>0</v>
      </c>
      <c r="Y203" s="6">
        <v>2</v>
      </c>
      <c r="Z203" s="6">
        <v>7</v>
      </c>
      <c r="AA203" s="6">
        <v>2</v>
      </c>
      <c r="AB203" s="5">
        <f t="shared" si="51"/>
        <v>30</v>
      </c>
      <c r="AC203" s="20"/>
      <c r="AD203" s="20"/>
    </row>
    <row r="204" spans="1:30" x14ac:dyDescent="0.4">
      <c r="A204" s="7"/>
      <c r="B204" s="52"/>
      <c r="C204" s="24" t="s">
        <v>214</v>
      </c>
      <c r="D204" s="50"/>
      <c r="E204" s="6">
        <v>0</v>
      </c>
      <c r="F204" s="6">
        <v>1</v>
      </c>
      <c r="G204" s="6">
        <v>1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1</v>
      </c>
      <c r="R204" s="6">
        <v>0</v>
      </c>
      <c r="S204" s="6">
        <v>0</v>
      </c>
      <c r="T204" s="6">
        <v>2</v>
      </c>
      <c r="U204" s="6">
        <v>1</v>
      </c>
      <c r="V204" s="6">
        <v>1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5">
        <f t="shared" si="51"/>
        <v>7</v>
      </c>
      <c r="AC204" s="20"/>
      <c r="AD204" s="20"/>
    </row>
    <row r="205" spans="1:30" x14ac:dyDescent="0.4">
      <c r="A205" s="7"/>
      <c r="B205" s="52"/>
      <c r="C205" s="24" t="s">
        <v>215</v>
      </c>
      <c r="D205" s="50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5">
        <f t="shared" si="51"/>
        <v>0</v>
      </c>
      <c r="AC205" s="20"/>
      <c r="AD205" s="20"/>
    </row>
    <row r="206" spans="1:30" x14ac:dyDescent="0.4">
      <c r="A206" s="7"/>
      <c r="B206" s="52"/>
      <c r="C206" s="24" t="s">
        <v>216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1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5">
        <f t="shared" si="51"/>
        <v>1</v>
      </c>
      <c r="AC206" s="20"/>
      <c r="AD206" s="20"/>
    </row>
    <row r="207" spans="1:30" ht="13.15" customHeight="1" x14ac:dyDescent="0.4">
      <c r="A207" s="7"/>
      <c r="B207" s="52"/>
      <c r="C207" s="24" t="s">
        <v>217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5">
        <f t="shared" si="51"/>
        <v>1</v>
      </c>
      <c r="AC207" s="1"/>
      <c r="AD207" s="1"/>
    </row>
    <row r="208" spans="1:30" x14ac:dyDescent="0.4">
      <c r="A208" s="7"/>
      <c r="B208" s="52"/>
      <c r="C208" s="24" t="s">
        <v>218</v>
      </c>
      <c r="D208" s="50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1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5">
        <f t="shared" si="51"/>
        <v>1</v>
      </c>
      <c r="AC208" s="27"/>
      <c r="AD208" s="27"/>
    </row>
    <row r="209" spans="1:30" x14ac:dyDescent="0.4">
      <c r="A209" s="7"/>
      <c r="B209" s="52"/>
      <c r="C209" s="24" t="s">
        <v>219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5">
        <f t="shared" si="51"/>
        <v>0</v>
      </c>
      <c r="AC209" s="27"/>
      <c r="AD209" s="27"/>
    </row>
    <row r="210" spans="1:30" x14ac:dyDescent="0.4">
      <c r="A210" s="7"/>
      <c r="B210" s="52"/>
      <c r="C210" s="24" t="s">
        <v>220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1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5">
        <f t="shared" si="51"/>
        <v>4</v>
      </c>
      <c r="AC210" s="27"/>
      <c r="AD210" s="27"/>
    </row>
    <row r="211" spans="1:30" x14ac:dyDescent="0.4">
      <c r="A211" s="6" t="s">
        <v>26</v>
      </c>
      <c r="B211" s="67" t="s">
        <v>51</v>
      </c>
      <c r="C211" s="68"/>
      <c r="D211" s="69"/>
      <c r="E211" s="5">
        <f t="shared" ref="E211:AB211" si="52">SUM(E201:E210)</f>
        <v>37</v>
      </c>
      <c r="F211" s="5">
        <f t="shared" si="52"/>
        <v>38</v>
      </c>
      <c r="G211" s="5">
        <f t="shared" si="52"/>
        <v>3</v>
      </c>
      <c r="H211" s="5">
        <f t="shared" si="52"/>
        <v>7</v>
      </c>
      <c r="I211" s="5">
        <f t="shared" si="52"/>
        <v>67</v>
      </c>
      <c r="J211" s="5">
        <f t="shared" si="52"/>
        <v>57</v>
      </c>
      <c r="K211" s="5">
        <f t="shared" si="52"/>
        <v>7</v>
      </c>
      <c r="L211" s="5">
        <f t="shared" si="52"/>
        <v>3</v>
      </c>
      <c r="M211" s="5">
        <f t="shared" si="52"/>
        <v>5</v>
      </c>
      <c r="N211" s="5">
        <f t="shared" si="52"/>
        <v>3</v>
      </c>
      <c r="O211" s="5">
        <f t="shared" si="52"/>
        <v>2</v>
      </c>
      <c r="P211" s="5">
        <f t="shared" si="52"/>
        <v>0</v>
      </c>
      <c r="Q211" s="5">
        <f t="shared" si="52"/>
        <v>11</v>
      </c>
      <c r="R211" s="5">
        <f t="shared" si="52"/>
        <v>26</v>
      </c>
      <c r="S211" s="5">
        <f t="shared" si="52"/>
        <v>11</v>
      </c>
      <c r="T211" s="5">
        <f t="shared" si="52"/>
        <v>14</v>
      </c>
      <c r="U211" s="5">
        <f t="shared" si="52"/>
        <v>18</v>
      </c>
      <c r="V211" s="5">
        <f t="shared" si="52"/>
        <v>12</v>
      </c>
      <c r="W211" s="5">
        <f t="shared" si="52"/>
        <v>26</v>
      </c>
      <c r="X211" s="5">
        <f t="shared" si="52"/>
        <v>8</v>
      </c>
      <c r="Y211" s="5">
        <f t="shared" si="52"/>
        <v>10</v>
      </c>
      <c r="Z211" s="5">
        <f t="shared" si="52"/>
        <v>20</v>
      </c>
      <c r="AA211" s="5">
        <f t="shared" si="52"/>
        <v>6</v>
      </c>
      <c r="AB211" s="5">
        <f t="shared" si="52"/>
        <v>391</v>
      </c>
      <c r="AC211" s="20"/>
      <c r="AD211" s="20"/>
    </row>
    <row r="212" spans="1:30" x14ac:dyDescent="0.4">
      <c r="A212" s="70"/>
      <c r="B212" s="71"/>
      <c r="C212" s="71"/>
      <c r="D212" s="71"/>
      <c r="E212" s="7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20"/>
      <c r="AD212" s="20"/>
    </row>
    <row r="213" spans="1:30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1</v>
      </c>
      <c r="G213" s="6">
        <v>2</v>
      </c>
      <c r="H213" s="6">
        <v>1</v>
      </c>
      <c r="I213" s="6">
        <v>0</v>
      </c>
      <c r="J213" s="6">
        <v>1</v>
      </c>
      <c r="K213" s="6">
        <v>1</v>
      </c>
      <c r="L213" s="6">
        <v>0</v>
      </c>
      <c r="M213" s="6">
        <v>0</v>
      </c>
      <c r="N213" s="6">
        <v>0</v>
      </c>
      <c r="O213" s="6">
        <v>2</v>
      </c>
      <c r="P213" s="6">
        <v>4</v>
      </c>
      <c r="Q213" s="6">
        <v>0</v>
      </c>
      <c r="R213" s="6">
        <v>0</v>
      </c>
      <c r="S213" s="6">
        <v>2</v>
      </c>
      <c r="T213" s="6">
        <v>3</v>
      </c>
      <c r="U213" s="6">
        <v>2</v>
      </c>
      <c r="V213" s="6">
        <v>0</v>
      </c>
      <c r="W213" s="6">
        <v>1</v>
      </c>
      <c r="X213" s="6">
        <v>2</v>
      </c>
      <c r="Y213" s="6">
        <v>0</v>
      </c>
      <c r="Z213" s="6">
        <v>0</v>
      </c>
      <c r="AA213" s="6">
        <v>0</v>
      </c>
      <c r="AB213" s="5">
        <f>SUM(E213:AA213)</f>
        <v>22</v>
      </c>
      <c r="AC213" s="20"/>
      <c r="AD213" s="20"/>
    </row>
    <row r="214" spans="1:30" x14ac:dyDescent="0.4">
      <c r="A214" s="11" t="s">
        <v>50</v>
      </c>
      <c r="B214" s="52"/>
      <c r="C214" s="24" t="s">
        <v>221</v>
      </c>
      <c r="D214" s="53"/>
      <c r="E214" s="6">
        <v>1</v>
      </c>
      <c r="F214" s="6">
        <v>0</v>
      </c>
      <c r="G214" s="6">
        <v>1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1</v>
      </c>
      <c r="P214" s="6">
        <v>0</v>
      </c>
      <c r="Q214" s="6">
        <v>1</v>
      </c>
      <c r="R214" s="6">
        <v>1</v>
      </c>
      <c r="S214" s="6">
        <v>1</v>
      </c>
      <c r="T214" s="6">
        <v>0</v>
      </c>
      <c r="U214" s="6">
        <v>4</v>
      </c>
      <c r="V214" s="6">
        <v>1</v>
      </c>
      <c r="W214" s="6">
        <v>1</v>
      </c>
      <c r="X214" s="6">
        <v>1</v>
      </c>
      <c r="Y214" s="6">
        <v>2</v>
      </c>
      <c r="Z214" s="6">
        <v>0</v>
      </c>
      <c r="AA214" s="6">
        <v>1</v>
      </c>
      <c r="AB214" s="5">
        <f>SUM(E214:AA214)</f>
        <v>16</v>
      </c>
      <c r="AC214" s="20"/>
      <c r="AD214" s="20"/>
    </row>
    <row r="215" spans="1:30" x14ac:dyDescent="0.4">
      <c r="A215" s="7"/>
      <c r="B215" s="52"/>
      <c r="C215" s="24" t="s">
        <v>222</v>
      </c>
      <c r="D215" s="53"/>
      <c r="E215" s="6">
        <v>0</v>
      </c>
      <c r="F215" s="6">
        <v>2</v>
      </c>
      <c r="G215" s="6">
        <v>1</v>
      </c>
      <c r="H215" s="6">
        <v>0</v>
      </c>
      <c r="I215" s="6">
        <v>2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1</v>
      </c>
      <c r="T215" s="6">
        <v>1</v>
      </c>
      <c r="U215" s="6">
        <v>1</v>
      </c>
      <c r="V215" s="6">
        <v>0</v>
      </c>
      <c r="W215" s="6">
        <v>1</v>
      </c>
      <c r="X215" s="6">
        <v>2</v>
      </c>
      <c r="Y215" s="6">
        <v>1</v>
      </c>
      <c r="Z215" s="6">
        <v>0</v>
      </c>
      <c r="AA215" s="6">
        <v>0</v>
      </c>
      <c r="AB215" s="5">
        <f>SUM(E215:AA215)</f>
        <v>14</v>
      </c>
      <c r="AC215" s="20"/>
      <c r="AD215" s="20"/>
    </row>
    <row r="216" spans="1:30" x14ac:dyDescent="0.4">
      <c r="A216" s="7"/>
      <c r="B216" s="52"/>
      <c r="C216" s="24" t="s">
        <v>223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2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5">
        <f>SUM(E216:AA216)</f>
        <v>2</v>
      </c>
      <c r="AC216" s="20"/>
      <c r="AD216" s="20"/>
    </row>
    <row r="217" spans="1:30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49"/>
      <c r="AC217" s="20"/>
      <c r="AD217" s="20"/>
    </row>
    <row r="218" spans="1:30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49"/>
      <c r="AC218" s="1"/>
      <c r="AD218" s="1"/>
    </row>
    <row r="219" spans="1:30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49"/>
      <c r="AC219" s="27"/>
      <c r="AD219" s="27"/>
    </row>
    <row r="220" spans="1:30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49"/>
      <c r="AC220" s="20"/>
      <c r="AD220" s="20"/>
    </row>
    <row r="221" spans="1:30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49"/>
      <c r="AC221" s="20"/>
      <c r="AD221" s="20"/>
    </row>
    <row r="222" spans="1:30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49"/>
      <c r="AC222" s="20"/>
      <c r="AD222" s="20"/>
    </row>
    <row r="223" spans="1:30" x14ac:dyDescent="0.4">
      <c r="A223" s="6" t="s">
        <v>26</v>
      </c>
      <c r="B223" s="67" t="s">
        <v>51</v>
      </c>
      <c r="C223" s="68"/>
      <c r="D223" s="69"/>
      <c r="E223" s="5">
        <f t="shared" ref="E223:AB223" si="53">SUM(E213:E222)</f>
        <v>1</v>
      </c>
      <c r="F223" s="5">
        <f t="shared" si="53"/>
        <v>3</v>
      </c>
      <c r="G223" s="5">
        <f t="shared" si="53"/>
        <v>4</v>
      </c>
      <c r="H223" s="5">
        <f t="shared" si="53"/>
        <v>1</v>
      </c>
      <c r="I223" s="5">
        <f t="shared" si="53"/>
        <v>2</v>
      </c>
      <c r="J223" s="5">
        <f t="shared" si="53"/>
        <v>1</v>
      </c>
      <c r="K223" s="5">
        <f t="shared" si="53"/>
        <v>1</v>
      </c>
      <c r="L223" s="5">
        <f t="shared" si="53"/>
        <v>1</v>
      </c>
      <c r="M223" s="5">
        <f t="shared" si="53"/>
        <v>0</v>
      </c>
      <c r="N223" s="5">
        <f t="shared" si="53"/>
        <v>0</v>
      </c>
      <c r="O223" s="5">
        <f t="shared" si="53"/>
        <v>3</v>
      </c>
      <c r="P223" s="5">
        <f t="shared" si="53"/>
        <v>4</v>
      </c>
      <c r="Q223" s="5">
        <f t="shared" si="53"/>
        <v>2</v>
      </c>
      <c r="R223" s="5">
        <f t="shared" si="53"/>
        <v>1</v>
      </c>
      <c r="S223" s="5">
        <f t="shared" si="53"/>
        <v>6</v>
      </c>
      <c r="T223" s="5">
        <f t="shared" si="53"/>
        <v>4</v>
      </c>
      <c r="U223" s="5">
        <f t="shared" si="53"/>
        <v>7</v>
      </c>
      <c r="V223" s="5">
        <f t="shared" si="53"/>
        <v>1</v>
      </c>
      <c r="W223" s="5">
        <f t="shared" si="53"/>
        <v>3</v>
      </c>
      <c r="X223" s="5">
        <f t="shared" si="53"/>
        <v>5</v>
      </c>
      <c r="Y223" s="5">
        <f t="shared" si="53"/>
        <v>3</v>
      </c>
      <c r="Z223" s="5">
        <f t="shared" si="53"/>
        <v>0</v>
      </c>
      <c r="AA223" s="5">
        <f t="shared" si="53"/>
        <v>1</v>
      </c>
      <c r="AB223" s="5">
        <f t="shared" si="53"/>
        <v>54</v>
      </c>
      <c r="AC223" s="20"/>
      <c r="AD223" s="20"/>
    </row>
    <row r="224" spans="1:30" x14ac:dyDescent="0.4">
      <c r="A224" s="70"/>
      <c r="B224" s="71"/>
      <c r="C224" s="71"/>
      <c r="D224" s="71"/>
      <c r="E224" s="7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20"/>
      <c r="AD224" s="20"/>
    </row>
    <row r="225" spans="1:30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  <c r="L225" s="6">
        <v>1</v>
      </c>
      <c r="M225" s="6">
        <v>0</v>
      </c>
      <c r="N225" s="6">
        <v>0</v>
      </c>
      <c r="O225" s="6">
        <v>0</v>
      </c>
      <c r="P225" s="6">
        <v>0</v>
      </c>
      <c r="Q225" s="6">
        <v>2</v>
      </c>
      <c r="R225" s="6">
        <v>1</v>
      </c>
      <c r="S225" s="6"/>
      <c r="T225" s="6">
        <v>0</v>
      </c>
      <c r="U225" s="6">
        <v>1</v>
      </c>
      <c r="V225" s="6">
        <v>1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5">
        <f>SUM(E225:AA225)</f>
        <v>7</v>
      </c>
      <c r="AC225" s="20"/>
      <c r="AD225" s="20"/>
    </row>
    <row r="226" spans="1:30" x14ac:dyDescent="0.4">
      <c r="A226" s="11" t="s">
        <v>50</v>
      </c>
      <c r="B226" s="52"/>
      <c r="C226" s="24" t="s">
        <v>224</v>
      </c>
      <c r="D226" s="50"/>
      <c r="E226" s="6">
        <v>0</v>
      </c>
      <c r="F226" s="6">
        <v>0</v>
      </c>
      <c r="G226" s="6">
        <v>0</v>
      </c>
      <c r="H226" s="6">
        <v>1</v>
      </c>
      <c r="I226" s="6">
        <v>0</v>
      </c>
      <c r="J226" s="6">
        <v>0</v>
      </c>
      <c r="K226" s="6">
        <v>0</v>
      </c>
      <c r="L226" s="6">
        <v>0</v>
      </c>
      <c r="M226" s="6">
        <v>1</v>
      </c>
      <c r="N226" s="6">
        <v>1</v>
      </c>
      <c r="O226" s="6">
        <v>0</v>
      </c>
      <c r="P226" s="6">
        <v>0</v>
      </c>
      <c r="Q226" s="6">
        <v>2</v>
      </c>
      <c r="R226" s="6">
        <v>1</v>
      </c>
      <c r="S226" s="6">
        <v>1</v>
      </c>
      <c r="T226" s="6">
        <v>1</v>
      </c>
      <c r="U226" s="6">
        <v>1</v>
      </c>
      <c r="V226" s="6">
        <v>0</v>
      </c>
      <c r="W226" s="6">
        <v>2</v>
      </c>
      <c r="X226" s="6">
        <v>1</v>
      </c>
      <c r="Y226" s="6">
        <v>2</v>
      </c>
      <c r="Z226" s="6">
        <v>0</v>
      </c>
      <c r="AA226" s="6">
        <v>0</v>
      </c>
      <c r="AB226" s="5">
        <f>SUM(E226:AA226)</f>
        <v>14</v>
      </c>
      <c r="AC226" s="20"/>
      <c r="AD226" s="20"/>
    </row>
    <row r="227" spans="1:30" x14ac:dyDescent="0.4">
      <c r="A227" s="7"/>
      <c r="B227" s="52"/>
      <c r="C227" s="24" t="s">
        <v>225</v>
      </c>
      <c r="D227" s="50"/>
      <c r="E227" s="6">
        <v>0</v>
      </c>
      <c r="F227" s="6">
        <v>0</v>
      </c>
      <c r="G227" s="6">
        <v>0</v>
      </c>
      <c r="H227" s="6">
        <v>1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/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5">
        <f>SUM(E227:AA227)</f>
        <v>1</v>
      </c>
      <c r="AC227" s="20"/>
      <c r="AD227" s="20"/>
    </row>
    <row r="228" spans="1:30" x14ac:dyDescent="0.4">
      <c r="A228" s="7"/>
      <c r="B228" s="52"/>
      <c r="C228" s="24" t="s">
        <v>226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/>
      <c r="T228" s="6">
        <v>0</v>
      </c>
      <c r="U228" s="6">
        <v>0</v>
      </c>
      <c r="V228" s="6">
        <v>0</v>
      </c>
      <c r="W228" s="6">
        <v>1</v>
      </c>
      <c r="X228" s="6">
        <v>0</v>
      </c>
      <c r="Y228" s="6">
        <v>0</v>
      </c>
      <c r="Z228" s="6">
        <v>0</v>
      </c>
      <c r="AA228" s="6">
        <v>0</v>
      </c>
      <c r="AB228" s="5">
        <f>SUM(E228:AA228)</f>
        <v>1</v>
      </c>
      <c r="AC228" s="20"/>
      <c r="AD228" s="20"/>
    </row>
    <row r="229" spans="1:30" ht="13.15" customHeight="1" x14ac:dyDescent="0.4">
      <c r="A229" s="7"/>
      <c r="B229" s="52"/>
      <c r="C229" s="24" t="s">
        <v>227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/>
      <c r="T229" s="6">
        <v>1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5">
        <f>SUM(E229:AA229)</f>
        <v>1</v>
      </c>
      <c r="AC229" s="1"/>
      <c r="AD229" s="1"/>
    </row>
    <row r="230" spans="1:30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49"/>
      <c r="AC230" s="27"/>
      <c r="AD230" s="27"/>
    </row>
    <row r="231" spans="1:30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49"/>
      <c r="AC231" s="20"/>
      <c r="AD231" s="20"/>
    </row>
    <row r="232" spans="1:30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49"/>
      <c r="AC232" s="20"/>
      <c r="AD232" s="20"/>
    </row>
    <row r="233" spans="1:30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49"/>
      <c r="AC233" s="20"/>
      <c r="AD233" s="20"/>
    </row>
    <row r="234" spans="1:30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49"/>
      <c r="AC234" s="20"/>
      <c r="AD234" s="20"/>
    </row>
    <row r="235" spans="1:30" x14ac:dyDescent="0.4">
      <c r="A235" s="6" t="s">
        <v>26</v>
      </c>
      <c r="B235" s="67" t="s">
        <v>51</v>
      </c>
      <c r="C235" s="68"/>
      <c r="D235" s="69"/>
      <c r="E235" s="5">
        <f t="shared" ref="E235:AB235" si="54">SUM(E225:E234)</f>
        <v>0</v>
      </c>
      <c r="F235" s="5">
        <f t="shared" si="54"/>
        <v>0</v>
      </c>
      <c r="G235" s="5">
        <f t="shared" si="54"/>
        <v>0</v>
      </c>
      <c r="H235" s="5">
        <f t="shared" si="54"/>
        <v>2</v>
      </c>
      <c r="I235" s="5">
        <f t="shared" si="54"/>
        <v>0</v>
      </c>
      <c r="J235" s="5">
        <f t="shared" si="54"/>
        <v>0</v>
      </c>
      <c r="K235" s="5">
        <f t="shared" si="54"/>
        <v>1</v>
      </c>
      <c r="L235" s="5">
        <f t="shared" si="54"/>
        <v>1</v>
      </c>
      <c r="M235" s="5">
        <f t="shared" si="54"/>
        <v>1</v>
      </c>
      <c r="N235" s="5">
        <f t="shared" si="54"/>
        <v>1</v>
      </c>
      <c r="O235" s="5">
        <f t="shared" si="54"/>
        <v>0</v>
      </c>
      <c r="P235" s="5">
        <f t="shared" si="54"/>
        <v>0</v>
      </c>
      <c r="Q235" s="5">
        <f t="shared" si="54"/>
        <v>4</v>
      </c>
      <c r="R235" s="5">
        <f t="shared" si="54"/>
        <v>2</v>
      </c>
      <c r="S235" s="5">
        <f t="shared" si="54"/>
        <v>1</v>
      </c>
      <c r="T235" s="5">
        <f t="shared" si="54"/>
        <v>2</v>
      </c>
      <c r="U235" s="5">
        <f t="shared" si="54"/>
        <v>2</v>
      </c>
      <c r="V235" s="5">
        <f t="shared" si="54"/>
        <v>1</v>
      </c>
      <c r="W235" s="5">
        <f t="shared" si="54"/>
        <v>3</v>
      </c>
      <c r="X235" s="5">
        <f t="shared" si="54"/>
        <v>1</v>
      </c>
      <c r="Y235" s="5">
        <f t="shared" si="54"/>
        <v>2</v>
      </c>
      <c r="Z235" s="5">
        <f t="shared" si="54"/>
        <v>0</v>
      </c>
      <c r="AA235" s="5">
        <f t="shared" si="54"/>
        <v>0</v>
      </c>
      <c r="AB235" s="5">
        <f t="shared" si="54"/>
        <v>24</v>
      </c>
      <c r="AC235" s="20"/>
      <c r="AD235" s="20"/>
    </row>
    <row r="236" spans="1:30" x14ac:dyDescent="0.4">
      <c r="A236" s="70"/>
      <c r="B236" s="71"/>
      <c r="C236" s="71"/>
      <c r="D236" s="71"/>
      <c r="E236" s="7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20"/>
      <c r="AD236" s="20"/>
    </row>
    <row r="237" spans="1:30" x14ac:dyDescent="0.4">
      <c r="A237" s="11" t="s">
        <v>48</v>
      </c>
      <c r="B237" s="17" t="s">
        <v>79</v>
      </c>
      <c r="C237" s="73" t="s">
        <v>80</v>
      </c>
      <c r="D237" s="74"/>
      <c r="E237" s="6">
        <v>1</v>
      </c>
      <c r="F237" s="6">
        <v>0</v>
      </c>
      <c r="G237" s="6">
        <v>1</v>
      </c>
      <c r="H237" s="6">
        <v>1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1</v>
      </c>
      <c r="Q237" s="6">
        <v>0</v>
      </c>
      <c r="R237" s="6">
        <v>0</v>
      </c>
      <c r="S237" s="6">
        <v>1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3</v>
      </c>
      <c r="Z237" s="6">
        <v>0</v>
      </c>
      <c r="AA237" s="6">
        <v>0</v>
      </c>
      <c r="AB237" s="5">
        <f t="shared" ref="AB237:AB247" si="55">SUM(E237:AA237)</f>
        <v>8</v>
      </c>
      <c r="AC237" s="20"/>
      <c r="AD237" s="20"/>
    </row>
    <row r="238" spans="1:30" x14ac:dyDescent="0.4">
      <c r="A238" s="11" t="s">
        <v>50</v>
      </c>
      <c r="B238" s="52"/>
      <c r="C238" s="24" t="s">
        <v>228</v>
      </c>
      <c r="D238" s="50"/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1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1</v>
      </c>
      <c r="W238" s="6">
        <v>2</v>
      </c>
      <c r="X238" s="6">
        <v>0</v>
      </c>
      <c r="Y238" s="6">
        <v>4</v>
      </c>
      <c r="Z238" s="6">
        <v>0</v>
      </c>
      <c r="AA238" s="6">
        <v>0</v>
      </c>
      <c r="AB238" s="5">
        <f t="shared" si="55"/>
        <v>8</v>
      </c>
      <c r="AC238" s="20"/>
      <c r="AD238" s="20"/>
    </row>
    <row r="239" spans="1:30" x14ac:dyDescent="0.4">
      <c r="A239" s="7"/>
      <c r="B239" s="52"/>
      <c r="C239" s="24" t="s">
        <v>229</v>
      </c>
      <c r="D239" s="50"/>
      <c r="E239" s="6">
        <v>0</v>
      </c>
      <c r="F239" s="6">
        <v>0</v>
      </c>
      <c r="G239" s="6">
        <v>3</v>
      </c>
      <c r="H239" s="6">
        <v>4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1</v>
      </c>
      <c r="W239" s="6">
        <v>0</v>
      </c>
      <c r="X239" s="6">
        <v>0</v>
      </c>
      <c r="Y239" s="6">
        <v>0</v>
      </c>
      <c r="Z239" s="6">
        <v>1</v>
      </c>
      <c r="AA239" s="6">
        <v>0</v>
      </c>
      <c r="AB239" s="5">
        <f t="shared" si="55"/>
        <v>9</v>
      </c>
      <c r="AC239" s="20"/>
      <c r="AD239" s="20"/>
    </row>
    <row r="240" spans="1:30" ht="13.15" customHeight="1" x14ac:dyDescent="0.4">
      <c r="A240" s="7"/>
      <c r="B240" s="52"/>
      <c r="C240" s="24" t="s">
        <v>230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5">
        <f t="shared" si="55"/>
        <v>0</v>
      </c>
      <c r="AC240" s="1"/>
      <c r="AD240" s="1"/>
    </row>
    <row r="241" spans="1:28" x14ac:dyDescent="0.4">
      <c r="A241" s="7"/>
      <c r="B241" s="52"/>
      <c r="C241" s="24" t="s">
        <v>231</v>
      </c>
      <c r="D241" s="50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5">
        <f t="shared" si="55"/>
        <v>0</v>
      </c>
    </row>
    <row r="242" spans="1:28" ht="12.75" customHeight="1" x14ac:dyDescent="0.4">
      <c r="A242" s="7"/>
      <c r="B242" s="52"/>
      <c r="C242" s="24" t="s">
        <v>232</v>
      </c>
      <c r="D242" s="50"/>
      <c r="E242" s="6">
        <v>0</v>
      </c>
      <c r="F242" s="6">
        <v>0</v>
      </c>
      <c r="G242" s="6">
        <v>1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1</v>
      </c>
      <c r="N242" s="6">
        <v>0</v>
      </c>
      <c r="O242" s="6">
        <v>0</v>
      </c>
      <c r="P242" s="6">
        <v>0</v>
      </c>
      <c r="Q242" s="6">
        <v>5</v>
      </c>
      <c r="R242" s="6">
        <v>2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5">
        <f t="shared" si="55"/>
        <v>9</v>
      </c>
    </row>
    <row r="243" spans="1:28" x14ac:dyDescent="0.4">
      <c r="A243" s="7"/>
      <c r="B243" s="52"/>
      <c r="C243" s="24" t="s">
        <v>233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5">
        <f t="shared" si="55"/>
        <v>1</v>
      </c>
    </row>
    <row r="244" spans="1:28" x14ac:dyDescent="0.4">
      <c r="A244" s="7"/>
      <c r="B244" s="52"/>
      <c r="C244" s="24" t="s">
        <v>234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1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5">
        <f t="shared" si="55"/>
        <v>1</v>
      </c>
    </row>
    <row r="245" spans="1:28" x14ac:dyDescent="0.4">
      <c r="A245" s="7"/>
      <c r="B245" s="52"/>
      <c r="C245" s="24" t="s">
        <v>235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5">
        <f t="shared" si="55"/>
        <v>0</v>
      </c>
    </row>
    <row r="246" spans="1:28" x14ac:dyDescent="0.4">
      <c r="A246" s="7"/>
      <c r="B246" s="52"/>
      <c r="C246" s="24" t="s">
        <v>236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5">
        <f t="shared" si="55"/>
        <v>0</v>
      </c>
    </row>
    <row r="247" spans="1:28" ht="12.75" customHeight="1" x14ac:dyDescent="0.4">
      <c r="A247" s="6" t="s">
        <v>26</v>
      </c>
      <c r="B247" s="67" t="s">
        <v>51</v>
      </c>
      <c r="C247" s="68"/>
      <c r="D247" s="69"/>
      <c r="E247" s="5">
        <f t="shared" ref="E247:AB247" si="56">SUM(E237:E246)</f>
        <v>1</v>
      </c>
      <c r="F247" s="5">
        <f t="shared" si="56"/>
        <v>0</v>
      </c>
      <c r="G247" s="5">
        <f t="shared" si="56"/>
        <v>5</v>
      </c>
      <c r="H247" s="5">
        <f t="shared" si="56"/>
        <v>5</v>
      </c>
      <c r="I247" s="5">
        <f t="shared" si="56"/>
        <v>0</v>
      </c>
      <c r="J247" s="5">
        <f t="shared" si="56"/>
        <v>0</v>
      </c>
      <c r="K247" s="5">
        <f t="shared" si="56"/>
        <v>0</v>
      </c>
      <c r="L247" s="5">
        <f t="shared" si="56"/>
        <v>0</v>
      </c>
      <c r="M247" s="5">
        <f t="shared" si="56"/>
        <v>1</v>
      </c>
      <c r="N247" s="5">
        <f t="shared" si="56"/>
        <v>0</v>
      </c>
      <c r="O247" s="5">
        <f t="shared" si="56"/>
        <v>0</v>
      </c>
      <c r="P247" s="5">
        <f t="shared" si="56"/>
        <v>3</v>
      </c>
      <c r="Q247" s="5">
        <f t="shared" si="56"/>
        <v>6</v>
      </c>
      <c r="R247" s="5">
        <f t="shared" si="56"/>
        <v>2</v>
      </c>
      <c r="S247" s="5">
        <f t="shared" si="56"/>
        <v>1</v>
      </c>
      <c r="T247" s="5">
        <f t="shared" si="56"/>
        <v>0</v>
      </c>
      <c r="U247" s="5">
        <f t="shared" si="56"/>
        <v>0</v>
      </c>
      <c r="V247" s="5">
        <f t="shared" si="56"/>
        <v>2</v>
      </c>
      <c r="W247" s="5">
        <f t="shared" si="56"/>
        <v>2</v>
      </c>
      <c r="X247" s="5">
        <f t="shared" si="56"/>
        <v>0</v>
      </c>
      <c r="Y247" s="5">
        <f t="shared" si="56"/>
        <v>7</v>
      </c>
      <c r="Z247" s="5">
        <f t="shared" si="56"/>
        <v>1</v>
      </c>
      <c r="AA247" s="5">
        <f t="shared" si="56"/>
        <v>0</v>
      </c>
      <c r="AB247" s="5">
        <f t="shared" si="56"/>
        <v>36</v>
      </c>
    </row>
    <row r="248" spans="1:28" x14ac:dyDescent="0.4">
      <c r="A248" s="70"/>
      <c r="B248" s="71"/>
      <c r="C248" s="71"/>
      <c r="D248" s="71"/>
      <c r="E248" s="72"/>
    </row>
    <row r="249" spans="1:28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5">
        <f>SUM(E249:AA249)</f>
        <v>0</v>
      </c>
    </row>
    <row r="250" spans="1:28" x14ac:dyDescent="0.4">
      <c r="A250" s="11" t="s">
        <v>50</v>
      </c>
      <c r="B250" s="52"/>
      <c r="C250" s="24" t="s">
        <v>237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1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5">
        <f>SUM(E250:AA250)</f>
        <v>1</v>
      </c>
    </row>
    <row r="251" spans="1:28" x14ac:dyDescent="0.4">
      <c r="A251" s="7"/>
      <c r="B251" s="52"/>
      <c r="C251" s="24" t="s">
        <v>238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5">
        <f>SUM(E251:AA251)</f>
        <v>0</v>
      </c>
    </row>
    <row r="252" spans="1:28" x14ac:dyDescent="0.4">
      <c r="A252" s="7"/>
      <c r="B252" s="52"/>
      <c r="C252" s="24" t="s">
        <v>239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1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5">
        <f>SUM(E252:AA252)</f>
        <v>1</v>
      </c>
    </row>
    <row r="253" spans="1:28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49"/>
    </row>
    <row r="254" spans="1:28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49"/>
    </row>
    <row r="255" spans="1:28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49"/>
    </row>
    <row r="256" spans="1:28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49"/>
    </row>
    <row r="257" spans="1:28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49"/>
    </row>
    <row r="258" spans="1:28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49"/>
    </row>
    <row r="259" spans="1:28" x14ac:dyDescent="0.4">
      <c r="A259" s="6" t="s">
        <v>26</v>
      </c>
      <c r="B259" s="67" t="s">
        <v>51</v>
      </c>
      <c r="C259" s="68"/>
      <c r="D259" s="69"/>
      <c r="E259" s="5">
        <f t="shared" ref="E259:AB259" si="57">SUM(E249:E258)</f>
        <v>0</v>
      </c>
      <c r="F259" s="5">
        <f t="shared" si="57"/>
        <v>0</v>
      </c>
      <c r="G259" s="5">
        <f t="shared" si="57"/>
        <v>0</v>
      </c>
      <c r="H259" s="5">
        <f t="shared" si="57"/>
        <v>0</v>
      </c>
      <c r="I259" s="5">
        <f t="shared" si="57"/>
        <v>1</v>
      </c>
      <c r="J259" s="5">
        <f t="shared" si="57"/>
        <v>0</v>
      </c>
      <c r="K259" s="5">
        <f t="shared" si="57"/>
        <v>0</v>
      </c>
      <c r="L259" s="5">
        <f t="shared" si="57"/>
        <v>0</v>
      </c>
      <c r="M259" s="5">
        <f t="shared" si="57"/>
        <v>0</v>
      </c>
      <c r="N259" s="5">
        <f t="shared" si="57"/>
        <v>0</v>
      </c>
      <c r="O259" s="5">
        <f t="shared" si="57"/>
        <v>0</v>
      </c>
      <c r="P259" s="5">
        <f t="shared" si="57"/>
        <v>0</v>
      </c>
      <c r="Q259" s="5">
        <f t="shared" si="57"/>
        <v>0</v>
      </c>
      <c r="R259" s="5">
        <f t="shared" si="57"/>
        <v>0</v>
      </c>
      <c r="S259" s="5">
        <f t="shared" si="57"/>
        <v>0</v>
      </c>
      <c r="T259" s="5">
        <f t="shared" si="57"/>
        <v>1</v>
      </c>
      <c r="U259" s="5">
        <f t="shared" si="57"/>
        <v>0</v>
      </c>
      <c r="V259" s="5">
        <f t="shared" si="57"/>
        <v>0</v>
      </c>
      <c r="W259" s="5">
        <f t="shared" si="57"/>
        <v>0</v>
      </c>
      <c r="X259" s="5">
        <f t="shared" si="57"/>
        <v>0</v>
      </c>
      <c r="Y259" s="5">
        <f t="shared" si="57"/>
        <v>0</v>
      </c>
      <c r="Z259" s="5">
        <f t="shared" si="57"/>
        <v>0</v>
      </c>
      <c r="AA259" s="5">
        <f t="shared" si="57"/>
        <v>0</v>
      </c>
      <c r="AB259" s="5">
        <f t="shared" si="57"/>
        <v>2</v>
      </c>
    </row>
    <row r="261" spans="1:28" x14ac:dyDescent="0.4">
      <c r="A261" s="16" t="s">
        <v>83</v>
      </c>
      <c r="B261" s="75" t="s">
        <v>84</v>
      </c>
      <c r="C261" s="76"/>
      <c r="D261" s="7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</row>
    <row r="262" spans="1:28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155</v>
      </c>
      <c r="F262" s="6">
        <f t="shared" ref="F262:X262" si="58">F55+F67+F79+F91+F103+F115+F127+F139+F151+F163+F175+F187+F199+F211+F223+F235+F247+F259</f>
        <v>177</v>
      </c>
      <c r="G262" s="6">
        <f t="shared" si="58"/>
        <v>213</v>
      </c>
      <c r="H262" s="6">
        <f t="shared" si="58"/>
        <v>172</v>
      </c>
      <c r="I262" s="6">
        <f t="shared" si="58"/>
        <v>113</v>
      </c>
      <c r="J262" s="6">
        <f t="shared" si="58"/>
        <v>128</v>
      </c>
      <c r="K262" s="6">
        <f t="shared" si="58"/>
        <v>127</v>
      </c>
      <c r="L262" s="6">
        <f t="shared" si="58"/>
        <v>107</v>
      </c>
      <c r="M262" s="6">
        <f t="shared" si="58"/>
        <v>139</v>
      </c>
      <c r="N262" s="6">
        <f t="shared" si="58"/>
        <v>113</v>
      </c>
      <c r="O262" s="6">
        <f t="shared" ref="O262:S262" si="59">O55+O67+O79+O91+O103+O115+O127+O139+O151+O163+O175+O187+O199+O211+O223+O235+O247+O259</f>
        <v>212</v>
      </c>
      <c r="P262" s="6">
        <f t="shared" si="59"/>
        <v>174</v>
      </c>
      <c r="Q262" s="6">
        <f t="shared" si="59"/>
        <v>178</v>
      </c>
      <c r="R262" s="6">
        <f t="shared" si="59"/>
        <v>196</v>
      </c>
      <c r="S262" s="6">
        <f t="shared" si="59"/>
        <v>164</v>
      </c>
      <c r="T262" s="6">
        <f t="shared" si="58"/>
        <v>195</v>
      </c>
      <c r="U262" s="6">
        <f t="shared" si="58"/>
        <v>206</v>
      </c>
      <c r="V262" s="6">
        <f t="shared" si="58"/>
        <v>169</v>
      </c>
      <c r="W262" s="6">
        <f t="shared" si="58"/>
        <v>166</v>
      </c>
      <c r="X262" s="6">
        <f t="shared" si="58"/>
        <v>201</v>
      </c>
      <c r="Y262" s="6">
        <f t="shared" ref="Y262:AA262" si="60">Y55+Y67+Y79+Y91+Y103+Y115+Y127+Y139+Y151+Y163+Y175+Y187+Y199+Y211+Y223+Y235+Y247+Y259</f>
        <v>167</v>
      </c>
      <c r="Z262" s="6">
        <f t="shared" si="60"/>
        <v>129</v>
      </c>
      <c r="AA262" s="6">
        <f t="shared" si="60"/>
        <v>94</v>
      </c>
      <c r="AB262" s="5">
        <f>SUM(E262:AA262)</f>
        <v>3695</v>
      </c>
    </row>
    <row r="263" spans="1:28" x14ac:dyDescent="0.4">
      <c r="A263" s="13"/>
      <c r="B263" s="19" t="s">
        <v>87</v>
      </c>
      <c r="C263" s="65" t="s">
        <v>88</v>
      </c>
      <c r="D263" s="66"/>
      <c r="E263" s="6">
        <v>20</v>
      </c>
      <c r="F263" s="6">
        <v>13</v>
      </c>
      <c r="G263" s="6">
        <v>22</v>
      </c>
      <c r="H263" s="6">
        <v>25</v>
      </c>
      <c r="I263" s="6">
        <v>11</v>
      </c>
      <c r="J263" s="6">
        <v>10</v>
      </c>
      <c r="K263" s="6">
        <v>17</v>
      </c>
      <c r="L263" s="6">
        <v>19</v>
      </c>
      <c r="M263" s="6">
        <v>90</v>
      </c>
      <c r="N263" s="6">
        <v>75</v>
      </c>
      <c r="O263" s="6">
        <v>16</v>
      </c>
      <c r="P263" s="6">
        <v>45</v>
      </c>
      <c r="Q263" s="6">
        <v>26</v>
      </c>
      <c r="R263" s="6">
        <v>26</v>
      </c>
      <c r="S263" s="6">
        <v>23</v>
      </c>
      <c r="T263" s="6">
        <v>16</v>
      </c>
      <c r="U263" s="6">
        <v>35</v>
      </c>
      <c r="V263" s="6">
        <v>24</v>
      </c>
      <c r="W263" s="6">
        <v>36</v>
      </c>
      <c r="X263" s="6">
        <v>25</v>
      </c>
      <c r="Y263" s="6">
        <v>32</v>
      </c>
      <c r="Z263" s="6">
        <v>13</v>
      </c>
      <c r="AA263" s="6">
        <v>27</v>
      </c>
      <c r="AB263" s="5">
        <f>SUM(E263:AA263)</f>
        <v>646</v>
      </c>
    </row>
    <row r="264" spans="1:28" x14ac:dyDescent="0.4">
      <c r="A264" s="14"/>
      <c r="B264" s="19" t="s">
        <v>89</v>
      </c>
      <c r="C264" s="65" t="s">
        <v>90</v>
      </c>
      <c r="D264" s="66"/>
      <c r="E264" s="5">
        <f>SUM(E262:E263)</f>
        <v>175</v>
      </c>
      <c r="F264" s="5">
        <f t="shared" ref="F264:X264" si="61">SUM(F262:F263)</f>
        <v>190</v>
      </c>
      <c r="G264" s="5">
        <f t="shared" si="61"/>
        <v>235</v>
      </c>
      <c r="H264" s="5">
        <f t="shared" si="61"/>
        <v>197</v>
      </c>
      <c r="I264" s="5">
        <f t="shared" si="61"/>
        <v>124</v>
      </c>
      <c r="J264" s="5">
        <f t="shared" si="61"/>
        <v>138</v>
      </c>
      <c r="K264" s="5">
        <f t="shared" si="61"/>
        <v>144</v>
      </c>
      <c r="L264" s="5">
        <f t="shared" si="61"/>
        <v>126</v>
      </c>
      <c r="M264" s="5">
        <f t="shared" si="61"/>
        <v>229</v>
      </c>
      <c r="N264" s="5">
        <f t="shared" si="61"/>
        <v>188</v>
      </c>
      <c r="O264" s="5">
        <f t="shared" ref="O264:S264" si="62">SUM(O262:O263)</f>
        <v>228</v>
      </c>
      <c r="P264" s="5">
        <f t="shared" si="62"/>
        <v>219</v>
      </c>
      <c r="Q264" s="5">
        <f t="shared" si="62"/>
        <v>204</v>
      </c>
      <c r="R264" s="5">
        <f t="shared" si="62"/>
        <v>222</v>
      </c>
      <c r="S264" s="5">
        <f t="shared" si="62"/>
        <v>187</v>
      </c>
      <c r="T264" s="5">
        <f t="shared" si="61"/>
        <v>211</v>
      </c>
      <c r="U264" s="5">
        <f t="shared" si="61"/>
        <v>241</v>
      </c>
      <c r="V264" s="5">
        <f t="shared" si="61"/>
        <v>193</v>
      </c>
      <c r="W264" s="5">
        <f t="shared" si="61"/>
        <v>202</v>
      </c>
      <c r="X264" s="5">
        <f t="shared" si="61"/>
        <v>226</v>
      </c>
      <c r="Y264" s="5">
        <f t="shared" ref="Y264:AA264" si="63">SUM(Y262:Y263)</f>
        <v>199</v>
      </c>
      <c r="Z264" s="5">
        <f t="shared" si="63"/>
        <v>142</v>
      </c>
      <c r="AA264" s="5">
        <f t="shared" si="63"/>
        <v>121</v>
      </c>
      <c r="AB264" s="5">
        <f>SUM(E264:AA264)</f>
        <v>4341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A12"/>
    <mergeCell ref="AB12:AB13"/>
    <mergeCell ref="B13:D13"/>
    <mergeCell ref="B14:C16"/>
  </mergeCells>
  <phoneticPr fontId="9" type="noConversion"/>
  <conditionalFormatting sqref="E14:AA15">
    <cfRule type="containsBlanks" dxfId="85" priority="20">
      <formula>LEN(TRIM(E14))=0</formula>
    </cfRule>
  </conditionalFormatting>
  <conditionalFormatting sqref="E19:AA20">
    <cfRule type="containsBlanks" dxfId="84" priority="23">
      <formula>LEN(TRIM(E19))=0</formula>
    </cfRule>
  </conditionalFormatting>
  <conditionalFormatting sqref="E22:AA23 E25:AA26 E33:AA33 E35:AA35 E39:AA40">
    <cfRule type="containsBlanks" dxfId="83" priority="24">
      <formula>LEN(TRIM(E22))=0</formula>
    </cfRule>
  </conditionalFormatting>
  <conditionalFormatting sqref="E30:AA30">
    <cfRule type="expression" dxfId="82" priority="25">
      <formula>E30&lt;&gt;E47</formula>
    </cfRule>
    <cfRule type="expression" dxfId="81" priority="26">
      <formula>E30&lt;&gt;E34</formula>
    </cfRule>
  </conditionalFormatting>
  <conditionalFormatting sqref="E34:AA34">
    <cfRule type="expression" dxfId="80" priority="21">
      <formula>E30&lt;&gt;E34</formula>
    </cfRule>
    <cfRule type="expression" dxfId="79" priority="22">
      <formula>E30=E34</formula>
    </cfRule>
    <cfRule type="expression" dxfId="78" priority="27">
      <formula>E34&lt;&gt;E30</formula>
    </cfRule>
    <cfRule type="expression" dxfId="77" priority="29">
      <formula>E34&lt;&gt;E64</formula>
    </cfRule>
  </conditionalFormatting>
  <conditionalFormatting sqref="E45:AA54">
    <cfRule type="containsBlanks" dxfId="76" priority="19">
      <formula>LEN(TRIM(E45))=0</formula>
    </cfRule>
  </conditionalFormatting>
  <conditionalFormatting sqref="E57:AA66">
    <cfRule type="containsBlanks" dxfId="75" priority="18">
      <formula>LEN(TRIM(E57))=0</formula>
    </cfRule>
  </conditionalFormatting>
  <conditionalFormatting sqref="E69:AA78">
    <cfRule type="containsBlanks" dxfId="74" priority="17">
      <formula>LEN(TRIM(E69))=0</formula>
    </cfRule>
  </conditionalFormatting>
  <conditionalFormatting sqref="E81:AA90">
    <cfRule type="containsBlanks" dxfId="73" priority="16">
      <formula>LEN(TRIM(E81))=0</formula>
    </cfRule>
  </conditionalFormatting>
  <conditionalFormatting sqref="E93:AA102">
    <cfRule type="containsBlanks" dxfId="72" priority="15">
      <formula>LEN(TRIM(E93))=0</formula>
    </cfRule>
  </conditionalFormatting>
  <conditionalFormatting sqref="E105:AA114">
    <cfRule type="containsBlanks" dxfId="71" priority="14">
      <formula>LEN(TRIM(E105))=0</formula>
    </cfRule>
  </conditionalFormatting>
  <conditionalFormatting sqref="E117:AA126">
    <cfRule type="containsBlanks" dxfId="70" priority="1">
      <formula>LEN(TRIM(E117))=0</formula>
    </cfRule>
  </conditionalFormatting>
  <conditionalFormatting sqref="E129:AA138">
    <cfRule type="containsBlanks" dxfId="69" priority="13">
      <formula>LEN(TRIM(E129))=0</formula>
    </cfRule>
  </conditionalFormatting>
  <conditionalFormatting sqref="E141:AA150">
    <cfRule type="containsBlanks" dxfId="68" priority="12">
      <formula>LEN(TRIM(E141))=0</formula>
    </cfRule>
  </conditionalFormatting>
  <conditionalFormatting sqref="E153:AA162">
    <cfRule type="containsBlanks" dxfId="67" priority="3">
      <formula>LEN(TRIM(E153))=0</formula>
    </cfRule>
  </conditionalFormatting>
  <conditionalFormatting sqref="E165:AA174">
    <cfRule type="containsBlanks" dxfId="66" priority="11">
      <formula>LEN(TRIM(E165))=0</formula>
    </cfRule>
  </conditionalFormatting>
  <conditionalFormatting sqref="E177:AA186">
    <cfRule type="containsBlanks" dxfId="65" priority="10">
      <formula>LEN(TRIM(E177))=0</formula>
    </cfRule>
  </conditionalFormatting>
  <conditionalFormatting sqref="E189:AA198">
    <cfRule type="containsBlanks" dxfId="64" priority="9">
      <formula>LEN(TRIM(E189))=0</formula>
    </cfRule>
  </conditionalFormatting>
  <conditionalFormatting sqref="E201:AA210">
    <cfRule type="containsBlanks" dxfId="63" priority="8">
      <formula>LEN(TRIM(E201))=0</formula>
    </cfRule>
  </conditionalFormatting>
  <conditionalFormatting sqref="E213:AA222">
    <cfRule type="containsBlanks" dxfId="62" priority="7">
      <formula>LEN(TRIM(E213))=0</formula>
    </cfRule>
  </conditionalFormatting>
  <conditionalFormatting sqref="E225:AA234">
    <cfRule type="containsBlanks" dxfId="61" priority="6">
      <formula>LEN(TRIM(E225))=0</formula>
    </cfRule>
  </conditionalFormatting>
  <conditionalFormatting sqref="E237:AA246">
    <cfRule type="containsBlanks" dxfId="60" priority="5">
      <formula>LEN(TRIM(E237))=0</formula>
    </cfRule>
  </conditionalFormatting>
  <conditionalFormatting sqref="E249:AA258">
    <cfRule type="containsBlanks" dxfId="59" priority="4">
      <formula>LEN(TRIM(E249))=0</formula>
    </cfRule>
  </conditionalFormatting>
  <conditionalFormatting sqref="E262:AA263">
    <cfRule type="containsBlanks" dxfId="58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sheetPr>
    <tabColor rgb="FF92D050"/>
  </sheetPr>
  <dimension ref="A2:AR264"/>
  <sheetViews>
    <sheetView topLeftCell="S13" zoomScale="85" zoomScaleNormal="85" workbookViewId="0">
      <pane ySplit="1" topLeftCell="A252" activePane="bottomLeft" state="frozen"/>
      <selection activeCell="A13" sqref="A13"/>
      <selection pane="bottomLeft" activeCell="AP263" sqref="AP263"/>
    </sheetView>
  </sheetViews>
  <sheetFormatPr defaultRowHeight="13.15" x14ac:dyDescent="0.4"/>
  <cols>
    <col min="3" max="3" width="67.140625" bestFit="1" customWidth="1"/>
    <col min="4" max="4" width="5.85546875" bestFit="1" customWidth="1"/>
    <col min="42" max="42" width="13.28515625" customWidth="1"/>
  </cols>
  <sheetData>
    <row r="2" spans="1:42" x14ac:dyDescent="0.4">
      <c r="C2" s="43" t="s">
        <v>116</v>
      </c>
      <c r="D2" s="43" t="s">
        <v>257</v>
      </c>
    </row>
    <row r="3" spans="1:42" x14ac:dyDescent="0.4">
      <c r="C3" s="43" t="s">
        <v>117</v>
      </c>
      <c r="D3" s="43" t="s">
        <v>118</v>
      </c>
    </row>
    <row r="4" spans="1:42" x14ac:dyDescent="0.4">
      <c r="C4" s="43" t="s">
        <v>119</v>
      </c>
      <c r="D4" s="43" t="s">
        <v>120</v>
      </c>
    </row>
    <row r="5" spans="1:42" x14ac:dyDescent="0.4">
      <c r="C5" s="43"/>
      <c r="D5" s="43"/>
    </row>
    <row r="6" spans="1:42" x14ac:dyDescent="0.4">
      <c r="C6" s="43"/>
      <c r="D6" s="43"/>
    </row>
    <row r="7" spans="1:42" x14ac:dyDescent="0.4">
      <c r="C7" s="43"/>
      <c r="D7" s="43"/>
    </row>
    <row r="8" spans="1:42" x14ac:dyDescent="0.4">
      <c r="C8" s="43"/>
      <c r="D8" s="43"/>
    </row>
    <row r="9" spans="1:42" x14ac:dyDescent="0.4">
      <c r="C9" s="43" t="s">
        <v>121</v>
      </c>
      <c r="D9" s="43" t="s">
        <v>263</v>
      </c>
    </row>
    <row r="11" spans="1:4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  <c r="AE11" s="1"/>
      <c r="AF11" s="1"/>
      <c r="AG11" s="1"/>
      <c r="AH11" s="3"/>
      <c r="AI11" s="1"/>
      <c r="AJ11" s="1"/>
      <c r="AK11" s="1"/>
      <c r="AL11" s="1"/>
      <c r="AM11" s="3"/>
      <c r="AN11" s="1"/>
      <c r="AO11" s="1"/>
    </row>
    <row r="12" spans="1:42" x14ac:dyDescent="0.4">
      <c r="A12" s="5" t="s">
        <v>0</v>
      </c>
      <c r="B12" s="75" t="s">
        <v>1</v>
      </c>
      <c r="C12" s="83"/>
      <c r="D12" s="74"/>
      <c r="E12" s="100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 t="s">
        <v>115</v>
      </c>
    </row>
    <row r="13" spans="1:42" x14ac:dyDescent="0.4">
      <c r="A13" s="6" t="s">
        <v>2</v>
      </c>
      <c r="B13" s="93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103"/>
    </row>
    <row r="14" spans="1:42" x14ac:dyDescent="0.4">
      <c r="A14" s="7"/>
      <c r="B14" s="104" t="s">
        <v>22</v>
      </c>
      <c r="C14" s="79"/>
      <c r="D14" s="6" t="s">
        <v>23</v>
      </c>
      <c r="E14" s="6">
        <v>146</v>
      </c>
      <c r="F14" s="6">
        <v>90</v>
      </c>
      <c r="G14" s="6">
        <v>124</v>
      </c>
      <c r="H14" s="6">
        <v>88</v>
      </c>
      <c r="I14" s="6">
        <v>100</v>
      </c>
      <c r="J14" s="6">
        <v>130</v>
      </c>
      <c r="K14" s="6">
        <v>149</v>
      </c>
      <c r="L14" s="6">
        <v>149</v>
      </c>
      <c r="M14" s="6">
        <v>146</v>
      </c>
      <c r="N14" s="6">
        <v>129</v>
      </c>
      <c r="O14" s="6">
        <v>102</v>
      </c>
      <c r="P14" s="6">
        <v>117</v>
      </c>
      <c r="Q14" s="6">
        <v>117</v>
      </c>
      <c r="R14" s="6">
        <v>142</v>
      </c>
      <c r="S14" s="6">
        <v>147</v>
      </c>
      <c r="T14" s="6">
        <v>127</v>
      </c>
      <c r="U14" s="6">
        <v>81</v>
      </c>
      <c r="V14" s="6">
        <v>139</v>
      </c>
      <c r="W14" s="6">
        <v>98</v>
      </c>
      <c r="X14" s="6">
        <v>137</v>
      </c>
      <c r="Y14" s="6">
        <v>141</v>
      </c>
      <c r="Z14" s="6">
        <v>134</v>
      </c>
      <c r="AA14" s="6">
        <v>102</v>
      </c>
      <c r="AB14" s="6">
        <v>132</v>
      </c>
      <c r="AC14" s="6">
        <v>88</v>
      </c>
      <c r="AD14" s="6">
        <v>88</v>
      </c>
      <c r="AE14" s="6">
        <v>97</v>
      </c>
      <c r="AF14" s="6">
        <v>105</v>
      </c>
      <c r="AG14" s="6">
        <v>112</v>
      </c>
      <c r="AH14" s="6">
        <v>117</v>
      </c>
      <c r="AI14" s="6">
        <v>107</v>
      </c>
      <c r="AJ14" s="6">
        <v>104</v>
      </c>
      <c r="AK14" s="6">
        <v>109</v>
      </c>
      <c r="AL14" s="6">
        <v>143</v>
      </c>
      <c r="AM14" s="6">
        <v>126</v>
      </c>
      <c r="AN14" s="6">
        <v>109</v>
      </c>
      <c r="AO14" s="6">
        <v>99</v>
      </c>
      <c r="AP14" s="5">
        <f>SUM(E14:AO14)</f>
        <v>4371</v>
      </c>
    </row>
    <row r="15" spans="1:42" x14ac:dyDescent="0.4">
      <c r="A15" s="7"/>
      <c r="B15" s="105"/>
      <c r="C15" s="89"/>
      <c r="D15" s="6" t="s">
        <v>24</v>
      </c>
      <c r="E15" s="6">
        <v>148</v>
      </c>
      <c r="F15" s="6">
        <v>85</v>
      </c>
      <c r="G15" s="6">
        <v>124</v>
      </c>
      <c r="H15" s="6">
        <v>94</v>
      </c>
      <c r="I15" s="6">
        <v>110</v>
      </c>
      <c r="J15" s="6">
        <v>116</v>
      </c>
      <c r="K15" s="6">
        <v>144</v>
      </c>
      <c r="L15" s="6">
        <v>145</v>
      </c>
      <c r="M15" s="6">
        <v>145</v>
      </c>
      <c r="N15" s="6">
        <v>116</v>
      </c>
      <c r="O15" s="6">
        <v>108</v>
      </c>
      <c r="P15" s="6">
        <v>114</v>
      </c>
      <c r="Q15" s="6">
        <v>135</v>
      </c>
      <c r="R15" s="6">
        <v>153</v>
      </c>
      <c r="S15" s="6">
        <v>143</v>
      </c>
      <c r="T15" s="6">
        <v>141</v>
      </c>
      <c r="U15" s="6">
        <v>80</v>
      </c>
      <c r="V15" s="6">
        <v>145</v>
      </c>
      <c r="W15" s="6">
        <v>96</v>
      </c>
      <c r="X15" s="6">
        <v>131</v>
      </c>
      <c r="Y15" s="6">
        <v>149</v>
      </c>
      <c r="Z15" s="6">
        <v>142</v>
      </c>
      <c r="AA15" s="6">
        <v>109</v>
      </c>
      <c r="AB15" s="6">
        <v>132</v>
      </c>
      <c r="AC15" s="6">
        <v>107</v>
      </c>
      <c r="AD15" s="6">
        <v>96</v>
      </c>
      <c r="AE15" s="6">
        <v>102</v>
      </c>
      <c r="AF15" s="6">
        <v>103</v>
      </c>
      <c r="AG15" s="6">
        <v>141</v>
      </c>
      <c r="AH15" s="6">
        <v>103</v>
      </c>
      <c r="AI15" s="6">
        <v>105</v>
      </c>
      <c r="AJ15" s="6">
        <v>116</v>
      </c>
      <c r="AK15" s="6">
        <v>111</v>
      </c>
      <c r="AL15" s="6">
        <v>137</v>
      </c>
      <c r="AM15" s="6">
        <v>122</v>
      </c>
      <c r="AN15" s="6">
        <v>115</v>
      </c>
      <c r="AO15" s="6">
        <v>103</v>
      </c>
      <c r="AP15" s="5">
        <f>SUM(E15:AO15)</f>
        <v>4466</v>
      </c>
    </row>
    <row r="16" spans="1:42" x14ac:dyDescent="0.4">
      <c r="A16" s="8"/>
      <c r="B16" s="106"/>
      <c r="C16" s="90"/>
      <c r="D16" s="5" t="s">
        <v>25</v>
      </c>
      <c r="E16" s="5">
        <f t="shared" ref="E16:AO16" si="0">SUM(E14:E15)</f>
        <v>294</v>
      </c>
      <c r="F16" s="5">
        <f t="shared" si="0"/>
        <v>175</v>
      </c>
      <c r="G16" s="5">
        <f t="shared" si="0"/>
        <v>248</v>
      </c>
      <c r="H16" s="5">
        <f t="shared" si="0"/>
        <v>182</v>
      </c>
      <c r="I16" s="5">
        <f t="shared" si="0"/>
        <v>210</v>
      </c>
      <c r="J16" s="5">
        <f t="shared" si="0"/>
        <v>246</v>
      </c>
      <c r="K16" s="5">
        <f t="shared" si="0"/>
        <v>293</v>
      </c>
      <c r="L16" s="5">
        <f t="shared" si="0"/>
        <v>294</v>
      </c>
      <c r="M16" s="5">
        <f t="shared" si="0"/>
        <v>291</v>
      </c>
      <c r="N16" s="5">
        <f t="shared" si="0"/>
        <v>245</v>
      </c>
      <c r="O16" s="5">
        <f t="shared" ref="O16:S16" si="1">SUM(O14:O15)</f>
        <v>210</v>
      </c>
      <c r="P16" s="5">
        <f t="shared" si="1"/>
        <v>231</v>
      </c>
      <c r="Q16" s="5">
        <f t="shared" si="1"/>
        <v>252</v>
      </c>
      <c r="R16" s="5">
        <f t="shared" si="1"/>
        <v>295</v>
      </c>
      <c r="S16" s="5">
        <f t="shared" si="1"/>
        <v>290</v>
      </c>
      <c r="T16" s="5">
        <f t="shared" si="0"/>
        <v>268</v>
      </c>
      <c r="U16" s="5">
        <f t="shared" si="0"/>
        <v>161</v>
      </c>
      <c r="V16" s="5">
        <f t="shared" si="0"/>
        <v>284</v>
      </c>
      <c r="W16" s="5">
        <f t="shared" si="0"/>
        <v>194</v>
      </c>
      <c r="X16" s="5">
        <f t="shared" si="0"/>
        <v>268</v>
      </c>
      <c r="Y16" s="5">
        <f t="shared" ref="Y16:AC16" si="2">SUM(Y14:Y15)</f>
        <v>290</v>
      </c>
      <c r="Z16" s="5">
        <f t="shared" si="2"/>
        <v>276</v>
      </c>
      <c r="AA16" s="5">
        <f t="shared" si="2"/>
        <v>211</v>
      </c>
      <c r="AB16" s="5">
        <f t="shared" si="2"/>
        <v>264</v>
      </c>
      <c r="AC16" s="5">
        <f t="shared" si="2"/>
        <v>195</v>
      </c>
      <c r="AD16" s="5">
        <f t="shared" si="0"/>
        <v>184</v>
      </c>
      <c r="AE16" s="5">
        <f t="shared" si="0"/>
        <v>199</v>
      </c>
      <c r="AF16" s="5">
        <f t="shared" si="0"/>
        <v>208</v>
      </c>
      <c r="AG16" s="5">
        <f t="shared" si="0"/>
        <v>253</v>
      </c>
      <c r="AH16" s="5">
        <f t="shared" si="0"/>
        <v>220</v>
      </c>
      <c r="AI16" s="5">
        <f t="shared" ref="AI16:AM16" si="3">SUM(AI14:AI15)</f>
        <v>212</v>
      </c>
      <c r="AJ16" s="5">
        <f t="shared" si="3"/>
        <v>220</v>
      </c>
      <c r="AK16" s="5">
        <f t="shared" si="3"/>
        <v>220</v>
      </c>
      <c r="AL16" s="5">
        <f t="shared" si="3"/>
        <v>280</v>
      </c>
      <c r="AM16" s="5">
        <f t="shared" si="3"/>
        <v>248</v>
      </c>
      <c r="AN16" s="5">
        <f t="shared" si="0"/>
        <v>224</v>
      </c>
      <c r="AO16" s="5">
        <f t="shared" si="0"/>
        <v>202</v>
      </c>
      <c r="AP16" s="5">
        <f>SUM(E16:AO16)</f>
        <v>8837</v>
      </c>
    </row>
    <row r="17" spans="1:42" x14ac:dyDescent="0.4">
      <c r="A17" s="70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  <c r="AG17" s="6"/>
      <c r="AH17" s="10"/>
      <c r="AI17" s="6"/>
      <c r="AJ17" s="6"/>
      <c r="AK17" s="6"/>
      <c r="AL17" s="6"/>
      <c r="AM17" s="10"/>
      <c r="AN17" s="6"/>
      <c r="AO17" s="6"/>
      <c r="AP17" s="28"/>
    </row>
    <row r="18" spans="1:42" x14ac:dyDescent="0.4">
      <c r="A18" s="11" t="s">
        <v>26</v>
      </c>
      <c r="B18" s="93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6"/>
      <c r="AF18" s="6"/>
      <c r="AG18" s="6"/>
      <c r="AH18" s="10"/>
      <c r="AI18" s="6"/>
      <c r="AJ18" s="6"/>
      <c r="AK18" s="6"/>
      <c r="AL18" s="6"/>
      <c r="AM18" s="10"/>
      <c r="AN18" s="6"/>
      <c r="AO18" s="6"/>
      <c r="AP18" s="28"/>
    </row>
    <row r="19" spans="1:42" x14ac:dyDescent="0.4">
      <c r="A19" s="11"/>
      <c r="B19" s="94" t="s">
        <v>28</v>
      </c>
      <c r="C19" s="95" t="s">
        <v>29</v>
      </c>
      <c r="D19" s="6" t="s">
        <v>23</v>
      </c>
      <c r="E19" s="6">
        <v>99</v>
      </c>
      <c r="F19" s="6">
        <v>69</v>
      </c>
      <c r="G19" s="6">
        <v>95</v>
      </c>
      <c r="H19" s="6">
        <v>53</v>
      </c>
      <c r="I19" s="6">
        <v>84</v>
      </c>
      <c r="J19" s="6">
        <v>98</v>
      </c>
      <c r="K19" s="6">
        <v>111</v>
      </c>
      <c r="L19" s="6">
        <v>112</v>
      </c>
      <c r="M19" s="6">
        <v>109</v>
      </c>
      <c r="N19" s="6">
        <v>90</v>
      </c>
      <c r="O19" s="6">
        <v>77</v>
      </c>
      <c r="P19" s="6">
        <v>80</v>
      </c>
      <c r="Q19" s="6">
        <v>95</v>
      </c>
      <c r="R19" s="6">
        <v>101</v>
      </c>
      <c r="S19" s="6">
        <v>107</v>
      </c>
      <c r="T19" s="6">
        <v>88</v>
      </c>
      <c r="U19" s="6">
        <v>64</v>
      </c>
      <c r="V19" s="6">
        <v>114</v>
      </c>
      <c r="W19" s="6">
        <v>74</v>
      </c>
      <c r="X19" s="6">
        <v>104</v>
      </c>
      <c r="Y19" s="6">
        <v>115</v>
      </c>
      <c r="Z19" s="6">
        <v>85</v>
      </c>
      <c r="AA19" s="6">
        <v>75</v>
      </c>
      <c r="AB19" s="6">
        <v>89</v>
      </c>
      <c r="AC19" s="6">
        <v>73</v>
      </c>
      <c r="AD19" s="6">
        <v>69</v>
      </c>
      <c r="AE19" s="6">
        <v>82</v>
      </c>
      <c r="AF19" s="6">
        <v>83</v>
      </c>
      <c r="AG19" s="6">
        <v>89</v>
      </c>
      <c r="AH19" s="6">
        <v>92</v>
      </c>
      <c r="AI19" s="6">
        <v>74</v>
      </c>
      <c r="AJ19" s="6">
        <v>86</v>
      </c>
      <c r="AK19" s="6">
        <v>93</v>
      </c>
      <c r="AL19" s="6">
        <v>95</v>
      </c>
      <c r="AM19" s="6">
        <v>104</v>
      </c>
      <c r="AN19" s="6">
        <v>82</v>
      </c>
      <c r="AO19" s="6">
        <v>90</v>
      </c>
      <c r="AP19" s="5">
        <f t="shared" ref="AP19:AP30" si="4">SUM(E19:AO19)</f>
        <v>3300</v>
      </c>
    </row>
    <row r="20" spans="1:42" x14ac:dyDescent="0.4">
      <c r="A20" s="12"/>
      <c r="B20" s="89"/>
      <c r="C20" s="96"/>
      <c r="D20" s="6" t="s">
        <v>24</v>
      </c>
      <c r="E20" s="6">
        <v>122</v>
      </c>
      <c r="F20" s="6">
        <v>69</v>
      </c>
      <c r="G20" s="6">
        <v>98</v>
      </c>
      <c r="H20" s="6">
        <v>73</v>
      </c>
      <c r="I20" s="6">
        <v>75</v>
      </c>
      <c r="J20" s="6">
        <v>97</v>
      </c>
      <c r="K20" s="6">
        <v>121</v>
      </c>
      <c r="L20" s="6">
        <v>123</v>
      </c>
      <c r="M20" s="6">
        <v>119</v>
      </c>
      <c r="N20" s="6">
        <v>94</v>
      </c>
      <c r="O20" s="6">
        <v>84</v>
      </c>
      <c r="P20" s="6">
        <v>91</v>
      </c>
      <c r="Q20" s="6">
        <v>108</v>
      </c>
      <c r="R20" s="6">
        <v>116</v>
      </c>
      <c r="S20" s="6">
        <v>106</v>
      </c>
      <c r="T20" s="6">
        <v>103</v>
      </c>
      <c r="U20" s="6">
        <v>66</v>
      </c>
      <c r="V20" s="6">
        <v>122</v>
      </c>
      <c r="W20" s="6">
        <v>79</v>
      </c>
      <c r="X20" s="6">
        <v>107</v>
      </c>
      <c r="Y20" s="6">
        <v>125</v>
      </c>
      <c r="Z20" s="6">
        <v>106</v>
      </c>
      <c r="AA20" s="6">
        <v>94</v>
      </c>
      <c r="AB20" s="6">
        <v>89</v>
      </c>
      <c r="AC20" s="6">
        <v>87</v>
      </c>
      <c r="AD20" s="6">
        <v>77</v>
      </c>
      <c r="AE20" s="6">
        <v>86</v>
      </c>
      <c r="AF20" s="6">
        <v>93</v>
      </c>
      <c r="AG20" s="6">
        <v>107</v>
      </c>
      <c r="AH20" s="6">
        <v>89</v>
      </c>
      <c r="AI20" s="6">
        <v>87</v>
      </c>
      <c r="AJ20" s="6">
        <v>98</v>
      </c>
      <c r="AK20" s="6">
        <v>92</v>
      </c>
      <c r="AL20" s="6">
        <v>115</v>
      </c>
      <c r="AM20" s="6">
        <v>99</v>
      </c>
      <c r="AN20" s="6">
        <v>98</v>
      </c>
      <c r="AO20" s="6">
        <v>98</v>
      </c>
      <c r="AP20" s="5">
        <f t="shared" si="4"/>
        <v>3613</v>
      </c>
    </row>
    <row r="21" spans="1:42" x14ac:dyDescent="0.4">
      <c r="A21" s="13"/>
      <c r="B21" s="90"/>
      <c r="C21" s="97"/>
      <c r="D21" s="5" t="s">
        <v>25</v>
      </c>
      <c r="E21" s="5">
        <f t="shared" ref="E21:AO21" si="5">SUM(E19:E20)</f>
        <v>221</v>
      </c>
      <c r="F21" s="5">
        <f t="shared" si="5"/>
        <v>138</v>
      </c>
      <c r="G21" s="5">
        <f t="shared" si="5"/>
        <v>193</v>
      </c>
      <c r="H21" s="5">
        <f t="shared" si="5"/>
        <v>126</v>
      </c>
      <c r="I21" s="5">
        <f t="shared" si="5"/>
        <v>159</v>
      </c>
      <c r="J21" s="5">
        <f t="shared" si="5"/>
        <v>195</v>
      </c>
      <c r="K21" s="5">
        <f t="shared" si="5"/>
        <v>232</v>
      </c>
      <c r="L21" s="5">
        <f t="shared" si="5"/>
        <v>235</v>
      </c>
      <c r="M21" s="5">
        <f t="shared" si="5"/>
        <v>228</v>
      </c>
      <c r="N21" s="5">
        <f t="shared" si="5"/>
        <v>184</v>
      </c>
      <c r="O21" s="5">
        <f t="shared" ref="O21:S21" si="6">SUM(O19:O20)</f>
        <v>161</v>
      </c>
      <c r="P21" s="5">
        <f t="shared" si="6"/>
        <v>171</v>
      </c>
      <c r="Q21" s="5">
        <f t="shared" si="6"/>
        <v>203</v>
      </c>
      <c r="R21" s="5">
        <f t="shared" si="6"/>
        <v>217</v>
      </c>
      <c r="S21" s="5">
        <f t="shared" si="6"/>
        <v>213</v>
      </c>
      <c r="T21" s="5">
        <f t="shared" si="5"/>
        <v>191</v>
      </c>
      <c r="U21" s="5">
        <f t="shared" si="5"/>
        <v>130</v>
      </c>
      <c r="V21" s="5">
        <f t="shared" si="5"/>
        <v>236</v>
      </c>
      <c r="W21" s="5">
        <f t="shared" si="5"/>
        <v>153</v>
      </c>
      <c r="X21" s="5">
        <f t="shared" si="5"/>
        <v>211</v>
      </c>
      <c r="Y21" s="5">
        <f t="shared" ref="Y21:AC21" si="7">SUM(Y19:Y20)</f>
        <v>240</v>
      </c>
      <c r="Z21" s="5">
        <f t="shared" si="7"/>
        <v>191</v>
      </c>
      <c r="AA21" s="5">
        <f t="shared" si="7"/>
        <v>169</v>
      </c>
      <c r="AB21" s="5">
        <f t="shared" si="7"/>
        <v>178</v>
      </c>
      <c r="AC21" s="5">
        <f t="shared" si="7"/>
        <v>160</v>
      </c>
      <c r="AD21" s="5">
        <f t="shared" si="5"/>
        <v>146</v>
      </c>
      <c r="AE21" s="5">
        <f t="shared" si="5"/>
        <v>168</v>
      </c>
      <c r="AF21" s="5">
        <f t="shared" si="5"/>
        <v>176</v>
      </c>
      <c r="AG21" s="5">
        <f t="shared" si="5"/>
        <v>196</v>
      </c>
      <c r="AH21" s="5">
        <f t="shared" si="5"/>
        <v>181</v>
      </c>
      <c r="AI21" s="5">
        <f t="shared" ref="AI21:AM21" si="8">SUM(AI19:AI20)</f>
        <v>161</v>
      </c>
      <c r="AJ21" s="5">
        <f t="shared" si="8"/>
        <v>184</v>
      </c>
      <c r="AK21" s="5">
        <f t="shared" si="8"/>
        <v>185</v>
      </c>
      <c r="AL21" s="5">
        <f t="shared" si="8"/>
        <v>210</v>
      </c>
      <c r="AM21" s="5">
        <f t="shared" si="8"/>
        <v>203</v>
      </c>
      <c r="AN21" s="5">
        <f t="shared" si="5"/>
        <v>180</v>
      </c>
      <c r="AO21" s="5">
        <f t="shared" si="5"/>
        <v>188</v>
      </c>
      <c r="AP21" s="5">
        <f t="shared" si="4"/>
        <v>6913</v>
      </c>
    </row>
    <row r="22" spans="1:42" x14ac:dyDescent="0.4">
      <c r="A22" s="12"/>
      <c r="B22" s="94" t="s">
        <v>30</v>
      </c>
      <c r="C22" s="95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2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1</v>
      </c>
      <c r="AH22" s="6">
        <v>1</v>
      </c>
      <c r="AI22" s="6">
        <v>1</v>
      </c>
      <c r="AJ22" s="6">
        <v>2</v>
      </c>
      <c r="AK22" s="6">
        <v>1</v>
      </c>
      <c r="AL22" s="6">
        <v>0</v>
      </c>
      <c r="AM22" s="6">
        <v>1</v>
      </c>
      <c r="AN22" s="6">
        <v>1</v>
      </c>
      <c r="AO22" s="6">
        <v>1</v>
      </c>
      <c r="AP22" s="5">
        <f t="shared" si="4"/>
        <v>13</v>
      </c>
    </row>
    <row r="23" spans="1:42" x14ac:dyDescent="0.4">
      <c r="A23" s="12"/>
      <c r="B23" s="89"/>
      <c r="C23" s="96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6">
        <v>2</v>
      </c>
      <c r="W23" s="6">
        <v>1</v>
      </c>
      <c r="X23" s="6">
        <v>0</v>
      </c>
      <c r="Y23" s="6">
        <v>1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2</v>
      </c>
      <c r="AG23" s="6">
        <v>0</v>
      </c>
      <c r="AH23" s="6">
        <v>0</v>
      </c>
      <c r="AI23" s="6">
        <v>0</v>
      </c>
      <c r="AJ23" s="6">
        <v>2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5">
        <f t="shared" si="4"/>
        <v>10</v>
      </c>
    </row>
    <row r="24" spans="1:42" x14ac:dyDescent="0.4">
      <c r="A24" s="13"/>
      <c r="B24" s="90"/>
      <c r="C24" s="97"/>
      <c r="D24" s="5" t="s">
        <v>25</v>
      </c>
      <c r="E24" s="5">
        <f t="shared" ref="E24:AO24" si="9">SUM(E22:E23)</f>
        <v>0</v>
      </c>
      <c r="F24" s="5">
        <f t="shared" si="9"/>
        <v>0</v>
      </c>
      <c r="G24" s="5">
        <f t="shared" si="9"/>
        <v>0</v>
      </c>
      <c r="H24" s="5">
        <f t="shared" si="9"/>
        <v>0</v>
      </c>
      <c r="I24" s="5">
        <f t="shared" si="9"/>
        <v>1</v>
      </c>
      <c r="J24" s="5">
        <f t="shared" si="9"/>
        <v>0</v>
      </c>
      <c r="K24" s="5">
        <f t="shared" si="9"/>
        <v>0</v>
      </c>
      <c r="L24" s="5">
        <f t="shared" si="9"/>
        <v>0</v>
      </c>
      <c r="M24" s="5">
        <f t="shared" si="9"/>
        <v>0</v>
      </c>
      <c r="N24" s="5">
        <f t="shared" si="9"/>
        <v>1</v>
      </c>
      <c r="O24" s="5">
        <f t="shared" ref="O24:S24" si="10">SUM(O22:O23)</f>
        <v>0</v>
      </c>
      <c r="P24" s="5">
        <f t="shared" si="10"/>
        <v>0</v>
      </c>
      <c r="Q24" s="5">
        <f t="shared" si="10"/>
        <v>1</v>
      </c>
      <c r="R24" s="5">
        <f t="shared" si="10"/>
        <v>0</v>
      </c>
      <c r="S24" s="5">
        <f t="shared" si="10"/>
        <v>0</v>
      </c>
      <c r="T24" s="5">
        <f t="shared" si="9"/>
        <v>0</v>
      </c>
      <c r="U24" s="5">
        <f t="shared" si="9"/>
        <v>0</v>
      </c>
      <c r="V24" s="5">
        <f t="shared" si="9"/>
        <v>4</v>
      </c>
      <c r="W24" s="5">
        <f t="shared" si="9"/>
        <v>2</v>
      </c>
      <c r="X24" s="5">
        <f t="shared" si="9"/>
        <v>0</v>
      </c>
      <c r="Y24" s="5">
        <f t="shared" ref="Y24:AC24" si="11">SUM(Y22:Y23)</f>
        <v>1</v>
      </c>
      <c r="Z24" s="5">
        <f t="shared" si="11"/>
        <v>0</v>
      </c>
      <c r="AA24" s="5">
        <f t="shared" si="11"/>
        <v>0</v>
      </c>
      <c r="AB24" s="5">
        <f t="shared" si="11"/>
        <v>0</v>
      </c>
      <c r="AC24" s="5">
        <f t="shared" si="11"/>
        <v>0</v>
      </c>
      <c r="AD24" s="5">
        <f t="shared" si="9"/>
        <v>0</v>
      </c>
      <c r="AE24" s="5">
        <f t="shared" si="9"/>
        <v>0</v>
      </c>
      <c r="AF24" s="5">
        <f t="shared" si="9"/>
        <v>2</v>
      </c>
      <c r="AG24" s="5">
        <f t="shared" si="9"/>
        <v>1</v>
      </c>
      <c r="AH24" s="5">
        <f t="shared" si="9"/>
        <v>1</v>
      </c>
      <c r="AI24" s="5">
        <f t="shared" ref="AI24:AM24" si="12">SUM(AI22:AI23)</f>
        <v>1</v>
      </c>
      <c r="AJ24" s="5">
        <f t="shared" si="12"/>
        <v>4</v>
      </c>
      <c r="AK24" s="5">
        <f t="shared" si="12"/>
        <v>1</v>
      </c>
      <c r="AL24" s="5">
        <f t="shared" si="12"/>
        <v>0</v>
      </c>
      <c r="AM24" s="5">
        <f t="shared" si="12"/>
        <v>1</v>
      </c>
      <c r="AN24" s="5">
        <f t="shared" si="9"/>
        <v>1</v>
      </c>
      <c r="AO24" s="5">
        <f t="shared" si="9"/>
        <v>1</v>
      </c>
      <c r="AP24" s="5">
        <f t="shared" si="4"/>
        <v>23</v>
      </c>
    </row>
    <row r="25" spans="1:42" x14ac:dyDescent="0.4">
      <c r="A25" s="12"/>
      <c r="B25" s="94" t="s">
        <v>32</v>
      </c>
      <c r="C25" s="95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1</v>
      </c>
      <c r="I25" s="6">
        <v>0</v>
      </c>
      <c r="J25" s="6">
        <v>1</v>
      </c>
      <c r="K25" s="6">
        <v>0</v>
      </c>
      <c r="L25" s="6">
        <v>1</v>
      </c>
      <c r="M25" s="6">
        <v>0</v>
      </c>
      <c r="N25" s="6">
        <v>0</v>
      </c>
      <c r="O25" s="6">
        <v>0</v>
      </c>
      <c r="P25" s="6">
        <v>1</v>
      </c>
      <c r="Q25" s="6">
        <v>0</v>
      </c>
      <c r="R25" s="6">
        <v>4</v>
      </c>
      <c r="S25" s="6">
        <v>0</v>
      </c>
      <c r="T25" s="6">
        <v>3</v>
      </c>
      <c r="U25" s="6">
        <v>0</v>
      </c>
      <c r="V25" s="6">
        <v>1</v>
      </c>
      <c r="W25" s="6">
        <v>1</v>
      </c>
      <c r="X25" s="6">
        <v>2</v>
      </c>
      <c r="Y25" s="6">
        <v>0</v>
      </c>
      <c r="Z25" s="6">
        <v>2</v>
      </c>
      <c r="AA25" s="6">
        <v>4</v>
      </c>
      <c r="AB25" s="6">
        <v>4</v>
      </c>
      <c r="AC25" s="6">
        <v>0</v>
      </c>
      <c r="AD25" s="6">
        <v>0</v>
      </c>
      <c r="AE25" s="6">
        <v>3</v>
      </c>
      <c r="AF25" s="6">
        <v>0</v>
      </c>
      <c r="AG25" s="6">
        <v>0</v>
      </c>
      <c r="AH25" s="6">
        <v>5</v>
      </c>
      <c r="AI25" s="6">
        <v>2</v>
      </c>
      <c r="AJ25" s="6">
        <v>0</v>
      </c>
      <c r="AK25" s="6">
        <v>1</v>
      </c>
      <c r="AL25" s="6">
        <v>0</v>
      </c>
      <c r="AM25" s="6">
        <v>0</v>
      </c>
      <c r="AN25" s="6">
        <v>0</v>
      </c>
      <c r="AO25" s="6">
        <v>0</v>
      </c>
      <c r="AP25" s="5">
        <f t="shared" si="4"/>
        <v>37</v>
      </c>
    </row>
    <row r="26" spans="1:42" x14ac:dyDescent="0.4">
      <c r="A26" s="12"/>
      <c r="B26" s="89"/>
      <c r="C26" s="96"/>
      <c r="D26" s="6" t="s">
        <v>24</v>
      </c>
      <c r="E26" s="6">
        <v>0</v>
      </c>
      <c r="F26" s="6">
        <v>1</v>
      </c>
      <c r="G26" s="6">
        <v>2</v>
      </c>
      <c r="H26" s="6">
        <v>1</v>
      </c>
      <c r="I26" s="6">
        <v>3</v>
      </c>
      <c r="J26" s="6">
        <v>3</v>
      </c>
      <c r="K26" s="6">
        <v>0</v>
      </c>
      <c r="L26" s="6">
        <v>2</v>
      </c>
      <c r="M26" s="6">
        <v>1</v>
      </c>
      <c r="N26" s="6">
        <v>0</v>
      </c>
      <c r="O26" s="6">
        <v>3</v>
      </c>
      <c r="P26" s="6">
        <v>1</v>
      </c>
      <c r="Q26" s="6">
        <v>0</v>
      </c>
      <c r="R26" s="6">
        <v>9</v>
      </c>
      <c r="S26" s="6">
        <v>0</v>
      </c>
      <c r="T26" s="6">
        <v>5</v>
      </c>
      <c r="U26" s="6">
        <v>0</v>
      </c>
      <c r="V26" s="6">
        <v>1</v>
      </c>
      <c r="W26" s="6">
        <v>0</v>
      </c>
      <c r="X26" s="6">
        <v>1</v>
      </c>
      <c r="Y26" s="6">
        <v>0</v>
      </c>
      <c r="Z26" s="6">
        <v>3</v>
      </c>
      <c r="AA26" s="6">
        <v>3</v>
      </c>
      <c r="AB26" s="6">
        <v>3</v>
      </c>
      <c r="AC26" s="6">
        <v>2</v>
      </c>
      <c r="AD26" s="6">
        <v>0</v>
      </c>
      <c r="AE26" s="6">
        <v>2</v>
      </c>
      <c r="AF26" s="6">
        <v>0</v>
      </c>
      <c r="AG26" s="6">
        <v>0</v>
      </c>
      <c r="AH26" s="6">
        <v>4</v>
      </c>
      <c r="AI26" s="6">
        <v>3</v>
      </c>
      <c r="AJ26" s="6">
        <v>0</v>
      </c>
      <c r="AK26" s="6">
        <v>2</v>
      </c>
      <c r="AL26" s="6">
        <v>0</v>
      </c>
      <c r="AM26" s="6">
        <v>4</v>
      </c>
      <c r="AN26" s="6">
        <v>0</v>
      </c>
      <c r="AO26" s="6">
        <v>0</v>
      </c>
      <c r="AP26" s="5">
        <f t="shared" si="4"/>
        <v>59</v>
      </c>
    </row>
    <row r="27" spans="1:42" x14ac:dyDescent="0.4">
      <c r="A27" s="13"/>
      <c r="B27" s="90"/>
      <c r="C27" s="97"/>
      <c r="D27" s="5" t="s">
        <v>25</v>
      </c>
      <c r="E27" s="5">
        <f t="shared" ref="E27:AO27" si="13">SUM(E25:E26)</f>
        <v>0</v>
      </c>
      <c r="F27" s="5">
        <f t="shared" si="13"/>
        <v>2</v>
      </c>
      <c r="G27" s="5">
        <f t="shared" si="13"/>
        <v>2</v>
      </c>
      <c r="H27" s="5">
        <f t="shared" si="13"/>
        <v>2</v>
      </c>
      <c r="I27" s="5">
        <f t="shared" si="13"/>
        <v>3</v>
      </c>
      <c r="J27" s="5">
        <f t="shared" si="13"/>
        <v>4</v>
      </c>
      <c r="K27" s="5">
        <f t="shared" si="13"/>
        <v>0</v>
      </c>
      <c r="L27" s="5">
        <f t="shared" si="13"/>
        <v>3</v>
      </c>
      <c r="M27" s="5">
        <f t="shared" si="13"/>
        <v>1</v>
      </c>
      <c r="N27" s="5">
        <f t="shared" si="13"/>
        <v>0</v>
      </c>
      <c r="O27" s="5">
        <f t="shared" ref="O27:S27" si="14">SUM(O25:O26)</f>
        <v>3</v>
      </c>
      <c r="P27" s="5">
        <f t="shared" si="14"/>
        <v>2</v>
      </c>
      <c r="Q27" s="5">
        <f t="shared" si="14"/>
        <v>0</v>
      </c>
      <c r="R27" s="5">
        <f t="shared" si="14"/>
        <v>13</v>
      </c>
      <c r="S27" s="5">
        <f t="shared" si="14"/>
        <v>0</v>
      </c>
      <c r="T27" s="5">
        <f t="shared" si="13"/>
        <v>8</v>
      </c>
      <c r="U27" s="5">
        <f t="shared" si="13"/>
        <v>0</v>
      </c>
      <c r="V27" s="5">
        <f t="shared" si="13"/>
        <v>2</v>
      </c>
      <c r="W27" s="5">
        <f t="shared" si="13"/>
        <v>1</v>
      </c>
      <c r="X27" s="5">
        <f t="shared" si="13"/>
        <v>3</v>
      </c>
      <c r="Y27" s="5">
        <f t="shared" ref="Y27:AC27" si="15">SUM(Y25:Y26)</f>
        <v>0</v>
      </c>
      <c r="Z27" s="5">
        <f t="shared" si="15"/>
        <v>5</v>
      </c>
      <c r="AA27" s="5">
        <f t="shared" si="15"/>
        <v>7</v>
      </c>
      <c r="AB27" s="5">
        <f t="shared" si="15"/>
        <v>7</v>
      </c>
      <c r="AC27" s="5">
        <f t="shared" si="15"/>
        <v>2</v>
      </c>
      <c r="AD27" s="5">
        <f t="shared" si="13"/>
        <v>0</v>
      </c>
      <c r="AE27" s="5">
        <f t="shared" si="13"/>
        <v>5</v>
      </c>
      <c r="AF27" s="5">
        <f t="shared" si="13"/>
        <v>0</v>
      </c>
      <c r="AG27" s="5">
        <f t="shared" si="13"/>
        <v>0</v>
      </c>
      <c r="AH27" s="5">
        <f t="shared" si="13"/>
        <v>9</v>
      </c>
      <c r="AI27" s="5">
        <f t="shared" ref="AI27:AM27" si="16">SUM(AI25:AI26)</f>
        <v>5</v>
      </c>
      <c r="AJ27" s="5">
        <f t="shared" si="16"/>
        <v>0</v>
      </c>
      <c r="AK27" s="5">
        <f t="shared" si="16"/>
        <v>3</v>
      </c>
      <c r="AL27" s="5">
        <f t="shared" si="16"/>
        <v>0</v>
      </c>
      <c r="AM27" s="5">
        <f t="shared" si="16"/>
        <v>4</v>
      </c>
      <c r="AN27" s="5">
        <f t="shared" si="13"/>
        <v>0</v>
      </c>
      <c r="AO27" s="5">
        <f t="shared" si="13"/>
        <v>0</v>
      </c>
      <c r="AP27" s="5">
        <f t="shared" si="4"/>
        <v>96</v>
      </c>
    </row>
    <row r="28" spans="1:42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99</v>
      </c>
      <c r="F28" s="5">
        <f t="shared" ref="F28:AO29" si="17">SUM(F19,F22,F25)</f>
        <v>70</v>
      </c>
      <c r="G28" s="5">
        <f t="shared" si="17"/>
        <v>95</v>
      </c>
      <c r="H28" s="5">
        <f t="shared" si="17"/>
        <v>54</v>
      </c>
      <c r="I28" s="5">
        <f t="shared" si="17"/>
        <v>85</v>
      </c>
      <c r="J28" s="5">
        <f t="shared" si="17"/>
        <v>99</v>
      </c>
      <c r="K28" s="5">
        <f t="shared" si="17"/>
        <v>111</v>
      </c>
      <c r="L28" s="5">
        <f t="shared" si="17"/>
        <v>113</v>
      </c>
      <c r="M28" s="5">
        <f t="shared" si="17"/>
        <v>109</v>
      </c>
      <c r="N28" s="5">
        <f t="shared" si="17"/>
        <v>90</v>
      </c>
      <c r="O28" s="5">
        <f t="shared" ref="O28:S28" si="18">SUM(O19,O22,O25)</f>
        <v>77</v>
      </c>
      <c r="P28" s="5">
        <f t="shared" si="18"/>
        <v>81</v>
      </c>
      <c r="Q28" s="5">
        <f t="shared" si="18"/>
        <v>95</v>
      </c>
      <c r="R28" s="5">
        <f t="shared" si="18"/>
        <v>105</v>
      </c>
      <c r="S28" s="5">
        <f t="shared" si="18"/>
        <v>107</v>
      </c>
      <c r="T28" s="5">
        <f t="shared" si="17"/>
        <v>91</v>
      </c>
      <c r="U28" s="5">
        <f t="shared" si="17"/>
        <v>64</v>
      </c>
      <c r="V28" s="5">
        <f t="shared" si="17"/>
        <v>117</v>
      </c>
      <c r="W28" s="5">
        <f t="shared" si="17"/>
        <v>76</v>
      </c>
      <c r="X28" s="5">
        <f t="shared" si="17"/>
        <v>106</v>
      </c>
      <c r="Y28" s="5">
        <f t="shared" ref="Y28:AC28" si="19">SUM(Y19,Y22,Y25)</f>
        <v>115</v>
      </c>
      <c r="Z28" s="5">
        <f t="shared" si="19"/>
        <v>87</v>
      </c>
      <c r="AA28" s="5">
        <f t="shared" si="19"/>
        <v>79</v>
      </c>
      <c r="AB28" s="5">
        <f t="shared" si="19"/>
        <v>93</v>
      </c>
      <c r="AC28" s="5">
        <f t="shared" si="19"/>
        <v>73</v>
      </c>
      <c r="AD28" s="5">
        <f t="shared" si="17"/>
        <v>69</v>
      </c>
      <c r="AE28" s="5">
        <f t="shared" si="17"/>
        <v>85</v>
      </c>
      <c r="AF28" s="5">
        <f t="shared" si="17"/>
        <v>83</v>
      </c>
      <c r="AG28" s="5">
        <f t="shared" si="17"/>
        <v>90</v>
      </c>
      <c r="AH28" s="5">
        <f t="shared" si="17"/>
        <v>98</v>
      </c>
      <c r="AI28" s="5">
        <f t="shared" ref="AI28:AM28" si="20">SUM(AI19,AI22,AI25)</f>
        <v>77</v>
      </c>
      <c r="AJ28" s="5">
        <f t="shared" si="20"/>
        <v>88</v>
      </c>
      <c r="AK28" s="5">
        <f t="shared" si="20"/>
        <v>95</v>
      </c>
      <c r="AL28" s="5">
        <f t="shared" si="20"/>
        <v>95</v>
      </c>
      <c r="AM28" s="5">
        <f t="shared" si="20"/>
        <v>105</v>
      </c>
      <c r="AN28" s="5">
        <f t="shared" si="17"/>
        <v>83</v>
      </c>
      <c r="AO28" s="5">
        <f t="shared" si="17"/>
        <v>91</v>
      </c>
      <c r="AP28" s="5">
        <f t="shared" si="4"/>
        <v>3350</v>
      </c>
    </row>
    <row r="29" spans="1:42" x14ac:dyDescent="0.4">
      <c r="A29" s="13"/>
      <c r="B29" s="89"/>
      <c r="C29" s="96"/>
      <c r="D29" s="5" t="s">
        <v>24</v>
      </c>
      <c r="E29" s="5">
        <f>SUM(E20,E23,E26)</f>
        <v>122</v>
      </c>
      <c r="F29" s="5">
        <f t="shared" si="17"/>
        <v>70</v>
      </c>
      <c r="G29" s="5">
        <f t="shared" si="17"/>
        <v>100</v>
      </c>
      <c r="H29" s="5">
        <f t="shared" si="17"/>
        <v>74</v>
      </c>
      <c r="I29" s="5">
        <f t="shared" si="17"/>
        <v>78</v>
      </c>
      <c r="J29" s="5">
        <f t="shared" si="17"/>
        <v>100</v>
      </c>
      <c r="K29" s="5">
        <f t="shared" si="17"/>
        <v>121</v>
      </c>
      <c r="L29" s="5">
        <f t="shared" si="17"/>
        <v>125</v>
      </c>
      <c r="M29" s="5">
        <f t="shared" si="17"/>
        <v>120</v>
      </c>
      <c r="N29" s="5">
        <f t="shared" si="17"/>
        <v>95</v>
      </c>
      <c r="O29" s="5">
        <f t="shared" ref="O29:S29" si="21">SUM(O20,O23,O26)</f>
        <v>87</v>
      </c>
      <c r="P29" s="5">
        <f t="shared" si="21"/>
        <v>92</v>
      </c>
      <c r="Q29" s="5">
        <f t="shared" si="21"/>
        <v>109</v>
      </c>
      <c r="R29" s="5">
        <f t="shared" si="21"/>
        <v>125</v>
      </c>
      <c r="S29" s="5">
        <f t="shared" si="21"/>
        <v>106</v>
      </c>
      <c r="T29" s="5">
        <f t="shared" si="17"/>
        <v>108</v>
      </c>
      <c r="U29" s="5">
        <f t="shared" si="17"/>
        <v>66</v>
      </c>
      <c r="V29" s="5">
        <f t="shared" si="17"/>
        <v>125</v>
      </c>
      <c r="W29" s="5">
        <f t="shared" si="17"/>
        <v>80</v>
      </c>
      <c r="X29" s="5">
        <f t="shared" si="17"/>
        <v>108</v>
      </c>
      <c r="Y29" s="5">
        <f t="shared" ref="Y29:AC29" si="22">SUM(Y20,Y23,Y26)</f>
        <v>126</v>
      </c>
      <c r="Z29" s="5">
        <f t="shared" si="22"/>
        <v>109</v>
      </c>
      <c r="AA29" s="5">
        <f t="shared" si="22"/>
        <v>97</v>
      </c>
      <c r="AB29" s="5">
        <f t="shared" si="22"/>
        <v>92</v>
      </c>
      <c r="AC29" s="5">
        <f t="shared" si="22"/>
        <v>89</v>
      </c>
      <c r="AD29" s="5">
        <f t="shared" si="17"/>
        <v>77</v>
      </c>
      <c r="AE29" s="5">
        <f t="shared" si="17"/>
        <v>88</v>
      </c>
      <c r="AF29" s="5">
        <f t="shared" si="17"/>
        <v>95</v>
      </c>
      <c r="AG29" s="5">
        <f t="shared" si="17"/>
        <v>107</v>
      </c>
      <c r="AH29" s="5">
        <f t="shared" si="17"/>
        <v>93</v>
      </c>
      <c r="AI29" s="5">
        <f t="shared" ref="AI29:AM29" si="23">SUM(AI20,AI23,AI26)</f>
        <v>90</v>
      </c>
      <c r="AJ29" s="5">
        <f t="shared" si="23"/>
        <v>100</v>
      </c>
      <c r="AK29" s="5">
        <f t="shared" si="23"/>
        <v>94</v>
      </c>
      <c r="AL29" s="5">
        <f t="shared" si="23"/>
        <v>115</v>
      </c>
      <c r="AM29" s="5">
        <f t="shared" si="23"/>
        <v>103</v>
      </c>
      <c r="AN29" s="5">
        <f t="shared" si="17"/>
        <v>98</v>
      </c>
      <c r="AO29" s="5">
        <f t="shared" si="17"/>
        <v>98</v>
      </c>
      <c r="AP29" s="5">
        <f t="shared" si="4"/>
        <v>3682</v>
      </c>
    </row>
    <row r="30" spans="1:42" x14ac:dyDescent="0.4">
      <c r="A30" s="13"/>
      <c r="B30" s="90"/>
      <c r="C30" s="97"/>
      <c r="D30" s="5" t="s">
        <v>25</v>
      </c>
      <c r="E30" s="5">
        <f t="shared" ref="E30" si="24">SUM(E28:E29)</f>
        <v>221</v>
      </c>
      <c r="F30" s="5">
        <f t="shared" ref="F30:AO30" si="25">SUM(F28:F29)</f>
        <v>140</v>
      </c>
      <c r="G30" s="5">
        <f t="shared" si="25"/>
        <v>195</v>
      </c>
      <c r="H30" s="5">
        <f t="shared" si="25"/>
        <v>128</v>
      </c>
      <c r="I30" s="5">
        <f t="shared" si="25"/>
        <v>163</v>
      </c>
      <c r="J30" s="5">
        <f t="shared" si="25"/>
        <v>199</v>
      </c>
      <c r="K30" s="5">
        <f t="shared" si="25"/>
        <v>232</v>
      </c>
      <c r="L30" s="5">
        <f t="shared" si="25"/>
        <v>238</v>
      </c>
      <c r="M30" s="5">
        <f t="shared" si="25"/>
        <v>229</v>
      </c>
      <c r="N30" s="5">
        <f t="shared" si="25"/>
        <v>185</v>
      </c>
      <c r="O30" s="5">
        <f t="shared" ref="O30:S30" si="26">SUM(O28:O29)</f>
        <v>164</v>
      </c>
      <c r="P30" s="5">
        <f t="shared" si="26"/>
        <v>173</v>
      </c>
      <c r="Q30" s="5">
        <f t="shared" si="26"/>
        <v>204</v>
      </c>
      <c r="R30" s="5">
        <f t="shared" si="26"/>
        <v>230</v>
      </c>
      <c r="S30" s="5">
        <f t="shared" si="26"/>
        <v>213</v>
      </c>
      <c r="T30" s="5">
        <f t="shared" si="25"/>
        <v>199</v>
      </c>
      <c r="U30" s="5">
        <f t="shared" si="25"/>
        <v>130</v>
      </c>
      <c r="V30" s="5">
        <f t="shared" si="25"/>
        <v>242</v>
      </c>
      <c r="W30" s="5">
        <f t="shared" si="25"/>
        <v>156</v>
      </c>
      <c r="X30" s="5">
        <f t="shared" si="25"/>
        <v>214</v>
      </c>
      <c r="Y30" s="5">
        <f t="shared" ref="Y30:AC30" si="27">SUM(Y28:Y29)</f>
        <v>241</v>
      </c>
      <c r="Z30" s="5">
        <f t="shared" si="27"/>
        <v>196</v>
      </c>
      <c r="AA30" s="5">
        <f t="shared" si="27"/>
        <v>176</v>
      </c>
      <c r="AB30" s="5">
        <f t="shared" si="27"/>
        <v>185</v>
      </c>
      <c r="AC30" s="5">
        <f t="shared" si="27"/>
        <v>162</v>
      </c>
      <c r="AD30" s="5">
        <f t="shared" si="25"/>
        <v>146</v>
      </c>
      <c r="AE30" s="5">
        <f t="shared" si="25"/>
        <v>173</v>
      </c>
      <c r="AF30" s="5">
        <f t="shared" si="25"/>
        <v>178</v>
      </c>
      <c r="AG30" s="5">
        <f t="shared" si="25"/>
        <v>197</v>
      </c>
      <c r="AH30" s="5">
        <f t="shared" si="25"/>
        <v>191</v>
      </c>
      <c r="AI30" s="5">
        <f t="shared" ref="AI30:AM30" si="28">SUM(AI28:AI29)</f>
        <v>167</v>
      </c>
      <c r="AJ30" s="5">
        <f t="shared" si="28"/>
        <v>188</v>
      </c>
      <c r="AK30" s="5">
        <f t="shared" si="28"/>
        <v>189</v>
      </c>
      <c r="AL30" s="5">
        <f t="shared" si="28"/>
        <v>210</v>
      </c>
      <c r="AM30" s="5">
        <f t="shared" si="28"/>
        <v>208</v>
      </c>
      <c r="AN30" s="5">
        <f t="shared" si="25"/>
        <v>181</v>
      </c>
      <c r="AO30" s="5">
        <f t="shared" si="25"/>
        <v>189</v>
      </c>
      <c r="AP30" s="5">
        <f t="shared" si="4"/>
        <v>7032</v>
      </c>
    </row>
    <row r="31" spans="1:42" x14ac:dyDescent="0.4">
      <c r="A31" s="70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  <c r="AG31" s="6"/>
      <c r="AH31" s="10"/>
      <c r="AI31" s="6"/>
      <c r="AJ31" s="6"/>
      <c r="AK31" s="6"/>
      <c r="AL31" s="6"/>
      <c r="AM31" s="10"/>
      <c r="AN31" s="6"/>
      <c r="AO31" s="6"/>
      <c r="AP31" s="28"/>
    </row>
    <row r="32" spans="1:42" x14ac:dyDescent="0.4">
      <c r="A32" s="14" t="s">
        <v>36</v>
      </c>
      <c r="B32" s="75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5"/>
      <c r="AF32" s="5"/>
      <c r="AG32" s="5"/>
      <c r="AH32" s="15"/>
      <c r="AI32" s="5"/>
      <c r="AJ32" s="5"/>
      <c r="AK32" s="5"/>
      <c r="AL32" s="5"/>
      <c r="AM32" s="15"/>
      <c r="AN32" s="5"/>
      <c r="AO32" s="5"/>
      <c r="AP32" s="28"/>
    </row>
    <row r="33" spans="1:42" x14ac:dyDescent="0.4">
      <c r="A33" s="6">
        <v>1</v>
      </c>
      <c r="B33" s="93" t="s">
        <v>38</v>
      </c>
      <c r="C33" s="83"/>
      <c r="D33" s="74"/>
      <c r="E33" s="6">
        <v>300</v>
      </c>
      <c r="F33" s="6">
        <v>179</v>
      </c>
      <c r="G33" s="6">
        <v>253</v>
      </c>
      <c r="H33" s="6">
        <v>186</v>
      </c>
      <c r="I33" s="6">
        <v>215</v>
      </c>
      <c r="J33" s="6">
        <v>247</v>
      </c>
      <c r="K33" s="6">
        <v>299</v>
      </c>
      <c r="L33" s="6">
        <v>300</v>
      </c>
      <c r="M33" s="6">
        <v>297</v>
      </c>
      <c r="N33" s="6">
        <v>252</v>
      </c>
      <c r="O33" s="6">
        <v>215</v>
      </c>
      <c r="P33" s="6">
        <v>236</v>
      </c>
      <c r="Q33" s="6">
        <v>258</v>
      </c>
      <c r="R33" s="6">
        <v>303</v>
      </c>
      <c r="S33" s="6">
        <v>294</v>
      </c>
      <c r="T33" s="6">
        <v>272</v>
      </c>
      <c r="U33" s="6">
        <v>165</v>
      </c>
      <c r="V33" s="6">
        <v>290</v>
      </c>
      <c r="W33" s="6">
        <v>198</v>
      </c>
      <c r="X33" s="6">
        <v>274</v>
      </c>
      <c r="Y33" s="6">
        <v>296</v>
      </c>
      <c r="Z33" s="6">
        <v>282</v>
      </c>
      <c r="AA33" s="6">
        <v>216</v>
      </c>
      <c r="AB33" s="6">
        <v>270</v>
      </c>
      <c r="AC33" s="6">
        <v>199</v>
      </c>
      <c r="AD33" s="6">
        <v>188</v>
      </c>
      <c r="AE33" s="6">
        <v>203</v>
      </c>
      <c r="AF33" s="6">
        <v>213</v>
      </c>
      <c r="AG33" s="6">
        <v>259</v>
      </c>
      <c r="AH33" s="6">
        <v>255</v>
      </c>
      <c r="AI33" s="6">
        <v>217</v>
      </c>
      <c r="AJ33" s="6">
        <v>225</v>
      </c>
      <c r="AK33" s="6">
        <v>223</v>
      </c>
      <c r="AL33" s="6">
        <v>286</v>
      </c>
      <c r="AM33" s="6">
        <v>252</v>
      </c>
      <c r="AN33" s="6">
        <v>230</v>
      </c>
      <c r="AO33" s="6">
        <v>209</v>
      </c>
      <c r="AP33" s="5">
        <f>SUM(E33:AO33)</f>
        <v>9056</v>
      </c>
    </row>
    <row r="34" spans="1:42" x14ac:dyDescent="0.4">
      <c r="A34" s="6">
        <v>2</v>
      </c>
      <c r="B34" s="93" t="s">
        <v>39</v>
      </c>
      <c r="C34" s="83"/>
      <c r="D34" s="74"/>
      <c r="E34" s="5">
        <v>221</v>
      </c>
      <c r="F34" s="5">
        <v>140</v>
      </c>
      <c r="G34" s="5">
        <v>195</v>
      </c>
      <c r="H34" s="5">
        <v>128</v>
      </c>
      <c r="I34" s="5">
        <v>163</v>
      </c>
      <c r="J34" s="5">
        <v>199</v>
      </c>
      <c r="K34" s="5">
        <v>232</v>
      </c>
      <c r="L34" s="5">
        <v>238</v>
      </c>
      <c r="M34" s="5">
        <v>229</v>
      </c>
      <c r="N34" s="5">
        <v>185</v>
      </c>
      <c r="O34" s="5">
        <v>164</v>
      </c>
      <c r="P34" s="5">
        <v>173</v>
      </c>
      <c r="Q34" s="5">
        <v>204</v>
      </c>
      <c r="R34" s="5">
        <v>230</v>
      </c>
      <c r="S34" s="5">
        <v>213</v>
      </c>
      <c r="T34" s="5">
        <v>199</v>
      </c>
      <c r="U34" s="5">
        <v>130</v>
      </c>
      <c r="V34" s="5">
        <v>242</v>
      </c>
      <c r="W34" s="5">
        <v>156</v>
      </c>
      <c r="X34" s="5">
        <v>214</v>
      </c>
      <c r="Y34" s="5">
        <v>241</v>
      </c>
      <c r="Z34" s="5">
        <v>196</v>
      </c>
      <c r="AA34" s="5">
        <v>176</v>
      </c>
      <c r="AB34" s="5">
        <v>185</v>
      </c>
      <c r="AC34" s="5">
        <v>162</v>
      </c>
      <c r="AD34" s="5">
        <v>146</v>
      </c>
      <c r="AE34" s="5">
        <v>173</v>
      </c>
      <c r="AF34" s="5">
        <v>178</v>
      </c>
      <c r="AG34" s="5">
        <v>197</v>
      </c>
      <c r="AH34" s="5">
        <v>191</v>
      </c>
      <c r="AI34" s="5">
        <v>167</v>
      </c>
      <c r="AJ34" s="5">
        <v>188</v>
      </c>
      <c r="AK34" s="5">
        <v>189</v>
      </c>
      <c r="AL34" s="5">
        <v>210</v>
      </c>
      <c r="AM34" s="5">
        <v>208</v>
      </c>
      <c r="AN34" s="5">
        <v>181</v>
      </c>
      <c r="AO34" s="5">
        <v>189</v>
      </c>
      <c r="AP34" s="5">
        <f>SUM(E34:AO34)</f>
        <v>7032</v>
      </c>
    </row>
    <row r="35" spans="1:42" x14ac:dyDescent="0.4">
      <c r="A35" s="6">
        <v>3</v>
      </c>
      <c r="B35" s="93" t="s">
        <v>40</v>
      </c>
      <c r="C35" s="83"/>
      <c r="D35" s="74"/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3</v>
      </c>
      <c r="K35" s="6">
        <v>0</v>
      </c>
      <c r="L35" s="6">
        <v>1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1</v>
      </c>
      <c r="S35" s="6">
        <v>1</v>
      </c>
      <c r="T35" s="6">
        <v>0</v>
      </c>
      <c r="U35" s="6">
        <v>0</v>
      </c>
      <c r="V35" s="6">
        <v>0</v>
      </c>
      <c r="W35" s="6">
        <v>2</v>
      </c>
      <c r="X35" s="6">
        <v>1</v>
      </c>
      <c r="Y35" s="6">
        <v>0</v>
      </c>
      <c r="Z35" s="6">
        <v>0</v>
      </c>
      <c r="AA35" s="6">
        <v>0</v>
      </c>
      <c r="AB35" s="6">
        <v>1</v>
      </c>
      <c r="AC35" s="6">
        <v>1</v>
      </c>
      <c r="AD35" s="6">
        <v>0</v>
      </c>
      <c r="AE35" s="6">
        <v>0</v>
      </c>
      <c r="AF35" s="6">
        <v>3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2</v>
      </c>
      <c r="AO35" s="6">
        <v>0</v>
      </c>
      <c r="AP35" s="5">
        <f>SUM(E35:AO35)</f>
        <v>18</v>
      </c>
    </row>
    <row r="36" spans="1:42" x14ac:dyDescent="0.4">
      <c r="A36" s="6">
        <v>4</v>
      </c>
      <c r="B36" s="93" t="s">
        <v>41</v>
      </c>
      <c r="C36" s="83"/>
      <c r="D36" s="74"/>
      <c r="E36" s="5">
        <f t="shared" ref="E36:AO36" si="29">E33-(E34+E35)</f>
        <v>78</v>
      </c>
      <c r="F36" s="5">
        <f t="shared" si="29"/>
        <v>39</v>
      </c>
      <c r="G36" s="5">
        <f t="shared" si="29"/>
        <v>58</v>
      </c>
      <c r="H36" s="5">
        <f t="shared" si="29"/>
        <v>58</v>
      </c>
      <c r="I36" s="5">
        <f t="shared" si="29"/>
        <v>52</v>
      </c>
      <c r="J36" s="5">
        <f t="shared" si="29"/>
        <v>45</v>
      </c>
      <c r="K36" s="5">
        <f t="shared" si="29"/>
        <v>67</v>
      </c>
      <c r="L36" s="5">
        <f t="shared" si="29"/>
        <v>61</v>
      </c>
      <c r="M36" s="5">
        <f t="shared" si="29"/>
        <v>67</v>
      </c>
      <c r="N36" s="5">
        <f t="shared" si="29"/>
        <v>67</v>
      </c>
      <c r="O36" s="5">
        <f t="shared" ref="O36:S36" si="30">O33-(O34+O35)</f>
        <v>51</v>
      </c>
      <c r="P36" s="5">
        <f t="shared" si="30"/>
        <v>63</v>
      </c>
      <c r="Q36" s="5">
        <f t="shared" si="30"/>
        <v>54</v>
      </c>
      <c r="R36" s="5">
        <f t="shared" si="30"/>
        <v>72</v>
      </c>
      <c r="S36" s="5">
        <f t="shared" si="30"/>
        <v>80</v>
      </c>
      <c r="T36" s="5">
        <f t="shared" si="29"/>
        <v>73</v>
      </c>
      <c r="U36" s="5">
        <f t="shared" si="29"/>
        <v>35</v>
      </c>
      <c r="V36" s="5">
        <f t="shared" si="29"/>
        <v>48</v>
      </c>
      <c r="W36" s="5">
        <f t="shared" si="29"/>
        <v>40</v>
      </c>
      <c r="X36" s="5">
        <f t="shared" si="29"/>
        <v>59</v>
      </c>
      <c r="Y36" s="5">
        <f t="shared" ref="Y36:AC36" si="31">Y33-(Y34+Y35)</f>
        <v>55</v>
      </c>
      <c r="Z36" s="5">
        <f t="shared" si="31"/>
        <v>86</v>
      </c>
      <c r="AA36" s="5">
        <f t="shared" si="31"/>
        <v>40</v>
      </c>
      <c r="AB36" s="5">
        <f t="shared" si="31"/>
        <v>84</v>
      </c>
      <c r="AC36" s="5">
        <f t="shared" si="31"/>
        <v>36</v>
      </c>
      <c r="AD36" s="5">
        <f t="shared" si="29"/>
        <v>42</v>
      </c>
      <c r="AE36" s="5">
        <f t="shared" si="29"/>
        <v>30</v>
      </c>
      <c r="AF36" s="5">
        <f t="shared" si="29"/>
        <v>32</v>
      </c>
      <c r="AG36" s="5">
        <f t="shared" si="29"/>
        <v>62</v>
      </c>
      <c r="AH36" s="5">
        <f t="shared" si="29"/>
        <v>64</v>
      </c>
      <c r="AI36" s="5">
        <f t="shared" ref="AI36:AM36" si="32">AI33-(AI34+AI35)</f>
        <v>50</v>
      </c>
      <c r="AJ36" s="5">
        <f t="shared" si="32"/>
        <v>37</v>
      </c>
      <c r="AK36" s="5">
        <f t="shared" si="32"/>
        <v>34</v>
      </c>
      <c r="AL36" s="5">
        <f t="shared" si="32"/>
        <v>76</v>
      </c>
      <c r="AM36" s="5">
        <f t="shared" si="32"/>
        <v>44</v>
      </c>
      <c r="AN36" s="5">
        <f t="shared" si="29"/>
        <v>47</v>
      </c>
      <c r="AO36" s="5">
        <f t="shared" si="29"/>
        <v>20</v>
      </c>
      <c r="AP36" s="5">
        <f>SUM(E36:AO36)</f>
        <v>2006</v>
      </c>
    </row>
    <row r="37" spans="1:42" x14ac:dyDescent="0.4">
      <c r="A37" s="70"/>
      <c r="B37" s="83"/>
      <c r="C37" s="83"/>
      <c r="D37" s="83"/>
      <c r="E37" s="70"/>
      <c r="F37" s="91"/>
      <c r="G37" s="91"/>
      <c r="H37" s="91"/>
      <c r="I37" s="92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6"/>
      <c r="AF37" s="6"/>
      <c r="AG37" s="6"/>
      <c r="AH37" s="10"/>
      <c r="AI37" s="6"/>
      <c r="AJ37" s="6"/>
      <c r="AK37" s="6"/>
      <c r="AL37" s="6"/>
      <c r="AM37" s="10"/>
      <c r="AN37" s="6"/>
      <c r="AO37" s="6"/>
      <c r="AP37" s="28"/>
    </row>
    <row r="38" spans="1:42" x14ac:dyDescent="0.4">
      <c r="A38" s="16" t="s">
        <v>42</v>
      </c>
      <c r="B38" s="75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5"/>
      <c r="AF38" s="5"/>
      <c r="AG38" s="5"/>
      <c r="AH38" s="15"/>
      <c r="AI38" s="5"/>
      <c r="AJ38" s="5"/>
      <c r="AK38" s="5"/>
      <c r="AL38" s="5"/>
      <c r="AM38" s="15"/>
      <c r="AN38" s="5"/>
      <c r="AO38" s="5"/>
      <c r="AP38" s="28"/>
    </row>
    <row r="39" spans="1:42" x14ac:dyDescent="0.4">
      <c r="A39" s="11"/>
      <c r="B39" s="86" t="s">
        <v>44</v>
      </c>
      <c r="C39" s="79"/>
      <c r="D39" s="6" t="s">
        <v>23</v>
      </c>
      <c r="E39" s="6"/>
      <c r="F39" s="6"/>
      <c r="G39" s="6"/>
      <c r="H39" s="6"/>
      <c r="I39" s="6"/>
      <c r="J39" s="6">
        <v>1</v>
      </c>
      <c r="K39" s="6"/>
      <c r="L39" s="6">
        <v>1</v>
      </c>
      <c r="M39" s="6"/>
      <c r="N39" s="6"/>
      <c r="O39" s="6">
        <v>2</v>
      </c>
      <c r="P39" s="6"/>
      <c r="Q39" s="6"/>
      <c r="R39" s="6"/>
      <c r="S39" s="6"/>
      <c r="T39" s="6"/>
      <c r="U39" s="6"/>
      <c r="V39" s="6"/>
      <c r="W39" s="6">
        <v>2</v>
      </c>
      <c r="X39" s="6"/>
      <c r="Y39" s="6"/>
      <c r="Z39" s="6"/>
      <c r="AA39" s="6"/>
      <c r="AB39" s="6"/>
      <c r="AC39" s="6"/>
      <c r="AD39" s="6"/>
      <c r="AE39" s="6"/>
      <c r="AF39" s="6">
        <v>1</v>
      </c>
      <c r="AG39" s="6"/>
      <c r="AH39" s="6"/>
      <c r="AI39" s="6"/>
      <c r="AJ39" s="6"/>
      <c r="AK39" s="6"/>
      <c r="AL39" s="6"/>
      <c r="AM39" s="6"/>
      <c r="AN39" s="6"/>
      <c r="AO39" s="6"/>
      <c r="AP39" s="5">
        <f>SUM(E39:AO39)</f>
        <v>7</v>
      </c>
    </row>
    <row r="40" spans="1:42" x14ac:dyDescent="0.4">
      <c r="A40" s="12"/>
      <c r="B40" s="88"/>
      <c r="C40" s="89"/>
      <c r="D40" s="6" t="s">
        <v>24</v>
      </c>
      <c r="E40" s="6"/>
      <c r="F40" s="6"/>
      <c r="G40" s="6"/>
      <c r="H40" s="6"/>
      <c r="I40" s="6"/>
      <c r="J40" s="6">
        <v>5</v>
      </c>
      <c r="K40" s="6">
        <v>2</v>
      </c>
      <c r="L40" s="6">
        <v>2</v>
      </c>
      <c r="M40" s="6"/>
      <c r="N40" s="6"/>
      <c r="O40" s="6">
        <v>2</v>
      </c>
      <c r="P40" s="6"/>
      <c r="Q40" s="6"/>
      <c r="R40" s="6">
        <v>1</v>
      </c>
      <c r="S40" s="6"/>
      <c r="T40" s="6"/>
      <c r="U40" s="6"/>
      <c r="V40" s="6"/>
      <c r="W40" s="6">
        <v>1</v>
      </c>
      <c r="X40" s="6"/>
      <c r="Y40" s="6"/>
      <c r="Z40" s="6"/>
      <c r="AA40" s="6"/>
      <c r="AB40" s="6"/>
      <c r="AC40" s="6"/>
      <c r="AD40" s="6"/>
      <c r="AE40" s="6"/>
      <c r="AF40" s="6">
        <v>1</v>
      </c>
      <c r="AG40" s="6"/>
      <c r="AH40" s="6"/>
      <c r="AI40" s="6"/>
      <c r="AJ40" s="6"/>
      <c r="AK40" s="6"/>
      <c r="AL40" s="6"/>
      <c r="AM40" s="6"/>
      <c r="AN40" s="6"/>
      <c r="AO40" s="6"/>
      <c r="AP40" s="5">
        <f>SUM(E40:AO40)</f>
        <v>14</v>
      </c>
    </row>
    <row r="41" spans="1:42" x14ac:dyDescent="0.4">
      <c r="A41" s="14"/>
      <c r="B41" s="85"/>
      <c r="C41" s="90"/>
      <c r="D41" s="5" t="s">
        <v>25</v>
      </c>
      <c r="E41" s="5">
        <f t="shared" ref="E41:AO41" si="33">SUM(E39:E40)</f>
        <v>0</v>
      </c>
      <c r="F41" s="5">
        <f t="shared" si="33"/>
        <v>0</v>
      </c>
      <c r="G41" s="5">
        <f t="shared" si="33"/>
        <v>0</v>
      </c>
      <c r="H41" s="5">
        <f t="shared" si="33"/>
        <v>0</v>
      </c>
      <c r="I41" s="5">
        <f t="shared" si="33"/>
        <v>0</v>
      </c>
      <c r="J41" s="5">
        <f t="shared" si="33"/>
        <v>6</v>
      </c>
      <c r="K41" s="5">
        <f t="shared" si="33"/>
        <v>2</v>
      </c>
      <c r="L41" s="5">
        <f t="shared" si="33"/>
        <v>3</v>
      </c>
      <c r="M41" s="5">
        <f t="shared" si="33"/>
        <v>0</v>
      </c>
      <c r="N41" s="5">
        <f t="shared" si="33"/>
        <v>0</v>
      </c>
      <c r="O41" s="5">
        <f t="shared" ref="O41:S41" si="34">SUM(O39:O40)</f>
        <v>4</v>
      </c>
      <c r="P41" s="5">
        <f t="shared" si="34"/>
        <v>0</v>
      </c>
      <c r="Q41" s="5">
        <f t="shared" si="34"/>
        <v>0</v>
      </c>
      <c r="R41" s="5">
        <f t="shared" si="34"/>
        <v>1</v>
      </c>
      <c r="S41" s="5">
        <f t="shared" si="34"/>
        <v>0</v>
      </c>
      <c r="T41" s="5">
        <f t="shared" si="33"/>
        <v>0</v>
      </c>
      <c r="U41" s="5">
        <f t="shared" si="33"/>
        <v>0</v>
      </c>
      <c r="V41" s="5">
        <f t="shared" si="33"/>
        <v>0</v>
      </c>
      <c r="W41" s="5">
        <f t="shared" si="33"/>
        <v>3</v>
      </c>
      <c r="X41" s="5">
        <f t="shared" si="33"/>
        <v>0</v>
      </c>
      <c r="Y41" s="5">
        <f t="shared" ref="Y41:AC41" si="35">SUM(Y39:Y40)</f>
        <v>0</v>
      </c>
      <c r="Z41" s="5">
        <f t="shared" si="35"/>
        <v>0</v>
      </c>
      <c r="AA41" s="5">
        <f t="shared" si="35"/>
        <v>0</v>
      </c>
      <c r="AB41" s="5">
        <f t="shared" si="35"/>
        <v>0</v>
      </c>
      <c r="AC41" s="5">
        <f t="shared" si="35"/>
        <v>0</v>
      </c>
      <c r="AD41" s="5">
        <f t="shared" si="33"/>
        <v>0</v>
      </c>
      <c r="AE41" s="5">
        <f t="shared" si="33"/>
        <v>0</v>
      </c>
      <c r="AF41" s="5">
        <f t="shared" si="33"/>
        <v>2</v>
      </c>
      <c r="AG41" s="5">
        <f t="shared" si="33"/>
        <v>0</v>
      </c>
      <c r="AH41" s="5">
        <f t="shared" si="33"/>
        <v>0</v>
      </c>
      <c r="AI41" s="5">
        <f t="shared" ref="AI41:AM41" si="36">SUM(AI39:AI40)</f>
        <v>0</v>
      </c>
      <c r="AJ41" s="5">
        <f t="shared" si="36"/>
        <v>0</v>
      </c>
      <c r="AK41" s="5">
        <f t="shared" si="36"/>
        <v>0</v>
      </c>
      <c r="AL41" s="5">
        <f t="shared" si="36"/>
        <v>0</v>
      </c>
      <c r="AM41" s="5">
        <f t="shared" si="36"/>
        <v>0</v>
      </c>
      <c r="AN41" s="5">
        <f t="shared" si="33"/>
        <v>0</v>
      </c>
      <c r="AO41" s="5">
        <f t="shared" si="33"/>
        <v>0</v>
      </c>
      <c r="AP41" s="5">
        <f>SUM(E41:AO41)</f>
        <v>21</v>
      </c>
    </row>
    <row r="42" spans="1:42" x14ac:dyDescent="0.4">
      <c r="A42" s="84"/>
      <c r="B42" s="85"/>
      <c r="C42" s="85"/>
      <c r="D42" s="90"/>
      <c r="E42" s="70"/>
      <c r="F42" s="83"/>
      <c r="G42" s="83"/>
      <c r="H42" s="83"/>
      <c r="I42" s="74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6"/>
      <c r="AF42" s="6"/>
      <c r="AG42" s="6"/>
      <c r="AH42" s="10"/>
      <c r="AI42" s="6"/>
      <c r="AJ42" s="6"/>
      <c r="AK42" s="6"/>
      <c r="AL42" s="6"/>
      <c r="AM42" s="10"/>
      <c r="AN42" s="6"/>
      <c r="AO42" s="6"/>
      <c r="AP42" s="5"/>
    </row>
    <row r="43" spans="1:42" ht="13.15" customHeight="1" x14ac:dyDescent="0.4">
      <c r="A43" s="16" t="s">
        <v>45</v>
      </c>
      <c r="B43" s="75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  <c r="AF43" s="5"/>
      <c r="AG43" s="5"/>
      <c r="AH43" s="15"/>
      <c r="AI43" s="5"/>
      <c r="AJ43" s="5"/>
      <c r="AK43" s="5"/>
      <c r="AL43" s="5"/>
      <c r="AM43" s="15"/>
      <c r="AN43" s="5"/>
      <c r="AO43" s="5"/>
      <c r="AP43" s="5"/>
    </row>
    <row r="44" spans="1:42" ht="13.15" customHeight="1" x14ac:dyDescent="0.4">
      <c r="A44" s="86" t="s">
        <v>47</v>
      </c>
      <c r="B44" s="87"/>
      <c r="C44" s="87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6"/>
      <c r="AF44" s="6"/>
      <c r="AG44" s="6"/>
      <c r="AH44" s="10"/>
      <c r="AI44" s="6"/>
      <c r="AJ44" s="6"/>
      <c r="AK44" s="6"/>
      <c r="AL44" s="6"/>
      <c r="AM44" s="10"/>
      <c r="AN44" s="6"/>
      <c r="AO44" s="6"/>
      <c r="AP44" s="5"/>
    </row>
    <row r="45" spans="1:42" x14ac:dyDescent="0.4">
      <c r="A45" s="11" t="s">
        <v>48</v>
      </c>
      <c r="B45" s="17" t="s">
        <v>28</v>
      </c>
      <c r="C45" s="73" t="s">
        <v>49</v>
      </c>
      <c r="D45" s="74"/>
      <c r="E45" s="6">
        <v>13</v>
      </c>
      <c r="F45" s="6">
        <v>11</v>
      </c>
      <c r="G45" s="6">
        <v>7</v>
      </c>
      <c r="H45" s="6">
        <v>4</v>
      </c>
      <c r="I45" s="6">
        <v>17</v>
      </c>
      <c r="J45" s="6">
        <v>4</v>
      </c>
      <c r="K45" s="6">
        <v>10</v>
      </c>
      <c r="L45" s="6">
        <v>10</v>
      </c>
      <c r="M45" s="6">
        <v>2</v>
      </c>
      <c r="N45" s="6">
        <v>5</v>
      </c>
      <c r="O45" s="6">
        <v>6</v>
      </c>
      <c r="P45" s="6">
        <v>3</v>
      </c>
      <c r="Q45" s="6">
        <v>4</v>
      </c>
      <c r="R45" s="6">
        <v>10</v>
      </c>
      <c r="S45" s="6">
        <v>4</v>
      </c>
      <c r="T45" s="6">
        <v>8</v>
      </c>
      <c r="U45" s="6">
        <v>1</v>
      </c>
      <c r="V45" s="6">
        <v>1</v>
      </c>
      <c r="W45" s="6">
        <v>4</v>
      </c>
      <c r="X45" s="6">
        <v>7</v>
      </c>
      <c r="Y45" s="6">
        <v>8</v>
      </c>
      <c r="Z45" s="6">
        <v>1</v>
      </c>
      <c r="AA45" s="6">
        <v>7</v>
      </c>
      <c r="AB45" s="6">
        <v>6</v>
      </c>
      <c r="AC45" s="6">
        <v>6</v>
      </c>
      <c r="AD45" s="6">
        <v>4</v>
      </c>
      <c r="AE45" s="6">
        <v>29</v>
      </c>
      <c r="AF45" s="6">
        <v>2</v>
      </c>
      <c r="AG45" s="6">
        <v>3</v>
      </c>
      <c r="AH45" s="6">
        <v>3</v>
      </c>
      <c r="AI45" s="6">
        <v>1</v>
      </c>
      <c r="AJ45" s="6">
        <v>4</v>
      </c>
      <c r="AK45" s="6">
        <v>3</v>
      </c>
      <c r="AL45" s="6">
        <v>44</v>
      </c>
      <c r="AM45" s="6">
        <v>33</v>
      </c>
      <c r="AN45" s="6">
        <v>3</v>
      </c>
      <c r="AO45" s="6">
        <v>3</v>
      </c>
      <c r="AP45" s="5">
        <f t="shared" ref="AP45:AP55" si="37">SUM(E45:AO45)</f>
        <v>291</v>
      </c>
    </row>
    <row r="46" spans="1:42" x14ac:dyDescent="0.4">
      <c r="A46" s="11" t="s">
        <v>50</v>
      </c>
      <c r="B46" s="51"/>
      <c r="C46" s="24" t="s">
        <v>122</v>
      </c>
      <c r="D46" s="24"/>
      <c r="E46" s="6">
        <v>6</v>
      </c>
      <c r="F46" s="6">
        <v>4</v>
      </c>
      <c r="G46" s="6">
        <v>13</v>
      </c>
      <c r="H46" s="6">
        <v>4</v>
      </c>
      <c r="I46" s="6">
        <v>14</v>
      </c>
      <c r="J46" s="6">
        <v>13</v>
      </c>
      <c r="K46" s="6">
        <v>30</v>
      </c>
      <c r="L46" s="6">
        <v>46</v>
      </c>
      <c r="M46" s="6">
        <v>13</v>
      </c>
      <c r="N46" s="6">
        <v>14</v>
      </c>
      <c r="O46" s="6">
        <v>13</v>
      </c>
      <c r="P46" s="6">
        <v>7</v>
      </c>
      <c r="Q46" s="6">
        <v>5</v>
      </c>
      <c r="R46" s="6">
        <v>2</v>
      </c>
      <c r="S46" s="6">
        <v>5</v>
      </c>
      <c r="T46" s="6">
        <v>5</v>
      </c>
      <c r="U46" s="6">
        <v>1</v>
      </c>
      <c r="V46" s="6">
        <v>6</v>
      </c>
      <c r="W46" s="6">
        <v>3</v>
      </c>
      <c r="X46" s="6">
        <v>8</v>
      </c>
      <c r="Y46" s="6">
        <v>8</v>
      </c>
      <c r="Z46" s="6">
        <v>3</v>
      </c>
      <c r="AA46" s="6">
        <v>8</v>
      </c>
      <c r="AB46" s="6">
        <v>5</v>
      </c>
      <c r="AC46" s="6">
        <v>10</v>
      </c>
      <c r="AD46" s="6">
        <v>7</v>
      </c>
      <c r="AE46" s="6">
        <v>21</v>
      </c>
      <c r="AF46" s="6">
        <v>4</v>
      </c>
      <c r="AG46" s="6">
        <v>7</v>
      </c>
      <c r="AH46" s="6">
        <v>13</v>
      </c>
      <c r="AI46" s="6">
        <v>5</v>
      </c>
      <c r="AJ46" s="6">
        <v>9</v>
      </c>
      <c r="AK46" s="6">
        <v>6</v>
      </c>
      <c r="AL46" s="6">
        <v>79</v>
      </c>
      <c r="AM46" s="6">
        <v>67</v>
      </c>
      <c r="AN46" s="6">
        <v>6</v>
      </c>
      <c r="AO46" s="6">
        <v>7</v>
      </c>
      <c r="AP46" s="5">
        <f t="shared" si="37"/>
        <v>477</v>
      </c>
    </row>
    <row r="47" spans="1:42" x14ac:dyDescent="0.4">
      <c r="A47" s="7"/>
      <c r="B47" s="52"/>
      <c r="C47" s="24" t="s">
        <v>123</v>
      </c>
      <c r="D47" s="24"/>
      <c r="E47" s="6">
        <v>1</v>
      </c>
      <c r="F47" s="6">
        <v>2</v>
      </c>
      <c r="G47" s="6">
        <v>11</v>
      </c>
      <c r="H47" s="6">
        <v>0</v>
      </c>
      <c r="I47" s="6">
        <v>3</v>
      </c>
      <c r="J47" s="6">
        <v>3</v>
      </c>
      <c r="K47" s="6">
        <v>2</v>
      </c>
      <c r="L47" s="6">
        <v>8</v>
      </c>
      <c r="M47" s="6">
        <v>0</v>
      </c>
      <c r="N47" s="6">
        <v>4</v>
      </c>
      <c r="O47" s="6">
        <v>1</v>
      </c>
      <c r="P47" s="6">
        <v>3</v>
      </c>
      <c r="Q47" s="6">
        <v>1</v>
      </c>
      <c r="R47" s="6">
        <v>4</v>
      </c>
      <c r="S47" s="6">
        <v>2</v>
      </c>
      <c r="T47" s="6">
        <v>0</v>
      </c>
      <c r="U47" s="6">
        <v>1</v>
      </c>
      <c r="V47" s="6">
        <v>2</v>
      </c>
      <c r="W47" s="6">
        <v>0</v>
      </c>
      <c r="X47" s="6">
        <v>4</v>
      </c>
      <c r="Y47" s="6">
        <v>0</v>
      </c>
      <c r="Z47" s="6">
        <v>1</v>
      </c>
      <c r="AA47" s="6">
        <v>1</v>
      </c>
      <c r="AB47" s="6">
        <v>3</v>
      </c>
      <c r="AC47" s="6">
        <v>0</v>
      </c>
      <c r="AD47" s="6">
        <v>8</v>
      </c>
      <c r="AE47" s="6">
        <v>5</v>
      </c>
      <c r="AF47" s="6">
        <v>3</v>
      </c>
      <c r="AG47" s="6">
        <v>6</v>
      </c>
      <c r="AH47" s="6">
        <v>6</v>
      </c>
      <c r="AI47" s="6">
        <v>1</v>
      </c>
      <c r="AJ47" s="6">
        <v>45</v>
      </c>
      <c r="AK47" s="6">
        <v>4</v>
      </c>
      <c r="AL47" s="6">
        <v>6</v>
      </c>
      <c r="AM47" s="6">
        <v>4</v>
      </c>
      <c r="AN47" s="6">
        <v>1</v>
      </c>
      <c r="AO47" s="6">
        <v>0</v>
      </c>
      <c r="AP47" s="5">
        <f t="shared" si="37"/>
        <v>146</v>
      </c>
    </row>
    <row r="48" spans="1:42" x14ac:dyDescent="0.4">
      <c r="A48" s="7"/>
      <c r="B48" s="52"/>
      <c r="C48" s="24" t="s">
        <v>124</v>
      </c>
      <c r="D48" s="24"/>
      <c r="E48" s="6">
        <v>7</v>
      </c>
      <c r="F48" s="6">
        <v>9</v>
      </c>
      <c r="G48" s="6">
        <v>8</v>
      </c>
      <c r="H48" s="6">
        <v>2</v>
      </c>
      <c r="I48" s="6">
        <v>5</v>
      </c>
      <c r="J48" s="6">
        <v>1</v>
      </c>
      <c r="K48" s="6">
        <v>3</v>
      </c>
      <c r="L48" s="6">
        <v>1</v>
      </c>
      <c r="M48" s="6">
        <v>0</v>
      </c>
      <c r="N48" s="6">
        <v>3</v>
      </c>
      <c r="O48" s="6">
        <v>0</v>
      </c>
      <c r="P48" s="6">
        <v>3</v>
      </c>
      <c r="Q48" s="6">
        <v>0</v>
      </c>
      <c r="R48" s="6">
        <v>1</v>
      </c>
      <c r="S48" s="6">
        <v>0</v>
      </c>
      <c r="T48" s="6">
        <v>0</v>
      </c>
      <c r="U48" s="6">
        <v>1</v>
      </c>
      <c r="V48" s="6">
        <v>4</v>
      </c>
      <c r="W48" s="6">
        <v>3</v>
      </c>
      <c r="X48" s="6">
        <v>5</v>
      </c>
      <c r="Y48" s="6">
        <v>1</v>
      </c>
      <c r="Z48" s="6">
        <v>0</v>
      </c>
      <c r="AA48" s="6">
        <v>1</v>
      </c>
      <c r="AB48" s="6">
        <v>2</v>
      </c>
      <c r="AC48" s="6">
        <v>1</v>
      </c>
      <c r="AD48" s="6">
        <v>1</v>
      </c>
      <c r="AE48" s="6">
        <v>1</v>
      </c>
      <c r="AF48" s="6">
        <v>8</v>
      </c>
      <c r="AG48" s="6">
        <v>2</v>
      </c>
      <c r="AH48" s="6">
        <v>1</v>
      </c>
      <c r="AI48" s="6">
        <v>1</v>
      </c>
      <c r="AJ48" s="6">
        <v>0</v>
      </c>
      <c r="AK48" s="6">
        <v>0</v>
      </c>
      <c r="AL48" s="6">
        <v>1</v>
      </c>
      <c r="AM48" s="6">
        <v>3</v>
      </c>
      <c r="AN48" s="6">
        <v>0</v>
      </c>
      <c r="AO48" s="6">
        <v>0</v>
      </c>
      <c r="AP48" s="5">
        <f t="shared" si="37"/>
        <v>79</v>
      </c>
    </row>
    <row r="49" spans="1:42" x14ac:dyDescent="0.4">
      <c r="A49" s="7"/>
      <c r="B49" s="52"/>
      <c r="C49" s="24" t="s">
        <v>125</v>
      </c>
      <c r="D49" s="24"/>
      <c r="E49" s="6">
        <v>1</v>
      </c>
      <c r="F49" s="6">
        <v>1</v>
      </c>
      <c r="G49" s="6">
        <v>5</v>
      </c>
      <c r="H49" s="6">
        <v>0</v>
      </c>
      <c r="I49" s="6">
        <v>1</v>
      </c>
      <c r="J49" s="6">
        <v>0</v>
      </c>
      <c r="K49" s="6">
        <v>1</v>
      </c>
      <c r="L49" s="6">
        <v>2</v>
      </c>
      <c r="M49" s="6">
        <v>0</v>
      </c>
      <c r="N49" s="6">
        <v>2</v>
      </c>
      <c r="O49" s="6">
        <v>2</v>
      </c>
      <c r="P49" s="6">
        <v>2</v>
      </c>
      <c r="Q49" s="6">
        <v>2</v>
      </c>
      <c r="R49" s="6">
        <v>1</v>
      </c>
      <c r="S49" s="6">
        <v>0</v>
      </c>
      <c r="T49" s="6">
        <v>0</v>
      </c>
      <c r="U49" s="6">
        <v>0</v>
      </c>
      <c r="V49" s="6">
        <v>0</v>
      </c>
      <c r="W49" s="6">
        <v>1</v>
      </c>
      <c r="X49" s="6">
        <v>1</v>
      </c>
      <c r="Y49" s="6">
        <v>1</v>
      </c>
      <c r="Z49" s="6">
        <v>0</v>
      </c>
      <c r="AA49" s="6">
        <v>0</v>
      </c>
      <c r="AB49" s="6">
        <v>1</v>
      </c>
      <c r="AC49" s="6">
        <v>0</v>
      </c>
      <c r="AD49" s="6">
        <v>1</v>
      </c>
      <c r="AE49" s="6">
        <v>2</v>
      </c>
      <c r="AF49" s="6">
        <v>3</v>
      </c>
      <c r="AG49" s="6">
        <v>4</v>
      </c>
      <c r="AH49" s="6">
        <v>2</v>
      </c>
      <c r="AI49" s="6">
        <v>1</v>
      </c>
      <c r="AJ49" s="6">
        <v>1</v>
      </c>
      <c r="AK49" s="6">
        <v>0</v>
      </c>
      <c r="AL49" s="6">
        <v>0</v>
      </c>
      <c r="AM49" s="6">
        <v>1</v>
      </c>
      <c r="AN49" s="6">
        <v>2</v>
      </c>
      <c r="AO49" s="6">
        <v>0</v>
      </c>
      <c r="AP49" s="5">
        <f t="shared" si="37"/>
        <v>41</v>
      </c>
    </row>
    <row r="50" spans="1:42" x14ac:dyDescent="0.4">
      <c r="A50" s="7"/>
      <c r="B50" s="52"/>
      <c r="C50" s="24" t="s">
        <v>126</v>
      </c>
      <c r="D50" s="24"/>
      <c r="E50" s="6">
        <v>0</v>
      </c>
      <c r="F50" s="6">
        <v>0</v>
      </c>
      <c r="G50" s="6">
        <v>0</v>
      </c>
      <c r="H50" s="6">
        <v>5</v>
      </c>
      <c r="I50" s="6">
        <v>0</v>
      </c>
      <c r="J50" s="6">
        <v>1</v>
      </c>
      <c r="K50" s="6">
        <v>1</v>
      </c>
      <c r="L50" s="6">
        <v>2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1</v>
      </c>
      <c r="S50" s="6">
        <v>0</v>
      </c>
      <c r="T50" s="6">
        <v>0</v>
      </c>
      <c r="U50" s="6">
        <v>1</v>
      </c>
      <c r="V50" s="6">
        <v>1</v>
      </c>
      <c r="W50" s="6">
        <v>0</v>
      </c>
      <c r="X50" s="6">
        <v>0</v>
      </c>
      <c r="Y50" s="6">
        <v>0</v>
      </c>
      <c r="Z50" s="6">
        <v>0</v>
      </c>
      <c r="AA50" s="6">
        <v>1</v>
      </c>
      <c r="AB50" s="6">
        <v>1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1</v>
      </c>
      <c r="AK50" s="6">
        <v>0</v>
      </c>
      <c r="AL50" s="6">
        <v>2</v>
      </c>
      <c r="AM50" s="6">
        <v>1</v>
      </c>
      <c r="AN50" s="6">
        <v>0</v>
      </c>
      <c r="AO50" s="6">
        <v>0</v>
      </c>
      <c r="AP50" s="5">
        <f t="shared" si="37"/>
        <v>19</v>
      </c>
    </row>
    <row r="51" spans="1:42" x14ac:dyDescent="0.4">
      <c r="A51" s="7"/>
      <c r="B51" s="52"/>
      <c r="C51" s="24" t="s">
        <v>127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1</v>
      </c>
      <c r="J51" s="6">
        <v>1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2</v>
      </c>
      <c r="U51" s="6">
        <v>1</v>
      </c>
      <c r="V51" s="6">
        <v>0</v>
      </c>
      <c r="W51" s="6">
        <v>1</v>
      </c>
      <c r="X51" s="6">
        <v>1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1</v>
      </c>
      <c r="AE51" s="6">
        <v>0</v>
      </c>
      <c r="AF51" s="6">
        <v>0</v>
      </c>
      <c r="AG51" s="6">
        <v>0</v>
      </c>
      <c r="AH51" s="6">
        <v>1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5">
        <f t="shared" si="37"/>
        <v>11</v>
      </c>
    </row>
    <row r="52" spans="1:42" ht="13.15" customHeight="1" x14ac:dyDescent="0.4">
      <c r="A52" s="7"/>
      <c r="B52" s="52"/>
      <c r="C52" s="24" t="s">
        <v>128</v>
      </c>
      <c r="D52" s="24"/>
      <c r="E52" s="6">
        <v>0</v>
      </c>
      <c r="F52" s="6">
        <v>2</v>
      </c>
      <c r="G52" s="6">
        <v>0</v>
      </c>
      <c r="H52" s="6">
        <v>0</v>
      </c>
      <c r="I52" s="6">
        <v>1</v>
      </c>
      <c r="J52" s="6">
        <v>0</v>
      </c>
      <c r="K52" s="6">
        <v>1</v>
      </c>
      <c r="L52" s="6">
        <v>1</v>
      </c>
      <c r="M52" s="6">
        <v>0</v>
      </c>
      <c r="N52" s="6">
        <v>0</v>
      </c>
      <c r="O52" s="6">
        <v>2</v>
      </c>
      <c r="P52" s="6">
        <v>0</v>
      </c>
      <c r="Q52" s="6">
        <v>0</v>
      </c>
      <c r="R52" s="6">
        <v>0</v>
      </c>
      <c r="S52" s="6">
        <v>1</v>
      </c>
      <c r="T52" s="6">
        <v>0</v>
      </c>
      <c r="U52" s="6">
        <v>1</v>
      </c>
      <c r="V52" s="6">
        <v>1</v>
      </c>
      <c r="W52" s="6">
        <v>1</v>
      </c>
      <c r="X52" s="6">
        <v>0</v>
      </c>
      <c r="Y52" s="6">
        <v>0</v>
      </c>
      <c r="Z52" s="6">
        <v>0</v>
      </c>
      <c r="AA52" s="6">
        <v>0</v>
      </c>
      <c r="AB52" s="6">
        <v>1</v>
      </c>
      <c r="AC52" s="6">
        <v>0</v>
      </c>
      <c r="AD52" s="6">
        <v>0</v>
      </c>
      <c r="AE52" s="6">
        <v>1</v>
      </c>
      <c r="AF52" s="6">
        <v>1</v>
      </c>
      <c r="AG52" s="6">
        <v>0</v>
      </c>
      <c r="AH52" s="6">
        <v>1</v>
      </c>
      <c r="AI52" s="6">
        <v>1</v>
      </c>
      <c r="AJ52" s="6">
        <v>1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5">
        <f t="shared" si="37"/>
        <v>17</v>
      </c>
    </row>
    <row r="53" spans="1:42" ht="13.15" customHeight="1" x14ac:dyDescent="0.4">
      <c r="A53" s="7"/>
      <c r="B53" s="52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2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1</v>
      </c>
      <c r="Z53" s="6">
        <v>0</v>
      </c>
      <c r="AA53" s="6">
        <v>1</v>
      </c>
      <c r="AB53" s="6">
        <v>0</v>
      </c>
      <c r="AC53" s="6">
        <v>1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6">
        <v>0</v>
      </c>
      <c r="AO53" s="6">
        <v>0</v>
      </c>
      <c r="AP53" s="5">
        <f t="shared" si="37"/>
        <v>6</v>
      </c>
    </row>
    <row r="54" spans="1:42" ht="13.15" customHeight="1" x14ac:dyDescent="0.4">
      <c r="A54" s="7"/>
      <c r="B54" s="52"/>
      <c r="C54" s="24" t="s">
        <v>130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1</v>
      </c>
      <c r="X54" s="6">
        <v>1</v>
      </c>
      <c r="Y54" s="6">
        <v>0</v>
      </c>
      <c r="Z54" s="6">
        <v>2</v>
      </c>
      <c r="AA54" s="6">
        <v>1</v>
      </c>
      <c r="AB54" s="6">
        <v>0</v>
      </c>
      <c r="AC54" s="6">
        <v>0</v>
      </c>
      <c r="AD54" s="6">
        <v>0</v>
      </c>
      <c r="AE54" s="6">
        <v>0</v>
      </c>
      <c r="AF54" s="6">
        <v>1</v>
      </c>
      <c r="AG54" s="6">
        <v>0</v>
      </c>
      <c r="AH54" s="6">
        <v>0</v>
      </c>
      <c r="AI54" s="6">
        <v>1</v>
      </c>
      <c r="AJ54" s="6">
        <v>0</v>
      </c>
      <c r="AK54" s="6">
        <v>0</v>
      </c>
      <c r="AL54" s="6">
        <v>0</v>
      </c>
      <c r="AM54" s="6">
        <v>0</v>
      </c>
      <c r="AN54" s="6">
        <v>2</v>
      </c>
      <c r="AO54" s="6">
        <v>0</v>
      </c>
      <c r="AP54" s="5">
        <f t="shared" si="37"/>
        <v>11</v>
      </c>
    </row>
    <row r="55" spans="1:42" x14ac:dyDescent="0.4">
      <c r="A55" s="6" t="s">
        <v>26</v>
      </c>
      <c r="B55" s="67" t="s">
        <v>51</v>
      </c>
      <c r="C55" s="83"/>
      <c r="D55" s="74"/>
      <c r="E55" s="5">
        <f t="shared" ref="E55:AN55" si="38">SUM(E45:E54)</f>
        <v>28</v>
      </c>
      <c r="F55" s="5">
        <f t="shared" si="38"/>
        <v>29</v>
      </c>
      <c r="G55" s="5">
        <f t="shared" si="38"/>
        <v>44</v>
      </c>
      <c r="H55" s="5">
        <f t="shared" si="38"/>
        <v>15</v>
      </c>
      <c r="I55" s="5">
        <f t="shared" si="38"/>
        <v>42</v>
      </c>
      <c r="J55" s="5">
        <f t="shared" si="38"/>
        <v>24</v>
      </c>
      <c r="K55" s="5">
        <f t="shared" si="38"/>
        <v>49</v>
      </c>
      <c r="L55" s="5">
        <f t="shared" si="38"/>
        <v>73</v>
      </c>
      <c r="M55" s="5">
        <f t="shared" si="38"/>
        <v>15</v>
      </c>
      <c r="N55" s="5">
        <f t="shared" si="38"/>
        <v>28</v>
      </c>
      <c r="O55" s="5">
        <f t="shared" si="38"/>
        <v>24</v>
      </c>
      <c r="P55" s="5">
        <f t="shared" si="38"/>
        <v>18</v>
      </c>
      <c r="Q55" s="5">
        <f t="shared" si="38"/>
        <v>13</v>
      </c>
      <c r="R55" s="5">
        <f t="shared" si="38"/>
        <v>19</v>
      </c>
      <c r="S55" s="5">
        <f t="shared" si="38"/>
        <v>13</v>
      </c>
      <c r="T55" s="5">
        <f t="shared" si="38"/>
        <v>15</v>
      </c>
      <c r="U55" s="5">
        <f t="shared" si="38"/>
        <v>7</v>
      </c>
      <c r="V55" s="5">
        <f t="shared" si="38"/>
        <v>15</v>
      </c>
      <c r="W55" s="5">
        <f t="shared" si="38"/>
        <v>14</v>
      </c>
      <c r="X55" s="5">
        <f t="shared" si="38"/>
        <v>27</v>
      </c>
      <c r="Y55" s="5">
        <f t="shared" si="38"/>
        <v>19</v>
      </c>
      <c r="Z55" s="5">
        <f t="shared" si="38"/>
        <v>7</v>
      </c>
      <c r="AA55" s="5">
        <f t="shared" si="38"/>
        <v>20</v>
      </c>
      <c r="AB55" s="5">
        <f t="shared" si="38"/>
        <v>19</v>
      </c>
      <c r="AC55" s="5">
        <f t="shared" si="38"/>
        <v>18</v>
      </c>
      <c r="AD55" s="5">
        <f t="shared" si="38"/>
        <v>22</v>
      </c>
      <c r="AE55" s="5">
        <f t="shared" si="38"/>
        <v>59</v>
      </c>
      <c r="AF55" s="5">
        <f t="shared" si="38"/>
        <v>22</v>
      </c>
      <c r="AG55" s="5">
        <f t="shared" si="38"/>
        <v>22</v>
      </c>
      <c r="AH55" s="5">
        <f t="shared" si="38"/>
        <v>27</v>
      </c>
      <c r="AI55" s="5">
        <f t="shared" si="38"/>
        <v>11</v>
      </c>
      <c r="AJ55" s="5">
        <f t="shared" si="38"/>
        <v>61</v>
      </c>
      <c r="AK55" s="5">
        <f t="shared" si="38"/>
        <v>14</v>
      </c>
      <c r="AL55" s="5">
        <f t="shared" si="38"/>
        <v>132</v>
      </c>
      <c r="AM55" s="5">
        <f t="shared" si="38"/>
        <v>109</v>
      </c>
      <c r="AN55" s="5">
        <f t="shared" si="38"/>
        <v>14</v>
      </c>
      <c r="AO55" s="5">
        <f>SUM(AO45:AO54)</f>
        <v>10</v>
      </c>
      <c r="AP55" s="5">
        <f>SUM(E55:AO55)</f>
        <v>1098</v>
      </c>
    </row>
    <row r="56" spans="1:42" x14ac:dyDescent="0.4">
      <c r="A56" s="84"/>
      <c r="B56" s="85"/>
      <c r="C56" s="85"/>
      <c r="D56" s="85"/>
      <c r="E56" s="85"/>
      <c r="AP56" s="5"/>
    </row>
    <row r="57" spans="1:42" x14ac:dyDescent="0.4">
      <c r="A57" s="11" t="s">
        <v>48</v>
      </c>
      <c r="B57" s="17" t="s">
        <v>30</v>
      </c>
      <c r="C57" s="73" t="s">
        <v>52</v>
      </c>
      <c r="D57" s="74"/>
      <c r="E57" s="6">
        <v>15</v>
      </c>
      <c r="F57" s="6">
        <v>9</v>
      </c>
      <c r="G57" s="6">
        <v>8</v>
      </c>
      <c r="H57" s="6">
        <v>7</v>
      </c>
      <c r="I57" s="6">
        <v>1</v>
      </c>
      <c r="J57" s="6">
        <v>3</v>
      </c>
      <c r="K57" s="6">
        <v>1</v>
      </c>
      <c r="L57" s="6">
        <v>2</v>
      </c>
      <c r="M57" s="6">
        <v>5</v>
      </c>
      <c r="N57" s="6">
        <v>5</v>
      </c>
      <c r="O57" s="6">
        <v>12</v>
      </c>
      <c r="P57" s="6">
        <v>5</v>
      </c>
      <c r="Q57" s="6">
        <v>14</v>
      </c>
      <c r="R57" s="6">
        <v>12</v>
      </c>
      <c r="S57" s="6">
        <v>14</v>
      </c>
      <c r="T57" s="6">
        <v>17</v>
      </c>
      <c r="U57" s="6">
        <v>6</v>
      </c>
      <c r="V57" s="6">
        <v>21</v>
      </c>
      <c r="W57" s="6">
        <v>12</v>
      </c>
      <c r="X57" s="6">
        <v>11</v>
      </c>
      <c r="Y57" s="6">
        <v>20</v>
      </c>
      <c r="Z57" s="6">
        <v>5</v>
      </c>
      <c r="AA57" s="6">
        <v>9</v>
      </c>
      <c r="AB57" s="6">
        <v>19</v>
      </c>
      <c r="AC57" s="6">
        <v>4</v>
      </c>
      <c r="AD57" s="6">
        <v>6</v>
      </c>
      <c r="AE57" s="6">
        <v>2</v>
      </c>
      <c r="AF57" s="6">
        <v>27</v>
      </c>
      <c r="AG57" s="6">
        <v>16</v>
      </c>
      <c r="AH57" s="6">
        <v>15</v>
      </c>
      <c r="AI57" s="6">
        <v>14</v>
      </c>
      <c r="AJ57" s="6">
        <v>0</v>
      </c>
      <c r="AK57" s="6">
        <v>10</v>
      </c>
      <c r="AL57" s="6">
        <v>2</v>
      </c>
      <c r="AM57" s="6">
        <v>8</v>
      </c>
      <c r="AN57" s="6">
        <v>3</v>
      </c>
      <c r="AO57" s="6">
        <v>2</v>
      </c>
      <c r="AP57" s="5">
        <f t="shared" ref="AP57:AP67" si="39">SUM(E57:AO57)</f>
        <v>342</v>
      </c>
    </row>
    <row r="58" spans="1:42" x14ac:dyDescent="0.4">
      <c r="A58" s="11" t="s">
        <v>50</v>
      </c>
      <c r="B58" s="52"/>
      <c r="C58" s="24" t="s">
        <v>131</v>
      </c>
      <c r="D58" s="53"/>
      <c r="E58" s="6">
        <v>4</v>
      </c>
      <c r="F58" s="6">
        <v>2</v>
      </c>
      <c r="G58" s="6">
        <v>1</v>
      </c>
      <c r="H58" s="6">
        <v>2</v>
      </c>
      <c r="I58" s="6">
        <v>7</v>
      </c>
      <c r="J58" s="6">
        <v>1</v>
      </c>
      <c r="K58" s="6">
        <v>4</v>
      </c>
      <c r="L58" s="6">
        <v>5</v>
      </c>
      <c r="M58" s="6">
        <v>7</v>
      </c>
      <c r="N58" s="6">
        <v>5</v>
      </c>
      <c r="O58" s="6">
        <v>6</v>
      </c>
      <c r="P58" s="6">
        <v>2</v>
      </c>
      <c r="Q58" s="6">
        <v>6</v>
      </c>
      <c r="R58" s="6">
        <v>8</v>
      </c>
      <c r="S58" s="6">
        <v>2</v>
      </c>
      <c r="T58" s="6">
        <v>12</v>
      </c>
      <c r="U58" s="6">
        <v>20</v>
      </c>
      <c r="V58" s="6">
        <v>8</v>
      </c>
      <c r="W58" s="6">
        <v>6</v>
      </c>
      <c r="X58" s="6">
        <v>10</v>
      </c>
      <c r="Y58" s="6">
        <v>5</v>
      </c>
      <c r="Z58" s="6">
        <v>3</v>
      </c>
      <c r="AA58" s="6">
        <v>4</v>
      </c>
      <c r="AB58" s="6">
        <v>10</v>
      </c>
      <c r="AC58" s="6">
        <v>8</v>
      </c>
      <c r="AD58" s="6">
        <v>32</v>
      </c>
      <c r="AE58" s="6">
        <v>12</v>
      </c>
      <c r="AF58" s="6">
        <v>14</v>
      </c>
      <c r="AG58" s="6">
        <v>18</v>
      </c>
      <c r="AH58" s="6">
        <v>21</v>
      </c>
      <c r="AI58" s="6">
        <v>11</v>
      </c>
      <c r="AJ58" s="6">
        <v>4</v>
      </c>
      <c r="AK58" s="6">
        <v>12</v>
      </c>
      <c r="AL58" s="6">
        <v>2</v>
      </c>
      <c r="AM58" s="6">
        <v>6</v>
      </c>
      <c r="AN58" s="6">
        <v>0</v>
      </c>
      <c r="AO58" s="6">
        <v>0</v>
      </c>
      <c r="AP58" s="5">
        <f t="shared" si="39"/>
        <v>280</v>
      </c>
    </row>
    <row r="59" spans="1:42" x14ac:dyDescent="0.4">
      <c r="A59" s="7"/>
      <c r="B59" s="52"/>
      <c r="C59" s="24" t="s">
        <v>132</v>
      </c>
      <c r="D59" s="53"/>
      <c r="E59" s="6">
        <v>2</v>
      </c>
      <c r="F59" s="6">
        <v>5</v>
      </c>
      <c r="G59" s="6">
        <v>2</v>
      </c>
      <c r="H59" s="6">
        <v>0</v>
      </c>
      <c r="I59" s="6">
        <v>0</v>
      </c>
      <c r="J59" s="6">
        <v>5</v>
      </c>
      <c r="K59" s="6">
        <v>4</v>
      </c>
      <c r="L59" s="6">
        <v>4</v>
      </c>
      <c r="M59" s="6">
        <v>2</v>
      </c>
      <c r="N59" s="6">
        <v>6</v>
      </c>
      <c r="O59" s="6">
        <v>1</v>
      </c>
      <c r="P59" s="6">
        <v>8</v>
      </c>
      <c r="Q59" s="6">
        <v>1</v>
      </c>
      <c r="R59" s="6">
        <v>9</v>
      </c>
      <c r="S59" s="6">
        <v>2</v>
      </c>
      <c r="T59" s="6">
        <v>1</v>
      </c>
      <c r="U59" s="6">
        <v>6</v>
      </c>
      <c r="V59" s="6">
        <v>3</v>
      </c>
      <c r="W59" s="6">
        <v>7</v>
      </c>
      <c r="X59" s="6">
        <v>11</v>
      </c>
      <c r="Y59" s="6">
        <v>12</v>
      </c>
      <c r="Z59" s="6">
        <v>3</v>
      </c>
      <c r="AA59" s="6">
        <v>11</v>
      </c>
      <c r="AB59" s="6">
        <v>4</v>
      </c>
      <c r="AC59" s="6">
        <v>3</v>
      </c>
      <c r="AD59" s="6">
        <v>5</v>
      </c>
      <c r="AE59" s="6">
        <v>3</v>
      </c>
      <c r="AF59" s="6">
        <v>7</v>
      </c>
      <c r="AG59" s="6">
        <v>9</v>
      </c>
      <c r="AH59" s="6">
        <v>13</v>
      </c>
      <c r="AI59" s="6">
        <v>10</v>
      </c>
      <c r="AJ59" s="6">
        <v>3</v>
      </c>
      <c r="AK59" s="6">
        <v>13</v>
      </c>
      <c r="AL59" s="6">
        <v>1</v>
      </c>
      <c r="AM59" s="6">
        <v>4</v>
      </c>
      <c r="AN59" s="6">
        <v>1</v>
      </c>
      <c r="AO59" s="6">
        <v>0</v>
      </c>
      <c r="AP59" s="5">
        <f t="shared" si="39"/>
        <v>181</v>
      </c>
    </row>
    <row r="60" spans="1:42" x14ac:dyDescent="0.4">
      <c r="A60" s="7"/>
      <c r="B60" s="52"/>
      <c r="C60" s="24" t="s">
        <v>133</v>
      </c>
      <c r="D60" s="53"/>
      <c r="E60" s="6">
        <v>3</v>
      </c>
      <c r="F60" s="6">
        <v>2</v>
      </c>
      <c r="G60" s="6">
        <v>0</v>
      </c>
      <c r="H60" s="6">
        <v>0</v>
      </c>
      <c r="I60" s="6">
        <v>0</v>
      </c>
      <c r="J60" s="6">
        <v>1</v>
      </c>
      <c r="K60" s="6">
        <v>0</v>
      </c>
      <c r="L60" s="6">
        <v>3</v>
      </c>
      <c r="M60" s="6">
        <v>2</v>
      </c>
      <c r="N60" s="6">
        <v>1</v>
      </c>
      <c r="O60" s="6">
        <v>2</v>
      </c>
      <c r="P60" s="6">
        <v>2</v>
      </c>
      <c r="Q60" s="6">
        <v>1</v>
      </c>
      <c r="R60" s="6"/>
      <c r="S60" s="6">
        <v>1</v>
      </c>
      <c r="T60" s="6">
        <v>2</v>
      </c>
      <c r="U60" s="6">
        <v>2</v>
      </c>
      <c r="V60" s="6">
        <v>3</v>
      </c>
      <c r="W60" s="6">
        <v>2</v>
      </c>
      <c r="X60" s="6">
        <v>0</v>
      </c>
      <c r="Y60" s="6">
        <v>0</v>
      </c>
      <c r="Z60" s="6">
        <v>1</v>
      </c>
      <c r="AA60" s="6">
        <v>4</v>
      </c>
      <c r="AB60" s="6">
        <v>2</v>
      </c>
      <c r="AC60" s="6">
        <v>2</v>
      </c>
      <c r="AD60" s="6">
        <v>2</v>
      </c>
      <c r="AE60" s="6">
        <v>1</v>
      </c>
      <c r="AF60" s="6">
        <v>1</v>
      </c>
      <c r="AG60" s="6">
        <v>5</v>
      </c>
      <c r="AH60" s="6">
        <v>2</v>
      </c>
      <c r="AI60" s="6">
        <v>5</v>
      </c>
      <c r="AJ60" s="6">
        <v>2</v>
      </c>
      <c r="AK60" s="6">
        <v>5</v>
      </c>
      <c r="AL60" s="6">
        <v>0</v>
      </c>
      <c r="AM60" s="6">
        <v>1</v>
      </c>
      <c r="AN60" s="6">
        <v>1</v>
      </c>
      <c r="AO60" s="6">
        <v>0</v>
      </c>
      <c r="AP60" s="5">
        <f t="shared" si="39"/>
        <v>61</v>
      </c>
    </row>
    <row r="61" spans="1:42" x14ac:dyDescent="0.4">
      <c r="A61" s="7"/>
      <c r="B61" s="52"/>
      <c r="C61" s="24" t="s">
        <v>134</v>
      </c>
      <c r="D61" s="53"/>
      <c r="E61" s="6">
        <v>4</v>
      </c>
      <c r="F61" s="6">
        <v>1</v>
      </c>
      <c r="G61" s="6">
        <v>1</v>
      </c>
      <c r="H61" s="6">
        <v>7</v>
      </c>
      <c r="I61" s="6">
        <v>2</v>
      </c>
      <c r="J61" s="6">
        <v>0</v>
      </c>
      <c r="K61" s="6">
        <v>1</v>
      </c>
      <c r="L61" s="6">
        <v>0</v>
      </c>
      <c r="M61" s="6">
        <v>4</v>
      </c>
      <c r="N61" s="6">
        <v>0</v>
      </c>
      <c r="O61" s="6">
        <v>2</v>
      </c>
      <c r="P61" s="6">
        <v>1</v>
      </c>
      <c r="Q61" s="6">
        <v>0</v>
      </c>
      <c r="R61" s="6">
        <v>6</v>
      </c>
      <c r="S61" s="6">
        <v>1</v>
      </c>
      <c r="T61" s="6">
        <v>6</v>
      </c>
      <c r="U61" s="6">
        <v>2</v>
      </c>
      <c r="V61" s="6">
        <v>13</v>
      </c>
      <c r="W61" s="6">
        <v>19</v>
      </c>
      <c r="X61" s="6">
        <v>8</v>
      </c>
      <c r="Y61" s="6">
        <v>3</v>
      </c>
      <c r="Z61" s="6">
        <v>1</v>
      </c>
      <c r="AA61" s="6">
        <v>5</v>
      </c>
      <c r="AB61" s="6">
        <v>3</v>
      </c>
      <c r="AC61" s="6">
        <v>2</v>
      </c>
      <c r="AD61" s="6">
        <v>1</v>
      </c>
      <c r="AE61" s="6">
        <v>1</v>
      </c>
      <c r="AF61" s="6">
        <v>5</v>
      </c>
      <c r="AG61" s="6">
        <v>6</v>
      </c>
      <c r="AH61" s="6">
        <v>6</v>
      </c>
      <c r="AI61" s="6">
        <v>1</v>
      </c>
      <c r="AJ61" s="6">
        <v>4</v>
      </c>
      <c r="AK61" s="6">
        <v>2</v>
      </c>
      <c r="AL61" s="6">
        <v>0</v>
      </c>
      <c r="AM61" s="6">
        <v>0</v>
      </c>
      <c r="AN61" s="6">
        <v>0</v>
      </c>
      <c r="AO61" s="6">
        <v>0</v>
      </c>
      <c r="AP61" s="5">
        <f t="shared" si="39"/>
        <v>118</v>
      </c>
    </row>
    <row r="62" spans="1:42" x14ac:dyDescent="0.4">
      <c r="A62" s="7"/>
      <c r="B62" s="52"/>
      <c r="C62" s="24" t="s">
        <v>135</v>
      </c>
      <c r="D62" s="53"/>
      <c r="E62" s="6">
        <v>1</v>
      </c>
      <c r="F62" s="6">
        <v>0</v>
      </c>
      <c r="G62" s="6">
        <v>1</v>
      </c>
      <c r="H62" s="6">
        <v>1</v>
      </c>
      <c r="I62" s="6">
        <v>0</v>
      </c>
      <c r="J62" s="6">
        <v>1</v>
      </c>
      <c r="K62" s="6">
        <v>0</v>
      </c>
      <c r="L62" s="6">
        <v>0</v>
      </c>
      <c r="M62" s="6">
        <v>1</v>
      </c>
      <c r="N62" s="6">
        <v>1</v>
      </c>
      <c r="O62" s="6">
        <v>0</v>
      </c>
      <c r="P62" s="6">
        <v>2</v>
      </c>
      <c r="Q62" s="6">
        <v>1</v>
      </c>
      <c r="R62" s="6"/>
      <c r="S62" s="6">
        <v>1</v>
      </c>
      <c r="T62" s="6">
        <v>0</v>
      </c>
      <c r="U62" s="6">
        <v>1</v>
      </c>
      <c r="V62" s="6">
        <v>2</v>
      </c>
      <c r="W62" s="6">
        <v>1</v>
      </c>
      <c r="X62" s="6">
        <v>1</v>
      </c>
      <c r="Y62" s="6">
        <v>0</v>
      </c>
      <c r="Z62" s="6">
        <v>1</v>
      </c>
      <c r="AA62" s="6">
        <v>2</v>
      </c>
      <c r="AB62" s="6">
        <v>1</v>
      </c>
      <c r="AC62" s="6">
        <v>1</v>
      </c>
      <c r="AD62" s="6">
        <v>0</v>
      </c>
      <c r="AE62" s="6">
        <v>0</v>
      </c>
      <c r="AF62" s="6">
        <v>0</v>
      </c>
      <c r="AG62" s="6">
        <v>4</v>
      </c>
      <c r="AH62" s="6">
        <v>0</v>
      </c>
      <c r="AI62" s="6">
        <v>1</v>
      </c>
      <c r="AJ62" s="6">
        <v>0</v>
      </c>
      <c r="AK62" s="6">
        <v>1</v>
      </c>
      <c r="AL62" s="6">
        <v>1</v>
      </c>
      <c r="AM62" s="6">
        <v>0</v>
      </c>
      <c r="AN62" s="6">
        <v>0</v>
      </c>
      <c r="AO62" s="6">
        <v>0</v>
      </c>
      <c r="AP62" s="5">
        <f t="shared" si="39"/>
        <v>27</v>
      </c>
    </row>
    <row r="63" spans="1:42" ht="13.15" customHeight="1" x14ac:dyDescent="0.4">
      <c r="A63" s="7"/>
      <c r="B63" s="52"/>
      <c r="C63" s="24" t="s">
        <v>136</v>
      </c>
      <c r="D63" s="50"/>
      <c r="E63" s="6">
        <v>0</v>
      </c>
      <c r="F63" s="6">
        <v>0</v>
      </c>
      <c r="G63" s="6">
        <v>1</v>
      </c>
      <c r="H63" s="6">
        <v>1</v>
      </c>
      <c r="I63" s="6">
        <v>0</v>
      </c>
      <c r="J63" s="6">
        <v>0</v>
      </c>
      <c r="K63" s="6">
        <v>1</v>
      </c>
      <c r="L63" s="6">
        <v>2</v>
      </c>
      <c r="M63" s="6">
        <v>0</v>
      </c>
      <c r="N63" s="6">
        <v>0</v>
      </c>
      <c r="O63" s="6">
        <v>2</v>
      </c>
      <c r="P63" s="6">
        <v>0</v>
      </c>
      <c r="Q63" s="6">
        <v>0</v>
      </c>
      <c r="R63" s="6"/>
      <c r="S63" s="6">
        <v>2</v>
      </c>
      <c r="T63" s="6">
        <v>0</v>
      </c>
      <c r="U63" s="6">
        <v>1</v>
      </c>
      <c r="V63" s="6">
        <v>2</v>
      </c>
      <c r="W63" s="6">
        <v>0</v>
      </c>
      <c r="X63" s="6">
        <v>1</v>
      </c>
      <c r="Y63" s="6">
        <v>0</v>
      </c>
      <c r="Z63" s="6">
        <v>0</v>
      </c>
      <c r="AA63" s="6">
        <v>1</v>
      </c>
      <c r="AB63" s="6">
        <v>1</v>
      </c>
      <c r="AC63" s="6">
        <v>0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1</v>
      </c>
      <c r="AN63" s="6">
        <v>1</v>
      </c>
      <c r="AO63" s="6">
        <v>0</v>
      </c>
      <c r="AP63" s="5">
        <f t="shared" si="39"/>
        <v>18</v>
      </c>
    </row>
    <row r="64" spans="1:42" x14ac:dyDescent="0.4">
      <c r="A64" s="7"/>
      <c r="B64" s="52"/>
      <c r="C64" s="24" t="s">
        <v>137</v>
      </c>
      <c r="D64" s="53"/>
      <c r="E64" s="6">
        <v>0</v>
      </c>
      <c r="F64" s="6">
        <v>0</v>
      </c>
      <c r="G64" s="6">
        <v>1</v>
      </c>
      <c r="H64" s="6">
        <v>1</v>
      </c>
      <c r="I64" s="6">
        <v>0</v>
      </c>
      <c r="J64" s="6">
        <v>0</v>
      </c>
      <c r="K64" s="6">
        <v>0</v>
      </c>
      <c r="L64" s="6"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/>
      <c r="S64" s="6"/>
      <c r="T64" s="6">
        <v>0</v>
      </c>
      <c r="U64" s="6">
        <v>0</v>
      </c>
      <c r="V64" s="6">
        <v>0</v>
      </c>
      <c r="W64" s="6">
        <v>1</v>
      </c>
      <c r="X64" s="6">
        <v>0</v>
      </c>
      <c r="Y64" s="6">
        <v>1</v>
      </c>
      <c r="Z64" s="6">
        <v>0</v>
      </c>
      <c r="AA64" s="6">
        <v>0</v>
      </c>
      <c r="AB64" s="6">
        <v>1</v>
      </c>
      <c r="AC64" s="6">
        <v>2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5">
        <f t="shared" si="39"/>
        <v>8</v>
      </c>
    </row>
    <row r="65" spans="1:42" x14ac:dyDescent="0.4">
      <c r="A65" s="7"/>
      <c r="B65" s="52"/>
      <c r="C65" s="24" t="s">
        <v>138</v>
      </c>
      <c r="D65" s="53"/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1</v>
      </c>
      <c r="S65" s="6"/>
      <c r="T65" s="6">
        <v>0</v>
      </c>
      <c r="U65" s="6">
        <v>0</v>
      </c>
      <c r="V65" s="6">
        <v>1</v>
      </c>
      <c r="W65" s="6">
        <v>1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1</v>
      </c>
      <c r="AG65" s="6">
        <v>2</v>
      </c>
      <c r="AH65" s="6">
        <v>0</v>
      </c>
      <c r="AI65" s="6">
        <v>0</v>
      </c>
      <c r="AJ65" s="6">
        <v>0</v>
      </c>
      <c r="AK65" s="6">
        <v>1</v>
      </c>
      <c r="AL65" s="6">
        <v>0</v>
      </c>
      <c r="AM65" s="6">
        <v>0</v>
      </c>
      <c r="AN65" s="6">
        <v>0</v>
      </c>
      <c r="AO65" s="6">
        <v>0</v>
      </c>
      <c r="AP65" s="5">
        <f t="shared" si="39"/>
        <v>9</v>
      </c>
    </row>
    <row r="66" spans="1:42" x14ac:dyDescent="0.4">
      <c r="A66" s="7"/>
      <c r="B66" s="52"/>
      <c r="C66" s="24" t="s">
        <v>139</v>
      </c>
      <c r="D66" s="53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1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1</v>
      </c>
      <c r="R66" s="6"/>
      <c r="S66" s="6">
        <v>1</v>
      </c>
      <c r="T66" s="6">
        <v>1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1</v>
      </c>
      <c r="AC66" s="6">
        <v>1</v>
      </c>
      <c r="AD66" s="6">
        <v>0</v>
      </c>
      <c r="AE66" s="6">
        <v>2</v>
      </c>
      <c r="AF66" s="6">
        <v>0</v>
      </c>
      <c r="AG66" s="6">
        <v>0</v>
      </c>
      <c r="AH66" s="6">
        <v>0</v>
      </c>
      <c r="AI66" s="6">
        <v>1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5">
        <f t="shared" si="39"/>
        <v>10</v>
      </c>
    </row>
    <row r="67" spans="1:42" x14ac:dyDescent="0.4">
      <c r="A67" s="6" t="s">
        <v>26</v>
      </c>
      <c r="B67" s="67" t="s">
        <v>51</v>
      </c>
      <c r="C67" s="83"/>
      <c r="D67" s="74"/>
      <c r="E67" s="5">
        <f t="shared" ref="E67:AO67" si="40">SUM(E57:E66)</f>
        <v>29</v>
      </c>
      <c r="F67" s="5">
        <f t="shared" si="40"/>
        <v>20</v>
      </c>
      <c r="G67" s="5">
        <f t="shared" si="40"/>
        <v>15</v>
      </c>
      <c r="H67" s="5">
        <f t="shared" si="40"/>
        <v>19</v>
      </c>
      <c r="I67" s="5">
        <f t="shared" si="40"/>
        <v>10</v>
      </c>
      <c r="J67" s="5">
        <f t="shared" si="40"/>
        <v>11</v>
      </c>
      <c r="K67" s="5">
        <f t="shared" si="40"/>
        <v>12</v>
      </c>
      <c r="L67" s="5">
        <f t="shared" si="40"/>
        <v>18</v>
      </c>
      <c r="M67" s="5">
        <f t="shared" si="40"/>
        <v>21</v>
      </c>
      <c r="N67" s="5">
        <f t="shared" si="40"/>
        <v>19</v>
      </c>
      <c r="O67" s="5">
        <f t="shared" si="40"/>
        <v>25</v>
      </c>
      <c r="P67" s="5">
        <f t="shared" si="40"/>
        <v>20</v>
      </c>
      <c r="Q67" s="5">
        <f t="shared" si="40"/>
        <v>24</v>
      </c>
      <c r="R67" s="5">
        <f t="shared" si="40"/>
        <v>36</v>
      </c>
      <c r="S67" s="5">
        <f t="shared" si="40"/>
        <v>24</v>
      </c>
      <c r="T67" s="5">
        <f t="shared" si="40"/>
        <v>39</v>
      </c>
      <c r="U67" s="5">
        <f t="shared" si="40"/>
        <v>38</v>
      </c>
      <c r="V67" s="5">
        <f t="shared" si="40"/>
        <v>53</v>
      </c>
      <c r="W67" s="5">
        <f t="shared" si="40"/>
        <v>49</v>
      </c>
      <c r="X67" s="5">
        <f t="shared" si="40"/>
        <v>42</v>
      </c>
      <c r="Y67" s="5">
        <f t="shared" si="40"/>
        <v>41</v>
      </c>
      <c r="Z67" s="5">
        <f t="shared" si="40"/>
        <v>14</v>
      </c>
      <c r="AA67" s="5">
        <f t="shared" si="40"/>
        <v>36</v>
      </c>
      <c r="AB67" s="5">
        <f t="shared" si="40"/>
        <v>42</v>
      </c>
      <c r="AC67" s="5">
        <f t="shared" si="40"/>
        <v>23</v>
      </c>
      <c r="AD67" s="5">
        <f t="shared" si="40"/>
        <v>47</v>
      </c>
      <c r="AE67" s="5">
        <f t="shared" si="40"/>
        <v>21</v>
      </c>
      <c r="AF67" s="5">
        <f t="shared" si="40"/>
        <v>55</v>
      </c>
      <c r="AG67" s="5">
        <f t="shared" si="40"/>
        <v>60</v>
      </c>
      <c r="AH67" s="5">
        <f t="shared" si="40"/>
        <v>57</v>
      </c>
      <c r="AI67" s="5">
        <f t="shared" si="40"/>
        <v>43</v>
      </c>
      <c r="AJ67" s="5">
        <f t="shared" si="40"/>
        <v>13</v>
      </c>
      <c r="AK67" s="5">
        <f t="shared" si="40"/>
        <v>44</v>
      </c>
      <c r="AL67" s="5">
        <f t="shared" si="40"/>
        <v>6</v>
      </c>
      <c r="AM67" s="5">
        <f t="shared" si="40"/>
        <v>20</v>
      </c>
      <c r="AN67" s="5">
        <f t="shared" si="40"/>
        <v>6</v>
      </c>
      <c r="AO67" s="5">
        <f t="shared" si="40"/>
        <v>2</v>
      </c>
      <c r="AP67" s="5">
        <f t="shared" si="39"/>
        <v>1054</v>
      </c>
    </row>
    <row r="68" spans="1:42" x14ac:dyDescent="0.4">
      <c r="A68" s="84"/>
      <c r="B68" s="85"/>
      <c r="C68" s="85"/>
      <c r="D68" s="85"/>
      <c r="E68" s="85"/>
    </row>
    <row r="69" spans="1:42" x14ac:dyDescent="0.4">
      <c r="A69" s="11" t="s">
        <v>48</v>
      </c>
      <c r="B69" s="17" t="s">
        <v>32</v>
      </c>
      <c r="C69" s="73" t="s">
        <v>53</v>
      </c>
      <c r="D69" s="74"/>
      <c r="E69" s="6">
        <v>2</v>
      </c>
      <c r="F69" s="6">
        <v>8</v>
      </c>
      <c r="G69" s="6">
        <v>3</v>
      </c>
      <c r="H69" s="6">
        <v>5</v>
      </c>
      <c r="I69" s="6">
        <v>6</v>
      </c>
      <c r="J69" s="6">
        <v>1</v>
      </c>
      <c r="K69" s="6">
        <v>4</v>
      </c>
      <c r="L69" s="6">
        <v>8</v>
      </c>
      <c r="M69" s="6">
        <v>3</v>
      </c>
      <c r="N69" s="6">
        <v>4</v>
      </c>
      <c r="O69" s="6">
        <v>8</v>
      </c>
      <c r="P69" s="6">
        <v>6</v>
      </c>
      <c r="Q69" s="6">
        <v>11</v>
      </c>
      <c r="R69" s="6">
        <v>2</v>
      </c>
      <c r="S69" s="6">
        <v>9</v>
      </c>
      <c r="T69" s="6">
        <v>6</v>
      </c>
      <c r="U69" s="6">
        <v>3</v>
      </c>
      <c r="V69" s="6">
        <v>7</v>
      </c>
      <c r="W69" s="6">
        <v>1</v>
      </c>
      <c r="X69" s="6">
        <v>8</v>
      </c>
      <c r="Y69" s="6">
        <v>6</v>
      </c>
      <c r="Z69" s="6">
        <v>1</v>
      </c>
      <c r="AA69" s="6">
        <v>7</v>
      </c>
      <c r="AB69" s="6">
        <v>6</v>
      </c>
      <c r="AC69" s="6">
        <v>6</v>
      </c>
      <c r="AD69" s="6">
        <v>2</v>
      </c>
      <c r="AE69" s="6">
        <v>11</v>
      </c>
      <c r="AF69" s="6">
        <v>6</v>
      </c>
      <c r="AG69" s="6">
        <v>8</v>
      </c>
      <c r="AH69" s="6">
        <v>4</v>
      </c>
      <c r="AI69" s="6">
        <v>2</v>
      </c>
      <c r="AJ69" s="6">
        <v>1</v>
      </c>
      <c r="AK69" s="6">
        <v>7</v>
      </c>
      <c r="AL69" s="6">
        <v>8</v>
      </c>
      <c r="AM69" s="6">
        <v>8</v>
      </c>
      <c r="AN69" s="6">
        <v>1</v>
      </c>
      <c r="AO69" s="6">
        <v>3</v>
      </c>
      <c r="AP69" s="5">
        <f t="shared" ref="AP69:AP79" si="41">SUM(E69:AO69)</f>
        <v>192</v>
      </c>
    </row>
    <row r="70" spans="1:42" x14ac:dyDescent="0.4">
      <c r="A70" s="11" t="s">
        <v>50</v>
      </c>
      <c r="B70" s="52"/>
      <c r="C70" s="24" t="s">
        <v>140</v>
      </c>
      <c r="D70" s="50"/>
      <c r="E70" s="6">
        <v>4</v>
      </c>
      <c r="F70" s="6">
        <v>3</v>
      </c>
      <c r="G70" s="6">
        <v>0</v>
      </c>
      <c r="H70" s="6">
        <v>1</v>
      </c>
      <c r="I70" s="6">
        <v>2</v>
      </c>
      <c r="J70" s="6">
        <v>1</v>
      </c>
      <c r="K70" s="6">
        <v>3</v>
      </c>
      <c r="L70" s="6">
        <v>0</v>
      </c>
      <c r="M70" s="6">
        <v>1</v>
      </c>
      <c r="N70" s="6">
        <v>4</v>
      </c>
      <c r="O70" s="6">
        <v>9</v>
      </c>
      <c r="P70" s="6">
        <v>13</v>
      </c>
      <c r="Q70" s="6">
        <v>6</v>
      </c>
      <c r="R70" s="6">
        <v>1</v>
      </c>
      <c r="S70" s="6">
        <v>9</v>
      </c>
      <c r="T70" s="6">
        <v>7</v>
      </c>
      <c r="U70" s="6">
        <v>6</v>
      </c>
      <c r="V70" s="6">
        <v>4</v>
      </c>
      <c r="W70" s="6">
        <v>1</v>
      </c>
      <c r="X70" s="6">
        <v>7</v>
      </c>
      <c r="Y70" s="6">
        <v>7</v>
      </c>
      <c r="Z70" s="6">
        <v>102</v>
      </c>
      <c r="AA70" s="6">
        <v>1</v>
      </c>
      <c r="AB70" s="6">
        <v>5</v>
      </c>
      <c r="AC70" s="6">
        <v>10</v>
      </c>
      <c r="AD70" s="6">
        <v>0</v>
      </c>
      <c r="AE70" s="6">
        <v>4</v>
      </c>
      <c r="AF70" s="6">
        <v>5</v>
      </c>
      <c r="AG70" s="6">
        <v>4</v>
      </c>
      <c r="AH70" s="6">
        <v>11</v>
      </c>
      <c r="AI70" s="6">
        <v>0</v>
      </c>
      <c r="AJ70" s="6">
        <v>4</v>
      </c>
      <c r="AK70" s="6">
        <v>6</v>
      </c>
      <c r="AL70" s="6">
        <v>3</v>
      </c>
      <c r="AM70" s="6">
        <v>8</v>
      </c>
      <c r="AN70" s="6">
        <v>0</v>
      </c>
      <c r="AO70" s="6">
        <v>1</v>
      </c>
      <c r="AP70" s="5">
        <f t="shared" si="41"/>
        <v>253</v>
      </c>
    </row>
    <row r="71" spans="1:42" x14ac:dyDescent="0.4">
      <c r="A71" s="7"/>
      <c r="B71" s="52"/>
      <c r="C71" s="24" t="s">
        <v>141</v>
      </c>
      <c r="D71" s="50"/>
      <c r="E71" s="6">
        <v>1</v>
      </c>
      <c r="F71" s="6">
        <v>1</v>
      </c>
      <c r="G71" s="6">
        <v>0</v>
      </c>
      <c r="H71" s="6">
        <v>1</v>
      </c>
      <c r="I71" s="6">
        <v>1</v>
      </c>
      <c r="J71" s="6">
        <v>4</v>
      </c>
      <c r="K71" s="6">
        <v>0</v>
      </c>
      <c r="L71" s="6">
        <v>3</v>
      </c>
      <c r="M71" s="6">
        <v>2</v>
      </c>
      <c r="N71" s="6">
        <v>1</v>
      </c>
      <c r="O71" s="6">
        <v>6</v>
      </c>
      <c r="P71" s="6">
        <v>1</v>
      </c>
      <c r="Q71" s="6">
        <v>5</v>
      </c>
      <c r="R71" s="6">
        <v>1</v>
      </c>
      <c r="S71" s="6">
        <v>5</v>
      </c>
      <c r="T71" s="6">
        <v>2</v>
      </c>
      <c r="U71" s="6">
        <v>2</v>
      </c>
      <c r="V71" s="6">
        <v>1</v>
      </c>
      <c r="W71" s="6">
        <v>0</v>
      </c>
      <c r="X71" s="6">
        <v>0</v>
      </c>
      <c r="Y71" s="6">
        <v>1</v>
      </c>
      <c r="Z71" s="6">
        <v>3</v>
      </c>
      <c r="AA71" s="6">
        <v>1</v>
      </c>
      <c r="AB71" s="6">
        <v>3</v>
      </c>
      <c r="AC71" s="6">
        <v>2</v>
      </c>
      <c r="AD71" s="6">
        <v>2</v>
      </c>
      <c r="AE71" s="6">
        <v>5</v>
      </c>
      <c r="AF71" s="6">
        <v>3</v>
      </c>
      <c r="AG71" s="6">
        <v>2</v>
      </c>
      <c r="AH71" s="6">
        <v>4</v>
      </c>
      <c r="AI71" s="6">
        <v>2</v>
      </c>
      <c r="AJ71" s="6">
        <v>0</v>
      </c>
      <c r="AK71" s="6">
        <v>0</v>
      </c>
      <c r="AL71" s="6">
        <v>3</v>
      </c>
      <c r="AM71" s="6">
        <v>1</v>
      </c>
      <c r="AN71" s="6">
        <v>2</v>
      </c>
      <c r="AO71" s="6">
        <v>0</v>
      </c>
      <c r="AP71" s="5">
        <f t="shared" si="41"/>
        <v>71</v>
      </c>
    </row>
    <row r="72" spans="1:42" x14ac:dyDescent="0.4">
      <c r="A72" s="7"/>
      <c r="B72" s="52"/>
      <c r="C72" s="24" t="s">
        <v>142</v>
      </c>
      <c r="D72" s="50"/>
      <c r="E72" s="6">
        <v>0</v>
      </c>
      <c r="F72" s="6">
        <v>1</v>
      </c>
      <c r="G72" s="6">
        <v>2</v>
      </c>
      <c r="H72" s="6">
        <v>1</v>
      </c>
      <c r="I72" s="6">
        <v>2</v>
      </c>
      <c r="J72" s="6">
        <v>3</v>
      </c>
      <c r="K72" s="6">
        <v>2</v>
      </c>
      <c r="L72" s="6">
        <v>6</v>
      </c>
      <c r="M72" s="6">
        <v>2</v>
      </c>
      <c r="N72" s="6">
        <v>7</v>
      </c>
      <c r="O72" s="6">
        <v>1</v>
      </c>
      <c r="P72" s="6">
        <v>6</v>
      </c>
      <c r="Q72" s="6">
        <v>6</v>
      </c>
      <c r="R72" s="6">
        <v>0</v>
      </c>
      <c r="S72" s="6">
        <v>0</v>
      </c>
      <c r="T72" s="6">
        <v>0</v>
      </c>
      <c r="U72" s="6">
        <v>3</v>
      </c>
      <c r="V72" s="6">
        <v>1</v>
      </c>
      <c r="W72" s="6">
        <v>0</v>
      </c>
      <c r="X72" s="6">
        <v>4</v>
      </c>
      <c r="Y72" s="6">
        <v>2</v>
      </c>
      <c r="Z72" s="6">
        <v>3</v>
      </c>
      <c r="AA72" s="6">
        <v>5</v>
      </c>
      <c r="AB72" s="6">
        <v>2</v>
      </c>
      <c r="AC72" s="6">
        <v>4</v>
      </c>
      <c r="AD72" s="6">
        <v>2</v>
      </c>
      <c r="AE72" s="6">
        <v>8</v>
      </c>
      <c r="AF72" s="6">
        <v>3</v>
      </c>
      <c r="AG72" s="6">
        <v>2</v>
      </c>
      <c r="AH72" s="6">
        <v>4</v>
      </c>
      <c r="AI72" s="6">
        <v>2</v>
      </c>
      <c r="AJ72" s="6">
        <v>1</v>
      </c>
      <c r="AK72" s="6">
        <v>0</v>
      </c>
      <c r="AL72" s="6">
        <v>1</v>
      </c>
      <c r="AM72" s="6">
        <v>4</v>
      </c>
      <c r="AN72" s="6">
        <v>0</v>
      </c>
      <c r="AO72" s="6">
        <v>1</v>
      </c>
      <c r="AP72" s="5">
        <f t="shared" si="41"/>
        <v>91</v>
      </c>
    </row>
    <row r="73" spans="1:42" x14ac:dyDescent="0.4">
      <c r="A73" s="7"/>
      <c r="B73" s="52"/>
      <c r="C73" s="24" t="s">
        <v>143</v>
      </c>
      <c r="D73" s="50"/>
      <c r="E73" s="6">
        <v>5</v>
      </c>
      <c r="F73" s="6">
        <v>1</v>
      </c>
      <c r="G73" s="6">
        <v>2</v>
      </c>
      <c r="H73" s="6">
        <v>0</v>
      </c>
      <c r="I73" s="6">
        <v>1</v>
      </c>
      <c r="J73" s="6">
        <v>0</v>
      </c>
      <c r="K73" s="6">
        <v>5</v>
      </c>
      <c r="L73" s="6">
        <v>6</v>
      </c>
      <c r="M73" s="6">
        <v>5</v>
      </c>
      <c r="N73" s="6">
        <v>2</v>
      </c>
      <c r="O73" s="6">
        <v>1</v>
      </c>
      <c r="P73" s="6">
        <v>0</v>
      </c>
      <c r="Q73" s="6">
        <v>6</v>
      </c>
      <c r="R73" s="6">
        <v>4</v>
      </c>
      <c r="S73" s="6">
        <v>1</v>
      </c>
      <c r="T73" s="6">
        <v>2</v>
      </c>
      <c r="U73" s="6">
        <v>0</v>
      </c>
      <c r="V73" s="6">
        <v>10</v>
      </c>
      <c r="W73" s="6">
        <v>0</v>
      </c>
      <c r="X73" s="6">
        <v>3</v>
      </c>
      <c r="Y73" s="6">
        <v>1</v>
      </c>
      <c r="Z73" s="6">
        <v>0</v>
      </c>
      <c r="AA73" s="6">
        <v>1</v>
      </c>
      <c r="AB73" s="6">
        <v>0</v>
      </c>
      <c r="AC73" s="6">
        <v>1</v>
      </c>
      <c r="AD73" s="6">
        <v>2</v>
      </c>
      <c r="AE73" s="6">
        <v>2</v>
      </c>
      <c r="AF73" s="6">
        <v>0</v>
      </c>
      <c r="AG73" s="6">
        <v>3</v>
      </c>
      <c r="AH73" s="6">
        <v>3</v>
      </c>
      <c r="AI73" s="6">
        <v>5</v>
      </c>
      <c r="AJ73" s="6">
        <v>1</v>
      </c>
      <c r="AK73" s="6">
        <v>3</v>
      </c>
      <c r="AL73" s="6">
        <v>3</v>
      </c>
      <c r="AM73" s="6">
        <v>8</v>
      </c>
      <c r="AN73" s="6">
        <v>3</v>
      </c>
      <c r="AO73" s="6">
        <v>0</v>
      </c>
      <c r="AP73" s="5">
        <f t="shared" si="41"/>
        <v>90</v>
      </c>
    </row>
    <row r="74" spans="1:42" ht="13.15" customHeight="1" x14ac:dyDescent="0.4">
      <c r="A74" s="7"/>
      <c r="B74" s="52"/>
      <c r="C74" s="24" t="s">
        <v>144</v>
      </c>
      <c r="D74" s="50"/>
      <c r="E74" s="6">
        <v>0</v>
      </c>
      <c r="F74" s="6">
        <v>0</v>
      </c>
      <c r="G74" s="6">
        <v>1</v>
      </c>
      <c r="H74" s="6">
        <v>2</v>
      </c>
      <c r="I74" s="6">
        <v>1</v>
      </c>
      <c r="J74" s="6">
        <v>0</v>
      </c>
      <c r="K74" s="6">
        <v>1</v>
      </c>
      <c r="L74" s="6">
        <v>2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1</v>
      </c>
      <c r="Y74" s="6">
        <v>1</v>
      </c>
      <c r="Z74" s="6">
        <v>0</v>
      </c>
      <c r="AA74" s="6">
        <v>1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1</v>
      </c>
      <c r="AI74" s="6">
        <v>1</v>
      </c>
      <c r="AJ74" s="6">
        <v>0</v>
      </c>
      <c r="AK74" s="6">
        <v>0</v>
      </c>
      <c r="AL74" s="6">
        <v>0</v>
      </c>
      <c r="AM74" s="6">
        <v>1</v>
      </c>
      <c r="AN74" s="6">
        <v>0</v>
      </c>
      <c r="AO74" s="6">
        <v>0</v>
      </c>
      <c r="AP74" s="5">
        <f t="shared" si="41"/>
        <v>13</v>
      </c>
    </row>
    <row r="75" spans="1:42" x14ac:dyDescent="0.4">
      <c r="A75" s="7"/>
      <c r="B75" s="52"/>
      <c r="C75" s="24" t="s">
        <v>145</v>
      </c>
      <c r="D75" s="50"/>
      <c r="E75" s="6">
        <v>0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2</v>
      </c>
      <c r="P75" s="6">
        <v>0</v>
      </c>
      <c r="Q75" s="6">
        <v>1</v>
      </c>
      <c r="R75" s="6">
        <v>0</v>
      </c>
      <c r="S75" s="6">
        <v>1</v>
      </c>
      <c r="T75" s="6">
        <v>1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2</v>
      </c>
      <c r="AB75" s="6">
        <v>0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0</v>
      </c>
      <c r="AK75" s="6">
        <v>1</v>
      </c>
      <c r="AL75" s="6">
        <v>1</v>
      </c>
      <c r="AM75" s="6">
        <v>0</v>
      </c>
      <c r="AN75" s="6">
        <v>0</v>
      </c>
      <c r="AO75" s="6">
        <v>0</v>
      </c>
      <c r="AP75" s="5">
        <f t="shared" si="41"/>
        <v>17</v>
      </c>
    </row>
    <row r="76" spans="1:42" x14ac:dyDescent="0.4">
      <c r="A76" s="7"/>
      <c r="B76" s="52"/>
      <c r="C76" s="24" t="s">
        <v>146</v>
      </c>
      <c r="D76" s="50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6">
        <v>1</v>
      </c>
      <c r="W76" s="6">
        <v>1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1</v>
      </c>
      <c r="AD76" s="6">
        <v>0</v>
      </c>
      <c r="AE76" s="6">
        <v>0</v>
      </c>
      <c r="AF76" s="6">
        <v>0</v>
      </c>
      <c r="AG76" s="6">
        <v>2</v>
      </c>
      <c r="AH76" s="6"/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5">
        <f t="shared" si="41"/>
        <v>7</v>
      </c>
    </row>
    <row r="77" spans="1:42" x14ac:dyDescent="0.4">
      <c r="A77" s="7"/>
      <c r="B77" s="52"/>
      <c r="C77" s="24" t="s">
        <v>147</v>
      </c>
      <c r="D77" s="50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1</v>
      </c>
      <c r="N77" s="6">
        <v>1</v>
      </c>
      <c r="O77" s="6">
        <v>1</v>
      </c>
      <c r="P77" s="6">
        <v>0</v>
      </c>
      <c r="Q77" s="6">
        <v>1</v>
      </c>
      <c r="R77" s="6">
        <v>0</v>
      </c>
      <c r="S77" s="6">
        <v>1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1</v>
      </c>
      <c r="Z77" s="6">
        <v>0</v>
      </c>
      <c r="AA77" s="6">
        <v>0</v>
      </c>
      <c r="AB77" s="6">
        <v>0</v>
      </c>
      <c r="AC77" s="6">
        <v>0</v>
      </c>
      <c r="AD77" s="6">
        <v>1</v>
      </c>
      <c r="AE77" s="6">
        <v>0</v>
      </c>
      <c r="AF77" s="6">
        <v>0</v>
      </c>
      <c r="AG77" s="6">
        <v>0</v>
      </c>
      <c r="AH77" s="6"/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5">
        <f t="shared" si="41"/>
        <v>7</v>
      </c>
    </row>
    <row r="78" spans="1:42" x14ac:dyDescent="0.4">
      <c r="A78" s="7"/>
      <c r="B78" s="52"/>
      <c r="C78" s="24" t="s">
        <v>148</v>
      </c>
      <c r="D78" s="50"/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1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2</v>
      </c>
      <c r="W78" s="6">
        <v>0</v>
      </c>
      <c r="X78" s="6">
        <v>0</v>
      </c>
      <c r="Y78" s="6">
        <v>1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/>
      <c r="AI78" s="6">
        <v>0</v>
      </c>
      <c r="AJ78" s="6">
        <v>1</v>
      </c>
      <c r="AK78" s="6">
        <v>1</v>
      </c>
      <c r="AL78" s="6">
        <v>0</v>
      </c>
      <c r="AM78" s="6">
        <v>0</v>
      </c>
      <c r="AN78" s="6">
        <v>0</v>
      </c>
      <c r="AO78" s="6">
        <v>0</v>
      </c>
      <c r="AP78" s="5">
        <f t="shared" si="41"/>
        <v>8</v>
      </c>
    </row>
    <row r="79" spans="1:42" x14ac:dyDescent="0.4">
      <c r="A79" s="6" t="s">
        <v>26</v>
      </c>
      <c r="B79" s="67" t="s">
        <v>51</v>
      </c>
      <c r="C79" s="83"/>
      <c r="D79" s="74"/>
      <c r="E79" s="5">
        <f t="shared" ref="E79" si="42">SUM(E69:E78)</f>
        <v>12</v>
      </c>
      <c r="F79" s="5">
        <f t="shared" ref="F79" si="43">SUM(F69:F78)</f>
        <v>14</v>
      </c>
      <c r="G79" s="5">
        <f t="shared" ref="G79" si="44">SUM(G69:G78)</f>
        <v>9</v>
      </c>
      <c r="H79" s="5">
        <f t="shared" ref="H79" si="45">SUM(H69:H78)</f>
        <v>11</v>
      </c>
      <c r="I79" s="5">
        <f t="shared" ref="I79" si="46">SUM(I69:I78)</f>
        <v>13</v>
      </c>
      <c r="J79" s="5">
        <f t="shared" ref="J79" si="47">SUM(J69:J78)</f>
        <v>9</v>
      </c>
      <c r="K79" s="5">
        <f t="shared" ref="K79" si="48">SUM(K69:K78)</f>
        <v>15</v>
      </c>
      <c r="L79" s="5">
        <f t="shared" ref="L79" si="49">SUM(L69:L78)</f>
        <v>26</v>
      </c>
      <c r="M79" s="5">
        <f t="shared" ref="M79" si="50">SUM(M69:M78)</f>
        <v>14</v>
      </c>
      <c r="N79" s="5">
        <f t="shared" ref="N79" si="51">SUM(N69:N78)</f>
        <v>20</v>
      </c>
      <c r="O79" s="5">
        <f t="shared" ref="O79" si="52">SUM(O69:O78)</f>
        <v>28</v>
      </c>
      <c r="P79" s="5">
        <f t="shared" ref="P79" si="53">SUM(P69:P78)</f>
        <v>27</v>
      </c>
      <c r="Q79" s="5">
        <f t="shared" ref="Q79" si="54">SUM(Q69:Q78)</f>
        <v>36</v>
      </c>
      <c r="R79" s="5">
        <f t="shared" ref="R79" si="55">SUM(R69:R78)</f>
        <v>8</v>
      </c>
      <c r="S79" s="5">
        <f t="shared" ref="S79" si="56">SUM(S69:S78)</f>
        <v>27</v>
      </c>
      <c r="T79" s="5">
        <f t="shared" ref="T79" si="57">SUM(T69:T78)</f>
        <v>18</v>
      </c>
      <c r="U79" s="5">
        <f t="shared" ref="U79" si="58">SUM(U69:U78)</f>
        <v>14</v>
      </c>
      <c r="V79" s="5">
        <f t="shared" ref="V79" si="59">SUM(V69:V78)</f>
        <v>26</v>
      </c>
      <c r="W79" s="5">
        <f t="shared" ref="W79" si="60">SUM(W69:W78)</f>
        <v>3</v>
      </c>
      <c r="X79" s="5">
        <f t="shared" ref="X79" si="61">SUM(X69:X78)</f>
        <v>23</v>
      </c>
      <c r="Y79" s="5">
        <f t="shared" ref="Y79" si="62">SUM(Y69:Y78)</f>
        <v>20</v>
      </c>
      <c r="Z79" s="5">
        <f t="shared" ref="Z79" si="63">SUM(Z69:Z78)</f>
        <v>109</v>
      </c>
      <c r="AA79" s="5">
        <f t="shared" ref="AA79" si="64">SUM(AA69:AA78)</f>
        <v>18</v>
      </c>
      <c r="AB79" s="5">
        <f t="shared" ref="AB79" si="65">SUM(AB69:AB78)</f>
        <v>16</v>
      </c>
      <c r="AC79" s="5">
        <f t="shared" ref="AC79" si="66">SUM(AC69:AC78)</f>
        <v>25</v>
      </c>
      <c r="AD79" s="5">
        <f t="shared" ref="AD79" si="67">SUM(AD69:AD78)</f>
        <v>10</v>
      </c>
      <c r="AE79" s="5">
        <f t="shared" ref="AE79" si="68">SUM(AE69:AE78)</f>
        <v>31</v>
      </c>
      <c r="AF79" s="5">
        <f t="shared" ref="AF79" si="69">SUM(AF69:AF78)</f>
        <v>18</v>
      </c>
      <c r="AG79" s="5">
        <f t="shared" ref="AG79" si="70">SUM(AG69:AG78)</f>
        <v>22</v>
      </c>
      <c r="AH79" s="5">
        <f t="shared" ref="AH79" si="71">SUM(AH69:AH78)</f>
        <v>28</v>
      </c>
      <c r="AI79" s="5">
        <f t="shared" ref="AI79" si="72">SUM(AI69:AI78)</f>
        <v>13</v>
      </c>
      <c r="AJ79" s="5">
        <f t="shared" ref="AJ79" si="73">SUM(AJ69:AJ78)</f>
        <v>8</v>
      </c>
      <c r="AK79" s="5">
        <f t="shared" ref="AK79" si="74">SUM(AK69:AK78)</f>
        <v>18</v>
      </c>
      <c r="AL79" s="5">
        <f t="shared" ref="AL79" si="75">SUM(AL69:AL78)</f>
        <v>19</v>
      </c>
      <c r="AM79" s="5">
        <f t="shared" ref="AM79" si="76">SUM(AM69:AM78)</f>
        <v>30</v>
      </c>
      <c r="AN79" s="5">
        <f t="shared" ref="AN79" si="77">SUM(AN69:AN78)</f>
        <v>6</v>
      </c>
      <c r="AO79" s="5">
        <f t="shared" ref="AO79" si="78">SUM(AO69:AO78)</f>
        <v>5</v>
      </c>
      <c r="AP79" s="5">
        <f t="shared" si="41"/>
        <v>749</v>
      </c>
    </row>
    <row r="80" spans="1:42" x14ac:dyDescent="0.4">
      <c r="A80" s="84"/>
      <c r="B80" s="85"/>
      <c r="C80" s="85"/>
      <c r="D80" s="85"/>
      <c r="E80" s="85"/>
    </row>
    <row r="81" spans="1:42" x14ac:dyDescent="0.4">
      <c r="A81" s="11" t="s">
        <v>48</v>
      </c>
      <c r="B81" s="17" t="s">
        <v>34</v>
      </c>
      <c r="C81" s="73" t="s">
        <v>54</v>
      </c>
      <c r="D81" s="74"/>
      <c r="E81" s="6">
        <v>3</v>
      </c>
      <c r="F81" s="6">
        <v>1</v>
      </c>
      <c r="G81" s="6">
        <v>4</v>
      </c>
      <c r="H81" s="6">
        <v>5</v>
      </c>
      <c r="I81" s="6">
        <v>1</v>
      </c>
      <c r="J81" s="6">
        <v>0</v>
      </c>
      <c r="K81" s="6">
        <v>4</v>
      </c>
      <c r="L81" s="6">
        <v>2</v>
      </c>
      <c r="M81" s="6">
        <v>0</v>
      </c>
      <c r="N81" s="6">
        <v>0</v>
      </c>
      <c r="O81" s="6">
        <v>3</v>
      </c>
      <c r="P81" s="6">
        <v>1</v>
      </c>
      <c r="Q81" s="6">
        <v>9</v>
      </c>
      <c r="R81" s="6">
        <v>2</v>
      </c>
      <c r="S81" s="6">
        <v>8</v>
      </c>
      <c r="T81" s="6">
        <v>12</v>
      </c>
      <c r="U81" s="6">
        <v>0</v>
      </c>
      <c r="V81" s="6">
        <v>6</v>
      </c>
      <c r="W81" s="6">
        <v>1</v>
      </c>
      <c r="X81" s="6">
        <v>14</v>
      </c>
      <c r="Y81" s="6">
        <v>12</v>
      </c>
      <c r="Z81" s="6">
        <v>5</v>
      </c>
      <c r="AA81" s="6">
        <v>9</v>
      </c>
      <c r="AB81" s="6">
        <v>7</v>
      </c>
      <c r="AC81" s="6">
        <v>3</v>
      </c>
      <c r="AD81" s="6">
        <v>3</v>
      </c>
      <c r="AE81" s="6">
        <v>9</v>
      </c>
      <c r="AF81" s="6">
        <v>11</v>
      </c>
      <c r="AG81" s="6">
        <v>5</v>
      </c>
      <c r="AH81" s="6">
        <v>2</v>
      </c>
      <c r="AI81" s="6">
        <v>1</v>
      </c>
      <c r="AJ81" s="6">
        <v>4</v>
      </c>
      <c r="AK81" s="6">
        <v>4</v>
      </c>
      <c r="AL81" s="6">
        <v>4</v>
      </c>
      <c r="AM81" s="6">
        <v>5</v>
      </c>
      <c r="AN81" s="6">
        <v>7</v>
      </c>
      <c r="AO81" s="6">
        <v>2</v>
      </c>
      <c r="AP81" s="5">
        <f t="shared" ref="AP81:AP91" si="79">SUM(E81:AO81)</f>
        <v>169</v>
      </c>
    </row>
    <row r="82" spans="1:42" x14ac:dyDescent="0.4">
      <c r="A82" s="11" t="s">
        <v>50</v>
      </c>
      <c r="B82" s="52"/>
      <c r="C82" s="24" t="s">
        <v>149</v>
      </c>
      <c r="D82" s="50"/>
      <c r="E82" s="6">
        <v>6</v>
      </c>
      <c r="F82" s="6">
        <v>2</v>
      </c>
      <c r="G82" s="6">
        <v>2</v>
      </c>
      <c r="H82" s="6">
        <v>13</v>
      </c>
      <c r="I82" s="6">
        <v>1</v>
      </c>
      <c r="J82" s="6">
        <v>1</v>
      </c>
      <c r="K82" s="6">
        <v>3</v>
      </c>
      <c r="L82" s="6">
        <v>2</v>
      </c>
      <c r="M82" s="6">
        <v>4</v>
      </c>
      <c r="N82" s="6">
        <v>4</v>
      </c>
      <c r="O82" s="6">
        <v>10</v>
      </c>
      <c r="P82" s="6">
        <v>7</v>
      </c>
      <c r="Q82" s="6">
        <v>6</v>
      </c>
      <c r="R82" s="6">
        <v>6</v>
      </c>
      <c r="S82" s="6">
        <v>10</v>
      </c>
      <c r="T82" s="6">
        <v>11</v>
      </c>
      <c r="U82" s="6">
        <v>1</v>
      </c>
      <c r="V82" s="6">
        <v>4</v>
      </c>
      <c r="W82" s="6">
        <v>2</v>
      </c>
      <c r="X82" s="6">
        <v>11</v>
      </c>
      <c r="Y82" s="6">
        <v>11</v>
      </c>
      <c r="Z82" s="6">
        <v>4</v>
      </c>
      <c r="AA82" s="6">
        <v>11</v>
      </c>
      <c r="AB82" s="6">
        <v>25</v>
      </c>
      <c r="AC82" s="6">
        <v>1</v>
      </c>
      <c r="AD82" s="6">
        <v>3</v>
      </c>
      <c r="AE82" s="6">
        <v>15</v>
      </c>
      <c r="AF82" s="6">
        <v>14</v>
      </c>
      <c r="AG82" s="6">
        <v>11</v>
      </c>
      <c r="AH82" s="6">
        <v>7</v>
      </c>
      <c r="AI82" s="6">
        <v>5</v>
      </c>
      <c r="AJ82" s="6">
        <v>19</v>
      </c>
      <c r="AK82" s="6">
        <v>14</v>
      </c>
      <c r="AL82" s="6">
        <v>3</v>
      </c>
      <c r="AM82" s="6">
        <v>5</v>
      </c>
      <c r="AN82" s="6">
        <v>70</v>
      </c>
      <c r="AO82" s="6">
        <v>111</v>
      </c>
      <c r="AP82" s="5">
        <f t="shared" si="79"/>
        <v>435</v>
      </c>
    </row>
    <row r="83" spans="1:42" x14ac:dyDescent="0.4">
      <c r="A83" s="7"/>
      <c r="B83" s="52"/>
      <c r="C83" s="24" t="s">
        <v>150</v>
      </c>
      <c r="D83" s="50"/>
      <c r="E83" s="6">
        <v>0</v>
      </c>
      <c r="F83" s="6">
        <v>0</v>
      </c>
      <c r="G83" s="6">
        <v>2</v>
      </c>
      <c r="H83" s="6">
        <v>3</v>
      </c>
      <c r="I83" s="6">
        <v>0</v>
      </c>
      <c r="J83" s="6">
        <v>1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6">
        <v>2</v>
      </c>
      <c r="U83" s="6">
        <v>2</v>
      </c>
      <c r="V83" s="6">
        <v>0</v>
      </c>
      <c r="W83" s="6">
        <v>0</v>
      </c>
      <c r="X83" s="6">
        <v>4</v>
      </c>
      <c r="Y83" s="6">
        <v>2</v>
      </c>
      <c r="Z83" s="6">
        <v>0</v>
      </c>
      <c r="AA83" s="6">
        <v>1</v>
      </c>
      <c r="AB83" s="6">
        <v>1</v>
      </c>
      <c r="AC83" s="6">
        <v>0</v>
      </c>
      <c r="AD83" s="6">
        <v>2</v>
      </c>
      <c r="AE83" s="6">
        <v>1</v>
      </c>
      <c r="AF83" s="6">
        <v>2</v>
      </c>
      <c r="AG83" s="6">
        <v>1</v>
      </c>
      <c r="AH83" s="6">
        <v>0</v>
      </c>
      <c r="AI83" s="6">
        <v>0</v>
      </c>
      <c r="AJ83" s="6">
        <v>2</v>
      </c>
      <c r="AK83" s="6">
        <v>3</v>
      </c>
      <c r="AL83" s="6">
        <v>0</v>
      </c>
      <c r="AM83" s="6">
        <v>1</v>
      </c>
      <c r="AN83" s="6">
        <v>1</v>
      </c>
      <c r="AO83" s="6">
        <v>1</v>
      </c>
      <c r="AP83" s="5">
        <f t="shared" si="79"/>
        <v>34</v>
      </c>
    </row>
    <row r="84" spans="1:42" x14ac:dyDescent="0.4">
      <c r="A84" s="7"/>
      <c r="B84" s="52"/>
      <c r="C84" s="24" t="s">
        <v>151</v>
      </c>
      <c r="D84" s="50"/>
      <c r="E84" s="6">
        <v>0</v>
      </c>
      <c r="F84" s="6">
        <v>0</v>
      </c>
      <c r="G84" s="6">
        <v>2</v>
      </c>
      <c r="H84" s="6">
        <v>0</v>
      </c>
      <c r="I84" s="6">
        <v>0</v>
      </c>
      <c r="J84" s="6">
        <v>0</v>
      </c>
      <c r="K84" s="6">
        <v>0</v>
      </c>
      <c r="L84" s="6">
        <v>2</v>
      </c>
      <c r="M84" s="6">
        <v>0</v>
      </c>
      <c r="N84" s="6">
        <v>0</v>
      </c>
      <c r="O84" s="6">
        <v>1</v>
      </c>
      <c r="P84" s="6">
        <v>0</v>
      </c>
      <c r="Q84" s="6">
        <v>1</v>
      </c>
      <c r="R84" s="6">
        <v>0</v>
      </c>
      <c r="S84" s="6">
        <v>0</v>
      </c>
      <c r="T84" s="6">
        <v>2</v>
      </c>
      <c r="U84" s="6">
        <v>0</v>
      </c>
      <c r="V84" s="6">
        <v>0</v>
      </c>
      <c r="W84" s="6">
        <v>1</v>
      </c>
      <c r="X84" s="6">
        <v>2</v>
      </c>
      <c r="Y84" s="6">
        <v>0</v>
      </c>
      <c r="Z84" s="6">
        <v>1</v>
      </c>
      <c r="AA84" s="6">
        <v>0</v>
      </c>
      <c r="AB84" s="6">
        <v>0</v>
      </c>
      <c r="AC84" s="6">
        <v>0</v>
      </c>
      <c r="AD84" s="6">
        <v>0</v>
      </c>
      <c r="AE84" s="6">
        <v>1</v>
      </c>
      <c r="AF84" s="6">
        <v>4</v>
      </c>
      <c r="AG84" s="6">
        <v>0</v>
      </c>
      <c r="AH84" s="6">
        <v>2</v>
      </c>
      <c r="AI84" s="6">
        <v>1</v>
      </c>
      <c r="AJ84" s="6">
        <v>1</v>
      </c>
      <c r="AK84" s="6">
        <v>2</v>
      </c>
      <c r="AL84" s="6">
        <v>1</v>
      </c>
      <c r="AM84" s="6">
        <v>2</v>
      </c>
      <c r="AN84" s="6">
        <v>1</v>
      </c>
      <c r="AO84" s="6">
        <v>0</v>
      </c>
      <c r="AP84" s="5">
        <f t="shared" si="79"/>
        <v>27</v>
      </c>
    </row>
    <row r="85" spans="1:42" ht="13.15" customHeight="1" x14ac:dyDescent="0.4">
      <c r="A85" s="7"/>
      <c r="B85" s="52"/>
      <c r="C85" s="24" t="s">
        <v>152</v>
      </c>
      <c r="D85" s="50"/>
      <c r="E85" s="6">
        <v>16</v>
      </c>
      <c r="F85" s="6">
        <v>1</v>
      </c>
      <c r="G85" s="6">
        <v>3</v>
      </c>
      <c r="H85" s="6">
        <v>3</v>
      </c>
      <c r="I85" s="6">
        <v>0</v>
      </c>
      <c r="J85" s="6">
        <v>1</v>
      </c>
      <c r="K85" s="6">
        <v>1</v>
      </c>
      <c r="L85" s="6">
        <v>1</v>
      </c>
      <c r="M85" s="6">
        <v>2</v>
      </c>
      <c r="N85" s="6">
        <v>1</v>
      </c>
      <c r="O85" s="6">
        <v>1</v>
      </c>
      <c r="P85" s="6">
        <v>0</v>
      </c>
      <c r="Q85" s="6">
        <v>3</v>
      </c>
      <c r="R85" s="6">
        <v>2</v>
      </c>
      <c r="S85" s="6">
        <v>1</v>
      </c>
      <c r="T85" s="6">
        <v>3</v>
      </c>
      <c r="U85" s="6">
        <v>1</v>
      </c>
      <c r="V85" s="6">
        <v>5</v>
      </c>
      <c r="W85" s="6">
        <v>4</v>
      </c>
      <c r="X85" s="6">
        <v>1</v>
      </c>
      <c r="Y85" s="6">
        <v>7</v>
      </c>
      <c r="Z85" s="6">
        <v>5</v>
      </c>
      <c r="AA85" s="6">
        <v>2</v>
      </c>
      <c r="AB85" s="6">
        <v>2</v>
      </c>
      <c r="AC85" s="6">
        <v>5</v>
      </c>
      <c r="AD85" s="6">
        <v>3</v>
      </c>
      <c r="AE85" s="6">
        <v>2</v>
      </c>
      <c r="AF85" s="6">
        <v>1</v>
      </c>
      <c r="AG85" s="6">
        <v>3</v>
      </c>
      <c r="AH85" s="6">
        <v>6</v>
      </c>
      <c r="AI85" s="6">
        <v>2</v>
      </c>
      <c r="AJ85" s="6">
        <v>2</v>
      </c>
      <c r="AK85" s="6">
        <v>1</v>
      </c>
      <c r="AL85" s="6">
        <v>2</v>
      </c>
      <c r="AM85" s="6">
        <v>1</v>
      </c>
      <c r="AN85" s="6">
        <v>1</v>
      </c>
      <c r="AO85" s="6">
        <v>0</v>
      </c>
      <c r="AP85" s="5">
        <f t="shared" si="79"/>
        <v>95</v>
      </c>
    </row>
    <row r="86" spans="1:42" x14ac:dyDescent="0.4">
      <c r="A86" s="7"/>
      <c r="B86" s="52"/>
      <c r="C86" s="24" t="s">
        <v>153</v>
      </c>
      <c r="D86" s="50"/>
      <c r="E86" s="6">
        <v>1</v>
      </c>
      <c r="F86" s="6">
        <v>0</v>
      </c>
      <c r="G86" s="6">
        <v>0</v>
      </c>
      <c r="H86" s="6">
        <v>2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2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3</v>
      </c>
      <c r="Y86" s="6">
        <v>3</v>
      </c>
      <c r="Z86" s="6">
        <v>1</v>
      </c>
      <c r="AA86" s="6">
        <v>0</v>
      </c>
      <c r="AB86" s="6">
        <v>1</v>
      </c>
      <c r="AC86" s="6">
        <v>0</v>
      </c>
      <c r="AD86" s="6">
        <v>0</v>
      </c>
      <c r="AE86" s="6">
        <v>0</v>
      </c>
      <c r="AF86" s="6">
        <v>0</v>
      </c>
      <c r="AG86" s="6">
        <v>1</v>
      </c>
      <c r="AH86" s="6">
        <v>0</v>
      </c>
      <c r="AI86" s="6">
        <v>0</v>
      </c>
      <c r="AJ86" s="6">
        <v>1</v>
      </c>
      <c r="AK86" s="6">
        <v>0</v>
      </c>
      <c r="AL86" s="6">
        <v>0</v>
      </c>
      <c r="AM86" s="6">
        <v>0</v>
      </c>
      <c r="AN86" s="6">
        <v>4</v>
      </c>
      <c r="AO86" s="6">
        <v>1</v>
      </c>
      <c r="AP86" s="5">
        <f t="shared" si="79"/>
        <v>22</v>
      </c>
    </row>
    <row r="87" spans="1:42" x14ac:dyDescent="0.4">
      <c r="A87" s="7"/>
      <c r="B87" s="52"/>
      <c r="C87" s="24" t="s">
        <v>154</v>
      </c>
      <c r="D87" s="50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1</v>
      </c>
      <c r="Y87" s="6">
        <v>0</v>
      </c>
      <c r="Z87" s="6">
        <v>1</v>
      </c>
      <c r="AA87" s="6">
        <v>0</v>
      </c>
      <c r="AB87" s="6">
        <v>0</v>
      </c>
      <c r="AC87" s="6">
        <v>0</v>
      </c>
      <c r="AD87" s="6">
        <v>0</v>
      </c>
      <c r="AE87" s="6">
        <v>1</v>
      </c>
      <c r="AF87" s="6">
        <v>0</v>
      </c>
      <c r="AG87" s="6">
        <v>0</v>
      </c>
      <c r="AH87" s="6">
        <v>1</v>
      </c>
      <c r="AI87" s="6">
        <v>0</v>
      </c>
      <c r="AJ87" s="6">
        <v>1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5">
        <f t="shared" si="79"/>
        <v>7</v>
      </c>
    </row>
    <row r="88" spans="1:42" x14ac:dyDescent="0.4">
      <c r="A88" s="7"/>
      <c r="B88" s="52"/>
      <c r="C88" s="24" t="s">
        <v>155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1</v>
      </c>
      <c r="AE88" s="6">
        <v>2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5">
        <f t="shared" si="79"/>
        <v>3</v>
      </c>
    </row>
    <row r="89" spans="1:42" x14ac:dyDescent="0.4">
      <c r="A89" s="7"/>
      <c r="B89" s="52"/>
      <c r="C89" s="24" t="s">
        <v>156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1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5">
        <f t="shared" si="79"/>
        <v>1</v>
      </c>
    </row>
    <row r="90" spans="1:42" x14ac:dyDescent="0.4">
      <c r="A90" s="7"/>
      <c r="B90" s="52"/>
      <c r="C90" s="24" t="s">
        <v>157</v>
      </c>
      <c r="D90" s="5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2</v>
      </c>
      <c r="P90" s="6">
        <v>0</v>
      </c>
      <c r="Q90" s="6">
        <v>0</v>
      </c>
      <c r="R90" s="6">
        <v>0</v>
      </c>
      <c r="S90" s="6">
        <v>1</v>
      </c>
      <c r="T90" s="6">
        <v>2</v>
      </c>
      <c r="U90" s="6">
        <v>0</v>
      </c>
      <c r="V90" s="6">
        <v>1</v>
      </c>
      <c r="W90" s="6">
        <v>0</v>
      </c>
      <c r="X90" s="6">
        <v>0</v>
      </c>
      <c r="Y90" s="6">
        <v>0</v>
      </c>
      <c r="Z90" s="6">
        <v>0</v>
      </c>
      <c r="AA90" s="6">
        <v>1</v>
      </c>
      <c r="AB90" s="6">
        <v>0</v>
      </c>
      <c r="AC90" s="6">
        <v>0</v>
      </c>
      <c r="AD90" s="6">
        <v>0</v>
      </c>
      <c r="AE90" s="6">
        <v>1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5">
        <f t="shared" si="79"/>
        <v>8</v>
      </c>
    </row>
    <row r="91" spans="1:42" x14ac:dyDescent="0.4">
      <c r="A91" s="6" t="s">
        <v>26</v>
      </c>
      <c r="B91" s="67" t="s">
        <v>51</v>
      </c>
      <c r="C91" s="83"/>
      <c r="D91" s="74"/>
      <c r="E91" s="5">
        <f t="shared" ref="E91" si="80">SUM(E81:E90)</f>
        <v>26</v>
      </c>
      <c r="F91" s="5">
        <f t="shared" ref="F91" si="81">SUM(F81:F90)</f>
        <v>4</v>
      </c>
      <c r="G91" s="5">
        <f t="shared" ref="G91" si="82">SUM(G81:G90)</f>
        <v>13</v>
      </c>
      <c r="H91" s="5">
        <f t="shared" ref="H91" si="83">SUM(H81:H90)</f>
        <v>26</v>
      </c>
      <c r="I91" s="5">
        <f t="shared" ref="I91" si="84">SUM(I81:I90)</f>
        <v>3</v>
      </c>
      <c r="J91" s="5">
        <f t="shared" ref="J91" si="85">SUM(J81:J90)</f>
        <v>3</v>
      </c>
      <c r="K91" s="5">
        <f t="shared" ref="K91" si="86">SUM(K81:K90)</f>
        <v>9</v>
      </c>
      <c r="L91" s="5">
        <f t="shared" ref="L91" si="87">SUM(L81:L90)</f>
        <v>9</v>
      </c>
      <c r="M91" s="5">
        <f t="shared" ref="M91" si="88">SUM(M81:M90)</f>
        <v>6</v>
      </c>
      <c r="N91" s="5">
        <f t="shared" ref="N91" si="89">SUM(N81:N90)</f>
        <v>6</v>
      </c>
      <c r="O91" s="5">
        <f t="shared" ref="O91" si="90">SUM(O81:O90)</f>
        <v>19</v>
      </c>
      <c r="P91" s="5">
        <f t="shared" ref="P91" si="91">SUM(P81:P90)</f>
        <v>8</v>
      </c>
      <c r="Q91" s="5">
        <f t="shared" ref="Q91" si="92">SUM(Q81:Q90)</f>
        <v>20</v>
      </c>
      <c r="R91" s="5">
        <f t="shared" ref="R91" si="93">SUM(R81:R90)</f>
        <v>10</v>
      </c>
      <c r="S91" s="5">
        <f t="shared" ref="S91" si="94">SUM(S81:S90)</f>
        <v>20</v>
      </c>
      <c r="T91" s="5">
        <f t="shared" ref="T91" si="95">SUM(T81:T90)</f>
        <v>32</v>
      </c>
      <c r="U91" s="5">
        <f t="shared" ref="U91" si="96">SUM(U81:U90)</f>
        <v>5</v>
      </c>
      <c r="V91" s="5">
        <f t="shared" ref="V91" si="97">SUM(V81:V90)</f>
        <v>16</v>
      </c>
      <c r="W91" s="5">
        <f t="shared" ref="W91" si="98">SUM(W81:W90)</f>
        <v>8</v>
      </c>
      <c r="X91" s="5">
        <f t="shared" ref="X91" si="99">SUM(X81:X90)</f>
        <v>36</v>
      </c>
      <c r="Y91" s="5">
        <f t="shared" ref="Y91" si="100">SUM(Y81:Y90)</f>
        <v>35</v>
      </c>
      <c r="Z91" s="5">
        <f t="shared" ref="Z91" si="101">SUM(Z81:Z90)</f>
        <v>17</v>
      </c>
      <c r="AA91" s="5">
        <f t="shared" ref="AA91" si="102">SUM(AA81:AA90)</f>
        <v>24</v>
      </c>
      <c r="AB91" s="5">
        <f t="shared" ref="AB91" si="103">SUM(AB81:AB90)</f>
        <v>36</v>
      </c>
      <c r="AC91" s="5">
        <f t="shared" ref="AC91" si="104">SUM(AC81:AC90)</f>
        <v>9</v>
      </c>
      <c r="AD91" s="5">
        <f t="shared" ref="AD91" si="105">SUM(AD81:AD90)</f>
        <v>12</v>
      </c>
      <c r="AE91" s="5">
        <f t="shared" ref="AE91" si="106">SUM(AE81:AE90)</f>
        <v>32</v>
      </c>
      <c r="AF91" s="5">
        <f t="shared" ref="AF91" si="107">SUM(AF81:AF90)</f>
        <v>32</v>
      </c>
      <c r="AG91" s="5">
        <f t="shared" ref="AG91" si="108">SUM(AG81:AG90)</f>
        <v>21</v>
      </c>
      <c r="AH91" s="5">
        <f t="shared" ref="AH91" si="109">SUM(AH81:AH90)</f>
        <v>18</v>
      </c>
      <c r="AI91" s="5">
        <f t="shared" ref="AI91" si="110">SUM(AI81:AI90)</f>
        <v>9</v>
      </c>
      <c r="AJ91" s="5">
        <f t="shared" ref="AJ91" si="111">SUM(AJ81:AJ90)</f>
        <v>30</v>
      </c>
      <c r="AK91" s="5">
        <f t="shared" ref="AK91" si="112">SUM(AK81:AK90)</f>
        <v>24</v>
      </c>
      <c r="AL91" s="5">
        <f t="shared" ref="AL91" si="113">SUM(AL81:AL90)</f>
        <v>10</v>
      </c>
      <c r="AM91" s="5">
        <f t="shared" ref="AM91" si="114">SUM(AM81:AM90)</f>
        <v>14</v>
      </c>
      <c r="AN91" s="5">
        <f t="shared" ref="AN91" si="115">SUM(AN81:AN90)</f>
        <v>84</v>
      </c>
      <c r="AO91" s="5">
        <f t="shared" ref="AO91" si="116">SUM(AO81:AO90)</f>
        <v>115</v>
      </c>
      <c r="AP91" s="5">
        <f t="shared" si="79"/>
        <v>801</v>
      </c>
    </row>
    <row r="92" spans="1:42" x14ac:dyDescent="0.4">
      <c r="A92" s="84"/>
      <c r="B92" s="85"/>
      <c r="C92" s="85"/>
      <c r="D92" s="85"/>
      <c r="E92" s="85"/>
    </row>
    <row r="93" spans="1:42" x14ac:dyDescent="0.4">
      <c r="A93" s="11" t="s">
        <v>48</v>
      </c>
      <c r="B93" s="17" t="s">
        <v>55</v>
      </c>
      <c r="C93" s="73" t="s">
        <v>56</v>
      </c>
      <c r="D93" s="74"/>
      <c r="E93" s="6">
        <v>3</v>
      </c>
      <c r="F93" s="6">
        <v>1</v>
      </c>
      <c r="G93" s="6">
        <v>1</v>
      </c>
      <c r="H93" s="6">
        <v>2</v>
      </c>
      <c r="I93" s="6">
        <v>1</v>
      </c>
      <c r="J93" s="6">
        <v>0</v>
      </c>
      <c r="K93" s="6">
        <v>0</v>
      </c>
      <c r="L93" s="6">
        <v>5</v>
      </c>
      <c r="M93" s="6">
        <v>1</v>
      </c>
      <c r="N93" s="6">
        <v>0</v>
      </c>
      <c r="O93" s="6">
        <v>0</v>
      </c>
      <c r="P93" s="6">
        <v>1</v>
      </c>
      <c r="Q93" s="6">
        <v>2</v>
      </c>
      <c r="R93" s="6">
        <v>1</v>
      </c>
      <c r="S93" s="6">
        <v>1</v>
      </c>
      <c r="T93" s="6">
        <v>6</v>
      </c>
      <c r="U93" s="6">
        <v>1</v>
      </c>
      <c r="V93" s="6">
        <v>1</v>
      </c>
      <c r="W93" s="6">
        <v>3</v>
      </c>
      <c r="X93" s="6">
        <v>2</v>
      </c>
      <c r="Y93" s="6">
        <v>1</v>
      </c>
      <c r="Z93" s="6">
        <v>1</v>
      </c>
      <c r="AA93" s="6">
        <v>2</v>
      </c>
      <c r="AB93" s="6">
        <v>0</v>
      </c>
      <c r="AC93" s="6">
        <v>0</v>
      </c>
      <c r="AD93" s="6">
        <v>2</v>
      </c>
      <c r="AE93" s="6">
        <v>0</v>
      </c>
      <c r="AF93" s="6">
        <v>1</v>
      </c>
      <c r="AG93" s="6">
        <v>0</v>
      </c>
      <c r="AH93" s="6">
        <v>1</v>
      </c>
      <c r="AI93" s="6">
        <v>0</v>
      </c>
      <c r="AJ93" s="6">
        <v>3</v>
      </c>
      <c r="AK93" s="6">
        <v>0</v>
      </c>
      <c r="AL93" s="6">
        <v>3</v>
      </c>
      <c r="AM93" s="6">
        <v>1</v>
      </c>
      <c r="AN93" s="6">
        <v>0</v>
      </c>
      <c r="AO93" s="6">
        <v>0</v>
      </c>
      <c r="AP93" s="5">
        <f t="shared" ref="AP93:AP103" si="117">SUM(E93:AO93)</f>
        <v>47</v>
      </c>
    </row>
    <row r="94" spans="1:42" x14ac:dyDescent="0.4">
      <c r="A94" s="11" t="s">
        <v>50</v>
      </c>
      <c r="B94" s="52"/>
      <c r="C94" s="24" t="s">
        <v>158</v>
      </c>
      <c r="D94" s="50"/>
      <c r="E94" s="6">
        <v>2</v>
      </c>
      <c r="F94" s="6">
        <v>3</v>
      </c>
      <c r="G94" s="6">
        <v>8</v>
      </c>
      <c r="H94" s="6">
        <v>1</v>
      </c>
      <c r="I94" s="6">
        <v>17</v>
      </c>
      <c r="J94" s="6">
        <v>2</v>
      </c>
      <c r="K94" s="6">
        <v>1</v>
      </c>
      <c r="L94" s="6">
        <v>8</v>
      </c>
      <c r="M94" s="6">
        <v>2</v>
      </c>
      <c r="N94" s="6">
        <v>10</v>
      </c>
      <c r="O94" s="6">
        <v>0</v>
      </c>
      <c r="P94" s="6">
        <v>3</v>
      </c>
      <c r="Q94" s="6">
        <v>3</v>
      </c>
      <c r="R94" s="6">
        <v>0</v>
      </c>
      <c r="S94" s="6">
        <v>1</v>
      </c>
      <c r="T94" s="6">
        <v>0</v>
      </c>
      <c r="U94" s="6">
        <v>0</v>
      </c>
      <c r="V94" s="6">
        <v>1</v>
      </c>
      <c r="W94" s="6">
        <v>3</v>
      </c>
      <c r="X94" s="6">
        <v>1</v>
      </c>
      <c r="Y94" s="6">
        <v>5</v>
      </c>
      <c r="Z94" s="6">
        <v>0</v>
      </c>
      <c r="AA94" s="6">
        <v>1</v>
      </c>
      <c r="AB94" s="6">
        <v>1</v>
      </c>
      <c r="AC94" s="6">
        <v>1</v>
      </c>
      <c r="AD94" s="6">
        <v>1</v>
      </c>
      <c r="AE94" s="6">
        <v>2</v>
      </c>
      <c r="AF94" s="6">
        <v>1</v>
      </c>
      <c r="AG94" s="6">
        <v>0</v>
      </c>
      <c r="AH94" s="6">
        <v>1</v>
      </c>
      <c r="AI94" s="6">
        <v>2</v>
      </c>
      <c r="AJ94" s="6">
        <v>5</v>
      </c>
      <c r="AK94" s="6">
        <v>2</v>
      </c>
      <c r="AL94" s="6">
        <v>0</v>
      </c>
      <c r="AM94" s="6">
        <v>2</v>
      </c>
      <c r="AN94" s="6">
        <v>0</v>
      </c>
      <c r="AO94" s="6">
        <v>0</v>
      </c>
      <c r="AP94" s="5">
        <f t="shared" si="117"/>
        <v>90</v>
      </c>
    </row>
    <row r="95" spans="1:42" x14ac:dyDescent="0.4">
      <c r="A95" s="7"/>
      <c r="B95" s="52"/>
      <c r="C95" s="24" t="s">
        <v>159</v>
      </c>
      <c r="D95" s="50"/>
      <c r="E95" s="6">
        <v>2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2</v>
      </c>
      <c r="V95" s="6">
        <v>1</v>
      </c>
      <c r="W95" s="6">
        <v>1</v>
      </c>
      <c r="X95" s="6">
        <v>2</v>
      </c>
      <c r="Y95" s="6">
        <v>0</v>
      </c>
      <c r="Z95" s="6">
        <v>0</v>
      </c>
      <c r="AA95" s="6">
        <v>0</v>
      </c>
      <c r="AB95" s="6">
        <v>0</v>
      </c>
      <c r="AC95" s="6">
        <v>2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1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5">
        <f t="shared" si="117"/>
        <v>13</v>
      </c>
    </row>
    <row r="96" spans="1:42" ht="13.15" customHeight="1" x14ac:dyDescent="0.4">
      <c r="A96" s="7"/>
      <c r="B96" s="52"/>
      <c r="C96" s="24" t="s">
        <v>160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2</v>
      </c>
      <c r="Y96" s="6">
        <v>0</v>
      </c>
      <c r="Z96" s="6">
        <v>1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1</v>
      </c>
      <c r="AN96" s="6">
        <v>1</v>
      </c>
      <c r="AO96" s="6">
        <v>0</v>
      </c>
      <c r="AP96" s="5">
        <f t="shared" si="117"/>
        <v>6</v>
      </c>
    </row>
    <row r="97" spans="1:42" x14ac:dyDescent="0.4">
      <c r="A97" s="7"/>
      <c r="B97" s="52"/>
      <c r="C97" s="24" t="s">
        <v>161</v>
      </c>
      <c r="D97" s="50"/>
      <c r="E97" s="6">
        <v>0</v>
      </c>
      <c r="F97" s="6">
        <v>1</v>
      </c>
      <c r="G97" s="6">
        <v>0</v>
      </c>
      <c r="H97" s="6">
        <v>0</v>
      </c>
      <c r="I97" s="6">
        <v>0</v>
      </c>
      <c r="J97" s="6">
        <v>0</v>
      </c>
      <c r="K97" s="6">
        <v>1</v>
      </c>
      <c r="L97" s="6">
        <v>2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3</v>
      </c>
      <c r="AD97" s="6">
        <v>0</v>
      </c>
      <c r="AE97" s="6">
        <v>0</v>
      </c>
      <c r="AF97" s="6">
        <v>1</v>
      </c>
      <c r="AG97" s="6">
        <v>0</v>
      </c>
      <c r="AH97" s="6">
        <v>0</v>
      </c>
      <c r="AI97" s="6">
        <v>0</v>
      </c>
      <c r="AJ97" s="6">
        <v>5</v>
      </c>
      <c r="AK97" s="6">
        <v>1</v>
      </c>
      <c r="AL97" s="6">
        <v>0</v>
      </c>
      <c r="AM97" s="6">
        <v>2</v>
      </c>
      <c r="AN97" s="6">
        <v>1</v>
      </c>
      <c r="AO97" s="6">
        <v>0</v>
      </c>
      <c r="AP97" s="5">
        <f t="shared" si="117"/>
        <v>18</v>
      </c>
    </row>
    <row r="98" spans="1:42" x14ac:dyDescent="0.4">
      <c r="A98" s="7"/>
      <c r="B98" s="52"/>
      <c r="C98" s="24" t="s">
        <v>162</v>
      </c>
      <c r="D98" s="50"/>
      <c r="E98" s="6">
        <v>0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1</v>
      </c>
      <c r="S98" s="6">
        <v>3</v>
      </c>
      <c r="T98" s="6">
        <v>1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1</v>
      </c>
      <c r="AD98" s="6">
        <v>0</v>
      </c>
      <c r="AE98" s="6">
        <v>1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1</v>
      </c>
      <c r="AN98" s="6">
        <v>1</v>
      </c>
      <c r="AO98" s="6">
        <v>0</v>
      </c>
      <c r="AP98" s="5">
        <f t="shared" si="117"/>
        <v>13</v>
      </c>
    </row>
    <row r="99" spans="1:42" x14ac:dyDescent="0.4">
      <c r="A99" s="7"/>
      <c r="B99" s="52"/>
      <c r="C99" s="24" t="s">
        <v>163</v>
      </c>
      <c r="D99" s="50"/>
      <c r="E99" s="6">
        <v>0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1</v>
      </c>
      <c r="T99" s="6">
        <v>0</v>
      </c>
      <c r="U99" s="6">
        <v>0</v>
      </c>
      <c r="V99" s="6">
        <v>1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1</v>
      </c>
      <c r="AD99" s="6">
        <v>1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5">
        <f t="shared" si="117"/>
        <v>5</v>
      </c>
    </row>
    <row r="100" spans="1:42" x14ac:dyDescent="0.4">
      <c r="A100" s="7"/>
      <c r="B100" s="52"/>
      <c r="C100" s="24" t="s">
        <v>164</v>
      </c>
      <c r="D100" s="50"/>
      <c r="E100" s="6">
        <v>2</v>
      </c>
      <c r="F100" s="6">
        <v>0</v>
      </c>
      <c r="G100" s="6">
        <v>0</v>
      </c>
      <c r="H100" s="6">
        <v>1</v>
      </c>
      <c r="I100" s="6">
        <v>0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1</v>
      </c>
      <c r="T100" s="6">
        <v>3</v>
      </c>
      <c r="U100" s="6">
        <v>0</v>
      </c>
      <c r="V100" s="6">
        <v>2</v>
      </c>
      <c r="W100" s="6">
        <v>0</v>
      </c>
      <c r="X100" s="6">
        <v>0</v>
      </c>
      <c r="Y100" s="6">
        <v>1</v>
      </c>
      <c r="Z100" s="6">
        <v>0</v>
      </c>
      <c r="AA100" s="6">
        <v>0</v>
      </c>
      <c r="AB100" s="6">
        <v>0</v>
      </c>
      <c r="AC100" s="6">
        <v>1</v>
      </c>
      <c r="AD100" s="6">
        <v>0</v>
      </c>
      <c r="AE100" s="6">
        <v>0</v>
      </c>
      <c r="AF100" s="6">
        <v>0</v>
      </c>
      <c r="AG100" s="6">
        <v>0</v>
      </c>
      <c r="AH100" s="6">
        <v>2</v>
      </c>
      <c r="AI100" s="6">
        <v>0</v>
      </c>
      <c r="AJ100" s="6">
        <v>2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5">
        <f t="shared" si="117"/>
        <v>16</v>
      </c>
    </row>
    <row r="101" spans="1:42" x14ac:dyDescent="0.4">
      <c r="A101" s="7"/>
      <c r="B101" s="52"/>
      <c r="C101" s="24" t="s">
        <v>165</v>
      </c>
      <c r="D101" s="50"/>
      <c r="E101" s="6">
        <v>0</v>
      </c>
      <c r="F101" s="6">
        <v>0</v>
      </c>
      <c r="G101" s="6">
        <v>1</v>
      </c>
      <c r="H101" s="6">
        <v>0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5">
        <f t="shared" si="117"/>
        <v>2</v>
      </c>
    </row>
    <row r="102" spans="1:42" x14ac:dyDescent="0.4">
      <c r="A102" s="7"/>
      <c r="B102" s="52"/>
      <c r="C102" s="24" t="s">
        <v>166</v>
      </c>
      <c r="D102" s="50"/>
      <c r="E102" s="6">
        <v>0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1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1</v>
      </c>
      <c r="AM102" s="6">
        <v>0</v>
      </c>
      <c r="AN102" s="6">
        <v>0</v>
      </c>
      <c r="AO102" s="6">
        <v>0</v>
      </c>
      <c r="AP102" s="5">
        <f t="shared" si="117"/>
        <v>3</v>
      </c>
    </row>
    <row r="103" spans="1:42" x14ac:dyDescent="0.4">
      <c r="A103" s="6" t="s">
        <v>26</v>
      </c>
      <c r="B103" s="67" t="s">
        <v>51</v>
      </c>
      <c r="C103" s="83"/>
      <c r="D103" s="74"/>
      <c r="E103" s="5">
        <f t="shared" ref="E103" si="118">SUM(E93:E102)</f>
        <v>9</v>
      </c>
      <c r="F103" s="5">
        <f t="shared" ref="F103" si="119">SUM(F93:F102)</f>
        <v>6</v>
      </c>
      <c r="G103" s="5">
        <f t="shared" ref="G103" si="120">SUM(G93:G102)</f>
        <v>13</v>
      </c>
      <c r="H103" s="5">
        <f t="shared" ref="H103" si="121">SUM(H93:H102)</f>
        <v>4</v>
      </c>
      <c r="I103" s="5">
        <f t="shared" ref="I103" si="122">SUM(I93:I102)</f>
        <v>18</v>
      </c>
      <c r="J103" s="5">
        <f t="shared" ref="J103" si="123">SUM(J93:J102)</f>
        <v>2</v>
      </c>
      <c r="K103" s="5">
        <f t="shared" ref="K103" si="124">SUM(K93:K102)</f>
        <v>2</v>
      </c>
      <c r="L103" s="5">
        <f t="shared" ref="L103" si="125">SUM(L93:L102)</f>
        <v>18</v>
      </c>
      <c r="M103" s="5">
        <f t="shared" ref="M103" si="126">SUM(M93:M102)</f>
        <v>3</v>
      </c>
      <c r="N103" s="5">
        <f t="shared" ref="N103" si="127">SUM(N93:N102)</f>
        <v>11</v>
      </c>
      <c r="O103" s="5">
        <f t="shared" ref="O103" si="128">SUM(O93:O102)</f>
        <v>0</v>
      </c>
      <c r="P103" s="5">
        <f t="shared" ref="P103" si="129">SUM(P93:P102)</f>
        <v>4</v>
      </c>
      <c r="Q103" s="5">
        <f t="shared" ref="Q103" si="130">SUM(Q93:Q102)</f>
        <v>6</v>
      </c>
      <c r="R103" s="5">
        <f t="shared" ref="R103" si="131">SUM(R93:R102)</f>
        <v>2</v>
      </c>
      <c r="S103" s="5">
        <f t="shared" ref="S103" si="132">SUM(S93:S102)</f>
        <v>7</v>
      </c>
      <c r="T103" s="5">
        <f t="shared" ref="T103" si="133">SUM(T93:T102)</f>
        <v>11</v>
      </c>
      <c r="U103" s="5">
        <f t="shared" ref="U103" si="134">SUM(U93:U102)</f>
        <v>3</v>
      </c>
      <c r="V103" s="5">
        <f t="shared" ref="V103" si="135">SUM(V93:V102)</f>
        <v>6</v>
      </c>
      <c r="W103" s="5">
        <f t="shared" ref="W103" si="136">SUM(W93:W102)</f>
        <v>8</v>
      </c>
      <c r="X103" s="5">
        <f t="shared" ref="X103" si="137">SUM(X93:X102)</f>
        <v>7</v>
      </c>
      <c r="Y103" s="5">
        <f t="shared" ref="Y103" si="138">SUM(Y93:Y102)</f>
        <v>7</v>
      </c>
      <c r="Z103" s="5">
        <f t="shared" ref="Z103" si="139">SUM(Z93:Z102)</f>
        <v>2</v>
      </c>
      <c r="AA103" s="5">
        <f t="shared" ref="AA103" si="140">SUM(AA93:AA102)</f>
        <v>3</v>
      </c>
      <c r="AB103" s="5">
        <f t="shared" ref="AB103" si="141">SUM(AB93:AB102)</f>
        <v>1</v>
      </c>
      <c r="AC103" s="5">
        <f t="shared" ref="AC103" si="142">SUM(AC93:AC102)</f>
        <v>9</v>
      </c>
      <c r="AD103" s="5">
        <f t="shared" ref="AD103" si="143">SUM(AD93:AD102)</f>
        <v>4</v>
      </c>
      <c r="AE103" s="5">
        <f t="shared" ref="AE103" si="144">SUM(AE93:AE102)</f>
        <v>3</v>
      </c>
      <c r="AF103" s="5">
        <f t="shared" ref="AF103" si="145">SUM(AF93:AF102)</f>
        <v>4</v>
      </c>
      <c r="AG103" s="5">
        <f t="shared" ref="AG103" si="146">SUM(AG93:AG102)</f>
        <v>0</v>
      </c>
      <c r="AH103" s="5">
        <f t="shared" ref="AH103" si="147">SUM(AH93:AH102)</f>
        <v>4</v>
      </c>
      <c r="AI103" s="5">
        <f t="shared" ref="AI103" si="148">SUM(AI93:AI102)</f>
        <v>2</v>
      </c>
      <c r="AJ103" s="5">
        <f t="shared" ref="AJ103" si="149">SUM(AJ93:AJ102)</f>
        <v>16</v>
      </c>
      <c r="AK103" s="5">
        <f t="shared" ref="AK103" si="150">SUM(AK93:AK102)</f>
        <v>4</v>
      </c>
      <c r="AL103" s="5">
        <f t="shared" ref="AL103" si="151">SUM(AL93:AL102)</f>
        <v>4</v>
      </c>
      <c r="AM103" s="5">
        <f t="shared" ref="AM103" si="152">SUM(AM93:AM102)</f>
        <v>7</v>
      </c>
      <c r="AN103" s="5">
        <f t="shared" ref="AN103" si="153">SUM(AN93:AN102)</f>
        <v>3</v>
      </c>
      <c r="AO103" s="5">
        <f t="shared" ref="AO103" si="154">SUM(AO93:AO102)</f>
        <v>0</v>
      </c>
      <c r="AP103" s="5">
        <f t="shared" si="117"/>
        <v>213</v>
      </c>
    </row>
    <row r="104" spans="1:42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 spans="1:42" x14ac:dyDescent="0.4">
      <c r="A105" s="11" t="s">
        <v>48</v>
      </c>
      <c r="B105" s="17" t="s">
        <v>57</v>
      </c>
      <c r="C105" s="73" t="s">
        <v>58</v>
      </c>
      <c r="D105" s="74"/>
      <c r="E105" s="6"/>
      <c r="F105" s="6"/>
      <c r="G105" s="6">
        <v>1</v>
      </c>
      <c r="H105" s="6"/>
      <c r="I105" s="6"/>
      <c r="J105" s="6"/>
      <c r="K105" s="6"/>
      <c r="L105" s="6"/>
      <c r="M105" s="6"/>
      <c r="N105" s="6"/>
      <c r="O105" s="6"/>
      <c r="P105" s="6"/>
      <c r="Q105" s="6">
        <v>1</v>
      </c>
      <c r="R105" s="6"/>
      <c r="S105" s="6">
        <v>1</v>
      </c>
      <c r="T105" s="6"/>
      <c r="U105" s="6"/>
      <c r="V105" s="6"/>
      <c r="W105" s="6"/>
      <c r="X105" s="6">
        <v>1</v>
      </c>
      <c r="Y105" s="6"/>
      <c r="Z105" s="6"/>
      <c r="AA105" s="6"/>
      <c r="AB105" s="6">
        <v>1</v>
      </c>
      <c r="AC105" s="6"/>
      <c r="AD105" s="6"/>
      <c r="AE105" s="6"/>
      <c r="AF105" s="6"/>
      <c r="AG105" s="6">
        <v>1</v>
      </c>
      <c r="AH105" s="6"/>
      <c r="AI105" s="6"/>
      <c r="AJ105" s="6"/>
      <c r="AK105" s="6">
        <v>1</v>
      </c>
      <c r="AL105" s="6"/>
      <c r="AM105" s="6"/>
      <c r="AN105" s="6"/>
      <c r="AO105" s="6"/>
      <c r="AP105" s="5">
        <f>SUM(E105:AO105)</f>
        <v>7</v>
      </c>
    </row>
    <row r="106" spans="1:42" x14ac:dyDescent="0.4">
      <c r="A106" s="11" t="s">
        <v>50</v>
      </c>
      <c r="B106" s="52"/>
      <c r="C106" s="24" t="s">
        <v>167</v>
      </c>
      <c r="D106" s="50"/>
      <c r="E106" s="6"/>
      <c r="F106" s="6"/>
      <c r="G106" s="6"/>
      <c r="H106" s="6">
        <v>1</v>
      </c>
      <c r="I106" s="6"/>
      <c r="J106" s="6"/>
      <c r="K106" s="6"/>
      <c r="L106" s="6">
        <v>1</v>
      </c>
      <c r="M106" s="6"/>
      <c r="N106" s="6">
        <v>1</v>
      </c>
      <c r="O106" s="6"/>
      <c r="P106" s="6"/>
      <c r="Q106" s="6"/>
      <c r="R106" s="6">
        <v>1</v>
      </c>
      <c r="S106" s="6"/>
      <c r="T106" s="6"/>
      <c r="U106" s="6"/>
      <c r="V106" s="6">
        <v>1</v>
      </c>
      <c r="W106" s="6"/>
      <c r="X106" s="6"/>
      <c r="Y106" s="6"/>
      <c r="Z106" s="6"/>
      <c r="AA106" s="6"/>
      <c r="AB106" s="6"/>
      <c r="AC106" s="6"/>
      <c r="AD106" s="6"/>
      <c r="AE106" s="6"/>
      <c r="AF106" s="6">
        <v>1</v>
      </c>
      <c r="AG106" s="6"/>
      <c r="AH106" s="6"/>
      <c r="AI106" s="6"/>
      <c r="AJ106" s="6"/>
      <c r="AK106" s="6">
        <v>1</v>
      </c>
      <c r="AL106" s="6"/>
      <c r="AM106" s="6"/>
      <c r="AN106" s="6"/>
      <c r="AO106" s="6"/>
      <c r="AP106" s="5">
        <f>SUM(E106:AO106)</f>
        <v>7</v>
      </c>
    </row>
    <row r="107" spans="1:42" ht="13.15" customHeight="1" x14ac:dyDescent="0.4">
      <c r="A107" s="7"/>
      <c r="B107" s="52"/>
      <c r="C107" s="24" t="s">
        <v>168</v>
      </c>
      <c r="D107" s="5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>
        <v>1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5">
        <f>SUM(E107:AO107)</f>
        <v>1</v>
      </c>
    </row>
    <row r="108" spans="1:42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49"/>
    </row>
    <row r="109" spans="1:42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49"/>
    </row>
    <row r="110" spans="1:42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49"/>
    </row>
    <row r="111" spans="1:42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49"/>
    </row>
    <row r="112" spans="1:42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49"/>
    </row>
    <row r="113" spans="1:44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49"/>
    </row>
    <row r="114" spans="1:44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49"/>
    </row>
    <row r="115" spans="1:44" ht="13.15" customHeight="1" x14ac:dyDescent="0.4">
      <c r="A115" s="6" t="s">
        <v>26</v>
      </c>
      <c r="B115" s="67" t="s">
        <v>51</v>
      </c>
      <c r="C115" s="68"/>
      <c r="D115" s="69"/>
      <c r="E115" s="5">
        <f t="shared" ref="E115" si="155">SUM(E105:E114)</f>
        <v>0</v>
      </c>
      <c r="F115" s="5">
        <f t="shared" ref="F115" si="156">SUM(F105:F114)</f>
        <v>0</v>
      </c>
      <c r="G115" s="5">
        <f t="shared" ref="G115" si="157">SUM(G105:G114)</f>
        <v>1</v>
      </c>
      <c r="H115" s="5">
        <f t="shared" ref="H115" si="158">SUM(H105:H114)</f>
        <v>1</v>
      </c>
      <c r="I115" s="5">
        <f t="shared" ref="I115" si="159">SUM(I105:I114)</f>
        <v>0</v>
      </c>
      <c r="J115" s="5">
        <f t="shared" ref="J115" si="160">SUM(J105:J114)</f>
        <v>0</v>
      </c>
      <c r="K115" s="5">
        <f t="shared" ref="K115" si="161">SUM(K105:K114)</f>
        <v>0</v>
      </c>
      <c r="L115" s="5">
        <f t="shared" ref="L115" si="162">SUM(L105:L114)</f>
        <v>1</v>
      </c>
      <c r="M115" s="5">
        <f t="shared" ref="M115" si="163">SUM(M105:M114)</f>
        <v>0</v>
      </c>
      <c r="N115" s="5">
        <f t="shared" ref="N115" si="164">SUM(N105:N114)</f>
        <v>1</v>
      </c>
      <c r="O115" s="5">
        <f t="shared" ref="O115" si="165">SUM(O105:O114)</f>
        <v>0</v>
      </c>
      <c r="P115" s="5">
        <f t="shared" ref="P115" si="166">SUM(P105:P114)</f>
        <v>0</v>
      </c>
      <c r="Q115" s="5">
        <f t="shared" ref="Q115" si="167">SUM(Q105:Q114)</f>
        <v>1</v>
      </c>
      <c r="R115" s="5">
        <f t="shared" ref="R115" si="168">SUM(R105:R114)</f>
        <v>2</v>
      </c>
      <c r="S115" s="5">
        <f t="shared" ref="S115" si="169">SUM(S105:S114)</f>
        <v>1</v>
      </c>
      <c r="T115" s="5">
        <f t="shared" ref="T115" si="170">SUM(T105:T114)</f>
        <v>0</v>
      </c>
      <c r="U115" s="5">
        <f t="shared" ref="U115" si="171">SUM(U105:U114)</f>
        <v>0</v>
      </c>
      <c r="V115" s="5">
        <f t="shared" ref="V115" si="172">SUM(V105:V114)</f>
        <v>1</v>
      </c>
      <c r="W115" s="5">
        <f t="shared" ref="W115" si="173">SUM(W105:W114)</f>
        <v>0</v>
      </c>
      <c r="X115" s="5">
        <f t="shared" ref="X115" si="174">SUM(X105:X114)</f>
        <v>1</v>
      </c>
      <c r="Y115" s="5">
        <f t="shared" ref="Y115" si="175">SUM(Y105:Y114)</f>
        <v>0</v>
      </c>
      <c r="Z115" s="5">
        <f t="shared" ref="Z115" si="176">SUM(Z105:Z114)</f>
        <v>0</v>
      </c>
      <c r="AA115" s="5">
        <f t="shared" ref="AA115" si="177">SUM(AA105:AA114)</f>
        <v>0</v>
      </c>
      <c r="AB115" s="5">
        <f t="shared" ref="AB115" si="178">SUM(AB105:AB114)</f>
        <v>1</v>
      </c>
      <c r="AC115" s="5">
        <f t="shared" ref="AC115" si="179">SUM(AC105:AC114)</f>
        <v>0</v>
      </c>
      <c r="AD115" s="5">
        <f t="shared" ref="AD115" si="180">SUM(AD105:AD114)</f>
        <v>0</v>
      </c>
      <c r="AE115" s="5">
        <f t="shared" ref="AE115" si="181">SUM(AE105:AE114)</f>
        <v>0</v>
      </c>
      <c r="AF115" s="5">
        <f t="shared" ref="AF115" si="182">SUM(AF105:AF114)</f>
        <v>1</v>
      </c>
      <c r="AG115" s="5">
        <f t="shared" ref="AG115" si="183">SUM(AG105:AG114)</f>
        <v>1</v>
      </c>
      <c r="AH115" s="5">
        <f t="shared" ref="AH115" si="184">SUM(AH105:AH114)</f>
        <v>0</v>
      </c>
      <c r="AI115" s="5">
        <f t="shared" ref="AI115" si="185">SUM(AI105:AI114)</f>
        <v>0</v>
      </c>
      <c r="AJ115" s="5">
        <f t="shared" ref="AJ115" si="186">SUM(AJ105:AJ114)</f>
        <v>0</v>
      </c>
      <c r="AK115" s="5">
        <f t="shared" ref="AK115" si="187">SUM(AK105:AK114)</f>
        <v>2</v>
      </c>
      <c r="AL115" s="5">
        <f t="shared" ref="AL115" si="188">SUM(AL105:AL114)</f>
        <v>0</v>
      </c>
      <c r="AM115" s="5">
        <f t="shared" ref="AM115" si="189">SUM(AM105:AM114)</f>
        <v>0</v>
      </c>
      <c r="AN115" s="5">
        <f t="shared" ref="AN115" si="190">SUM(AN105:AN114)</f>
        <v>0</v>
      </c>
      <c r="AO115" s="5">
        <f t="shared" ref="AO115" si="191">SUM(AO105:AO114)</f>
        <v>0</v>
      </c>
      <c r="AP115" s="5">
        <f>SUM(E115:AO115)</f>
        <v>15</v>
      </c>
    </row>
    <row r="116" spans="1:44" x14ac:dyDescent="0.4">
      <c r="A116" s="70"/>
      <c r="B116" s="71"/>
      <c r="C116" s="71"/>
      <c r="D116" s="71"/>
      <c r="E116" s="7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5"/>
    </row>
    <row r="117" spans="1:44" x14ac:dyDescent="0.4">
      <c r="A117" s="11" t="s">
        <v>48</v>
      </c>
      <c r="B117" s="17" t="s">
        <v>59</v>
      </c>
      <c r="C117" s="73" t="s">
        <v>60</v>
      </c>
      <c r="D117" s="74"/>
      <c r="E117" s="6">
        <v>2</v>
      </c>
      <c r="F117" s="6">
        <v>0</v>
      </c>
      <c r="G117" s="6">
        <v>1</v>
      </c>
      <c r="H117" s="6">
        <v>0</v>
      </c>
      <c r="I117" s="6">
        <v>1</v>
      </c>
      <c r="J117" s="6">
        <v>0</v>
      </c>
      <c r="K117" s="6">
        <v>0</v>
      </c>
      <c r="L117" s="6">
        <v>1</v>
      </c>
      <c r="M117" s="6">
        <v>1</v>
      </c>
      <c r="N117" s="6">
        <v>0</v>
      </c>
      <c r="O117" s="6">
        <v>0</v>
      </c>
      <c r="P117" s="6">
        <v>0</v>
      </c>
      <c r="Q117" s="6">
        <v>2</v>
      </c>
      <c r="R117" s="6">
        <v>0</v>
      </c>
      <c r="S117" s="6">
        <v>3</v>
      </c>
      <c r="T117" s="6">
        <v>3</v>
      </c>
      <c r="U117" s="6">
        <v>0</v>
      </c>
      <c r="V117" s="6">
        <v>0</v>
      </c>
      <c r="W117" s="6">
        <v>3</v>
      </c>
      <c r="X117" s="6">
        <v>1</v>
      </c>
      <c r="Y117" s="6">
        <v>0</v>
      </c>
      <c r="Z117" s="6">
        <v>1</v>
      </c>
      <c r="AA117" s="6">
        <v>1</v>
      </c>
      <c r="AB117" s="6">
        <v>1</v>
      </c>
      <c r="AC117" s="6">
        <v>1</v>
      </c>
      <c r="AD117" s="6">
        <v>0</v>
      </c>
      <c r="AE117" s="6">
        <v>2</v>
      </c>
      <c r="AF117" s="6">
        <v>0</v>
      </c>
      <c r="AG117" s="6">
        <v>0</v>
      </c>
      <c r="AH117" s="6">
        <v>0</v>
      </c>
      <c r="AI117" s="6">
        <v>1</v>
      </c>
      <c r="AJ117" s="6">
        <v>1</v>
      </c>
      <c r="AK117" s="6"/>
      <c r="AL117" s="6">
        <v>1</v>
      </c>
      <c r="AM117" s="6"/>
      <c r="AN117" s="6"/>
      <c r="AO117" s="6"/>
      <c r="AP117" s="5">
        <f t="shared" ref="AP117:AP122" si="192">SUM(E117:AO117)</f>
        <v>27</v>
      </c>
      <c r="AQ117" s="20"/>
      <c r="AR117" s="20"/>
    </row>
    <row r="118" spans="1:44" x14ac:dyDescent="0.4">
      <c r="A118" s="11" t="s">
        <v>50</v>
      </c>
      <c r="B118" s="52"/>
      <c r="C118" s="24" t="s">
        <v>169</v>
      </c>
      <c r="D118" s="50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1</v>
      </c>
      <c r="S118" s="6">
        <v>1</v>
      </c>
      <c r="T118" s="6">
        <v>0</v>
      </c>
      <c r="U118" s="6">
        <v>1</v>
      </c>
      <c r="V118" s="6">
        <v>1</v>
      </c>
      <c r="W118" s="6">
        <v>0</v>
      </c>
      <c r="X118" s="6">
        <v>1</v>
      </c>
      <c r="Y118" s="6">
        <v>0</v>
      </c>
      <c r="Z118" s="6">
        <v>0</v>
      </c>
      <c r="AA118" s="6">
        <v>0</v>
      </c>
      <c r="AB118" s="6">
        <v>0</v>
      </c>
      <c r="AC118" s="6">
        <v>1</v>
      </c>
      <c r="AD118" s="6">
        <v>0</v>
      </c>
      <c r="AE118" s="6">
        <v>0</v>
      </c>
      <c r="AF118" s="6">
        <v>1</v>
      </c>
      <c r="AG118" s="6">
        <v>0</v>
      </c>
      <c r="AH118" s="6">
        <v>0</v>
      </c>
      <c r="AI118" s="6"/>
      <c r="AJ118" s="6">
        <v>1</v>
      </c>
      <c r="AK118" s="6"/>
      <c r="AL118" s="6">
        <v>1</v>
      </c>
      <c r="AM118" s="6"/>
      <c r="AN118" s="6">
        <v>1</v>
      </c>
      <c r="AO118" s="6"/>
      <c r="AP118" s="5">
        <f t="shared" si="192"/>
        <v>12</v>
      </c>
      <c r="AQ118" s="20"/>
      <c r="AR118" s="20"/>
    </row>
    <row r="119" spans="1:44" x14ac:dyDescent="0.4">
      <c r="A119" s="7"/>
      <c r="B119" s="52"/>
      <c r="C119" s="24" t="s">
        <v>170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1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/>
      <c r="AJ119" s="6"/>
      <c r="AK119" s="6">
        <v>2</v>
      </c>
      <c r="AL119" s="6"/>
      <c r="AM119" s="6"/>
      <c r="AN119" s="6"/>
      <c r="AO119" s="6"/>
      <c r="AP119" s="5">
        <f t="shared" si="192"/>
        <v>4</v>
      </c>
      <c r="AQ119" s="20"/>
      <c r="AR119" s="20"/>
    </row>
    <row r="120" spans="1:44" x14ac:dyDescent="0.4">
      <c r="A120" s="7"/>
      <c r="B120" s="52"/>
      <c r="C120" s="24" t="s">
        <v>171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1</v>
      </c>
      <c r="T120" s="6">
        <v>0</v>
      </c>
      <c r="U120" s="6">
        <v>0</v>
      </c>
      <c r="V120" s="6">
        <v>1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1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/>
      <c r="AJ120" s="6"/>
      <c r="AK120" s="6"/>
      <c r="AL120" s="6"/>
      <c r="AM120" s="6"/>
      <c r="AN120" s="6"/>
      <c r="AO120" s="6"/>
      <c r="AP120" s="5">
        <f t="shared" si="192"/>
        <v>3</v>
      </c>
      <c r="AQ120" s="20"/>
      <c r="AR120" s="20"/>
    </row>
    <row r="121" spans="1:44" x14ac:dyDescent="0.4">
      <c r="A121" s="7"/>
      <c r="B121" s="52"/>
      <c r="C121" s="24" t="s">
        <v>172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/>
      <c r="AJ121" s="6"/>
      <c r="AK121" s="6"/>
      <c r="AL121" s="6"/>
      <c r="AM121" s="6"/>
      <c r="AN121" s="6"/>
      <c r="AO121" s="6"/>
      <c r="AP121" s="5">
        <f t="shared" si="192"/>
        <v>0</v>
      </c>
      <c r="AQ121" s="20"/>
      <c r="AR121" s="20"/>
    </row>
    <row r="122" spans="1:44" x14ac:dyDescent="0.4">
      <c r="A122" s="7"/>
      <c r="B122" s="52"/>
      <c r="C122" s="24" t="s">
        <v>173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1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1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/>
      <c r="AJ122" s="6"/>
      <c r="AK122" s="6"/>
      <c r="AL122" s="6"/>
      <c r="AM122" s="6">
        <v>1</v>
      </c>
      <c r="AN122" s="6"/>
      <c r="AO122" s="6"/>
      <c r="AP122" s="5">
        <f t="shared" si="192"/>
        <v>3</v>
      </c>
      <c r="AQ122" s="20"/>
      <c r="AR122" s="20"/>
    </row>
    <row r="123" spans="1:44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49"/>
      <c r="AQ123" s="20"/>
      <c r="AR123" s="20"/>
    </row>
    <row r="124" spans="1:44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49"/>
      <c r="AQ124" s="20"/>
      <c r="AR124" s="20"/>
    </row>
    <row r="125" spans="1:44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49"/>
      <c r="AQ125" s="20"/>
      <c r="AR125" s="20"/>
    </row>
    <row r="126" spans="1:44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49"/>
      <c r="AQ126" s="20"/>
      <c r="AR126" s="20"/>
    </row>
    <row r="127" spans="1:44" x14ac:dyDescent="0.4">
      <c r="A127" s="6" t="s">
        <v>26</v>
      </c>
      <c r="B127" s="67" t="s">
        <v>51</v>
      </c>
      <c r="C127" s="68"/>
      <c r="D127" s="69"/>
      <c r="E127" s="5">
        <f t="shared" ref="E127" si="193">SUM(E117:E126)</f>
        <v>2</v>
      </c>
      <c r="F127" s="5">
        <f t="shared" ref="F127" si="194">SUM(F117:F126)</f>
        <v>1</v>
      </c>
      <c r="G127" s="5">
        <f t="shared" ref="G127" si="195">SUM(G117:G126)</f>
        <v>1</v>
      </c>
      <c r="H127" s="5">
        <f t="shared" ref="H127" si="196">SUM(H117:H126)</f>
        <v>0</v>
      </c>
      <c r="I127" s="5">
        <f t="shared" ref="I127" si="197">SUM(I117:I126)</f>
        <v>1</v>
      </c>
      <c r="J127" s="5">
        <f t="shared" ref="J127" si="198">SUM(J117:J126)</f>
        <v>0</v>
      </c>
      <c r="K127" s="5">
        <f t="shared" ref="K127" si="199">SUM(K117:K126)</f>
        <v>0</v>
      </c>
      <c r="L127" s="5">
        <f t="shared" ref="L127" si="200">SUM(L117:L126)</f>
        <v>3</v>
      </c>
      <c r="M127" s="5">
        <f t="shared" ref="M127" si="201">SUM(M117:M126)</f>
        <v>1</v>
      </c>
      <c r="N127" s="5">
        <f t="shared" ref="N127" si="202">SUM(N117:N126)</f>
        <v>0</v>
      </c>
      <c r="O127" s="5">
        <f t="shared" ref="O127" si="203">SUM(O117:O126)</f>
        <v>0</v>
      </c>
      <c r="P127" s="5">
        <f t="shared" ref="P127" si="204">SUM(P117:P126)</f>
        <v>0</v>
      </c>
      <c r="Q127" s="5">
        <f t="shared" ref="Q127" si="205">SUM(Q117:Q126)</f>
        <v>2</v>
      </c>
      <c r="R127" s="5">
        <f t="shared" ref="R127" si="206">SUM(R117:R126)</f>
        <v>1</v>
      </c>
      <c r="S127" s="5">
        <f t="shared" ref="S127" si="207">SUM(S117:S126)</f>
        <v>6</v>
      </c>
      <c r="T127" s="5">
        <f t="shared" ref="T127" si="208">SUM(T117:T126)</f>
        <v>3</v>
      </c>
      <c r="U127" s="5">
        <f t="shared" ref="U127" si="209">SUM(U117:U126)</f>
        <v>1</v>
      </c>
      <c r="V127" s="5">
        <f t="shared" ref="V127" si="210">SUM(V117:V126)</f>
        <v>2</v>
      </c>
      <c r="W127" s="5">
        <f t="shared" ref="W127" si="211">SUM(W117:W126)</f>
        <v>3</v>
      </c>
      <c r="X127" s="5">
        <f t="shared" ref="X127" si="212">SUM(X117:X126)</f>
        <v>2</v>
      </c>
      <c r="Y127" s="5">
        <f t="shared" ref="Y127" si="213">SUM(Y117:Y126)</f>
        <v>0</v>
      </c>
      <c r="Z127" s="5">
        <f t="shared" ref="Z127" si="214">SUM(Z117:Z126)</f>
        <v>2</v>
      </c>
      <c r="AA127" s="5">
        <f t="shared" ref="AA127" si="215">SUM(AA117:AA126)</f>
        <v>2</v>
      </c>
      <c r="AB127" s="5">
        <f t="shared" ref="AB127" si="216">SUM(AB117:AB126)</f>
        <v>1</v>
      </c>
      <c r="AC127" s="5">
        <f t="shared" ref="AC127" si="217">SUM(AC117:AC126)</f>
        <v>3</v>
      </c>
      <c r="AD127" s="5">
        <f t="shared" ref="AD127" si="218">SUM(AD117:AD126)</f>
        <v>0</v>
      </c>
      <c r="AE127" s="5">
        <f t="shared" ref="AE127" si="219">SUM(AE117:AE126)</f>
        <v>2</v>
      </c>
      <c r="AF127" s="5">
        <f t="shared" ref="AF127" si="220">SUM(AF117:AF126)</f>
        <v>1</v>
      </c>
      <c r="AG127" s="5">
        <f t="shared" ref="AG127" si="221">SUM(AG117:AG126)</f>
        <v>0</v>
      </c>
      <c r="AH127" s="5">
        <f t="shared" ref="AH127" si="222">SUM(AH117:AH126)</f>
        <v>0</v>
      </c>
      <c r="AI127" s="5">
        <f t="shared" ref="AI127" si="223">SUM(AI117:AI126)</f>
        <v>1</v>
      </c>
      <c r="AJ127" s="5">
        <f t="shared" ref="AJ127" si="224">SUM(AJ117:AJ126)</f>
        <v>2</v>
      </c>
      <c r="AK127" s="5">
        <f t="shared" ref="AK127" si="225">SUM(AK117:AK126)</f>
        <v>2</v>
      </c>
      <c r="AL127" s="5">
        <f t="shared" ref="AL127" si="226">SUM(AL117:AL126)</f>
        <v>2</v>
      </c>
      <c r="AM127" s="5">
        <f t="shared" ref="AM127" si="227">SUM(AM117:AM126)</f>
        <v>1</v>
      </c>
      <c r="AN127" s="5">
        <f t="shared" ref="AN127" si="228">SUM(AN117:AN126)</f>
        <v>1</v>
      </c>
      <c r="AO127" s="5">
        <f t="shared" ref="AO127" si="229">SUM(AO117:AO126)</f>
        <v>0</v>
      </c>
      <c r="AP127" s="5">
        <f>SUM(E127:AO127)</f>
        <v>49</v>
      </c>
      <c r="AQ127" s="20"/>
      <c r="AR127" s="20"/>
    </row>
    <row r="128" spans="1:44" x14ac:dyDescent="0.4">
      <c r="A128" s="70"/>
      <c r="B128" s="71"/>
      <c r="C128" s="71"/>
      <c r="D128" s="71"/>
      <c r="E128" s="7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20"/>
      <c r="AR128" s="20"/>
    </row>
    <row r="129" spans="1:44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0</v>
      </c>
      <c r="G129" s="6">
        <v>4</v>
      </c>
      <c r="H129" s="6">
        <v>1</v>
      </c>
      <c r="I129" s="6">
        <v>1</v>
      </c>
      <c r="J129" s="6">
        <v>0</v>
      </c>
      <c r="K129" s="6">
        <v>0</v>
      </c>
      <c r="L129" s="6">
        <v>1</v>
      </c>
      <c r="M129" s="6">
        <v>0</v>
      </c>
      <c r="N129" s="6">
        <v>2</v>
      </c>
      <c r="O129" s="6">
        <v>6</v>
      </c>
      <c r="P129" s="6">
        <v>3</v>
      </c>
      <c r="Q129" s="6">
        <v>3</v>
      </c>
      <c r="R129" s="6">
        <v>8</v>
      </c>
      <c r="S129" s="6">
        <v>3</v>
      </c>
      <c r="T129" s="6">
        <v>4</v>
      </c>
      <c r="U129" s="6">
        <v>3</v>
      </c>
      <c r="V129" s="6">
        <v>4</v>
      </c>
      <c r="W129" s="6">
        <v>0</v>
      </c>
      <c r="X129" s="6">
        <v>4</v>
      </c>
      <c r="Y129" s="6">
        <v>7</v>
      </c>
      <c r="Z129" s="6">
        <v>0</v>
      </c>
      <c r="AA129" s="6">
        <v>1</v>
      </c>
      <c r="AB129" s="6">
        <v>2</v>
      </c>
      <c r="AC129" s="6">
        <v>4</v>
      </c>
      <c r="AD129" s="6">
        <v>8</v>
      </c>
      <c r="AE129" s="6">
        <v>2</v>
      </c>
      <c r="AF129" s="6">
        <v>0</v>
      </c>
      <c r="AG129" s="6">
        <v>2</v>
      </c>
      <c r="AH129" s="6">
        <v>0</v>
      </c>
      <c r="AI129" s="6">
        <v>2</v>
      </c>
      <c r="AJ129" s="6"/>
      <c r="AK129" s="6">
        <v>2</v>
      </c>
      <c r="AL129" s="6"/>
      <c r="AM129" s="6">
        <v>2</v>
      </c>
      <c r="AN129" s="6"/>
      <c r="AO129" s="6"/>
      <c r="AP129" s="5">
        <f t="shared" ref="AP129:AP139" si="230">SUM(E129:AO129)</f>
        <v>79</v>
      </c>
      <c r="AQ129" s="20"/>
      <c r="AR129" s="20"/>
    </row>
    <row r="130" spans="1:44" ht="13.15" customHeight="1" x14ac:dyDescent="0.4">
      <c r="A130" s="11" t="s">
        <v>50</v>
      </c>
      <c r="B130" s="52"/>
      <c r="C130" s="24" t="s">
        <v>174</v>
      </c>
      <c r="D130" s="53"/>
      <c r="E130" s="6">
        <v>2</v>
      </c>
      <c r="F130" s="6">
        <v>0</v>
      </c>
      <c r="G130" s="6">
        <v>1</v>
      </c>
      <c r="H130" s="6">
        <v>1</v>
      </c>
      <c r="I130" s="6">
        <v>0</v>
      </c>
      <c r="J130" s="6">
        <v>8</v>
      </c>
      <c r="K130" s="6">
        <v>3</v>
      </c>
      <c r="L130" s="6">
        <v>2</v>
      </c>
      <c r="M130" s="6">
        <v>1</v>
      </c>
      <c r="N130" s="6">
        <v>4</v>
      </c>
      <c r="O130" s="6">
        <v>4</v>
      </c>
      <c r="P130" s="6">
        <v>1</v>
      </c>
      <c r="Q130" s="6">
        <v>5</v>
      </c>
      <c r="R130" s="6">
        <v>2</v>
      </c>
      <c r="S130" s="6">
        <v>6</v>
      </c>
      <c r="T130" s="6">
        <v>4</v>
      </c>
      <c r="U130" s="6">
        <v>2</v>
      </c>
      <c r="V130" s="6">
        <v>5</v>
      </c>
      <c r="W130" s="6">
        <v>0</v>
      </c>
      <c r="X130" s="6">
        <v>3</v>
      </c>
      <c r="Y130" s="6">
        <v>7</v>
      </c>
      <c r="Z130" s="6">
        <v>3</v>
      </c>
      <c r="AA130" s="6">
        <v>2</v>
      </c>
      <c r="AB130" s="6">
        <v>1</v>
      </c>
      <c r="AC130" s="6">
        <v>10</v>
      </c>
      <c r="AD130" s="6">
        <v>7</v>
      </c>
      <c r="AE130" s="6">
        <v>0</v>
      </c>
      <c r="AF130" s="6">
        <v>2</v>
      </c>
      <c r="AG130" s="6">
        <v>2</v>
      </c>
      <c r="AH130" s="6">
        <v>3</v>
      </c>
      <c r="AI130" s="6">
        <v>2</v>
      </c>
      <c r="AJ130" s="6"/>
      <c r="AK130" s="6">
        <v>1</v>
      </c>
      <c r="AL130" s="6"/>
      <c r="AM130" s="6"/>
      <c r="AN130" s="6"/>
      <c r="AO130" s="6">
        <v>1</v>
      </c>
      <c r="AP130" s="5">
        <f t="shared" si="230"/>
        <v>95</v>
      </c>
      <c r="AQ130" s="1"/>
      <c r="AR130" s="1"/>
    </row>
    <row r="131" spans="1:44" x14ac:dyDescent="0.4">
      <c r="A131" s="7"/>
      <c r="B131" s="52"/>
      <c r="C131" s="24" t="s">
        <v>175</v>
      </c>
      <c r="D131" s="53"/>
      <c r="E131" s="6">
        <v>0</v>
      </c>
      <c r="F131" s="6">
        <v>0</v>
      </c>
      <c r="G131" s="6">
        <v>1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1</v>
      </c>
      <c r="S131" s="6">
        <v>0</v>
      </c>
      <c r="T131" s="6">
        <v>1</v>
      </c>
      <c r="U131" s="6">
        <v>1</v>
      </c>
      <c r="V131" s="6">
        <v>2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/>
      <c r="AJ131" s="6"/>
      <c r="AK131" s="6"/>
      <c r="AL131" s="6"/>
      <c r="AM131" s="6"/>
      <c r="AN131" s="6"/>
      <c r="AO131" s="6"/>
      <c r="AP131" s="5">
        <f t="shared" si="230"/>
        <v>7</v>
      </c>
      <c r="AQ131" s="27"/>
      <c r="AR131" s="27"/>
    </row>
    <row r="132" spans="1:44" x14ac:dyDescent="0.4">
      <c r="A132" s="7"/>
      <c r="B132" s="52"/>
      <c r="C132" s="24" t="s">
        <v>176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2</v>
      </c>
      <c r="L132" s="6">
        <v>0</v>
      </c>
      <c r="M132" s="6">
        <v>0</v>
      </c>
      <c r="N132" s="6">
        <v>2</v>
      </c>
      <c r="O132" s="6">
        <v>0</v>
      </c>
      <c r="P132" s="6">
        <v>0</v>
      </c>
      <c r="Q132" s="6">
        <v>0</v>
      </c>
      <c r="R132" s="6">
        <v>0</v>
      </c>
      <c r="S132" s="6">
        <v>1</v>
      </c>
      <c r="T132" s="6">
        <v>0</v>
      </c>
      <c r="U132" s="6">
        <v>0</v>
      </c>
      <c r="V132" s="6">
        <v>2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1</v>
      </c>
      <c r="AC132" s="6">
        <v>1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/>
      <c r="AJ132" s="6"/>
      <c r="AK132" s="6">
        <v>1</v>
      </c>
      <c r="AL132" s="6"/>
      <c r="AM132" s="6"/>
      <c r="AN132" s="6"/>
      <c r="AO132" s="6"/>
      <c r="AP132" s="5">
        <f t="shared" si="230"/>
        <v>11</v>
      </c>
      <c r="AQ132" s="20"/>
      <c r="AR132" s="20"/>
    </row>
    <row r="133" spans="1:44" x14ac:dyDescent="0.4">
      <c r="A133" s="7"/>
      <c r="B133" s="52"/>
      <c r="C133" s="24" t="s">
        <v>177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1</v>
      </c>
      <c r="AE133" s="6">
        <v>0</v>
      </c>
      <c r="AF133" s="6">
        <v>1</v>
      </c>
      <c r="AG133" s="6">
        <v>0</v>
      </c>
      <c r="AH133" s="6">
        <v>0</v>
      </c>
      <c r="AI133" s="6"/>
      <c r="AJ133" s="6"/>
      <c r="AK133" s="6"/>
      <c r="AL133" s="6"/>
      <c r="AM133" s="6"/>
      <c r="AN133" s="6"/>
      <c r="AO133" s="6"/>
      <c r="AP133" s="5">
        <f t="shared" si="230"/>
        <v>2</v>
      </c>
      <c r="AQ133" s="20"/>
      <c r="AR133" s="20"/>
    </row>
    <row r="134" spans="1:44" x14ac:dyDescent="0.4">
      <c r="A134" s="7"/>
      <c r="B134" s="52"/>
      <c r="C134" s="24" t="s">
        <v>178</v>
      </c>
      <c r="D134" s="53"/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1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1</v>
      </c>
      <c r="S134" s="6">
        <v>0</v>
      </c>
      <c r="T134" s="6">
        <v>0</v>
      </c>
      <c r="U134" s="6">
        <v>1</v>
      </c>
      <c r="V134" s="6">
        <v>0</v>
      </c>
      <c r="W134" s="6">
        <v>0</v>
      </c>
      <c r="X134" s="6">
        <v>1</v>
      </c>
      <c r="Y134" s="6">
        <v>1</v>
      </c>
      <c r="Z134" s="6">
        <v>2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1</v>
      </c>
      <c r="AJ134" s="6"/>
      <c r="AK134" s="6"/>
      <c r="AL134" s="6"/>
      <c r="AM134" s="6"/>
      <c r="AN134" s="6"/>
      <c r="AO134" s="6"/>
      <c r="AP134" s="5">
        <f t="shared" si="230"/>
        <v>10</v>
      </c>
      <c r="AQ134" s="20"/>
      <c r="AR134" s="20"/>
    </row>
    <row r="135" spans="1:44" x14ac:dyDescent="0.4">
      <c r="A135" s="7"/>
      <c r="B135" s="52"/>
      <c r="C135" s="24" t="s">
        <v>179</v>
      </c>
      <c r="D135" s="50"/>
      <c r="E135" s="6">
        <v>0</v>
      </c>
      <c r="F135" s="6">
        <v>0</v>
      </c>
      <c r="G135" s="6">
        <v>0</v>
      </c>
      <c r="H135" s="6">
        <v>1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1</v>
      </c>
      <c r="U135" s="6">
        <v>1</v>
      </c>
      <c r="V135" s="6">
        <v>1</v>
      </c>
      <c r="W135" s="6">
        <v>0</v>
      </c>
      <c r="X135" s="6">
        <v>1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/>
      <c r="AJ135" s="6"/>
      <c r="AK135" s="6"/>
      <c r="AL135" s="6"/>
      <c r="AM135" s="6"/>
      <c r="AN135" s="6"/>
      <c r="AO135" s="6"/>
      <c r="AP135" s="5">
        <f t="shared" si="230"/>
        <v>6</v>
      </c>
      <c r="AQ135" s="20"/>
      <c r="AR135" s="20"/>
    </row>
    <row r="136" spans="1:44" x14ac:dyDescent="0.4">
      <c r="A136" s="7"/>
      <c r="B136" s="52"/>
      <c r="C136" s="24" t="s">
        <v>180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/>
      <c r="AJ136" s="6"/>
      <c r="AK136" s="6"/>
      <c r="AL136" s="6">
        <v>1</v>
      </c>
      <c r="AM136" s="6"/>
      <c r="AN136" s="6"/>
      <c r="AO136" s="6"/>
      <c r="AP136" s="5">
        <f t="shared" si="230"/>
        <v>1</v>
      </c>
      <c r="AQ136" s="20"/>
      <c r="AR136" s="20"/>
    </row>
    <row r="137" spans="1:44" x14ac:dyDescent="0.4">
      <c r="A137" s="7"/>
      <c r="B137" s="52"/>
      <c r="C137" s="24" t="s">
        <v>181</v>
      </c>
      <c r="D137" s="53"/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3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1</v>
      </c>
      <c r="U137" s="6">
        <v>0</v>
      </c>
      <c r="V137" s="6">
        <v>1</v>
      </c>
      <c r="W137" s="6">
        <v>0</v>
      </c>
      <c r="X137" s="6">
        <v>1</v>
      </c>
      <c r="Y137" s="6">
        <v>0</v>
      </c>
      <c r="Z137" s="6">
        <v>0</v>
      </c>
      <c r="AA137" s="6">
        <v>0</v>
      </c>
      <c r="AB137" s="6">
        <v>0</v>
      </c>
      <c r="AC137" s="6">
        <v>1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/>
      <c r="AJ137" s="6"/>
      <c r="AK137" s="6"/>
      <c r="AL137" s="6"/>
      <c r="AM137" s="6"/>
      <c r="AN137" s="6"/>
      <c r="AO137" s="6"/>
      <c r="AP137" s="5">
        <f t="shared" si="230"/>
        <v>9</v>
      </c>
      <c r="AQ137" s="20"/>
      <c r="AR137" s="20"/>
    </row>
    <row r="138" spans="1:44" x14ac:dyDescent="0.4">
      <c r="A138" s="7"/>
      <c r="B138" s="52"/>
      <c r="C138" s="24" t="s">
        <v>182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/>
      <c r="AJ138" s="6"/>
      <c r="AK138" s="6"/>
      <c r="AL138" s="6"/>
      <c r="AM138" s="6"/>
      <c r="AN138" s="6"/>
      <c r="AO138" s="6"/>
      <c r="AP138" s="5">
        <f t="shared" si="230"/>
        <v>1</v>
      </c>
      <c r="AQ138" s="20"/>
      <c r="AR138" s="20"/>
    </row>
    <row r="139" spans="1:44" x14ac:dyDescent="0.4">
      <c r="A139" s="6" t="s">
        <v>26</v>
      </c>
      <c r="B139" s="67" t="s">
        <v>51</v>
      </c>
      <c r="C139" s="68"/>
      <c r="D139" s="69"/>
      <c r="E139" s="5">
        <f t="shared" ref="E139" si="231">SUM(E129:E138)</f>
        <v>4</v>
      </c>
      <c r="F139" s="5">
        <f t="shared" ref="F139" si="232">SUM(F129:F138)</f>
        <v>0</v>
      </c>
      <c r="G139" s="5">
        <f t="shared" ref="G139" si="233">SUM(G129:G138)</f>
        <v>6</v>
      </c>
      <c r="H139" s="5">
        <f t="shared" ref="H139" si="234">SUM(H129:H138)</f>
        <v>3</v>
      </c>
      <c r="I139" s="5">
        <f t="shared" ref="I139" si="235">SUM(I129:I138)</f>
        <v>3</v>
      </c>
      <c r="J139" s="5">
        <f t="shared" ref="J139" si="236">SUM(J129:J138)</f>
        <v>8</v>
      </c>
      <c r="K139" s="5">
        <f t="shared" ref="K139" si="237">SUM(K129:K138)</f>
        <v>5</v>
      </c>
      <c r="L139" s="5">
        <f t="shared" ref="L139" si="238">SUM(L129:L138)</f>
        <v>4</v>
      </c>
      <c r="M139" s="5">
        <f t="shared" ref="M139" si="239">SUM(M129:M138)</f>
        <v>5</v>
      </c>
      <c r="N139" s="5">
        <f t="shared" ref="N139" si="240">SUM(N129:N138)</f>
        <v>9</v>
      </c>
      <c r="O139" s="5">
        <f t="shared" ref="O139" si="241">SUM(O129:O138)</f>
        <v>10</v>
      </c>
      <c r="P139" s="5">
        <f t="shared" ref="P139" si="242">SUM(P129:P138)</f>
        <v>4</v>
      </c>
      <c r="Q139" s="5">
        <f t="shared" ref="Q139" si="243">SUM(Q129:Q138)</f>
        <v>8</v>
      </c>
      <c r="R139" s="5">
        <f t="shared" ref="R139" si="244">SUM(R129:R138)</f>
        <v>14</v>
      </c>
      <c r="S139" s="5">
        <f t="shared" ref="S139" si="245">SUM(S129:S138)</f>
        <v>10</v>
      </c>
      <c r="T139" s="5">
        <f t="shared" ref="T139" si="246">SUM(T129:T138)</f>
        <v>11</v>
      </c>
      <c r="U139" s="5">
        <f t="shared" ref="U139" si="247">SUM(U129:U138)</f>
        <v>8</v>
      </c>
      <c r="V139" s="5">
        <f t="shared" ref="V139" si="248">SUM(V129:V138)</f>
        <v>15</v>
      </c>
      <c r="W139" s="5">
        <f t="shared" ref="W139" si="249">SUM(W129:W138)</f>
        <v>0</v>
      </c>
      <c r="X139" s="5">
        <f t="shared" ref="X139" si="250">SUM(X129:X138)</f>
        <v>10</v>
      </c>
      <c r="Y139" s="5">
        <f t="shared" ref="Y139" si="251">SUM(Y129:Y138)</f>
        <v>15</v>
      </c>
      <c r="Z139" s="5">
        <f t="shared" ref="Z139" si="252">SUM(Z129:Z138)</f>
        <v>5</v>
      </c>
      <c r="AA139" s="5">
        <f t="shared" ref="AA139" si="253">SUM(AA129:AA138)</f>
        <v>3</v>
      </c>
      <c r="AB139" s="5">
        <f t="shared" ref="AB139" si="254">SUM(AB129:AB138)</f>
        <v>4</v>
      </c>
      <c r="AC139" s="5">
        <f t="shared" ref="AC139" si="255">SUM(AC129:AC138)</f>
        <v>16</v>
      </c>
      <c r="AD139" s="5">
        <f t="shared" ref="AD139" si="256">SUM(AD129:AD138)</f>
        <v>16</v>
      </c>
      <c r="AE139" s="5">
        <f t="shared" ref="AE139" si="257">SUM(AE129:AE138)</f>
        <v>2</v>
      </c>
      <c r="AF139" s="5">
        <f t="shared" ref="AF139" si="258">SUM(AF129:AF138)</f>
        <v>3</v>
      </c>
      <c r="AG139" s="5">
        <f t="shared" ref="AG139" si="259">SUM(AG129:AG138)</f>
        <v>4</v>
      </c>
      <c r="AH139" s="5">
        <f t="shared" ref="AH139" si="260">SUM(AH129:AH138)</f>
        <v>3</v>
      </c>
      <c r="AI139" s="5">
        <f t="shared" ref="AI139" si="261">SUM(AI129:AI138)</f>
        <v>5</v>
      </c>
      <c r="AJ139" s="5">
        <f t="shared" ref="AJ139" si="262">SUM(AJ129:AJ138)</f>
        <v>0</v>
      </c>
      <c r="AK139" s="5">
        <f t="shared" ref="AK139" si="263">SUM(AK129:AK138)</f>
        <v>4</v>
      </c>
      <c r="AL139" s="5">
        <f t="shared" ref="AL139" si="264">SUM(AL129:AL138)</f>
        <v>1</v>
      </c>
      <c r="AM139" s="5">
        <f t="shared" ref="AM139" si="265">SUM(AM129:AM138)</f>
        <v>2</v>
      </c>
      <c r="AN139" s="5">
        <f t="shared" ref="AN139" si="266">SUM(AN129:AN138)</f>
        <v>0</v>
      </c>
      <c r="AO139" s="5">
        <f t="shared" ref="AO139" si="267">SUM(AO129:AO138)</f>
        <v>1</v>
      </c>
      <c r="AP139" s="5">
        <f t="shared" si="230"/>
        <v>221</v>
      </c>
      <c r="AQ139" s="20"/>
      <c r="AR139" s="20"/>
    </row>
    <row r="140" spans="1:44" x14ac:dyDescent="0.4">
      <c r="A140" s="70"/>
      <c r="B140" s="71"/>
      <c r="C140" s="71"/>
      <c r="D140" s="71"/>
      <c r="E140" s="72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20"/>
      <c r="AR140" s="20"/>
    </row>
    <row r="141" spans="1:44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/>
      <c r="F141" s="6"/>
      <c r="G141" s="6"/>
      <c r="H141" s="6"/>
      <c r="I141" s="6"/>
      <c r="J141" s="6"/>
      <c r="K141" s="6">
        <v>1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5">
        <f>SUM(E141:AO141)</f>
        <v>1</v>
      </c>
      <c r="AQ141" s="1"/>
      <c r="AR141" s="1"/>
    </row>
    <row r="142" spans="1:44" x14ac:dyDescent="0.4">
      <c r="A142" s="11" t="s">
        <v>50</v>
      </c>
      <c r="B142" s="52"/>
      <c r="C142" s="24" t="s">
        <v>183</v>
      </c>
      <c r="D142" s="5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>
        <v>1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5">
        <f>SUM(E142:AO142)</f>
        <v>1</v>
      </c>
      <c r="AQ142" s="27"/>
      <c r="AR142" s="27"/>
    </row>
    <row r="143" spans="1:44" x14ac:dyDescent="0.4">
      <c r="A143" s="7"/>
      <c r="B143" s="52"/>
      <c r="C143" s="24" t="s">
        <v>184</v>
      </c>
      <c r="D143" s="50"/>
      <c r="E143" s="6"/>
      <c r="F143" s="6"/>
      <c r="G143" s="6"/>
      <c r="H143" s="6"/>
      <c r="I143" s="6"/>
      <c r="J143" s="6"/>
      <c r="K143" s="6">
        <v>1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5">
        <f>SUM(E143:AO143)</f>
        <v>1</v>
      </c>
      <c r="AQ143" s="20"/>
      <c r="AR143" s="20"/>
    </row>
    <row r="144" spans="1:44" x14ac:dyDescent="0.4">
      <c r="A144" s="7"/>
      <c r="B144" s="52"/>
      <c r="C144" s="24" t="s">
        <v>185</v>
      </c>
      <c r="D144" s="5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5">
        <f>SUM(E144:AO144)</f>
        <v>0</v>
      </c>
      <c r="AQ144" s="20"/>
      <c r="AR144" s="20"/>
    </row>
    <row r="145" spans="1:44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49"/>
      <c r="AQ145" s="20"/>
      <c r="AR145" s="20"/>
    </row>
    <row r="146" spans="1:44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49"/>
      <c r="AQ146" s="20"/>
      <c r="AR146" s="20"/>
    </row>
    <row r="147" spans="1:44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49"/>
      <c r="AQ147" s="20"/>
      <c r="AR147" s="20"/>
    </row>
    <row r="148" spans="1:44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49"/>
      <c r="AQ148" s="20"/>
      <c r="AR148" s="20"/>
    </row>
    <row r="149" spans="1:44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49"/>
      <c r="AQ149" s="20"/>
      <c r="AR149" s="20"/>
    </row>
    <row r="150" spans="1:44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49"/>
      <c r="AQ150" s="20"/>
      <c r="AR150" s="20"/>
    </row>
    <row r="151" spans="1:44" ht="13.15" customHeight="1" x14ac:dyDescent="0.4">
      <c r="A151" s="6" t="s">
        <v>26</v>
      </c>
      <c r="B151" s="67" t="s">
        <v>51</v>
      </c>
      <c r="C151" s="68"/>
      <c r="D151" s="69"/>
      <c r="E151" s="5">
        <f t="shared" ref="E151" si="268">SUM(E141:E150)</f>
        <v>0</v>
      </c>
      <c r="F151" s="5">
        <f t="shared" ref="F151" si="269">SUM(F141:F150)</f>
        <v>0</v>
      </c>
      <c r="G151" s="5">
        <f t="shared" ref="G151" si="270">SUM(G141:G150)</f>
        <v>0</v>
      </c>
      <c r="H151" s="5">
        <f t="shared" ref="H151" si="271">SUM(H141:H150)</f>
        <v>0</v>
      </c>
      <c r="I151" s="5">
        <f t="shared" ref="I151" si="272">SUM(I141:I150)</f>
        <v>0</v>
      </c>
      <c r="J151" s="5">
        <f t="shared" ref="J151" si="273">SUM(J141:J150)</f>
        <v>0</v>
      </c>
      <c r="K151" s="5">
        <f t="shared" ref="K151" si="274">SUM(K141:K150)</f>
        <v>2</v>
      </c>
      <c r="L151" s="5">
        <f t="shared" ref="L151" si="275">SUM(L141:L150)</f>
        <v>0</v>
      </c>
      <c r="M151" s="5">
        <f t="shared" ref="M151" si="276">SUM(M141:M150)</f>
        <v>0</v>
      </c>
      <c r="N151" s="5">
        <f t="shared" ref="N151" si="277">SUM(N141:N150)</f>
        <v>0</v>
      </c>
      <c r="O151" s="5">
        <f t="shared" ref="O151" si="278">SUM(O141:O150)</f>
        <v>0</v>
      </c>
      <c r="P151" s="5">
        <f t="shared" ref="P151" si="279">SUM(P141:P150)</f>
        <v>0</v>
      </c>
      <c r="Q151" s="5">
        <f t="shared" ref="Q151" si="280">SUM(Q141:Q150)</f>
        <v>0</v>
      </c>
      <c r="R151" s="5">
        <f t="shared" ref="R151" si="281">SUM(R141:R150)</f>
        <v>0</v>
      </c>
      <c r="S151" s="5">
        <f t="shared" ref="S151" si="282">SUM(S141:S150)</f>
        <v>0</v>
      </c>
      <c r="T151" s="5">
        <f t="shared" ref="T151" si="283">SUM(T141:T150)</f>
        <v>0</v>
      </c>
      <c r="U151" s="5">
        <f t="shared" ref="U151" si="284">SUM(U141:U150)</f>
        <v>0</v>
      </c>
      <c r="V151" s="5">
        <f t="shared" ref="V151" si="285">SUM(V141:V150)</f>
        <v>0</v>
      </c>
      <c r="W151" s="5">
        <f t="shared" ref="W151" si="286">SUM(W141:W150)</f>
        <v>0</v>
      </c>
      <c r="X151" s="5">
        <f t="shared" ref="X151" si="287">SUM(X141:X150)</f>
        <v>0</v>
      </c>
      <c r="Y151" s="5">
        <f t="shared" ref="Y151" si="288">SUM(Y141:Y150)</f>
        <v>1</v>
      </c>
      <c r="Z151" s="5">
        <f t="shared" ref="Z151" si="289">SUM(Z141:Z150)</f>
        <v>0</v>
      </c>
      <c r="AA151" s="5">
        <f t="shared" ref="AA151" si="290">SUM(AA141:AA150)</f>
        <v>0</v>
      </c>
      <c r="AB151" s="5">
        <f t="shared" ref="AB151" si="291">SUM(AB141:AB150)</f>
        <v>0</v>
      </c>
      <c r="AC151" s="5">
        <f t="shared" ref="AC151" si="292">SUM(AC141:AC150)</f>
        <v>0</v>
      </c>
      <c r="AD151" s="5">
        <f t="shared" ref="AD151" si="293">SUM(AD141:AD150)</f>
        <v>0</v>
      </c>
      <c r="AE151" s="5">
        <f t="shared" ref="AE151" si="294">SUM(AE141:AE150)</f>
        <v>0</v>
      </c>
      <c r="AF151" s="5">
        <f t="shared" ref="AF151" si="295">SUM(AF141:AF150)</f>
        <v>0</v>
      </c>
      <c r="AG151" s="5">
        <f t="shared" ref="AG151" si="296">SUM(AG141:AG150)</f>
        <v>0</v>
      </c>
      <c r="AH151" s="5">
        <f t="shared" ref="AH151" si="297">SUM(AH141:AH150)</f>
        <v>0</v>
      </c>
      <c r="AI151" s="5">
        <f t="shared" ref="AI151" si="298">SUM(AI141:AI150)</f>
        <v>0</v>
      </c>
      <c r="AJ151" s="5">
        <f t="shared" ref="AJ151" si="299">SUM(AJ141:AJ150)</f>
        <v>0</v>
      </c>
      <c r="AK151" s="5">
        <f t="shared" ref="AK151" si="300">SUM(AK141:AK150)</f>
        <v>0</v>
      </c>
      <c r="AL151" s="5">
        <f t="shared" ref="AL151" si="301">SUM(AL141:AL150)</f>
        <v>0</v>
      </c>
      <c r="AM151" s="5">
        <f t="shared" ref="AM151" si="302">SUM(AM141:AM150)</f>
        <v>0</v>
      </c>
      <c r="AN151" s="5">
        <f t="shared" ref="AN151" si="303">SUM(AN141:AN150)</f>
        <v>0</v>
      </c>
      <c r="AO151" s="5">
        <f t="shared" ref="AO151" si="304">SUM(AO141:AO150)</f>
        <v>0</v>
      </c>
      <c r="AP151" s="5">
        <f>SUM(E151:AO151)</f>
        <v>3</v>
      </c>
      <c r="AQ151" s="1"/>
      <c r="AR151" s="1"/>
    </row>
    <row r="152" spans="1:44" x14ac:dyDescent="0.4">
      <c r="A152" s="70"/>
      <c r="B152" s="71"/>
      <c r="C152" s="71"/>
      <c r="D152" s="71"/>
      <c r="E152" s="72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5"/>
      <c r="AQ152" s="27"/>
      <c r="AR152" s="27"/>
    </row>
    <row r="153" spans="1:44" x14ac:dyDescent="0.4">
      <c r="A153" s="11" t="s">
        <v>48</v>
      </c>
      <c r="B153" s="44" t="s">
        <v>65</v>
      </c>
      <c r="C153" s="78" t="s">
        <v>66</v>
      </c>
      <c r="D153" s="79"/>
      <c r="E153" s="6"/>
      <c r="F153" s="6"/>
      <c r="G153" s="6"/>
      <c r="H153" s="6"/>
      <c r="I153" s="6"/>
      <c r="J153" s="6"/>
      <c r="K153" s="6">
        <v>1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>
        <v>1</v>
      </c>
      <c r="X153" s="6">
        <v>2</v>
      </c>
      <c r="Y153" s="6">
        <v>1</v>
      </c>
      <c r="Z153" s="6"/>
      <c r="AA153" s="6"/>
      <c r="AB153" s="6">
        <v>2</v>
      </c>
      <c r="AC153" s="6">
        <v>1</v>
      </c>
      <c r="AD153" s="6"/>
      <c r="AE153" s="6"/>
      <c r="AF153" s="6"/>
      <c r="AG153" s="6"/>
      <c r="AH153" s="6"/>
      <c r="AI153" s="6"/>
      <c r="AJ153" s="6"/>
      <c r="AK153" s="6">
        <v>1</v>
      </c>
      <c r="AL153" s="6">
        <v>1</v>
      </c>
      <c r="AM153" s="6"/>
      <c r="AN153" s="6"/>
      <c r="AO153" s="6"/>
      <c r="AP153" s="5">
        <f t="shared" ref="AP153:AP162" si="305">SUM(E153:AO153)</f>
        <v>10</v>
      </c>
      <c r="AQ153" s="20"/>
      <c r="AR153" s="20"/>
    </row>
    <row r="154" spans="1:44" x14ac:dyDescent="0.4">
      <c r="A154" s="54" t="s">
        <v>50</v>
      </c>
      <c r="B154" s="56"/>
      <c r="C154" s="24" t="s">
        <v>186</v>
      </c>
      <c r="D154" s="57"/>
      <c r="E154" s="55">
        <v>1</v>
      </c>
      <c r="F154" s="6"/>
      <c r="G154" s="6"/>
      <c r="H154" s="6"/>
      <c r="I154" s="6"/>
      <c r="J154" s="6"/>
      <c r="K154" s="6"/>
      <c r="L154" s="6"/>
      <c r="M154" s="6"/>
      <c r="N154" s="6">
        <v>1</v>
      </c>
      <c r="O154" s="6"/>
      <c r="P154" s="6"/>
      <c r="Q154" s="6"/>
      <c r="R154" s="6"/>
      <c r="S154" s="6">
        <v>1</v>
      </c>
      <c r="T154" s="6"/>
      <c r="U154" s="6"/>
      <c r="V154" s="6"/>
      <c r="W154" s="6"/>
      <c r="X154" s="6"/>
      <c r="Y154" s="6">
        <v>1</v>
      </c>
      <c r="Z154" s="6"/>
      <c r="AA154" s="6"/>
      <c r="AB154" s="6"/>
      <c r="AC154" s="6"/>
      <c r="AD154" s="6"/>
      <c r="AE154" s="6"/>
      <c r="AF154" s="6">
        <v>1</v>
      </c>
      <c r="AG154" s="6">
        <v>1</v>
      </c>
      <c r="AH154" s="6">
        <v>1</v>
      </c>
      <c r="AI154" s="6"/>
      <c r="AJ154" s="6">
        <v>1</v>
      </c>
      <c r="AK154" s="6"/>
      <c r="AL154" s="6"/>
      <c r="AM154" s="6">
        <v>1</v>
      </c>
      <c r="AN154" s="6"/>
      <c r="AO154" s="6"/>
      <c r="AP154" s="5">
        <f t="shared" si="305"/>
        <v>9</v>
      </c>
      <c r="AQ154" s="20"/>
      <c r="AR154" s="20"/>
    </row>
    <row r="155" spans="1:44" x14ac:dyDescent="0.4">
      <c r="A155" s="7"/>
      <c r="B155" s="56"/>
      <c r="C155" s="24" t="s">
        <v>187</v>
      </c>
      <c r="D155" s="57"/>
      <c r="E155" s="5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>
        <v>1</v>
      </c>
      <c r="Z155" s="6">
        <v>1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>
        <v>1</v>
      </c>
      <c r="AK155" s="6"/>
      <c r="AL155" s="6"/>
      <c r="AM155" s="6"/>
      <c r="AN155" s="6"/>
      <c r="AO155" s="6"/>
      <c r="AP155" s="5">
        <f t="shared" si="305"/>
        <v>3</v>
      </c>
      <c r="AQ155" s="20"/>
      <c r="AR155" s="20"/>
    </row>
    <row r="156" spans="1:44" x14ac:dyDescent="0.4">
      <c r="A156" s="7"/>
      <c r="B156" s="56"/>
      <c r="C156" s="24" t="s">
        <v>188</v>
      </c>
      <c r="D156" s="57"/>
      <c r="E156" s="5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>
        <v>1</v>
      </c>
      <c r="AF156" s="6"/>
      <c r="AG156" s="6"/>
      <c r="AH156" s="6"/>
      <c r="AI156" s="6"/>
      <c r="AJ156" s="6"/>
      <c r="AK156" s="6"/>
      <c r="AL156" s="6"/>
      <c r="AM156" s="6"/>
      <c r="AN156" s="6">
        <v>1</v>
      </c>
      <c r="AO156" s="6"/>
      <c r="AP156" s="5">
        <f t="shared" si="305"/>
        <v>2</v>
      </c>
      <c r="AQ156" s="20"/>
      <c r="AR156" s="20"/>
    </row>
    <row r="157" spans="1:44" x14ac:dyDescent="0.4">
      <c r="A157" s="7"/>
      <c r="B157" s="56"/>
      <c r="C157" s="24" t="s">
        <v>189</v>
      </c>
      <c r="D157" s="57"/>
      <c r="E157" s="55"/>
      <c r="F157" s="6"/>
      <c r="G157" s="6"/>
      <c r="H157" s="6"/>
      <c r="I157" s="6"/>
      <c r="J157" s="6"/>
      <c r="K157" s="6">
        <v>2</v>
      </c>
      <c r="L157" s="6"/>
      <c r="M157" s="6"/>
      <c r="N157" s="6"/>
      <c r="O157" s="6"/>
      <c r="P157" s="6"/>
      <c r="Q157" s="6">
        <v>1</v>
      </c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5">
        <f t="shared" si="305"/>
        <v>3</v>
      </c>
      <c r="AQ157" s="20"/>
      <c r="AR157" s="20"/>
    </row>
    <row r="158" spans="1:44" x14ac:dyDescent="0.4">
      <c r="A158" s="7"/>
      <c r="B158" s="56"/>
      <c r="C158" s="24" t="s">
        <v>190</v>
      </c>
      <c r="D158" s="57"/>
      <c r="E158" s="55"/>
      <c r="F158" s="6"/>
      <c r="G158" s="6"/>
      <c r="H158" s="6"/>
      <c r="I158" s="6"/>
      <c r="J158" s="6"/>
      <c r="K158" s="6">
        <v>1</v>
      </c>
      <c r="L158" s="6">
        <v>1</v>
      </c>
      <c r="M158" s="6"/>
      <c r="N158" s="6"/>
      <c r="O158" s="6"/>
      <c r="P158" s="6"/>
      <c r="Q158" s="6"/>
      <c r="R158" s="6"/>
      <c r="S158" s="6"/>
      <c r="T158" s="6"/>
      <c r="U158" s="6"/>
      <c r="V158" s="6">
        <v>1</v>
      </c>
      <c r="W158" s="6"/>
      <c r="X158" s="6"/>
      <c r="Y158" s="6">
        <v>1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5">
        <f t="shared" si="305"/>
        <v>4</v>
      </c>
      <c r="AQ158" s="20"/>
      <c r="AR158" s="20"/>
    </row>
    <row r="159" spans="1:44" x14ac:dyDescent="0.4">
      <c r="A159" s="7"/>
      <c r="B159" s="56"/>
      <c r="C159" s="24" t="s">
        <v>191</v>
      </c>
      <c r="D159" s="57"/>
      <c r="E159" s="5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>
        <v>1</v>
      </c>
      <c r="AG159" s="6"/>
      <c r="AH159" s="6"/>
      <c r="AI159" s="6"/>
      <c r="AJ159" s="6"/>
      <c r="AK159" s="6"/>
      <c r="AL159" s="6"/>
      <c r="AM159" s="6"/>
      <c r="AN159" s="6"/>
      <c r="AO159" s="6"/>
      <c r="AP159" s="5">
        <f t="shared" si="305"/>
        <v>1</v>
      </c>
      <c r="AQ159" s="20"/>
      <c r="AR159" s="20"/>
    </row>
    <row r="160" spans="1:44" x14ac:dyDescent="0.4">
      <c r="A160" s="7"/>
      <c r="B160" s="56"/>
      <c r="C160" s="24" t="s">
        <v>192</v>
      </c>
      <c r="D160" s="57"/>
      <c r="E160" s="5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>
        <v>1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5">
        <f t="shared" si="305"/>
        <v>1</v>
      </c>
      <c r="AQ160" s="20"/>
      <c r="AR160" s="20"/>
    </row>
    <row r="161" spans="1:44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5">
        <f t="shared" si="305"/>
        <v>0</v>
      </c>
      <c r="AQ161" s="20"/>
      <c r="AR161" s="20"/>
    </row>
    <row r="162" spans="1:44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5">
        <f t="shared" si="305"/>
        <v>0</v>
      </c>
      <c r="AQ162" s="20"/>
      <c r="AR162" s="20"/>
    </row>
    <row r="163" spans="1:44" x14ac:dyDescent="0.4">
      <c r="A163" s="6" t="s">
        <v>26</v>
      </c>
      <c r="B163" s="80" t="s">
        <v>51</v>
      </c>
      <c r="C163" s="81"/>
      <c r="D163" s="82"/>
      <c r="E163" s="5">
        <f t="shared" ref="E163" si="306">SUM(E153:E162)</f>
        <v>1</v>
      </c>
      <c r="F163" s="5">
        <f t="shared" ref="F163" si="307">SUM(F153:F162)</f>
        <v>0</v>
      </c>
      <c r="G163" s="5">
        <f t="shared" ref="G163" si="308">SUM(G153:G162)</f>
        <v>0</v>
      </c>
      <c r="H163" s="5">
        <f t="shared" ref="H163" si="309">SUM(H153:H162)</f>
        <v>0</v>
      </c>
      <c r="I163" s="5">
        <f t="shared" ref="I163" si="310">SUM(I153:I162)</f>
        <v>0</v>
      </c>
      <c r="J163" s="5">
        <f t="shared" ref="J163" si="311">SUM(J153:J162)</f>
        <v>0</v>
      </c>
      <c r="K163" s="5">
        <f t="shared" ref="K163" si="312">SUM(K153:K162)</f>
        <v>4</v>
      </c>
      <c r="L163" s="5">
        <f t="shared" ref="L163" si="313">SUM(L153:L162)</f>
        <v>1</v>
      </c>
      <c r="M163" s="5">
        <f t="shared" ref="M163" si="314">SUM(M153:M162)</f>
        <v>0</v>
      </c>
      <c r="N163" s="5">
        <f t="shared" ref="N163" si="315">SUM(N153:N162)</f>
        <v>1</v>
      </c>
      <c r="O163" s="5">
        <f t="shared" ref="O163" si="316">SUM(O153:O162)</f>
        <v>0</v>
      </c>
      <c r="P163" s="5">
        <f t="shared" ref="P163" si="317">SUM(P153:P162)</f>
        <v>0</v>
      </c>
      <c r="Q163" s="5">
        <f t="shared" ref="Q163" si="318">SUM(Q153:Q162)</f>
        <v>2</v>
      </c>
      <c r="R163" s="5">
        <f t="shared" ref="R163" si="319">SUM(R153:R162)</f>
        <v>0</v>
      </c>
      <c r="S163" s="5">
        <f t="shared" ref="S163" si="320">SUM(S153:S162)</f>
        <v>1</v>
      </c>
      <c r="T163" s="5">
        <f t="shared" ref="T163" si="321">SUM(T153:T162)</f>
        <v>0</v>
      </c>
      <c r="U163" s="5">
        <f t="shared" ref="U163" si="322">SUM(U153:U162)</f>
        <v>0</v>
      </c>
      <c r="V163" s="5">
        <f t="shared" ref="V163" si="323">SUM(V153:V162)</f>
        <v>1</v>
      </c>
      <c r="W163" s="5">
        <f t="shared" ref="W163" si="324">SUM(W153:W162)</f>
        <v>1</v>
      </c>
      <c r="X163" s="5">
        <f t="shared" ref="X163" si="325">SUM(X153:X162)</f>
        <v>2</v>
      </c>
      <c r="Y163" s="5">
        <f t="shared" ref="Y163" si="326">SUM(Y153:Y162)</f>
        <v>4</v>
      </c>
      <c r="Z163" s="5">
        <f t="shared" ref="Z163" si="327">SUM(Z153:Z162)</f>
        <v>1</v>
      </c>
      <c r="AA163" s="5">
        <f t="shared" ref="AA163" si="328">SUM(AA153:AA162)</f>
        <v>0</v>
      </c>
      <c r="AB163" s="5">
        <f t="shared" ref="AB163" si="329">SUM(AB153:AB162)</f>
        <v>2</v>
      </c>
      <c r="AC163" s="5">
        <f t="shared" ref="AC163" si="330">SUM(AC153:AC162)</f>
        <v>1</v>
      </c>
      <c r="AD163" s="5">
        <f t="shared" ref="AD163" si="331">SUM(AD153:AD162)</f>
        <v>0</v>
      </c>
      <c r="AE163" s="5">
        <f t="shared" ref="AE163" si="332">SUM(AE153:AE162)</f>
        <v>1</v>
      </c>
      <c r="AF163" s="5">
        <f t="shared" ref="AF163" si="333">SUM(AF153:AF162)</f>
        <v>2</v>
      </c>
      <c r="AG163" s="5">
        <f t="shared" ref="AG163" si="334">SUM(AG153:AG162)</f>
        <v>1</v>
      </c>
      <c r="AH163" s="5">
        <f t="shared" ref="AH163" si="335">SUM(AH153:AH162)</f>
        <v>1</v>
      </c>
      <c r="AI163" s="5">
        <f t="shared" ref="AI163" si="336">SUM(AI153:AI162)</f>
        <v>0</v>
      </c>
      <c r="AJ163" s="5">
        <f t="shared" ref="AJ163" si="337">SUM(AJ153:AJ162)</f>
        <v>2</v>
      </c>
      <c r="AK163" s="5">
        <f t="shared" ref="AK163" si="338">SUM(AK153:AK162)</f>
        <v>1</v>
      </c>
      <c r="AL163" s="5">
        <f t="shared" ref="AL163" si="339">SUM(AL153:AL162)</f>
        <v>1</v>
      </c>
      <c r="AM163" s="5">
        <f t="shared" ref="AM163" si="340">SUM(AM153:AM162)</f>
        <v>1</v>
      </c>
      <c r="AN163" s="5">
        <f t="shared" ref="AN163" si="341">SUM(AN153:AN162)</f>
        <v>1</v>
      </c>
      <c r="AO163" s="5">
        <f t="shared" ref="AO163" si="342">SUM(AO153:AO162)</f>
        <v>0</v>
      </c>
      <c r="AP163" s="5">
        <f>SUM(E163:AO163)</f>
        <v>33</v>
      </c>
      <c r="AQ163" s="20"/>
      <c r="AR163" s="20"/>
    </row>
    <row r="164" spans="1:44" x14ac:dyDescent="0.4">
      <c r="A164" s="70"/>
      <c r="B164" s="71"/>
      <c r="C164" s="71"/>
      <c r="D164" s="71"/>
      <c r="E164" s="7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20"/>
      <c r="AR164" s="20"/>
    </row>
    <row r="165" spans="1:44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/>
      <c r="F165" s="6">
        <v>1</v>
      </c>
      <c r="G165" s="6"/>
      <c r="H165" s="6"/>
      <c r="I165" s="6"/>
      <c r="J165" s="6"/>
      <c r="K165" s="6"/>
      <c r="L165" s="6"/>
      <c r="M165" s="6">
        <v>1</v>
      </c>
      <c r="N165" s="6"/>
      <c r="O165" s="6"/>
      <c r="P165" s="6"/>
      <c r="Q165" s="6">
        <v>4</v>
      </c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>
        <v>1</v>
      </c>
      <c r="AE165" s="6"/>
      <c r="AF165" s="6">
        <v>1</v>
      </c>
      <c r="AG165" s="6"/>
      <c r="AH165" s="6"/>
      <c r="AI165" s="6"/>
      <c r="AJ165" s="6"/>
      <c r="AK165" s="6"/>
      <c r="AL165" s="6">
        <v>1</v>
      </c>
      <c r="AM165" s="6"/>
      <c r="AN165" s="6"/>
      <c r="AO165" s="6"/>
      <c r="AP165" s="5">
        <f>SUM(E165:AO165)</f>
        <v>9</v>
      </c>
      <c r="AQ165" s="1"/>
      <c r="AR165" s="1"/>
    </row>
    <row r="166" spans="1:44" x14ac:dyDescent="0.4">
      <c r="A166" s="11" t="s">
        <v>50</v>
      </c>
      <c r="B166" s="52"/>
      <c r="C166" s="24" t="s">
        <v>193</v>
      </c>
      <c r="D166" s="50"/>
      <c r="E166" s="6"/>
      <c r="F166" s="6"/>
      <c r="G166" s="6"/>
      <c r="H166" s="6"/>
      <c r="I166" s="6"/>
      <c r="J166" s="6">
        <v>1</v>
      </c>
      <c r="K166" s="6"/>
      <c r="L166" s="6">
        <v>3</v>
      </c>
      <c r="M166" s="6"/>
      <c r="N166" s="6"/>
      <c r="O166" s="6">
        <v>2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>
        <v>2</v>
      </c>
      <c r="AC166" s="6"/>
      <c r="AD166" s="6">
        <v>1</v>
      </c>
      <c r="AE166" s="6"/>
      <c r="AF166" s="6"/>
      <c r="AG166" s="6"/>
      <c r="AH166" s="6"/>
      <c r="AI166" s="6"/>
      <c r="AJ166" s="6"/>
      <c r="AK166" s="6">
        <v>1</v>
      </c>
      <c r="AL166" s="6"/>
      <c r="AM166" s="6"/>
      <c r="AN166" s="6"/>
      <c r="AO166" s="6"/>
      <c r="AP166" s="5">
        <f>SUM(E166:AO166)</f>
        <v>10</v>
      </c>
      <c r="AQ166" s="27"/>
      <c r="AR166" s="27"/>
    </row>
    <row r="167" spans="1:44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49"/>
      <c r="AQ167" s="20"/>
      <c r="AR167" s="20"/>
    </row>
    <row r="168" spans="1:44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49"/>
      <c r="AQ168" s="20"/>
      <c r="AR168" s="20"/>
    </row>
    <row r="169" spans="1:44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49"/>
      <c r="AQ169" s="20"/>
      <c r="AR169" s="20"/>
    </row>
    <row r="170" spans="1:44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49"/>
      <c r="AQ170" s="20"/>
      <c r="AR170" s="20"/>
    </row>
    <row r="171" spans="1:44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49"/>
      <c r="AQ171" s="20"/>
      <c r="AR171" s="20"/>
    </row>
    <row r="172" spans="1:44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49"/>
      <c r="AQ172" s="20"/>
      <c r="AR172" s="20"/>
    </row>
    <row r="173" spans="1:44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49"/>
      <c r="AQ173" s="20"/>
      <c r="AR173" s="20"/>
    </row>
    <row r="174" spans="1:44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49"/>
      <c r="AQ174" s="20"/>
      <c r="AR174" s="20"/>
    </row>
    <row r="175" spans="1:44" x14ac:dyDescent="0.4">
      <c r="A175" s="6" t="s">
        <v>26</v>
      </c>
      <c r="B175" s="67" t="s">
        <v>51</v>
      </c>
      <c r="C175" s="68"/>
      <c r="D175" s="69"/>
      <c r="E175" s="5">
        <f t="shared" ref="E175" si="343">SUM(E165:E174)</f>
        <v>0</v>
      </c>
      <c r="F175" s="5">
        <f t="shared" ref="F175" si="344">SUM(F165:F174)</f>
        <v>1</v>
      </c>
      <c r="G175" s="5">
        <f t="shared" ref="G175" si="345">SUM(G165:G174)</f>
        <v>0</v>
      </c>
      <c r="H175" s="5">
        <f t="shared" ref="H175" si="346">SUM(H165:H174)</f>
        <v>0</v>
      </c>
      <c r="I175" s="5">
        <f t="shared" ref="I175" si="347">SUM(I165:I174)</f>
        <v>0</v>
      </c>
      <c r="J175" s="5">
        <f t="shared" ref="J175" si="348">SUM(J165:J174)</f>
        <v>1</v>
      </c>
      <c r="K175" s="5">
        <f t="shared" ref="K175" si="349">SUM(K165:K174)</f>
        <v>0</v>
      </c>
      <c r="L175" s="5">
        <f t="shared" ref="L175" si="350">SUM(L165:L174)</f>
        <v>3</v>
      </c>
      <c r="M175" s="5">
        <f t="shared" ref="M175" si="351">SUM(M165:M174)</f>
        <v>1</v>
      </c>
      <c r="N175" s="5">
        <f t="shared" ref="N175" si="352">SUM(N165:N174)</f>
        <v>0</v>
      </c>
      <c r="O175" s="5">
        <f t="shared" ref="O175" si="353">SUM(O165:O174)</f>
        <v>2</v>
      </c>
      <c r="P175" s="5">
        <f t="shared" ref="P175" si="354">SUM(P165:P174)</f>
        <v>0</v>
      </c>
      <c r="Q175" s="5">
        <f t="shared" ref="Q175" si="355">SUM(Q165:Q174)</f>
        <v>4</v>
      </c>
      <c r="R175" s="5">
        <f t="shared" ref="R175" si="356">SUM(R165:R174)</f>
        <v>0</v>
      </c>
      <c r="S175" s="5">
        <f t="shared" ref="S175" si="357">SUM(S165:S174)</f>
        <v>0</v>
      </c>
      <c r="T175" s="5">
        <f t="shared" ref="T175" si="358">SUM(T165:T174)</f>
        <v>0</v>
      </c>
      <c r="U175" s="5">
        <f t="shared" ref="U175" si="359">SUM(U165:U174)</f>
        <v>0</v>
      </c>
      <c r="V175" s="5">
        <f t="shared" ref="V175" si="360">SUM(V165:V174)</f>
        <v>0</v>
      </c>
      <c r="W175" s="5">
        <f t="shared" ref="W175" si="361">SUM(W165:W174)</f>
        <v>0</v>
      </c>
      <c r="X175" s="5">
        <f t="shared" ref="X175" si="362">SUM(X165:X174)</f>
        <v>0</v>
      </c>
      <c r="Y175" s="5">
        <f t="shared" ref="Y175" si="363">SUM(Y165:Y174)</f>
        <v>0</v>
      </c>
      <c r="Z175" s="5">
        <f t="shared" ref="Z175" si="364">SUM(Z165:Z174)</f>
        <v>0</v>
      </c>
      <c r="AA175" s="5">
        <f t="shared" ref="AA175" si="365">SUM(AA165:AA174)</f>
        <v>0</v>
      </c>
      <c r="AB175" s="5">
        <f t="shared" ref="AB175" si="366">SUM(AB165:AB174)</f>
        <v>2</v>
      </c>
      <c r="AC175" s="5">
        <f t="shared" ref="AC175" si="367">SUM(AC165:AC174)</f>
        <v>0</v>
      </c>
      <c r="AD175" s="5">
        <f t="shared" ref="AD175" si="368">SUM(AD165:AD174)</f>
        <v>2</v>
      </c>
      <c r="AE175" s="5">
        <f t="shared" ref="AE175" si="369">SUM(AE165:AE174)</f>
        <v>0</v>
      </c>
      <c r="AF175" s="5">
        <f t="shared" ref="AF175" si="370">SUM(AF165:AF174)</f>
        <v>1</v>
      </c>
      <c r="AG175" s="5">
        <f t="shared" ref="AG175" si="371">SUM(AG165:AG174)</f>
        <v>0</v>
      </c>
      <c r="AH175" s="5">
        <f t="shared" ref="AH175" si="372">SUM(AH165:AH174)</f>
        <v>0</v>
      </c>
      <c r="AI175" s="5">
        <f t="shared" ref="AI175" si="373">SUM(AI165:AI174)</f>
        <v>0</v>
      </c>
      <c r="AJ175" s="5">
        <f t="shared" ref="AJ175" si="374">SUM(AJ165:AJ174)</f>
        <v>0</v>
      </c>
      <c r="AK175" s="5">
        <f t="shared" ref="AK175" si="375">SUM(AK165:AK174)</f>
        <v>1</v>
      </c>
      <c r="AL175" s="5">
        <f t="shared" ref="AL175" si="376">SUM(AL165:AL174)</f>
        <v>1</v>
      </c>
      <c r="AM175" s="5">
        <f t="shared" ref="AM175" si="377">SUM(AM165:AM174)</f>
        <v>0</v>
      </c>
      <c r="AN175" s="5">
        <f t="shared" ref="AN175" si="378">SUM(AN165:AN174)</f>
        <v>0</v>
      </c>
      <c r="AO175" s="5">
        <f t="shared" ref="AO175" si="379">SUM(AO165:AO174)</f>
        <v>0</v>
      </c>
      <c r="AP175" s="5">
        <f>SUM(E175:AO175)</f>
        <v>19</v>
      </c>
      <c r="AQ175" s="20"/>
      <c r="AR175" s="20"/>
    </row>
    <row r="176" spans="1:44" ht="13.15" customHeight="1" x14ac:dyDescent="0.4">
      <c r="A176" s="70"/>
      <c r="B176" s="71"/>
      <c r="C176" s="71"/>
      <c r="D176" s="71"/>
      <c r="E176" s="7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"/>
      <c r="AR176" s="1"/>
    </row>
    <row r="177" spans="1:44" x14ac:dyDescent="0.4">
      <c r="A177" s="11" t="s">
        <v>48</v>
      </c>
      <c r="B177" s="17" t="s">
        <v>69</v>
      </c>
      <c r="C177" s="73" t="s">
        <v>70</v>
      </c>
      <c r="D177" s="74"/>
      <c r="E177" s="6"/>
      <c r="F177" s="6">
        <v>2</v>
      </c>
      <c r="G177" s="6">
        <v>2</v>
      </c>
      <c r="H177" s="6">
        <v>1</v>
      </c>
      <c r="I177" s="6">
        <v>2</v>
      </c>
      <c r="J177" s="6"/>
      <c r="K177" s="6"/>
      <c r="L177" s="6"/>
      <c r="M177" s="6"/>
      <c r="N177" s="6">
        <v>1</v>
      </c>
      <c r="O177" s="6">
        <v>3</v>
      </c>
      <c r="P177" s="6">
        <v>1</v>
      </c>
      <c r="Q177" s="6">
        <v>1</v>
      </c>
      <c r="R177" s="6">
        <v>5</v>
      </c>
      <c r="S177" s="6">
        <v>2</v>
      </c>
      <c r="T177" s="6">
        <v>1</v>
      </c>
      <c r="U177" s="6"/>
      <c r="V177" s="6"/>
      <c r="W177" s="6">
        <v>1</v>
      </c>
      <c r="X177" s="6"/>
      <c r="Y177" s="6">
        <v>1</v>
      </c>
      <c r="Z177" s="6"/>
      <c r="AA177" s="6">
        <v>1</v>
      </c>
      <c r="AB177" s="6"/>
      <c r="AC177" s="6">
        <v>3</v>
      </c>
      <c r="AD177" s="6"/>
      <c r="AE177" s="6"/>
      <c r="AF177" s="6">
        <v>1</v>
      </c>
      <c r="AG177" s="6"/>
      <c r="AH177" s="6"/>
      <c r="AI177" s="6"/>
      <c r="AJ177" s="6"/>
      <c r="AK177" s="6"/>
      <c r="AL177" s="6">
        <v>1</v>
      </c>
      <c r="AM177" s="6"/>
      <c r="AN177" s="6"/>
      <c r="AO177" s="6"/>
      <c r="AP177" s="5">
        <f t="shared" ref="AP177:AP187" si="380">SUM(E177:AO177)</f>
        <v>29</v>
      </c>
    </row>
    <row r="178" spans="1:44" x14ac:dyDescent="0.4">
      <c r="A178" s="11" t="s">
        <v>50</v>
      </c>
      <c r="B178" s="52"/>
      <c r="C178" s="24" t="s">
        <v>194</v>
      </c>
      <c r="D178" s="50"/>
      <c r="E178" s="6">
        <v>6</v>
      </c>
      <c r="F178" s="6">
        <v>3</v>
      </c>
      <c r="G178" s="6">
        <v>6</v>
      </c>
      <c r="H178" s="6">
        <v>1</v>
      </c>
      <c r="I178" s="6">
        <v>1</v>
      </c>
      <c r="J178" s="6"/>
      <c r="K178" s="6">
        <v>1</v>
      </c>
      <c r="L178" s="6"/>
      <c r="M178" s="6"/>
      <c r="N178" s="6">
        <v>4</v>
      </c>
      <c r="O178" s="6">
        <v>1</v>
      </c>
      <c r="P178" s="6">
        <v>8</v>
      </c>
      <c r="Q178" s="6">
        <v>9</v>
      </c>
      <c r="R178" s="6">
        <v>1</v>
      </c>
      <c r="S178" s="6">
        <v>1</v>
      </c>
      <c r="T178" s="6">
        <v>1</v>
      </c>
      <c r="U178" s="6">
        <v>1</v>
      </c>
      <c r="V178" s="6">
        <v>4</v>
      </c>
      <c r="W178" s="6">
        <v>10</v>
      </c>
      <c r="X178" s="6">
        <v>1</v>
      </c>
      <c r="Y178" s="6">
        <v>2</v>
      </c>
      <c r="Z178" s="6"/>
      <c r="AA178" s="6">
        <v>4</v>
      </c>
      <c r="AB178" s="6"/>
      <c r="AC178" s="6"/>
      <c r="AD178" s="6"/>
      <c r="AE178" s="6">
        <v>2</v>
      </c>
      <c r="AF178" s="6"/>
      <c r="AG178" s="6">
        <v>2</v>
      </c>
      <c r="AH178" s="6">
        <v>1</v>
      </c>
      <c r="AI178" s="6"/>
      <c r="AJ178" s="6"/>
      <c r="AK178" s="6">
        <v>2</v>
      </c>
      <c r="AL178" s="6"/>
      <c r="AM178" s="6">
        <v>1</v>
      </c>
      <c r="AN178" s="6">
        <v>3</v>
      </c>
      <c r="AO178" s="6"/>
      <c r="AP178" s="5">
        <f t="shared" si="380"/>
        <v>76</v>
      </c>
      <c r="AQ178" s="20"/>
      <c r="AR178" s="20"/>
    </row>
    <row r="179" spans="1:44" x14ac:dyDescent="0.4">
      <c r="A179" s="7"/>
      <c r="B179" s="52"/>
      <c r="C179" s="24" t="s">
        <v>195</v>
      </c>
      <c r="D179" s="50"/>
      <c r="E179" s="6"/>
      <c r="F179" s="6">
        <v>1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>
        <v>1</v>
      </c>
      <c r="T179" s="6"/>
      <c r="U179" s="6"/>
      <c r="V179" s="6">
        <v>1</v>
      </c>
      <c r="W179" s="6">
        <v>1</v>
      </c>
      <c r="X179" s="6"/>
      <c r="Y179" s="6"/>
      <c r="Z179" s="6"/>
      <c r="AA179" s="6"/>
      <c r="AB179" s="6"/>
      <c r="AC179" s="6"/>
      <c r="AD179" s="6"/>
      <c r="AE179" s="6"/>
      <c r="AF179" s="6">
        <v>1</v>
      </c>
      <c r="AG179" s="6"/>
      <c r="AH179" s="6"/>
      <c r="AI179" s="6"/>
      <c r="AJ179" s="6"/>
      <c r="AK179" s="6"/>
      <c r="AL179" s="6"/>
      <c r="AM179" s="6"/>
      <c r="AN179" s="6"/>
      <c r="AO179" s="6"/>
      <c r="AP179" s="5">
        <f t="shared" si="380"/>
        <v>5</v>
      </c>
      <c r="AQ179" s="20"/>
      <c r="AR179" s="20"/>
    </row>
    <row r="180" spans="1:44" x14ac:dyDescent="0.4">
      <c r="A180" s="7"/>
      <c r="B180" s="52"/>
      <c r="C180" s="24" t="s">
        <v>196</v>
      </c>
      <c r="D180" s="50"/>
      <c r="E180" s="6">
        <v>1</v>
      </c>
      <c r="F180" s="6">
        <v>5</v>
      </c>
      <c r="G180" s="6"/>
      <c r="H180" s="6"/>
      <c r="I180" s="6"/>
      <c r="J180" s="6"/>
      <c r="K180" s="6">
        <v>1</v>
      </c>
      <c r="L180" s="6">
        <v>3</v>
      </c>
      <c r="M180" s="6">
        <v>2</v>
      </c>
      <c r="N180" s="6">
        <v>1</v>
      </c>
      <c r="O180" s="6"/>
      <c r="P180" s="6"/>
      <c r="Q180" s="6"/>
      <c r="R180" s="6"/>
      <c r="S180" s="6"/>
      <c r="T180" s="6">
        <v>1</v>
      </c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>
        <v>1</v>
      </c>
      <c r="AH180" s="6">
        <v>1</v>
      </c>
      <c r="AI180" s="6"/>
      <c r="AJ180" s="6">
        <v>2</v>
      </c>
      <c r="AK180" s="6"/>
      <c r="AL180" s="6"/>
      <c r="AM180" s="6"/>
      <c r="AN180" s="6"/>
      <c r="AO180" s="6"/>
      <c r="AP180" s="5">
        <f t="shared" si="380"/>
        <v>18</v>
      </c>
      <c r="AQ180" s="20"/>
      <c r="AR180" s="20"/>
    </row>
    <row r="181" spans="1:44" x14ac:dyDescent="0.4">
      <c r="A181" s="7"/>
      <c r="B181" s="52"/>
      <c r="C181" s="24" t="s">
        <v>197</v>
      </c>
      <c r="D181" s="50"/>
      <c r="E181" s="6"/>
      <c r="F181" s="6"/>
      <c r="G181" s="6"/>
      <c r="H181" s="6"/>
      <c r="I181" s="6"/>
      <c r="J181" s="6">
        <v>1</v>
      </c>
      <c r="K181" s="6">
        <v>1</v>
      </c>
      <c r="L181" s="6"/>
      <c r="M181" s="6"/>
      <c r="N181" s="6">
        <v>1</v>
      </c>
      <c r="O181" s="6"/>
      <c r="P181" s="6"/>
      <c r="Q181" s="6"/>
      <c r="R181" s="6"/>
      <c r="S181" s="6"/>
      <c r="T181" s="6"/>
      <c r="U181" s="6"/>
      <c r="V181" s="6">
        <v>1</v>
      </c>
      <c r="W181" s="6">
        <v>1</v>
      </c>
      <c r="X181" s="6"/>
      <c r="Y181" s="6"/>
      <c r="Z181" s="6"/>
      <c r="AA181" s="6"/>
      <c r="AB181" s="6"/>
      <c r="AC181" s="6"/>
      <c r="AD181" s="6"/>
      <c r="AE181" s="6">
        <v>1</v>
      </c>
      <c r="AF181" s="6"/>
      <c r="AG181" s="6"/>
      <c r="AH181" s="6"/>
      <c r="AI181" s="6">
        <v>1</v>
      </c>
      <c r="AJ181" s="6"/>
      <c r="AK181" s="6"/>
      <c r="AL181" s="6"/>
      <c r="AM181" s="6"/>
      <c r="AN181" s="6"/>
      <c r="AO181" s="6"/>
      <c r="AP181" s="5">
        <f t="shared" si="380"/>
        <v>7</v>
      </c>
      <c r="AQ181" s="20"/>
      <c r="AR181" s="20"/>
    </row>
    <row r="182" spans="1:44" x14ac:dyDescent="0.4">
      <c r="A182" s="7"/>
      <c r="B182" s="52"/>
      <c r="C182" s="24" t="s">
        <v>198</v>
      </c>
      <c r="D182" s="50"/>
      <c r="E182" s="6"/>
      <c r="F182" s="6"/>
      <c r="G182" s="6"/>
      <c r="H182" s="6"/>
      <c r="I182" s="6"/>
      <c r="J182" s="6"/>
      <c r="K182" s="6"/>
      <c r="L182" s="6">
        <v>1</v>
      </c>
      <c r="M182" s="6"/>
      <c r="N182" s="6"/>
      <c r="O182" s="6"/>
      <c r="P182" s="6">
        <v>1</v>
      </c>
      <c r="Q182" s="6">
        <v>1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5">
        <f t="shared" si="380"/>
        <v>3</v>
      </c>
      <c r="AQ182" s="20"/>
      <c r="AR182" s="20"/>
    </row>
    <row r="183" spans="1:44" x14ac:dyDescent="0.4">
      <c r="A183" s="7"/>
      <c r="B183" s="52"/>
      <c r="C183" s="24" t="s">
        <v>199</v>
      </c>
      <c r="D183" s="5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>
        <v>1</v>
      </c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>
        <v>2</v>
      </c>
      <c r="AJ183" s="6"/>
      <c r="AK183" s="6"/>
      <c r="AL183" s="6"/>
      <c r="AM183" s="6"/>
      <c r="AN183" s="6"/>
      <c r="AO183" s="6"/>
      <c r="AP183" s="5">
        <f t="shared" si="380"/>
        <v>3</v>
      </c>
      <c r="AQ183" s="20"/>
      <c r="AR183" s="20"/>
    </row>
    <row r="184" spans="1:44" x14ac:dyDescent="0.4">
      <c r="A184" s="7"/>
      <c r="B184" s="52"/>
      <c r="C184" s="24" t="s">
        <v>200</v>
      </c>
      <c r="D184" s="5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>
        <v>1</v>
      </c>
      <c r="U184" s="6"/>
      <c r="V184" s="6"/>
      <c r="W184" s="6">
        <v>1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5">
        <f t="shared" si="380"/>
        <v>2</v>
      </c>
      <c r="AQ184" s="20"/>
      <c r="AR184" s="20"/>
    </row>
    <row r="185" spans="1:44" x14ac:dyDescent="0.4">
      <c r="A185" s="7"/>
      <c r="B185" s="52"/>
      <c r="C185" s="24" t="s">
        <v>201</v>
      </c>
      <c r="D185" s="5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>
        <v>1</v>
      </c>
      <c r="AK185" s="6"/>
      <c r="AL185" s="6"/>
      <c r="AM185" s="6"/>
      <c r="AN185" s="6">
        <v>1</v>
      </c>
      <c r="AO185" s="6"/>
      <c r="AP185" s="5">
        <f t="shared" si="380"/>
        <v>2</v>
      </c>
      <c r="AQ185" s="20"/>
      <c r="AR185" s="20"/>
    </row>
    <row r="186" spans="1:44" x14ac:dyDescent="0.4">
      <c r="A186" s="7"/>
      <c r="B186" s="52"/>
      <c r="C186" s="24" t="s">
        <v>202</v>
      </c>
      <c r="D186" s="50"/>
      <c r="E186" s="6"/>
      <c r="F186" s="6"/>
      <c r="G186" s="6"/>
      <c r="H186" s="6">
        <v>1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>
        <v>1</v>
      </c>
      <c r="AG186" s="6"/>
      <c r="AH186" s="6"/>
      <c r="AI186" s="6"/>
      <c r="AJ186" s="6"/>
      <c r="AK186" s="6"/>
      <c r="AL186" s="6"/>
      <c r="AM186" s="6"/>
      <c r="AN186" s="6"/>
      <c r="AO186" s="6"/>
      <c r="AP186" s="5">
        <f t="shared" si="380"/>
        <v>2</v>
      </c>
      <c r="AQ186" s="20"/>
      <c r="AR186" s="20"/>
    </row>
    <row r="187" spans="1:44" ht="13.15" customHeight="1" x14ac:dyDescent="0.4">
      <c r="A187" s="6" t="s">
        <v>26</v>
      </c>
      <c r="B187" s="67" t="s">
        <v>51</v>
      </c>
      <c r="C187" s="68"/>
      <c r="D187" s="69"/>
      <c r="E187" s="5">
        <f t="shared" ref="E187" si="381">SUM(E177:E186)</f>
        <v>7</v>
      </c>
      <c r="F187" s="5">
        <f t="shared" ref="F187" si="382">SUM(F177:F186)</f>
        <v>11</v>
      </c>
      <c r="G187" s="5">
        <f t="shared" ref="G187" si="383">SUM(G177:G186)</f>
        <v>8</v>
      </c>
      <c r="H187" s="5">
        <f t="shared" ref="H187" si="384">SUM(H177:H186)</f>
        <v>3</v>
      </c>
      <c r="I187" s="5">
        <f t="shared" ref="I187" si="385">SUM(I177:I186)</f>
        <v>3</v>
      </c>
      <c r="J187" s="5">
        <f t="shared" ref="J187" si="386">SUM(J177:J186)</f>
        <v>1</v>
      </c>
      <c r="K187" s="5">
        <f t="shared" ref="K187" si="387">SUM(K177:K186)</f>
        <v>3</v>
      </c>
      <c r="L187" s="5">
        <f t="shared" ref="L187" si="388">SUM(L177:L186)</f>
        <v>4</v>
      </c>
      <c r="M187" s="5">
        <f t="shared" ref="M187" si="389">SUM(M177:M186)</f>
        <v>2</v>
      </c>
      <c r="N187" s="5">
        <f t="shared" ref="N187" si="390">SUM(N177:N186)</f>
        <v>7</v>
      </c>
      <c r="O187" s="5">
        <f t="shared" ref="O187" si="391">SUM(O177:O186)</f>
        <v>4</v>
      </c>
      <c r="P187" s="5">
        <f t="shared" ref="P187" si="392">SUM(P177:P186)</f>
        <v>10</v>
      </c>
      <c r="Q187" s="5">
        <f t="shared" ref="Q187" si="393">SUM(Q177:Q186)</f>
        <v>11</v>
      </c>
      <c r="R187" s="5">
        <f t="shared" ref="R187" si="394">SUM(R177:R186)</f>
        <v>7</v>
      </c>
      <c r="S187" s="5">
        <f t="shared" ref="S187" si="395">SUM(S177:S186)</f>
        <v>4</v>
      </c>
      <c r="T187" s="5">
        <f t="shared" ref="T187" si="396">SUM(T177:T186)</f>
        <v>4</v>
      </c>
      <c r="U187" s="5">
        <f t="shared" ref="U187" si="397">SUM(U177:U186)</f>
        <v>1</v>
      </c>
      <c r="V187" s="5">
        <f t="shared" ref="V187" si="398">SUM(V177:V186)</f>
        <v>6</v>
      </c>
      <c r="W187" s="5">
        <f t="shared" ref="W187" si="399">SUM(W177:W186)</f>
        <v>14</v>
      </c>
      <c r="X187" s="5">
        <f t="shared" ref="X187" si="400">SUM(X177:X186)</f>
        <v>1</v>
      </c>
      <c r="Y187" s="5">
        <f t="shared" ref="Y187" si="401">SUM(Y177:Y186)</f>
        <v>3</v>
      </c>
      <c r="Z187" s="5">
        <f t="shared" ref="Z187" si="402">SUM(Z177:Z186)</f>
        <v>0</v>
      </c>
      <c r="AA187" s="5">
        <f t="shared" ref="AA187" si="403">SUM(AA177:AA186)</f>
        <v>5</v>
      </c>
      <c r="AB187" s="5">
        <f t="shared" ref="AB187" si="404">SUM(AB177:AB186)</f>
        <v>0</v>
      </c>
      <c r="AC187" s="5">
        <f t="shared" ref="AC187" si="405">SUM(AC177:AC186)</f>
        <v>3</v>
      </c>
      <c r="AD187" s="5">
        <f t="shared" ref="AD187" si="406">SUM(AD177:AD186)</f>
        <v>0</v>
      </c>
      <c r="AE187" s="5">
        <f t="shared" ref="AE187" si="407">SUM(AE177:AE186)</f>
        <v>3</v>
      </c>
      <c r="AF187" s="5">
        <f t="shared" ref="AF187" si="408">SUM(AF177:AF186)</f>
        <v>3</v>
      </c>
      <c r="AG187" s="5">
        <f t="shared" ref="AG187" si="409">SUM(AG177:AG186)</f>
        <v>3</v>
      </c>
      <c r="AH187" s="5">
        <f t="shared" ref="AH187" si="410">SUM(AH177:AH186)</f>
        <v>2</v>
      </c>
      <c r="AI187" s="5">
        <f t="shared" ref="AI187" si="411">SUM(AI177:AI186)</f>
        <v>3</v>
      </c>
      <c r="AJ187" s="5">
        <f t="shared" ref="AJ187" si="412">SUM(AJ177:AJ186)</f>
        <v>3</v>
      </c>
      <c r="AK187" s="5">
        <f t="shared" ref="AK187" si="413">SUM(AK177:AK186)</f>
        <v>2</v>
      </c>
      <c r="AL187" s="5">
        <f t="shared" ref="AL187" si="414">SUM(AL177:AL186)</f>
        <v>1</v>
      </c>
      <c r="AM187" s="5">
        <f t="shared" ref="AM187" si="415">SUM(AM177:AM186)</f>
        <v>1</v>
      </c>
      <c r="AN187" s="5">
        <f t="shared" ref="AN187" si="416">SUM(AN177:AN186)</f>
        <v>4</v>
      </c>
      <c r="AO187" s="5">
        <f t="shared" ref="AO187" si="417">SUM(AO177:AO186)</f>
        <v>0</v>
      </c>
      <c r="AP187" s="5">
        <f t="shared" si="380"/>
        <v>147</v>
      </c>
      <c r="AQ187" s="1"/>
      <c r="AR187" s="1"/>
    </row>
    <row r="188" spans="1:44" x14ac:dyDescent="0.4">
      <c r="A188" s="70"/>
      <c r="B188" s="71"/>
      <c r="C188" s="71"/>
      <c r="D188" s="71"/>
      <c r="E188" s="7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5"/>
    </row>
    <row r="189" spans="1:44" x14ac:dyDescent="0.4">
      <c r="A189" s="11" t="s">
        <v>48</v>
      </c>
      <c r="B189" s="17" t="s">
        <v>71</v>
      </c>
      <c r="C189" s="73" t="s">
        <v>72</v>
      </c>
      <c r="D189" s="74"/>
      <c r="E189" s="6"/>
      <c r="F189" s="6"/>
      <c r="G189" s="6">
        <v>1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>
        <v>2</v>
      </c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5">
        <f t="shared" ref="AP189:AP199" si="418">SUM(E189:AO189)</f>
        <v>3</v>
      </c>
      <c r="AQ189" s="20"/>
      <c r="AR189" s="20"/>
    </row>
    <row r="190" spans="1:44" x14ac:dyDescent="0.4">
      <c r="A190" s="11" t="s">
        <v>50</v>
      </c>
      <c r="B190" s="52"/>
      <c r="C190" s="24" t="s">
        <v>203</v>
      </c>
      <c r="D190" s="50"/>
      <c r="E190" s="6"/>
      <c r="F190" s="6"/>
      <c r="G190" s="6"/>
      <c r="H190" s="6"/>
      <c r="I190" s="6"/>
      <c r="J190" s="6"/>
      <c r="K190" s="6">
        <v>1</v>
      </c>
      <c r="L190" s="6"/>
      <c r="M190" s="6"/>
      <c r="N190" s="6"/>
      <c r="O190" s="6"/>
      <c r="P190" s="6"/>
      <c r="Q190" s="6"/>
      <c r="R190" s="6">
        <v>1</v>
      </c>
      <c r="S190" s="6"/>
      <c r="T190" s="6"/>
      <c r="U190" s="6"/>
      <c r="V190" s="6">
        <v>1</v>
      </c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>
        <v>1</v>
      </c>
      <c r="AP190" s="5">
        <f t="shared" si="418"/>
        <v>4</v>
      </c>
      <c r="AQ190" s="20"/>
      <c r="AR190" s="20"/>
    </row>
    <row r="191" spans="1:44" x14ac:dyDescent="0.4">
      <c r="A191" s="7"/>
      <c r="B191" s="52"/>
      <c r="C191" s="24" t="s">
        <v>204</v>
      </c>
      <c r="D191" s="50"/>
      <c r="E191" s="6">
        <v>2</v>
      </c>
      <c r="F191" s="6"/>
      <c r="G191" s="6"/>
      <c r="H191" s="6"/>
      <c r="I191" s="6"/>
      <c r="J191" s="6"/>
      <c r="K191" s="6"/>
      <c r="L191" s="6"/>
      <c r="M191" s="6">
        <v>1</v>
      </c>
      <c r="N191" s="6"/>
      <c r="O191" s="6"/>
      <c r="P191" s="6"/>
      <c r="Q191" s="6"/>
      <c r="R191" s="6"/>
      <c r="S191" s="6"/>
      <c r="T191" s="6">
        <v>1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>
        <v>2</v>
      </c>
      <c r="AH191" s="6"/>
      <c r="AI191" s="6"/>
      <c r="AJ191" s="6"/>
      <c r="AK191" s="6"/>
      <c r="AL191" s="6">
        <v>1</v>
      </c>
      <c r="AM191" s="6"/>
      <c r="AN191" s="6"/>
      <c r="AO191" s="6"/>
      <c r="AP191" s="5">
        <f t="shared" si="418"/>
        <v>7</v>
      </c>
      <c r="AQ191" s="20"/>
      <c r="AR191" s="20"/>
    </row>
    <row r="192" spans="1:44" x14ac:dyDescent="0.4">
      <c r="A192" s="7"/>
      <c r="B192" s="52"/>
      <c r="C192" s="24" t="s">
        <v>205</v>
      </c>
      <c r="D192" s="50"/>
      <c r="E192" s="6"/>
      <c r="F192" s="6"/>
      <c r="G192" s="6"/>
      <c r="H192" s="6"/>
      <c r="I192" s="6"/>
      <c r="J192" s="6">
        <v>1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5">
        <f t="shared" si="418"/>
        <v>1</v>
      </c>
      <c r="AQ192" s="20"/>
      <c r="AR192" s="20"/>
    </row>
    <row r="193" spans="1:44" x14ac:dyDescent="0.4">
      <c r="A193" s="7"/>
      <c r="B193" s="52"/>
      <c r="C193" s="24" t="s">
        <v>206</v>
      </c>
      <c r="D193" s="5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>
        <v>1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>
        <v>1</v>
      </c>
      <c r="AJ193" s="6"/>
      <c r="AK193" s="6"/>
      <c r="AL193" s="6"/>
      <c r="AM193" s="6"/>
      <c r="AN193" s="6"/>
      <c r="AO193" s="6"/>
      <c r="AP193" s="5">
        <f t="shared" si="418"/>
        <v>2</v>
      </c>
      <c r="AQ193" s="20"/>
      <c r="AR193" s="20"/>
    </row>
    <row r="194" spans="1:44" x14ac:dyDescent="0.4">
      <c r="A194" s="7"/>
      <c r="B194" s="52"/>
      <c r="C194" s="24" t="s">
        <v>207</v>
      </c>
      <c r="D194" s="50"/>
      <c r="E194" s="6"/>
      <c r="F194" s="6"/>
      <c r="G194" s="6"/>
      <c r="H194" s="6"/>
      <c r="I194" s="6"/>
      <c r="J194" s="6"/>
      <c r="K194" s="6"/>
      <c r="L194" s="6"/>
      <c r="M194" s="6">
        <v>1</v>
      </c>
      <c r="N194" s="6"/>
      <c r="O194" s="6"/>
      <c r="P194" s="6"/>
      <c r="Q194" s="6"/>
      <c r="R194" s="6"/>
      <c r="S194" s="6">
        <v>1</v>
      </c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5">
        <f t="shared" si="418"/>
        <v>2</v>
      </c>
      <c r="AQ194" s="20"/>
      <c r="AR194" s="20"/>
    </row>
    <row r="195" spans="1:44" x14ac:dyDescent="0.4">
      <c r="A195" s="7"/>
      <c r="B195" s="52"/>
      <c r="C195" s="24" t="s">
        <v>208</v>
      </c>
      <c r="D195" s="5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5">
        <f t="shared" si="418"/>
        <v>0</v>
      </c>
      <c r="AQ195" s="20"/>
      <c r="AR195" s="20"/>
    </row>
    <row r="196" spans="1:44" ht="13.15" customHeight="1" x14ac:dyDescent="0.4">
      <c r="A196" s="7"/>
      <c r="B196" s="52"/>
      <c r="C196" s="24" t="s">
        <v>209</v>
      </c>
      <c r="D196" s="50"/>
      <c r="E196" s="6"/>
      <c r="F196" s="6"/>
      <c r="G196" s="6"/>
      <c r="H196" s="6"/>
      <c r="I196" s="6"/>
      <c r="J196" s="6"/>
      <c r="K196" s="6"/>
      <c r="L196" s="6"/>
      <c r="M196" s="6">
        <v>2</v>
      </c>
      <c r="N196" s="6"/>
      <c r="O196" s="6"/>
      <c r="P196" s="6"/>
      <c r="Q196" s="6"/>
      <c r="R196" s="6"/>
      <c r="S196" s="6"/>
      <c r="T196" s="6"/>
      <c r="U196" s="6"/>
      <c r="V196" s="6">
        <v>1</v>
      </c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5">
        <f t="shared" si="418"/>
        <v>3</v>
      </c>
      <c r="AQ196" s="1"/>
      <c r="AR196" s="1"/>
    </row>
    <row r="197" spans="1:44" ht="13.15" customHeight="1" x14ac:dyDescent="0.4">
      <c r="A197" s="7"/>
      <c r="B197" s="52"/>
      <c r="C197" s="24" t="s">
        <v>210</v>
      </c>
      <c r="D197" s="5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5">
        <f t="shared" si="418"/>
        <v>0</v>
      </c>
      <c r="AQ197" s="1"/>
      <c r="AR197" s="1"/>
    </row>
    <row r="198" spans="1:44" ht="13.15" customHeight="1" x14ac:dyDescent="0.4">
      <c r="A198" s="7"/>
      <c r="B198" s="52"/>
      <c r="C198" s="24" t="s">
        <v>211</v>
      </c>
      <c r="D198" s="5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5">
        <f t="shared" si="418"/>
        <v>0</v>
      </c>
      <c r="AQ198" s="1"/>
      <c r="AR198" s="1"/>
    </row>
    <row r="199" spans="1:44" x14ac:dyDescent="0.4">
      <c r="A199" s="6" t="s">
        <v>26</v>
      </c>
      <c r="B199" s="67" t="s">
        <v>51</v>
      </c>
      <c r="C199" s="68"/>
      <c r="D199" s="69"/>
      <c r="E199" s="5">
        <f t="shared" ref="E199" si="419">SUM(E189:E198)</f>
        <v>2</v>
      </c>
      <c r="F199" s="5">
        <f t="shared" ref="F199" si="420">SUM(F189:F198)</f>
        <v>0</v>
      </c>
      <c r="G199" s="5">
        <f t="shared" ref="G199" si="421">SUM(G189:G198)</f>
        <v>1</v>
      </c>
      <c r="H199" s="5">
        <f t="shared" ref="H199" si="422">SUM(H189:H198)</f>
        <v>0</v>
      </c>
      <c r="I199" s="5">
        <f t="shared" ref="I199" si="423">SUM(I189:I198)</f>
        <v>0</v>
      </c>
      <c r="J199" s="5">
        <f t="shared" ref="J199" si="424">SUM(J189:J198)</f>
        <v>1</v>
      </c>
      <c r="K199" s="5">
        <f t="shared" ref="K199" si="425">SUM(K189:K198)</f>
        <v>1</v>
      </c>
      <c r="L199" s="5">
        <f t="shared" ref="L199" si="426">SUM(L189:L198)</f>
        <v>0</v>
      </c>
      <c r="M199" s="5">
        <f t="shared" ref="M199" si="427">SUM(M189:M198)</f>
        <v>4</v>
      </c>
      <c r="N199" s="5">
        <f t="shared" ref="N199" si="428">SUM(N189:N198)</f>
        <v>0</v>
      </c>
      <c r="O199" s="5">
        <f t="shared" ref="O199" si="429">SUM(O189:O198)</f>
        <v>1</v>
      </c>
      <c r="P199" s="5">
        <f t="shared" ref="P199" si="430">SUM(P189:P198)</f>
        <v>0</v>
      </c>
      <c r="Q199" s="5">
        <f t="shared" ref="Q199" si="431">SUM(Q189:Q198)</f>
        <v>0</v>
      </c>
      <c r="R199" s="5">
        <f t="shared" ref="R199" si="432">SUM(R189:R198)</f>
        <v>3</v>
      </c>
      <c r="S199" s="5">
        <f t="shared" ref="S199" si="433">SUM(S189:S198)</f>
        <v>1</v>
      </c>
      <c r="T199" s="5">
        <f t="shared" ref="T199" si="434">SUM(T189:T198)</f>
        <v>1</v>
      </c>
      <c r="U199" s="5">
        <f t="shared" ref="U199" si="435">SUM(U189:U198)</f>
        <v>0</v>
      </c>
      <c r="V199" s="5">
        <f t="shared" ref="V199" si="436">SUM(V189:V198)</f>
        <v>2</v>
      </c>
      <c r="W199" s="5">
        <f t="shared" ref="W199" si="437">SUM(W189:W198)</f>
        <v>0</v>
      </c>
      <c r="X199" s="5">
        <f t="shared" ref="X199" si="438">SUM(X189:X198)</f>
        <v>0</v>
      </c>
      <c r="Y199" s="5">
        <f t="shared" ref="Y199" si="439">SUM(Y189:Y198)</f>
        <v>0</v>
      </c>
      <c r="Z199" s="5">
        <f t="shared" ref="Z199" si="440">SUM(Z189:Z198)</f>
        <v>0</v>
      </c>
      <c r="AA199" s="5">
        <f t="shared" ref="AA199" si="441">SUM(AA189:AA198)</f>
        <v>0</v>
      </c>
      <c r="AB199" s="5">
        <f t="shared" ref="AB199" si="442">SUM(AB189:AB198)</f>
        <v>0</v>
      </c>
      <c r="AC199" s="5">
        <f t="shared" ref="AC199" si="443">SUM(AC189:AC198)</f>
        <v>0</v>
      </c>
      <c r="AD199" s="5">
        <f t="shared" ref="AD199" si="444">SUM(AD189:AD198)</f>
        <v>0</v>
      </c>
      <c r="AE199" s="5">
        <f t="shared" ref="AE199" si="445">SUM(AE189:AE198)</f>
        <v>0</v>
      </c>
      <c r="AF199" s="5">
        <f t="shared" ref="AF199" si="446">SUM(AF189:AF198)</f>
        <v>0</v>
      </c>
      <c r="AG199" s="5">
        <f t="shared" ref="AG199" si="447">SUM(AG189:AG198)</f>
        <v>2</v>
      </c>
      <c r="AH199" s="5">
        <f t="shared" ref="AH199" si="448">SUM(AH189:AH198)</f>
        <v>0</v>
      </c>
      <c r="AI199" s="5">
        <f t="shared" ref="AI199" si="449">SUM(AI189:AI198)</f>
        <v>1</v>
      </c>
      <c r="AJ199" s="5">
        <f t="shared" ref="AJ199" si="450">SUM(AJ189:AJ198)</f>
        <v>0</v>
      </c>
      <c r="AK199" s="5">
        <f t="shared" ref="AK199" si="451">SUM(AK189:AK198)</f>
        <v>0</v>
      </c>
      <c r="AL199" s="5">
        <f t="shared" ref="AL199" si="452">SUM(AL189:AL198)</f>
        <v>1</v>
      </c>
      <c r="AM199" s="5">
        <f t="shared" ref="AM199" si="453">SUM(AM189:AM198)</f>
        <v>0</v>
      </c>
      <c r="AN199" s="5">
        <f t="shared" ref="AN199" si="454">SUM(AN189:AN198)</f>
        <v>0</v>
      </c>
      <c r="AO199" s="5">
        <f t="shared" ref="AO199" si="455">SUM(AO189:AO198)</f>
        <v>1</v>
      </c>
      <c r="AP199" s="5">
        <f t="shared" si="418"/>
        <v>22</v>
      </c>
      <c r="AQ199" s="27"/>
      <c r="AR199" s="27"/>
    </row>
    <row r="200" spans="1:44" x14ac:dyDescent="0.4">
      <c r="A200" s="70"/>
      <c r="B200" s="71"/>
      <c r="C200" s="71"/>
      <c r="D200" s="71"/>
      <c r="E200" s="7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20"/>
      <c r="AR200" s="20"/>
    </row>
    <row r="201" spans="1:44" x14ac:dyDescent="0.4">
      <c r="A201" s="11" t="s">
        <v>48</v>
      </c>
      <c r="B201" s="17" t="s">
        <v>73</v>
      </c>
      <c r="C201" s="73" t="s">
        <v>74</v>
      </c>
      <c r="D201" s="74"/>
      <c r="E201" s="6">
        <v>9</v>
      </c>
      <c r="F201" s="6">
        <v>7</v>
      </c>
      <c r="G201" s="6">
        <v>7</v>
      </c>
      <c r="H201" s="6">
        <v>3</v>
      </c>
      <c r="I201" s="6">
        <v>7</v>
      </c>
      <c r="J201" s="6"/>
      <c r="K201" s="6">
        <v>8</v>
      </c>
      <c r="L201" s="6">
        <v>3</v>
      </c>
      <c r="M201" s="6">
        <v>3</v>
      </c>
      <c r="N201" s="6">
        <v>3</v>
      </c>
      <c r="O201" s="6">
        <v>4</v>
      </c>
      <c r="P201" s="6">
        <v>5</v>
      </c>
      <c r="Q201" s="6">
        <v>9</v>
      </c>
      <c r="R201" s="6">
        <v>1</v>
      </c>
      <c r="S201" s="6">
        <v>5</v>
      </c>
      <c r="T201" s="6">
        <v>4</v>
      </c>
      <c r="U201" s="6"/>
      <c r="V201" s="6">
        <v>17</v>
      </c>
      <c r="W201" s="6"/>
      <c r="X201" s="6">
        <v>2</v>
      </c>
      <c r="Y201" s="6">
        <v>2</v>
      </c>
      <c r="Z201" s="6">
        <v>1</v>
      </c>
      <c r="AA201" s="6">
        <v>6</v>
      </c>
      <c r="AB201" s="6">
        <v>3</v>
      </c>
      <c r="AC201" s="6">
        <v>4</v>
      </c>
      <c r="AD201" s="6"/>
      <c r="AE201" s="6"/>
      <c r="AF201" s="6">
        <v>2</v>
      </c>
      <c r="AG201" s="6"/>
      <c r="AH201" s="6"/>
      <c r="AI201" s="6">
        <v>10</v>
      </c>
      <c r="AJ201" s="6">
        <v>5</v>
      </c>
      <c r="AK201" s="6"/>
      <c r="AL201" s="6">
        <v>2</v>
      </c>
      <c r="AM201" s="6"/>
      <c r="AN201" s="6">
        <v>2</v>
      </c>
      <c r="AO201" s="6"/>
      <c r="AP201" s="5">
        <f t="shared" ref="AP201:AP211" si="456">SUM(E201:AO201)</f>
        <v>134</v>
      </c>
      <c r="AQ201" s="20"/>
      <c r="AR201" s="20"/>
    </row>
    <row r="202" spans="1:44" x14ac:dyDescent="0.4">
      <c r="A202" s="11" t="s">
        <v>50</v>
      </c>
      <c r="B202" s="52"/>
      <c r="C202" s="24" t="s">
        <v>212</v>
      </c>
      <c r="D202" s="50"/>
      <c r="E202" s="6">
        <v>14</v>
      </c>
      <c r="F202" s="6">
        <v>9</v>
      </c>
      <c r="G202" s="6">
        <v>7</v>
      </c>
      <c r="H202" s="6">
        <v>7</v>
      </c>
      <c r="I202" s="6">
        <v>9</v>
      </c>
      <c r="J202" s="6">
        <v>3</v>
      </c>
      <c r="K202" s="6">
        <v>1</v>
      </c>
      <c r="L202" s="6">
        <v>4</v>
      </c>
      <c r="M202" s="6">
        <v>21</v>
      </c>
      <c r="N202" s="6">
        <v>3</v>
      </c>
      <c r="O202" s="6">
        <v>7</v>
      </c>
      <c r="P202" s="6">
        <v>6</v>
      </c>
      <c r="Q202" s="6">
        <v>15</v>
      </c>
      <c r="R202" s="6">
        <v>42</v>
      </c>
      <c r="S202" s="6">
        <v>9</v>
      </c>
      <c r="T202" s="6">
        <v>13</v>
      </c>
      <c r="U202" s="6">
        <v>4</v>
      </c>
      <c r="V202" s="6">
        <v>11</v>
      </c>
      <c r="W202" s="6">
        <v>7</v>
      </c>
      <c r="X202" s="6">
        <v>5</v>
      </c>
      <c r="Y202" s="6">
        <v>8</v>
      </c>
      <c r="Z202" s="6">
        <v>5</v>
      </c>
      <c r="AA202" s="6">
        <v>5</v>
      </c>
      <c r="AB202" s="6">
        <v>11</v>
      </c>
      <c r="AC202" s="6">
        <v>3</v>
      </c>
      <c r="AD202" s="6">
        <v>2</v>
      </c>
      <c r="AE202" s="6">
        <v>3</v>
      </c>
      <c r="AF202" s="6">
        <v>1</v>
      </c>
      <c r="AG202" s="6">
        <v>2</v>
      </c>
      <c r="AH202" s="6">
        <v>6</v>
      </c>
      <c r="AI202" s="6">
        <v>9</v>
      </c>
      <c r="AJ202" s="6">
        <v>6</v>
      </c>
      <c r="AK202" s="6">
        <v>3</v>
      </c>
      <c r="AL202" s="6">
        <v>1</v>
      </c>
      <c r="AM202" s="6"/>
      <c r="AN202" s="6"/>
      <c r="AO202" s="6"/>
      <c r="AP202" s="5">
        <f t="shared" si="456"/>
        <v>262</v>
      </c>
      <c r="AQ202" s="20"/>
      <c r="AR202" s="20"/>
    </row>
    <row r="203" spans="1:44" x14ac:dyDescent="0.4">
      <c r="A203" s="7"/>
      <c r="B203" s="52"/>
      <c r="C203" s="24" t="s">
        <v>213</v>
      </c>
      <c r="D203" s="50"/>
      <c r="E203" s="6">
        <v>18</v>
      </c>
      <c r="F203" s="6"/>
      <c r="G203" s="6">
        <v>1</v>
      </c>
      <c r="H203" s="6">
        <v>3</v>
      </c>
      <c r="I203" s="6">
        <v>2</v>
      </c>
      <c r="J203" s="6"/>
      <c r="K203" s="6">
        <v>5</v>
      </c>
      <c r="L203" s="6">
        <v>1</v>
      </c>
      <c r="M203" s="6">
        <v>5</v>
      </c>
      <c r="N203" s="6">
        <v>5</v>
      </c>
      <c r="O203" s="6">
        <v>2</v>
      </c>
      <c r="P203" s="6">
        <v>7</v>
      </c>
      <c r="Q203" s="6">
        <v>6</v>
      </c>
      <c r="R203" s="6">
        <v>29</v>
      </c>
      <c r="S203" s="6">
        <v>2</v>
      </c>
      <c r="T203" s="6">
        <v>1</v>
      </c>
      <c r="U203" s="6">
        <v>1</v>
      </c>
      <c r="V203" s="6">
        <v>3</v>
      </c>
      <c r="W203" s="6">
        <v>1</v>
      </c>
      <c r="X203" s="6">
        <v>7</v>
      </c>
      <c r="Y203" s="6">
        <v>7</v>
      </c>
      <c r="Z203" s="6">
        <v>1</v>
      </c>
      <c r="AA203" s="6">
        <v>4</v>
      </c>
      <c r="AB203" s="6">
        <v>1</v>
      </c>
      <c r="AC203" s="6"/>
      <c r="AD203" s="6">
        <v>1</v>
      </c>
      <c r="AE203" s="6"/>
      <c r="AF203" s="6"/>
      <c r="AG203" s="6">
        <v>1</v>
      </c>
      <c r="AH203" s="6">
        <v>3</v>
      </c>
      <c r="AI203" s="6">
        <v>2</v>
      </c>
      <c r="AJ203" s="6">
        <v>1</v>
      </c>
      <c r="AK203" s="6"/>
      <c r="AL203" s="6"/>
      <c r="AM203" s="6"/>
      <c r="AN203" s="6"/>
      <c r="AO203" s="6"/>
      <c r="AP203" s="5">
        <f t="shared" si="456"/>
        <v>120</v>
      </c>
      <c r="AQ203" s="20"/>
      <c r="AR203" s="20"/>
    </row>
    <row r="204" spans="1:44" x14ac:dyDescent="0.4">
      <c r="A204" s="7"/>
      <c r="B204" s="52"/>
      <c r="C204" s="24" t="s">
        <v>214</v>
      </c>
      <c r="D204" s="50"/>
      <c r="E204" s="6"/>
      <c r="F204" s="6">
        <v>1</v>
      </c>
      <c r="G204" s="6"/>
      <c r="H204" s="6"/>
      <c r="I204" s="6">
        <v>1</v>
      </c>
      <c r="J204" s="6"/>
      <c r="K204" s="6"/>
      <c r="L204" s="6"/>
      <c r="M204" s="6"/>
      <c r="N204" s="6"/>
      <c r="O204" s="6"/>
      <c r="P204" s="6">
        <v>1</v>
      </c>
      <c r="Q204" s="6">
        <v>1</v>
      </c>
      <c r="R204" s="6">
        <v>1</v>
      </c>
      <c r="S204" s="6">
        <v>1</v>
      </c>
      <c r="T204" s="6">
        <v>1</v>
      </c>
      <c r="U204" s="6"/>
      <c r="V204" s="6">
        <v>1</v>
      </c>
      <c r="W204" s="6"/>
      <c r="X204" s="6"/>
      <c r="Y204" s="6"/>
      <c r="Z204" s="6"/>
      <c r="AA204" s="6">
        <v>1</v>
      </c>
      <c r="AB204" s="6"/>
      <c r="AC204" s="6"/>
      <c r="AD204" s="6"/>
      <c r="AE204" s="6"/>
      <c r="AF204" s="6"/>
      <c r="AG204" s="6"/>
      <c r="AH204" s="6"/>
      <c r="AI204" s="6"/>
      <c r="AJ204" s="6">
        <v>1</v>
      </c>
      <c r="AK204" s="6">
        <v>1</v>
      </c>
      <c r="AL204" s="6"/>
      <c r="AM204" s="6"/>
      <c r="AN204" s="6"/>
      <c r="AO204" s="6"/>
      <c r="AP204" s="5">
        <f t="shared" si="456"/>
        <v>11</v>
      </c>
      <c r="AQ204" s="20"/>
      <c r="AR204" s="20"/>
    </row>
    <row r="205" spans="1:44" x14ac:dyDescent="0.4">
      <c r="A205" s="7"/>
      <c r="B205" s="52"/>
      <c r="C205" s="24" t="s">
        <v>215</v>
      </c>
      <c r="D205" s="50"/>
      <c r="E205" s="6">
        <v>2</v>
      </c>
      <c r="F205" s="6">
        <v>1</v>
      </c>
      <c r="G205" s="6"/>
      <c r="H205" s="6"/>
      <c r="I205" s="6">
        <v>1</v>
      </c>
      <c r="J205" s="6"/>
      <c r="K205" s="6">
        <v>1</v>
      </c>
      <c r="L205" s="6"/>
      <c r="M205" s="6"/>
      <c r="N205" s="6"/>
      <c r="O205" s="6"/>
      <c r="P205" s="6"/>
      <c r="Q205" s="6"/>
      <c r="R205" s="6"/>
      <c r="S205" s="6"/>
      <c r="T205" s="6">
        <v>1</v>
      </c>
      <c r="U205" s="6">
        <v>1</v>
      </c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>
        <v>1</v>
      </c>
      <c r="AG205" s="6"/>
      <c r="AH205" s="6"/>
      <c r="AI205" s="6"/>
      <c r="AJ205" s="6">
        <v>1</v>
      </c>
      <c r="AK205" s="6"/>
      <c r="AL205" s="6"/>
      <c r="AM205" s="6"/>
      <c r="AN205" s="6">
        <v>1</v>
      </c>
      <c r="AO205" s="6"/>
      <c r="AP205" s="5">
        <f t="shared" si="456"/>
        <v>10</v>
      </c>
      <c r="AQ205" s="20"/>
      <c r="AR205" s="20"/>
    </row>
    <row r="206" spans="1:44" x14ac:dyDescent="0.4">
      <c r="A206" s="7"/>
      <c r="B206" s="52"/>
      <c r="C206" s="24" t="s">
        <v>216</v>
      </c>
      <c r="D206" s="5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5">
        <f t="shared" si="456"/>
        <v>0</v>
      </c>
      <c r="AQ206" s="20"/>
      <c r="AR206" s="20"/>
    </row>
    <row r="207" spans="1:44" ht="13.15" customHeight="1" x14ac:dyDescent="0.4">
      <c r="A207" s="7"/>
      <c r="B207" s="52"/>
      <c r="C207" s="24" t="s">
        <v>217</v>
      </c>
      <c r="D207" s="50"/>
      <c r="E207" s="6">
        <v>1</v>
      </c>
      <c r="F207" s="6"/>
      <c r="G207" s="6"/>
      <c r="H207" s="6"/>
      <c r="I207" s="6"/>
      <c r="J207" s="6"/>
      <c r="K207" s="6"/>
      <c r="L207" s="6"/>
      <c r="M207" s="6"/>
      <c r="N207" s="6">
        <v>1</v>
      </c>
      <c r="O207" s="6"/>
      <c r="P207" s="6"/>
      <c r="Q207" s="6"/>
      <c r="R207" s="6"/>
      <c r="S207" s="6"/>
      <c r="T207" s="6">
        <v>1</v>
      </c>
      <c r="U207" s="6"/>
      <c r="V207" s="6">
        <v>1</v>
      </c>
      <c r="W207" s="6"/>
      <c r="X207" s="6"/>
      <c r="Y207" s="6"/>
      <c r="Z207" s="6"/>
      <c r="AA207" s="6">
        <v>2</v>
      </c>
      <c r="AB207" s="6"/>
      <c r="AC207" s="6"/>
      <c r="AD207" s="6"/>
      <c r="AE207" s="6"/>
      <c r="AF207" s="6"/>
      <c r="AG207" s="6"/>
      <c r="AH207" s="6"/>
      <c r="AI207" s="6">
        <v>1</v>
      </c>
      <c r="AJ207" s="6"/>
      <c r="AK207" s="6"/>
      <c r="AL207" s="6"/>
      <c r="AM207" s="6"/>
      <c r="AN207" s="6"/>
      <c r="AO207" s="6"/>
      <c r="AP207" s="5">
        <f t="shared" si="456"/>
        <v>7</v>
      </c>
      <c r="AQ207" s="1"/>
      <c r="AR207" s="1"/>
    </row>
    <row r="208" spans="1:44" x14ac:dyDescent="0.4">
      <c r="A208" s="7"/>
      <c r="B208" s="52"/>
      <c r="C208" s="24" t="s">
        <v>218</v>
      </c>
      <c r="D208" s="50"/>
      <c r="E208" s="6"/>
      <c r="F208" s="6"/>
      <c r="G208" s="6"/>
      <c r="H208" s="6">
        <v>2</v>
      </c>
      <c r="I208" s="6"/>
      <c r="J208" s="6"/>
      <c r="K208" s="6"/>
      <c r="L208" s="6"/>
      <c r="M208" s="6">
        <v>1</v>
      </c>
      <c r="N208" s="6"/>
      <c r="O208" s="6"/>
      <c r="P208" s="6"/>
      <c r="Q208" s="6"/>
      <c r="R208" s="6">
        <v>1</v>
      </c>
      <c r="S208" s="6"/>
      <c r="T208" s="6">
        <v>1</v>
      </c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>
        <v>1</v>
      </c>
      <c r="AL208" s="6"/>
      <c r="AM208" s="6"/>
      <c r="AN208" s="6"/>
      <c r="AO208" s="6"/>
      <c r="AP208" s="5">
        <f t="shared" si="456"/>
        <v>6</v>
      </c>
      <c r="AQ208" s="27"/>
      <c r="AR208" s="27"/>
    </row>
    <row r="209" spans="1:44" x14ac:dyDescent="0.4">
      <c r="A209" s="7"/>
      <c r="B209" s="52"/>
      <c r="C209" s="24" t="s">
        <v>219</v>
      </c>
      <c r="D209" s="5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5">
        <f t="shared" si="456"/>
        <v>0</v>
      </c>
      <c r="AQ209" s="27"/>
      <c r="AR209" s="27"/>
    </row>
    <row r="210" spans="1:44" x14ac:dyDescent="0.4">
      <c r="A210" s="7"/>
      <c r="B210" s="52"/>
      <c r="C210" s="24" t="s">
        <v>220</v>
      </c>
      <c r="D210" s="50"/>
      <c r="E210" s="6"/>
      <c r="F210" s="6"/>
      <c r="G210" s="6"/>
      <c r="H210" s="6">
        <v>1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>
        <v>1</v>
      </c>
      <c r="AK210" s="6"/>
      <c r="AL210" s="6"/>
      <c r="AM210" s="6"/>
      <c r="AN210" s="6"/>
      <c r="AO210" s="6"/>
      <c r="AP210" s="5">
        <f t="shared" si="456"/>
        <v>2</v>
      </c>
      <c r="AQ210" s="27"/>
      <c r="AR210" s="27"/>
    </row>
    <row r="211" spans="1:44" x14ac:dyDescent="0.4">
      <c r="A211" s="6" t="s">
        <v>26</v>
      </c>
      <c r="B211" s="67" t="s">
        <v>51</v>
      </c>
      <c r="C211" s="68"/>
      <c r="D211" s="69"/>
      <c r="E211" s="5">
        <f t="shared" ref="E211" si="457">SUM(E201:E210)</f>
        <v>44</v>
      </c>
      <c r="F211" s="5">
        <f t="shared" ref="F211" si="458">SUM(F201:F210)</f>
        <v>18</v>
      </c>
      <c r="G211" s="5">
        <f t="shared" ref="G211" si="459">SUM(G201:G210)</f>
        <v>15</v>
      </c>
      <c r="H211" s="5">
        <f t="shared" ref="H211" si="460">SUM(H201:H210)</f>
        <v>16</v>
      </c>
      <c r="I211" s="5">
        <f t="shared" ref="I211" si="461">SUM(I201:I210)</f>
        <v>20</v>
      </c>
      <c r="J211" s="5">
        <f t="shared" ref="J211" si="462">SUM(J201:J210)</f>
        <v>3</v>
      </c>
      <c r="K211" s="5">
        <f t="shared" ref="K211" si="463">SUM(K201:K210)</f>
        <v>15</v>
      </c>
      <c r="L211" s="5">
        <f t="shared" ref="L211" si="464">SUM(L201:L210)</f>
        <v>8</v>
      </c>
      <c r="M211" s="5">
        <f t="shared" ref="M211" si="465">SUM(M201:M210)</f>
        <v>30</v>
      </c>
      <c r="N211" s="5">
        <f t="shared" ref="N211" si="466">SUM(N201:N210)</f>
        <v>12</v>
      </c>
      <c r="O211" s="5">
        <f t="shared" ref="O211" si="467">SUM(O201:O210)</f>
        <v>13</v>
      </c>
      <c r="P211" s="5">
        <f t="shared" ref="P211" si="468">SUM(P201:P210)</f>
        <v>19</v>
      </c>
      <c r="Q211" s="5">
        <f t="shared" ref="Q211" si="469">SUM(Q201:Q210)</f>
        <v>31</v>
      </c>
      <c r="R211" s="5">
        <f t="shared" ref="R211" si="470">SUM(R201:R210)</f>
        <v>74</v>
      </c>
      <c r="S211" s="5">
        <f t="shared" ref="S211" si="471">SUM(S201:S210)</f>
        <v>17</v>
      </c>
      <c r="T211" s="5">
        <f t="shared" ref="T211" si="472">SUM(T201:T210)</f>
        <v>22</v>
      </c>
      <c r="U211" s="5">
        <f t="shared" ref="U211" si="473">SUM(U201:U210)</f>
        <v>6</v>
      </c>
      <c r="V211" s="5">
        <f t="shared" ref="V211" si="474">SUM(V201:V210)</f>
        <v>33</v>
      </c>
      <c r="W211" s="5">
        <f t="shared" ref="W211" si="475">SUM(W201:W210)</f>
        <v>8</v>
      </c>
      <c r="X211" s="5">
        <f t="shared" ref="X211" si="476">SUM(X201:X210)</f>
        <v>14</v>
      </c>
      <c r="Y211" s="5">
        <f t="shared" ref="Y211" si="477">SUM(Y201:Y210)</f>
        <v>17</v>
      </c>
      <c r="Z211" s="5">
        <f t="shared" ref="Z211" si="478">SUM(Z201:Z210)</f>
        <v>7</v>
      </c>
      <c r="AA211" s="5">
        <f t="shared" ref="AA211" si="479">SUM(AA201:AA210)</f>
        <v>18</v>
      </c>
      <c r="AB211" s="5">
        <f t="shared" ref="AB211" si="480">SUM(AB201:AB210)</f>
        <v>15</v>
      </c>
      <c r="AC211" s="5">
        <f t="shared" ref="AC211" si="481">SUM(AC201:AC210)</f>
        <v>7</v>
      </c>
      <c r="AD211" s="5">
        <f t="shared" ref="AD211" si="482">SUM(AD201:AD210)</f>
        <v>3</v>
      </c>
      <c r="AE211" s="5">
        <f t="shared" ref="AE211" si="483">SUM(AE201:AE210)</f>
        <v>3</v>
      </c>
      <c r="AF211" s="5">
        <f t="shared" ref="AF211" si="484">SUM(AF201:AF210)</f>
        <v>4</v>
      </c>
      <c r="AG211" s="5">
        <f t="shared" ref="AG211" si="485">SUM(AG201:AG210)</f>
        <v>3</v>
      </c>
      <c r="AH211" s="5">
        <f t="shared" ref="AH211" si="486">SUM(AH201:AH210)</f>
        <v>9</v>
      </c>
      <c r="AI211" s="5">
        <f t="shared" ref="AI211" si="487">SUM(AI201:AI210)</f>
        <v>22</v>
      </c>
      <c r="AJ211" s="5">
        <f t="shared" ref="AJ211" si="488">SUM(AJ201:AJ210)</f>
        <v>15</v>
      </c>
      <c r="AK211" s="5">
        <f t="shared" ref="AK211" si="489">SUM(AK201:AK210)</f>
        <v>5</v>
      </c>
      <c r="AL211" s="5">
        <f t="shared" ref="AL211" si="490">SUM(AL201:AL210)</f>
        <v>3</v>
      </c>
      <c r="AM211" s="5">
        <f t="shared" ref="AM211" si="491">SUM(AM201:AM210)</f>
        <v>0</v>
      </c>
      <c r="AN211" s="5">
        <f t="shared" ref="AN211" si="492">SUM(AN201:AN210)</f>
        <v>3</v>
      </c>
      <c r="AO211" s="5">
        <f t="shared" ref="AO211" si="493">SUM(AO201:AO210)</f>
        <v>0</v>
      </c>
      <c r="AP211" s="5">
        <f t="shared" si="456"/>
        <v>552</v>
      </c>
      <c r="AQ211" s="20"/>
      <c r="AR211" s="20"/>
    </row>
    <row r="212" spans="1:44" x14ac:dyDescent="0.4">
      <c r="A212" s="70"/>
      <c r="B212" s="71"/>
      <c r="C212" s="71"/>
      <c r="D212" s="71"/>
      <c r="E212" s="7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20"/>
      <c r="AR212" s="20"/>
    </row>
    <row r="213" spans="1:44" x14ac:dyDescent="0.4">
      <c r="A213" s="11" t="s">
        <v>48</v>
      </c>
      <c r="B213" s="17" t="s">
        <v>75</v>
      </c>
      <c r="C213" s="73" t="s">
        <v>76</v>
      </c>
      <c r="D213" s="74"/>
      <c r="E213" s="6">
        <v>2</v>
      </c>
      <c r="F213" s="6"/>
      <c r="G213" s="6">
        <v>1</v>
      </c>
      <c r="H213" s="6">
        <v>1</v>
      </c>
      <c r="I213" s="6"/>
      <c r="J213" s="6"/>
      <c r="K213" s="6"/>
      <c r="L213" s="6"/>
      <c r="M213" s="6"/>
      <c r="N213" s="6">
        <v>1</v>
      </c>
      <c r="O213" s="6">
        <v>4</v>
      </c>
      <c r="P213" s="6"/>
      <c r="Q213" s="6">
        <v>5</v>
      </c>
      <c r="R213" s="6">
        <v>4</v>
      </c>
      <c r="S213" s="6"/>
      <c r="T213" s="6">
        <v>4</v>
      </c>
      <c r="U213" s="6">
        <v>4</v>
      </c>
      <c r="V213" s="6">
        <v>2</v>
      </c>
      <c r="W213" s="6">
        <v>3</v>
      </c>
      <c r="X213" s="6">
        <v>1</v>
      </c>
      <c r="Y213" s="6">
        <v>1</v>
      </c>
      <c r="Z213" s="6"/>
      <c r="AA213" s="6">
        <v>2</v>
      </c>
      <c r="AB213" s="6"/>
      <c r="AC213" s="6"/>
      <c r="AD213" s="6"/>
      <c r="AE213" s="6"/>
      <c r="AF213" s="6"/>
      <c r="AG213" s="6">
        <v>3</v>
      </c>
      <c r="AH213" s="6"/>
      <c r="AI213" s="6">
        <v>1</v>
      </c>
      <c r="AJ213" s="6"/>
      <c r="AK213" s="6"/>
      <c r="AL213" s="6"/>
      <c r="AM213" s="6"/>
      <c r="AN213" s="6"/>
      <c r="AO213" s="6"/>
      <c r="AP213" s="5">
        <f>SUM(E213:AO213)</f>
        <v>39</v>
      </c>
      <c r="AQ213" s="20"/>
      <c r="AR213" s="20"/>
    </row>
    <row r="214" spans="1:44" x14ac:dyDescent="0.4">
      <c r="A214" s="11" t="s">
        <v>50</v>
      </c>
      <c r="B214" s="52"/>
      <c r="C214" s="24" t="s">
        <v>221</v>
      </c>
      <c r="D214" s="53"/>
      <c r="E214" s="6">
        <v>1</v>
      </c>
      <c r="F214" s="6"/>
      <c r="G214" s="6"/>
      <c r="H214" s="6">
        <v>1</v>
      </c>
      <c r="I214" s="6">
        <v>1</v>
      </c>
      <c r="J214" s="6"/>
      <c r="K214" s="6">
        <v>1</v>
      </c>
      <c r="L214" s="6">
        <v>1</v>
      </c>
      <c r="M214" s="6">
        <v>1</v>
      </c>
      <c r="N214" s="6"/>
      <c r="O214" s="6">
        <v>2</v>
      </c>
      <c r="P214" s="6">
        <v>1</v>
      </c>
      <c r="Q214" s="6">
        <v>3</v>
      </c>
      <c r="R214" s="6"/>
      <c r="S214" s="6">
        <v>3</v>
      </c>
      <c r="T214" s="6">
        <v>1</v>
      </c>
      <c r="U214" s="6">
        <v>1</v>
      </c>
      <c r="V214" s="6">
        <v>3</v>
      </c>
      <c r="W214" s="6"/>
      <c r="X214" s="6">
        <v>1</v>
      </c>
      <c r="Y214" s="6">
        <v>1</v>
      </c>
      <c r="Z214" s="6"/>
      <c r="AA214" s="6">
        <v>1</v>
      </c>
      <c r="AB214" s="6">
        <v>1</v>
      </c>
      <c r="AC214" s="6">
        <v>1</v>
      </c>
      <c r="AD214" s="6"/>
      <c r="AE214" s="6">
        <v>1</v>
      </c>
      <c r="AF214" s="6"/>
      <c r="AG214" s="6">
        <v>2</v>
      </c>
      <c r="AH214" s="6">
        <v>1</v>
      </c>
      <c r="AI214" s="6"/>
      <c r="AJ214" s="6"/>
      <c r="AK214" s="6">
        <v>1</v>
      </c>
      <c r="AL214" s="6">
        <v>1</v>
      </c>
      <c r="AM214" s="6"/>
      <c r="AN214" s="6">
        <v>3</v>
      </c>
      <c r="AO214" s="6"/>
      <c r="AP214" s="5">
        <f>SUM(E214:AO214)</f>
        <v>34</v>
      </c>
      <c r="AQ214" s="20"/>
      <c r="AR214" s="20"/>
    </row>
    <row r="215" spans="1:44" x14ac:dyDescent="0.4">
      <c r="A215" s="7"/>
      <c r="B215" s="52"/>
      <c r="C215" s="24" t="s">
        <v>222</v>
      </c>
      <c r="D215" s="53"/>
      <c r="E215" s="6"/>
      <c r="F215" s="6"/>
      <c r="G215" s="6"/>
      <c r="H215" s="6"/>
      <c r="I215" s="6"/>
      <c r="J215" s="6"/>
      <c r="K215" s="6"/>
      <c r="L215" s="6"/>
      <c r="M215" s="6">
        <v>2</v>
      </c>
      <c r="N215" s="6"/>
      <c r="O215" s="6">
        <v>2</v>
      </c>
      <c r="P215" s="6"/>
      <c r="Q215" s="6">
        <v>4</v>
      </c>
      <c r="R215" s="6">
        <v>1</v>
      </c>
      <c r="S215" s="6">
        <v>1</v>
      </c>
      <c r="T215" s="6">
        <v>3</v>
      </c>
      <c r="U215" s="6"/>
      <c r="V215" s="6"/>
      <c r="W215" s="6"/>
      <c r="X215" s="6">
        <v>2</v>
      </c>
      <c r="Y215" s="6"/>
      <c r="Z215" s="6">
        <v>1</v>
      </c>
      <c r="AA215" s="6">
        <v>1</v>
      </c>
      <c r="AB215" s="6">
        <v>1</v>
      </c>
      <c r="AC215" s="6"/>
      <c r="AD215" s="6">
        <v>1</v>
      </c>
      <c r="AE215" s="6"/>
      <c r="AF215" s="6">
        <v>2</v>
      </c>
      <c r="AG215" s="6">
        <v>1</v>
      </c>
      <c r="AH215" s="6"/>
      <c r="AI215" s="6">
        <v>1</v>
      </c>
      <c r="AJ215" s="6"/>
      <c r="AK215" s="6">
        <v>1</v>
      </c>
      <c r="AL215" s="6"/>
      <c r="AM215" s="6"/>
      <c r="AN215" s="6">
        <v>1</v>
      </c>
      <c r="AO215" s="6"/>
      <c r="AP215" s="5">
        <f>SUM(E215:AO215)</f>
        <v>25</v>
      </c>
      <c r="AQ215" s="20"/>
      <c r="AR215" s="20"/>
    </row>
    <row r="216" spans="1:44" x14ac:dyDescent="0.4">
      <c r="A216" s="7"/>
      <c r="B216" s="52"/>
      <c r="C216" s="24" t="s">
        <v>223</v>
      </c>
      <c r="E216" s="6"/>
      <c r="F216" s="6"/>
      <c r="G216" s="6"/>
      <c r="H216" s="6"/>
      <c r="I216" s="6"/>
      <c r="J216" s="6"/>
      <c r="K216" s="6"/>
      <c r="L216" s="6"/>
      <c r="M216" s="6">
        <v>1</v>
      </c>
      <c r="N216" s="6"/>
      <c r="O216" s="6">
        <v>1</v>
      </c>
      <c r="P216" s="6"/>
      <c r="Q216" s="6"/>
      <c r="R216" s="6">
        <v>1</v>
      </c>
      <c r="S216" s="6"/>
      <c r="T216" s="6">
        <v>1</v>
      </c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>
        <v>1</v>
      </c>
      <c r="AL216" s="6"/>
      <c r="AM216" s="6"/>
      <c r="AN216" s="6"/>
      <c r="AO216" s="6"/>
      <c r="AP216" s="5">
        <f>SUM(E216:AO216)</f>
        <v>5</v>
      </c>
      <c r="AQ216" s="20"/>
      <c r="AR216" s="20"/>
    </row>
    <row r="217" spans="1:44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49"/>
      <c r="AQ217" s="20"/>
      <c r="AR217" s="20"/>
    </row>
    <row r="218" spans="1:44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49"/>
      <c r="AQ218" s="1"/>
      <c r="AR218" s="1"/>
    </row>
    <row r="219" spans="1:44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49"/>
      <c r="AQ219" s="27"/>
      <c r="AR219" s="27"/>
    </row>
    <row r="220" spans="1:44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49"/>
      <c r="AQ220" s="20"/>
      <c r="AR220" s="20"/>
    </row>
    <row r="221" spans="1:44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49"/>
      <c r="AQ221" s="20"/>
      <c r="AR221" s="20"/>
    </row>
    <row r="222" spans="1:44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49"/>
      <c r="AQ222" s="20"/>
      <c r="AR222" s="20"/>
    </row>
    <row r="223" spans="1:44" x14ac:dyDescent="0.4">
      <c r="A223" s="6" t="s">
        <v>26</v>
      </c>
      <c r="B223" s="67" t="s">
        <v>51</v>
      </c>
      <c r="C223" s="68"/>
      <c r="D223" s="69"/>
      <c r="E223" s="5">
        <f t="shared" ref="E223" si="494">SUM(E213:E222)</f>
        <v>3</v>
      </c>
      <c r="F223" s="5">
        <f t="shared" ref="F223" si="495">SUM(F213:F222)</f>
        <v>0</v>
      </c>
      <c r="G223" s="5">
        <f t="shared" ref="G223" si="496">SUM(G213:G222)</f>
        <v>1</v>
      </c>
      <c r="H223" s="5">
        <f t="shared" ref="H223" si="497">SUM(H213:H222)</f>
        <v>2</v>
      </c>
      <c r="I223" s="5">
        <f t="shared" ref="I223" si="498">SUM(I213:I222)</f>
        <v>1</v>
      </c>
      <c r="J223" s="5">
        <f t="shared" ref="J223" si="499">SUM(J213:J222)</f>
        <v>0</v>
      </c>
      <c r="K223" s="5">
        <f t="shared" ref="K223" si="500">SUM(K213:K222)</f>
        <v>1</v>
      </c>
      <c r="L223" s="5">
        <f t="shared" ref="L223" si="501">SUM(L213:L222)</f>
        <v>1</v>
      </c>
      <c r="M223" s="5">
        <f t="shared" ref="M223" si="502">SUM(M213:M222)</f>
        <v>4</v>
      </c>
      <c r="N223" s="5">
        <f t="shared" ref="N223" si="503">SUM(N213:N222)</f>
        <v>1</v>
      </c>
      <c r="O223" s="5">
        <f t="shared" ref="O223" si="504">SUM(O213:O222)</f>
        <v>9</v>
      </c>
      <c r="P223" s="5">
        <f t="shared" ref="P223" si="505">SUM(P213:P222)</f>
        <v>1</v>
      </c>
      <c r="Q223" s="5">
        <f t="shared" ref="Q223" si="506">SUM(Q213:Q222)</f>
        <v>12</v>
      </c>
      <c r="R223" s="5">
        <f t="shared" ref="R223" si="507">SUM(R213:R222)</f>
        <v>6</v>
      </c>
      <c r="S223" s="5">
        <f t="shared" ref="S223" si="508">SUM(S213:S222)</f>
        <v>4</v>
      </c>
      <c r="T223" s="5">
        <f t="shared" ref="T223" si="509">SUM(T213:T222)</f>
        <v>9</v>
      </c>
      <c r="U223" s="5">
        <f t="shared" ref="U223" si="510">SUM(U213:U222)</f>
        <v>5</v>
      </c>
      <c r="V223" s="5">
        <f t="shared" ref="V223" si="511">SUM(V213:V222)</f>
        <v>5</v>
      </c>
      <c r="W223" s="5">
        <f t="shared" ref="W223" si="512">SUM(W213:W222)</f>
        <v>3</v>
      </c>
      <c r="X223" s="5">
        <f t="shared" ref="X223" si="513">SUM(X213:X222)</f>
        <v>4</v>
      </c>
      <c r="Y223" s="5">
        <f t="shared" ref="Y223" si="514">SUM(Y213:Y222)</f>
        <v>2</v>
      </c>
      <c r="Z223" s="5">
        <f t="shared" ref="Z223" si="515">SUM(Z213:Z222)</f>
        <v>1</v>
      </c>
      <c r="AA223" s="5">
        <f t="shared" ref="AA223" si="516">SUM(AA213:AA222)</f>
        <v>4</v>
      </c>
      <c r="AB223" s="5">
        <f t="shared" ref="AB223" si="517">SUM(AB213:AB222)</f>
        <v>2</v>
      </c>
      <c r="AC223" s="5">
        <f t="shared" ref="AC223" si="518">SUM(AC213:AC222)</f>
        <v>1</v>
      </c>
      <c r="AD223" s="5">
        <f t="shared" ref="AD223" si="519">SUM(AD213:AD222)</f>
        <v>1</v>
      </c>
      <c r="AE223" s="5">
        <f t="shared" ref="AE223" si="520">SUM(AE213:AE222)</f>
        <v>1</v>
      </c>
      <c r="AF223" s="5">
        <f t="shared" ref="AF223" si="521">SUM(AF213:AF222)</f>
        <v>2</v>
      </c>
      <c r="AG223" s="5">
        <f t="shared" ref="AG223" si="522">SUM(AG213:AG222)</f>
        <v>6</v>
      </c>
      <c r="AH223" s="5">
        <f t="shared" ref="AH223" si="523">SUM(AH213:AH222)</f>
        <v>1</v>
      </c>
      <c r="AI223" s="5">
        <f t="shared" ref="AI223" si="524">SUM(AI213:AI222)</f>
        <v>2</v>
      </c>
      <c r="AJ223" s="5">
        <f t="shared" ref="AJ223" si="525">SUM(AJ213:AJ222)</f>
        <v>0</v>
      </c>
      <c r="AK223" s="5">
        <f t="shared" ref="AK223" si="526">SUM(AK213:AK222)</f>
        <v>3</v>
      </c>
      <c r="AL223" s="5">
        <f t="shared" ref="AL223" si="527">SUM(AL213:AL222)</f>
        <v>1</v>
      </c>
      <c r="AM223" s="5">
        <f t="shared" ref="AM223" si="528">SUM(AM213:AM222)</f>
        <v>0</v>
      </c>
      <c r="AN223" s="5">
        <f t="shared" ref="AN223" si="529">SUM(AN213:AN222)</f>
        <v>4</v>
      </c>
      <c r="AO223" s="5">
        <f t="shared" ref="AO223" si="530">SUM(AO213:AO222)</f>
        <v>0</v>
      </c>
      <c r="AP223" s="5">
        <f>SUM(E223:AO223)</f>
        <v>103</v>
      </c>
      <c r="AQ223" s="20"/>
      <c r="AR223" s="20"/>
    </row>
    <row r="224" spans="1:44" x14ac:dyDescent="0.4">
      <c r="A224" s="70"/>
      <c r="B224" s="71"/>
      <c r="C224" s="71"/>
      <c r="D224" s="71"/>
      <c r="E224" s="7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20"/>
      <c r="AR224" s="20"/>
    </row>
    <row r="225" spans="1:44" x14ac:dyDescent="0.4">
      <c r="A225" s="11" t="s">
        <v>48</v>
      </c>
      <c r="B225" s="17" t="s">
        <v>77</v>
      </c>
      <c r="C225" s="73" t="s">
        <v>78</v>
      </c>
      <c r="D225" s="74"/>
      <c r="E225" s="6"/>
      <c r="F225" s="6"/>
      <c r="G225" s="6"/>
      <c r="H225" s="6"/>
      <c r="I225" s="6"/>
      <c r="J225" s="6"/>
      <c r="K225" s="6"/>
      <c r="L225" s="6">
        <v>1</v>
      </c>
      <c r="M225" s="6"/>
      <c r="N225" s="6"/>
      <c r="O225" s="6"/>
      <c r="P225" s="6">
        <v>1</v>
      </c>
      <c r="Q225" s="6">
        <v>3</v>
      </c>
      <c r="R225" s="6">
        <v>3</v>
      </c>
      <c r="S225" s="6">
        <v>8</v>
      </c>
      <c r="T225" s="6"/>
      <c r="U225" s="6"/>
      <c r="V225" s="6"/>
      <c r="W225" s="6"/>
      <c r="X225" s="6"/>
      <c r="Y225" s="6"/>
      <c r="Z225" s="6"/>
      <c r="AA225" s="6">
        <v>1</v>
      </c>
      <c r="AB225" s="6">
        <v>2</v>
      </c>
      <c r="AC225" s="6"/>
      <c r="AD225" s="6">
        <v>1</v>
      </c>
      <c r="AE225" s="6"/>
      <c r="AF225" s="6"/>
      <c r="AG225" s="6">
        <v>1</v>
      </c>
      <c r="AH225" s="6"/>
      <c r="AI225" s="6"/>
      <c r="AJ225" s="6"/>
      <c r="AK225" s="6"/>
      <c r="AL225" s="6"/>
      <c r="AM225" s="6"/>
      <c r="AN225" s="6"/>
      <c r="AO225" s="6"/>
      <c r="AP225" s="5">
        <f>SUM(E225:AO225)</f>
        <v>21</v>
      </c>
      <c r="AQ225" s="20"/>
      <c r="AR225" s="20"/>
    </row>
    <row r="226" spans="1:44" x14ac:dyDescent="0.4">
      <c r="A226" s="11" t="s">
        <v>50</v>
      </c>
      <c r="B226" s="52"/>
      <c r="C226" s="24" t="s">
        <v>224</v>
      </c>
      <c r="D226" s="50"/>
      <c r="E226" s="6"/>
      <c r="F226" s="6">
        <v>1</v>
      </c>
      <c r="G226" s="6"/>
      <c r="H226" s="6"/>
      <c r="I226" s="6">
        <v>1</v>
      </c>
      <c r="J226" s="6">
        <v>1</v>
      </c>
      <c r="K226" s="6"/>
      <c r="L226" s="6"/>
      <c r="M226" s="6">
        <v>2</v>
      </c>
      <c r="N226" s="6"/>
      <c r="O226" s="6">
        <v>5</v>
      </c>
      <c r="P226" s="6">
        <v>2</v>
      </c>
      <c r="Q226" s="6">
        <v>3</v>
      </c>
      <c r="R226" s="6">
        <v>15</v>
      </c>
      <c r="S226" s="6">
        <v>26</v>
      </c>
      <c r="T226" s="6">
        <v>6</v>
      </c>
      <c r="U226" s="6">
        <v>1</v>
      </c>
      <c r="V226" s="6"/>
      <c r="W226" s="6">
        <v>4</v>
      </c>
      <c r="X226" s="6">
        <v>1</v>
      </c>
      <c r="Y226" s="6">
        <v>2</v>
      </c>
      <c r="Z226" s="6">
        <v>3</v>
      </c>
      <c r="AA226" s="6">
        <v>6</v>
      </c>
      <c r="AB226" s="6">
        <v>3</v>
      </c>
      <c r="AC226" s="6">
        <v>6</v>
      </c>
      <c r="AD226" s="6">
        <v>1</v>
      </c>
      <c r="AE226" s="6"/>
      <c r="AF226" s="6">
        <v>1</v>
      </c>
      <c r="AG226" s="6"/>
      <c r="AH226" s="6"/>
      <c r="AI226" s="6">
        <v>2</v>
      </c>
      <c r="AJ226" s="6">
        <v>1</v>
      </c>
      <c r="AK226" s="6"/>
      <c r="AL226" s="6"/>
      <c r="AM226" s="6"/>
      <c r="AN226" s="6"/>
      <c r="AO226" s="6"/>
      <c r="AP226" s="5">
        <f>SUM(E226:AO226)</f>
        <v>93</v>
      </c>
      <c r="AQ226" s="20"/>
      <c r="AR226" s="20"/>
    </row>
    <row r="227" spans="1:44" x14ac:dyDescent="0.4">
      <c r="A227" s="7"/>
      <c r="B227" s="52"/>
      <c r="C227" s="24" t="s">
        <v>225</v>
      </c>
      <c r="D227" s="50"/>
      <c r="E227" s="6"/>
      <c r="F227" s="6"/>
      <c r="G227" s="6"/>
      <c r="H227" s="6"/>
      <c r="I227" s="6"/>
      <c r="J227" s="6"/>
      <c r="K227" s="6"/>
      <c r="L227" s="6"/>
      <c r="M227" s="6"/>
      <c r="N227" s="6">
        <v>1</v>
      </c>
      <c r="O227" s="6">
        <v>1</v>
      </c>
      <c r="P227" s="6"/>
      <c r="Q227" s="6">
        <v>2</v>
      </c>
      <c r="R227" s="6"/>
      <c r="S227" s="6">
        <v>1</v>
      </c>
      <c r="T227" s="6">
        <v>1</v>
      </c>
      <c r="U227" s="6"/>
      <c r="V227" s="6"/>
      <c r="W227" s="6"/>
      <c r="X227" s="6"/>
      <c r="Y227" s="6"/>
      <c r="Z227" s="6"/>
      <c r="AA227" s="6">
        <v>1</v>
      </c>
      <c r="AB227" s="6"/>
      <c r="AC227" s="6">
        <v>1</v>
      </c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5">
        <f>SUM(E227:AO227)</f>
        <v>8</v>
      </c>
      <c r="AQ227" s="20"/>
      <c r="AR227" s="20"/>
    </row>
    <row r="228" spans="1:44" x14ac:dyDescent="0.4">
      <c r="A228" s="7"/>
      <c r="B228" s="52"/>
      <c r="C228" s="24" t="s">
        <v>226</v>
      </c>
      <c r="D228" s="50"/>
      <c r="E228" s="6">
        <v>1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>
        <v>1</v>
      </c>
      <c r="R228" s="6"/>
      <c r="S228" s="6">
        <v>2</v>
      </c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5">
        <f>SUM(E228:AO228)</f>
        <v>4</v>
      </c>
      <c r="AQ228" s="20"/>
      <c r="AR228" s="20"/>
    </row>
    <row r="229" spans="1:44" ht="13.15" customHeight="1" x14ac:dyDescent="0.4">
      <c r="A229" s="7"/>
      <c r="B229" s="52"/>
      <c r="C229" s="24" t="s">
        <v>227</v>
      </c>
      <c r="D229" s="50"/>
      <c r="E229" s="6"/>
      <c r="F229" s="6"/>
      <c r="G229" s="6"/>
      <c r="H229" s="6"/>
      <c r="I229" s="6"/>
      <c r="J229" s="6"/>
      <c r="K229" s="6"/>
      <c r="L229" s="6"/>
      <c r="M229" s="6">
        <v>1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5">
        <f>SUM(E229:AO229)</f>
        <v>1</v>
      </c>
      <c r="AQ229" s="1"/>
      <c r="AR229" s="1"/>
    </row>
    <row r="230" spans="1:44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49"/>
      <c r="AQ230" s="27"/>
      <c r="AR230" s="27"/>
    </row>
    <row r="231" spans="1:44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49"/>
      <c r="AQ231" s="20"/>
      <c r="AR231" s="20"/>
    </row>
    <row r="232" spans="1:44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49"/>
      <c r="AQ232" s="20"/>
      <c r="AR232" s="20"/>
    </row>
    <row r="233" spans="1:44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49"/>
      <c r="AQ233" s="20"/>
      <c r="AR233" s="20"/>
    </row>
    <row r="234" spans="1:44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49"/>
      <c r="AQ234" s="20"/>
      <c r="AR234" s="20"/>
    </row>
    <row r="235" spans="1:44" x14ac:dyDescent="0.4">
      <c r="A235" s="6" t="s">
        <v>26</v>
      </c>
      <c r="B235" s="67" t="s">
        <v>51</v>
      </c>
      <c r="C235" s="68"/>
      <c r="D235" s="69"/>
      <c r="E235" s="5">
        <f t="shared" ref="E235" si="531">SUM(E225:E234)</f>
        <v>1</v>
      </c>
      <c r="F235" s="5">
        <f t="shared" ref="F235" si="532">SUM(F225:F234)</f>
        <v>1</v>
      </c>
      <c r="G235" s="5">
        <f t="shared" ref="G235" si="533">SUM(G225:G234)</f>
        <v>0</v>
      </c>
      <c r="H235" s="5">
        <f t="shared" ref="H235" si="534">SUM(H225:H234)</f>
        <v>0</v>
      </c>
      <c r="I235" s="5">
        <f t="shared" ref="I235" si="535">SUM(I225:I234)</f>
        <v>1</v>
      </c>
      <c r="J235" s="5">
        <f t="shared" ref="J235" si="536">SUM(J225:J234)</f>
        <v>1</v>
      </c>
      <c r="K235" s="5">
        <f t="shared" ref="K235" si="537">SUM(K225:K234)</f>
        <v>0</v>
      </c>
      <c r="L235" s="5">
        <f t="shared" ref="L235" si="538">SUM(L225:L234)</f>
        <v>1</v>
      </c>
      <c r="M235" s="5">
        <f t="shared" ref="M235" si="539">SUM(M225:M234)</f>
        <v>3</v>
      </c>
      <c r="N235" s="5">
        <f t="shared" ref="N235" si="540">SUM(N225:N234)</f>
        <v>1</v>
      </c>
      <c r="O235" s="5">
        <f t="shared" ref="O235" si="541">SUM(O225:O234)</f>
        <v>6</v>
      </c>
      <c r="P235" s="5">
        <f t="shared" ref="P235" si="542">SUM(P225:P234)</f>
        <v>3</v>
      </c>
      <c r="Q235" s="5">
        <f t="shared" ref="Q235" si="543">SUM(Q225:Q234)</f>
        <v>9</v>
      </c>
      <c r="R235" s="5">
        <f t="shared" ref="R235" si="544">SUM(R225:R234)</f>
        <v>18</v>
      </c>
      <c r="S235" s="5">
        <f t="shared" ref="S235" si="545">SUM(S225:S234)</f>
        <v>37</v>
      </c>
      <c r="T235" s="5">
        <f t="shared" ref="T235" si="546">SUM(T225:T234)</f>
        <v>7</v>
      </c>
      <c r="U235" s="5">
        <f t="shared" ref="U235" si="547">SUM(U225:U234)</f>
        <v>1</v>
      </c>
      <c r="V235" s="5">
        <f t="shared" ref="V235" si="548">SUM(V225:V234)</f>
        <v>0</v>
      </c>
      <c r="W235" s="5">
        <f t="shared" ref="W235" si="549">SUM(W225:W234)</f>
        <v>4</v>
      </c>
      <c r="X235" s="5">
        <f t="shared" ref="X235" si="550">SUM(X225:X234)</f>
        <v>1</v>
      </c>
      <c r="Y235" s="5">
        <f t="shared" ref="Y235" si="551">SUM(Y225:Y234)</f>
        <v>2</v>
      </c>
      <c r="Z235" s="5">
        <f t="shared" ref="Z235" si="552">SUM(Z225:Z234)</f>
        <v>3</v>
      </c>
      <c r="AA235" s="5">
        <f t="shared" ref="AA235" si="553">SUM(AA225:AA234)</f>
        <v>8</v>
      </c>
      <c r="AB235" s="5">
        <f t="shared" ref="AB235" si="554">SUM(AB225:AB234)</f>
        <v>5</v>
      </c>
      <c r="AC235" s="5">
        <f t="shared" ref="AC235" si="555">SUM(AC225:AC234)</f>
        <v>7</v>
      </c>
      <c r="AD235" s="5">
        <f t="shared" ref="AD235" si="556">SUM(AD225:AD234)</f>
        <v>2</v>
      </c>
      <c r="AE235" s="5">
        <f t="shared" ref="AE235" si="557">SUM(AE225:AE234)</f>
        <v>0</v>
      </c>
      <c r="AF235" s="5">
        <f t="shared" ref="AF235" si="558">SUM(AF225:AF234)</f>
        <v>1</v>
      </c>
      <c r="AG235" s="5">
        <f t="shared" ref="AG235" si="559">SUM(AG225:AG234)</f>
        <v>1</v>
      </c>
      <c r="AH235" s="5">
        <f t="shared" ref="AH235" si="560">SUM(AH225:AH234)</f>
        <v>0</v>
      </c>
      <c r="AI235" s="5">
        <f t="shared" ref="AI235" si="561">SUM(AI225:AI234)</f>
        <v>2</v>
      </c>
      <c r="AJ235" s="5">
        <f t="shared" ref="AJ235" si="562">SUM(AJ225:AJ234)</f>
        <v>1</v>
      </c>
      <c r="AK235" s="5">
        <f t="shared" ref="AK235" si="563">SUM(AK225:AK234)</f>
        <v>0</v>
      </c>
      <c r="AL235" s="5">
        <f t="shared" ref="AL235" si="564">SUM(AL225:AL234)</f>
        <v>0</v>
      </c>
      <c r="AM235" s="5">
        <f t="shared" ref="AM235" si="565">SUM(AM225:AM234)</f>
        <v>0</v>
      </c>
      <c r="AN235" s="5">
        <f t="shared" ref="AN235" si="566">SUM(AN225:AN234)</f>
        <v>0</v>
      </c>
      <c r="AO235" s="5">
        <f t="shared" ref="AO235" si="567">SUM(AO225:AO234)</f>
        <v>0</v>
      </c>
      <c r="AP235" s="5">
        <f>SUM(E235:AO235)</f>
        <v>127</v>
      </c>
      <c r="AQ235" s="20"/>
      <c r="AR235" s="20"/>
    </row>
    <row r="236" spans="1:44" x14ac:dyDescent="0.4">
      <c r="A236" s="70"/>
      <c r="B236" s="71"/>
      <c r="C236" s="71"/>
      <c r="D236" s="71"/>
      <c r="E236" s="7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20"/>
      <c r="AR236" s="20"/>
    </row>
    <row r="237" spans="1:44" x14ac:dyDescent="0.4">
      <c r="A237" s="11" t="s">
        <v>48</v>
      </c>
      <c r="B237" s="17" t="s">
        <v>79</v>
      </c>
      <c r="C237" s="73" t="s">
        <v>80</v>
      </c>
      <c r="D237" s="74"/>
      <c r="E237" s="6">
        <v>2</v>
      </c>
      <c r="F237" s="6"/>
      <c r="G237" s="6">
        <v>3</v>
      </c>
      <c r="H237" s="6">
        <v>1</v>
      </c>
      <c r="I237" s="6">
        <v>2</v>
      </c>
      <c r="J237" s="6">
        <v>7</v>
      </c>
      <c r="K237" s="6">
        <v>8</v>
      </c>
      <c r="L237" s="6">
        <v>3</v>
      </c>
      <c r="M237" s="6">
        <v>17</v>
      </c>
      <c r="N237" s="6">
        <v>5</v>
      </c>
      <c r="O237" s="6"/>
      <c r="P237" s="6">
        <v>4</v>
      </c>
      <c r="Q237" s="6">
        <v>2</v>
      </c>
      <c r="R237" s="6"/>
      <c r="S237" s="6">
        <v>2</v>
      </c>
      <c r="T237" s="6">
        <v>2</v>
      </c>
      <c r="U237" s="6"/>
      <c r="V237" s="6"/>
      <c r="W237" s="6"/>
      <c r="X237" s="6">
        <v>4</v>
      </c>
      <c r="Y237" s="6">
        <v>5</v>
      </c>
      <c r="Z237" s="6">
        <v>1</v>
      </c>
      <c r="AA237" s="6">
        <v>2</v>
      </c>
      <c r="AB237" s="6"/>
      <c r="AC237" s="6">
        <v>2</v>
      </c>
      <c r="AD237" s="6"/>
      <c r="AE237" s="6"/>
      <c r="AF237" s="6"/>
      <c r="AG237" s="6">
        <v>1</v>
      </c>
      <c r="AH237" s="6">
        <v>3</v>
      </c>
      <c r="AI237" s="6">
        <v>4</v>
      </c>
      <c r="AJ237" s="6"/>
      <c r="AK237" s="6">
        <v>1</v>
      </c>
      <c r="AL237" s="6"/>
      <c r="AM237" s="6">
        <v>2</v>
      </c>
      <c r="AN237" s="6">
        <v>7</v>
      </c>
      <c r="AO237" s="6">
        <v>13</v>
      </c>
      <c r="AP237" s="5">
        <f t="shared" ref="AP237:AP247" si="568">SUM(E237:AO237)</f>
        <v>103</v>
      </c>
      <c r="AQ237" s="20"/>
      <c r="AR237" s="20"/>
    </row>
    <row r="238" spans="1:44" x14ac:dyDescent="0.4">
      <c r="A238" s="11" t="s">
        <v>50</v>
      </c>
      <c r="B238" s="52"/>
      <c r="C238" s="24" t="s">
        <v>228</v>
      </c>
      <c r="D238" s="50"/>
      <c r="E238" s="6">
        <v>2</v>
      </c>
      <c r="F238" s="6">
        <v>1</v>
      </c>
      <c r="G238" s="6">
        <v>10</v>
      </c>
      <c r="H238" s="6">
        <v>2</v>
      </c>
      <c r="I238" s="6">
        <v>8</v>
      </c>
      <c r="J238" s="6">
        <v>44</v>
      </c>
      <c r="K238" s="6">
        <v>77</v>
      </c>
      <c r="L238" s="6">
        <v>22</v>
      </c>
      <c r="M238" s="6">
        <v>46</v>
      </c>
      <c r="N238" s="6">
        <v>30</v>
      </c>
      <c r="O238" s="6">
        <v>2</v>
      </c>
      <c r="P238" s="6">
        <v>5</v>
      </c>
      <c r="Q238" s="6">
        <v>1</v>
      </c>
      <c r="R238" s="6">
        <v>3</v>
      </c>
      <c r="S238" s="6">
        <v>8</v>
      </c>
      <c r="T238" s="6"/>
      <c r="U238" s="6"/>
      <c r="V238" s="6">
        <v>2</v>
      </c>
      <c r="W238" s="6">
        <v>10</v>
      </c>
      <c r="X238" s="6">
        <v>8</v>
      </c>
      <c r="Y238" s="6">
        <v>7</v>
      </c>
      <c r="Z238" s="6">
        <v>4</v>
      </c>
      <c r="AA238" s="6">
        <v>2</v>
      </c>
      <c r="AB238" s="6">
        <v>4</v>
      </c>
      <c r="AC238" s="6">
        <v>1</v>
      </c>
      <c r="AD238" s="6">
        <v>2</v>
      </c>
      <c r="AE238" s="6"/>
      <c r="AF238" s="6"/>
      <c r="AG238" s="6">
        <v>1</v>
      </c>
      <c r="AH238" s="6">
        <v>3</v>
      </c>
      <c r="AI238" s="6">
        <v>9</v>
      </c>
      <c r="AJ238" s="6"/>
      <c r="AK238" s="6"/>
      <c r="AL238" s="6"/>
      <c r="AM238" s="6"/>
      <c r="AN238" s="6">
        <v>31</v>
      </c>
      <c r="AO238" s="6">
        <v>32</v>
      </c>
      <c r="AP238" s="5">
        <f t="shared" si="568"/>
        <v>377</v>
      </c>
      <c r="AQ238" s="20"/>
      <c r="AR238" s="20"/>
    </row>
    <row r="239" spans="1:44" x14ac:dyDescent="0.4">
      <c r="A239" s="7"/>
      <c r="B239" s="52"/>
      <c r="C239" s="24" t="s">
        <v>229</v>
      </c>
      <c r="D239" s="50"/>
      <c r="E239" s="6">
        <v>2</v>
      </c>
      <c r="F239" s="6">
        <v>1</v>
      </c>
      <c r="G239" s="6">
        <v>2</v>
      </c>
      <c r="H239" s="6"/>
      <c r="I239" s="6">
        <v>3</v>
      </c>
      <c r="J239" s="6">
        <v>2</v>
      </c>
      <c r="K239" s="6">
        <v>3</v>
      </c>
      <c r="L239" s="6">
        <v>1</v>
      </c>
      <c r="M239" s="6">
        <v>12</v>
      </c>
      <c r="N239" s="6">
        <v>1</v>
      </c>
      <c r="O239" s="6"/>
      <c r="P239" s="6">
        <v>1</v>
      </c>
      <c r="Q239" s="6"/>
      <c r="R239" s="6">
        <v>2</v>
      </c>
      <c r="S239" s="6"/>
      <c r="T239" s="6">
        <v>1</v>
      </c>
      <c r="U239" s="6">
        <v>1</v>
      </c>
      <c r="V239" s="6"/>
      <c r="W239" s="6"/>
      <c r="X239" s="6">
        <v>1</v>
      </c>
      <c r="Y239" s="6">
        <v>1</v>
      </c>
      <c r="Z239" s="6"/>
      <c r="AA239" s="6"/>
      <c r="AB239" s="6"/>
      <c r="AC239" s="6"/>
      <c r="AD239" s="6"/>
      <c r="AE239" s="6"/>
      <c r="AF239" s="6"/>
      <c r="AG239" s="6">
        <v>5</v>
      </c>
      <c r="AH239" s="6">
        <v>3</v>
      </c>
      <c r="AI239" s="6">
        <v>2</v>
      </c>
      <c r="AJ239" s="6"/>
      <c r="AK239" s="6"/>
      <c r="AL239" s="6"/>
      <c r="AM239" s="6"/>
      <c r="AN239" s="6">
        <v>2</v>
      </c>
      <c r="AO239" s="6">
        <v>3</v>
      </c>
      <c r="AP239" s="5">
        <f t="shared" si="568"/>
        <v>49</v>
      </c>
      <c r="AQ239" s="20"/>
      <c r="AR239" s="20"/>
    </row>
    <row r="240" spans="1:44" ht="13.15" customHeight="1" x14ac:dyDescent="0.4">
      <c r="A240" s="7"/>
      <c r="B240" s="52"/>
      <c r="C240" s="24" t="s">
        <v>230</v>
      </c>
      <c r="D240" s="50"/>
      <c r="E240" s="6"/>
      <c r="F240" s="6"/>
      <c r="G240" s="6">
        <v>1</v>
      </c>
      <c r="H240" s="6">
        <v>1</v>
      </c>
      <c r="I240" s="6"/>
      <c r="J240" s="6">
        <v>3</v>
      </c>
      <c r="K240" s="6"/>
      <c r="L240" s="6"/>
      <c r="M240" s="6">
        <v>2</v>
      </c>
      <c r="N240" s="6">
        <v>1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>
        <v>1</v>
      </c>
      <c r="AA240" s="6">
        <v>1</v>
      </c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>
        <v>1</v>
      </c>
      <c r="AO240" s="6"/>
      <c r="AP240" s="5">
        <f t="shared" si="568"/>
        <v>11</v>
      </c>
      <c r="AQ240" s="1"/>
      <c r="AR240" s="1"/>
    </row>
    <row r="241" spans="1:42" x14ac:dyDescent="0.4">
      <c r="A241" s="7"/>
      <c r="B241" s="52"/>
      <c r="C241" s="24" t="s">
        <v>231</v>
      </c>
      <c r="D241" s="50"/>
      <c r="E241" s="6"/>
      <c r="F241" s="6"/>
      <c r="G241" s="6">
        <v>1</v>
      </c>
      <c r="H241" s="6"/>
      <c r="I241" s="6"/>
      <c r="J241" s="6"/>
      <c r="K241" s="6"/>
      <c r="L241" s="6"/>
      <c r="M241" s="6">
        <v>2</v>
      </c>
      <c r="N241" s="6"/>
      <c r="O241" s="6"/>
      <c r="P241" s="6">
        <v>1</v>
      </c>
      <c r="Q241" s="6">
        <v>1</v>
      </c>
      <c r="R241" s="6">
        <v>1</v>
      </c>
      <c r="S241" s="6"/>
      <c r="T241" s="6">
        <v>1</v>
      </c>
      <c r="U241" s="6"/>
      <c r="V241" s="6"/>
      <c r="W241" s="6"/>
      <c r="X241" s="6"/>
      <c r="Y241" s="6">
        <v>2</v>
      </c>
      <c r="Z241" s="6"/>
      <c r="AA241" s="6">
        <v>1</v>
      </c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>
        <v>1</v>
      </c>
      <c r="AM241" s="6">
        <v>1</v>
      </c>
      <c r="AN241" s="6">
        <v>1</v>
      </c>
      <c r="AO241" s="6"/>
      <c r="AP241" s="5">
        <f t="shared" si="568"/>
        <v>13</v>
      </c>
    </row>
    <row r="242" spans="1:42" ht="12.75" customHeight="1" x14ac:dyDescent="0.4">
      <c r="A242" s="7"/>
      <c r="B242" s="52"/>
      <c r="C242" s="24" t="s">
        <v>232</v>
      </c>
      <c r="D242" s="50"/>
      <c r="E242" s="6"/>
      <c r="F242" s="6">
        <v>1</v>
      </c>
      <c r="G242" s="6">
        <v>4</v>
      </c>
      <c r="H242" s="6">
        <v>2</v>
      </c>
      <c r="I242" s="6">
        <v>1</v>
      </c>
      <c r="J242" s="6">
        <v>28</v>
      </c>
      <c r="K242" s="6">
        <v>7</v>
      </c>
      <c r="L242" s="6">
        <v>2</v>
      </c>
      <c r="M242" s="6">
        <v>7</v>
      </c>
      <c r="N242" s="6">
        <v>5</v>
      </c>
      <c r="O242" s="6">
        <v>5</v>
      </c>
      <c r="P242" s="6">
        <v>1</v>
      </c>
      <c r="Q242" s="6">
        <v>1</v>
      </c>
      <c r="R242" s="6">
        <v>2</v>
      </c>
      <c r="S242" s="6">
        <v>1</v>
      </c>
      <c r="T242" s="6"/>
      <c r="U242" s="6">
        <v>2</v>
      </c>
      <c r="V242" s="6">
        <v>5</v>
      </c>
      <c r="W242" s="6">
        <v>1</v>
      </c>
      <c r="X242" s="6">
        <v>3</v>
      </c>
      <c r="Y242" s="6">
        <v>7</v>
      </c>
      <c r="Z242" s="6"/>
      <c r="AA242" s="6">
        <v>1</v>
      </c>
      <c r="AB242" s="6"/>
      <c r="AC242" s="6">
        <v>5</v>
      </c>
      <c r="AD242" s="6">
        <v>2</v>
      </c>
      <c r="AE242" s="6">
        <v>3</v>
      </c>
      <c r="AF242" s="6"/>
      <c r="AG242" s="6"/>
      <c r="AH242" s="6"/>
      <c r="AI242" s="6"/>
      <c r="AJ242" s="6"/>
      <c r="AK242" s="6"/>
      <c r="AL242" s="6">
        <v>1</v>
      </c>
      <c r="AM242" s="6">
        <v>11</v>
      </c>
      <c r="AN242" s="6">
        <v>7</v>
      </c>
      <c r="AO242" s="6"/>
      <c r="AP242" s="5">
        <f t="shared" si="568"/>
        <v>115</v>
      </c>
    </row>
    <row r="243" spans="1:42" x14ac:dyDescent="0.4">
      <c r="A243" s="7"/>
      <c r="B243" s="52"/>
      <c r="C243" s="24" t="s">
        <v>233</v>
      </c>
      <c r="D243" s="50"/>
      <c r="E243" s="6"/>
      <c r="F243" s="6"/>
      <c r="G243" s="6"/>
      <c r="H243" s="6"/>
      <c r="I243" s="6"/>
      <c r="J243" s="6">
        <v>2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>
        <v>1</v>
      </c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>
        <v>1</v>
      </c>
      <c r="AO243" s="6"/>
      <c r="AP243" s="5">
        <f t="shared" si="568"/>
        <v>4</v>
      </c>
    </row>
    <row r="244" spans="1:42" x14ac:dyDescent="0.4">
      <c r="A244" s="7"/>
      <c r="B244" s="52"/>
      <c r="C244" s="24" t="s">
        <v>234</v>
      </c>
      <c r="D244" s="50"/>
      <c r="E244" s="6"/>
      <c r="F244" s="6"/>
      <c r="G244" s="6"/>
      <c r="H244" s="6"/>
      <c r="I244" s="6"/>
      <c r="J244" s="6"/>
      <c r="K244" s="6">
        <v>1</v>
      </c>
      <c r="L244" s="6"/>
      <c r="M244" s="6">
        <v>2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>
        <v>1</v>
      </c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>
        <v>1</v>
      </c>
      <c r="AO244" s="6"/>
      <c r="AP244" s="5">
        <f t="shared" si="568"/>
        <v>5</v>
      </c>
    </row>
    <row r="245" spans="1:42" x14ac:dyDescent="0.4">
      <c r="A245" s="7"/>
      <c r="B245" s="52"/>
      <c r="C245" s="24" t="s">
        <v>235</v>
      </c>
      <c r="D245" s="5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5">
        <f t="shared" si="568"/>
        <v>0</v>
      </c>
    </row>
    <row r="246" spans="1:42" x14ac:dyDescent="0.4">
      <c r="A246" s="7"/>
      <c r="B246" s="52"/>
      <c r="C246" s="24" t="s">
        <v>236</v>
      </c>
      <c r="D246" s="50"/>
      <c r="E246" s="6"/>
      <c r="F246" s="6">
        <v>1</v>
      </c>
      <c r="G246" s="6"/>
      <c r="H246" s="6"/>
      <c r="I246" s="6"/>
      <c r="J246" s="6">
        <v>1</v>
      </c>
      <c r="K246" s="6"/>
      <c r="L246" s="6"/>
      <c r="M246" s="6">
        <v>1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>
        <v>1</v>
      </c>
      <c r="AP246" s="5">
        <f t="shared" si="568"/>
        <v>4</v>
      </c>
    </row>
    <row r="247" spans="1:42" ht="12.75" customHeight="1" x14ac:dyDescent="0.4">
      <c r="A247" s="6" t="s">
        <v>26</v>
      </c>
      <c r="B247" s="67" t="s">
        <v>51</v>
      </c>
      <c r="C247" s="68"/>
      <c r="D247" s="69"/>
      <c r="E247" s="5">
        <f t="shared" ref="E247" si="569">SUM(E237:E246)</f>
        <v>6</v>
      </c>
      <c r="F247" s="5">
        <f t="shared" ref="F247" si="570">SUM(F237:F246)</f>
        <v>4</v>
      </c>
      <c r="G247" s="5">
        <f t="shared" ref="G247" si="571">SUM(G237:G246)</f>
        <v>21</v>
      </c>
      <c r="H247" s="5">
        <f t="shared" ref="H247" si="572">SUM(H237:H246)</f>
        <v>6</v>
      </c>
      <c r="I247" s="5">
        <f t="shared" ref="I247" si="573">SUM(I237:I246)</f>
        <v>14</v>
      </c>
      <c r="J247" s="5">
        <f t="shared" ref="J247" si="574">SUM(J237:J246)</f>
        <v>87</v>
      </c>
      <c r="K247" s="5">
        <f t="shared" ref="K247" si="575">SUM(K237:K246)</f>
        <v>96</v>
      </c>
      <c r="L247" s="5">
        <f t="shared" ref="L247" si="576">SUM(L237:L246)</f>
        <v>28</v>
      </c>
      <c r="M247" s="5">
        <f t="shared" ref="M247" si="577">SUM(M237:M246)</f>
        <v>89</v>
      </c>
      <c r="N247" s="5">
        <f t="shared" ref="N247" si="578">SUM(N237:N246)</f>
        <v>42</v>
      </c>
      <c r="O247" s="5">
        <f t="shared" ref="O247" si="579">SUM(O237:O246)</f>
        <v>7</v>
      </c>
      <c r="P247" s="5">
        <f t="shared" ref="P247" si="580">SUM(P237:P246)</f>
        <v>12</v>
      </c>
      <c r="Q247" s="5">
        <f t="shared" ref="Q247" si="581">SUM(Q237:Q246)</f>
        <v>5</v>
      </c>
      <c r="R247" s="5">
        <f t="shared" ref="R247" si="582">SUM(R237:R246)</f>
        <v>8</v>
      </c>
      <c r="S247" s="5">
        <f t="shared" ref="S247" si="583">SUM(S237:S246)</f>
        <v>11</v>
      </c>
      <c r="T247" s="5">
        <f t="shared" ref="T247" si="584">SUM(T237:T246)</f>
        <v>4</v>
      </c>
      <c r="U247" s="5">
        <f t="shared" ref="U247" si="585">SUM(U237:U246)</f>
        <v>3</v>
      </c>
      <c r="V247" s="5">
        <f t="shared" ref="V247" si="586">SUM(V237:V246)</f>
        <v>7</v>
      </c>
      <c r="W247" s="5">
        <f t="shared" ref="W247" si="587">SUM(W237:W246)</f>
        <v>11</v>
      </c>
      <c r="X247" s="5">
        <f t="shared" ref="X247" si="588">SUM(X237:X246)</f>
        <v>16</v>
      </c>
      <c r="Y247" s="5">
        <f t="shared" ref="Y247" si="589">SUM(Y237:Y246)</f>
        <v>22</v>
      </c>
      <c r="Z247" s="5">
        <f t="shared" ref="Z247" si="590">SUM(Z237:Z246)</f>
        <v>6</v>
      </c>
      <c r="AA247" s="5">
        <f t="shared" ref="AA247" si="591">SUM(AA237:AA246)</f>
        <v>8</v>
      </c>
      <c r="AB247" s="5">
        <f t="shared" ref="AB247" si="592">SUM(AB237:AB246)</f>
        <v>5</v>
      </c>
      <c r="AC247" s="5">
        <f t="shared" ref="AC247" si="593">SUM(AC237:AC246)</f>
        <v>8</v>
      </c>
      <c r="AD247" s="5">
        <f t="shared" ref="AD247" si="594">SUM(AD237:AD246)</f>
        <v>4</v>
      </c>
      <c r="AE247" s="5">
        <f t="shared" ref="AE247" si="595">SUM(AE237:AE246)</f>
        <v>3</v>
      </c>
      <c r="AF247" s="5">
        <f t="shared" ref="AF247" si="596">SUM(AF237:AF246)</f>
        <v>0</v>
      </c>
      <c r="AG247" s="5">
        <f t="shared" ref="AG247" si="597">SUM(AG237:AG246)</f>
        <v>7</v>
      </c>
      <c r="AH247" s="5">
        <f t="shared" ref="AH247" si="598">SUM(AH237:AH246)</f>
        <v>9</v>
      </c>
      <c r="AI247" s="5">
        <f t="shared" ref="AI247" si="599">SUM(AI237:AI246)</f>
        <v>15</v>
      </c>
      <c r="AJ247" s="5">
        <f t="shared" ref="AJ247" si="600">SUM(AJ237:AJ246)</f>
        <v>0</v>
      </c>
      <c r="AK247" s="5">
        <f t="shared" ref="AK247" si="601">SUM(AK237:AK246)</f>
        <v>1</v>
      </c>
      <c r="AL247" s="5">
        <f t="shared" ref="AL247" si="602">SUM(AL237:AL246)</f>
        <v>2</v>
      </c>
      <c r="AM247" s="5">
        <f t="shared" ref="AM247" si="603">SUM(AM237:AM246)</f>
        <v>14</v>
      </c>
      <c r="AN247" s="5">
        <f t="shared" ref="AN247" si="604">SUM(AN237:AN246)</f>
        <v>51</v>
      </c>
      <c r="AO247" s="5">
        <f t="shared" ref="AO247" si="605">SUM(AO237:AO246)</f>
        <v>49</v>
      </c>
      <c r="AP247" s="5">
        <f t="shared" si="568"/>
        <v>681</v>
      </c>
    </row>
    <row r="248" spans="1:42" x14ac:dyDescent="0.4">
      <c r="A248" s="70"/>
      <c r="B248" s="71"/>
      <c r="C248" s="71"/>
      <c r="D248" s="71"/>
      <c r="E248" s="72"/>
    </row>
    <row r="249" spans="1:42" x14ac:dyDescent="0.4">
      <c r="A249" s="11" t="s">
        <v>48</v>
      </c>
      <c r="B249" s="17" t="s">
        <v>81</v>
      </c>
      <c r="C249" s="73" t="s">
        <v>82</v>
      </c>
      <c r="D249" s="74"/>
      <c r="E249" s="6">
        <v>1</v>
      </c>
      <c r="F249" s="6"/>
      <c r="G249" s="6"/>
      <c r="H249" s="6"/>
      <c r="I249" s="6"/>
      <c r="J249" s="6"/>
      <c r="K249" s="6"/>
      <c r="L249" s="6"/>
      <c r="M249" s="6"/>
      <c r="N249" s="6">
        <v>1</v>
      </c>
      <c r="O249" s="6">
        <v>1</v>
      </c>
      <c r="P249" s="6"/>
      <c r="Q249" s="6"/>
      <c r="R249" s="6"/>
      <c r="S249" s="6"/>
      <c r="T249" s="6">
        <v>1</v>
      </c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>
        <v>1</v>
      </c>
      <c r="AH249" s="6"/>
      <c r="AI249" s="6"/>
      <c r="AJ249" s="6"/>
      <c r="AK249" s="6"/>
      <c r="AL249" s="6"/>
      <c r="AM249" s="6"/>
      <c r="AN249" s="6"/>
      <c r="AO249" s="6"/>
      <c r="AP249" s="5">
        <f>SUM(E249:AO249)</f>
        <v>5</v>
      </c>
    </row>
    <row r="250" spans="1:42" x14ac:dyDescent="0.4">
      <c r="A250" s="11" t="s">
        <v>50</v>
      </c>
      <c r="B250" s="52"/>
      <c r="C250" s="24" t="s">
        <v>237</v>
      </c>
      <c r="D250" s="5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>
        <v>7</v>
      </c>
      <c r="V250" s="6"/>
      <c r="W250" s="6"/>
      <c r="X250" s="6"/>
      <c r="Y250" s="6"/>
      <c r="Z250" s="6"/>
      <c r="AA250" s="6"/>
      <c r="AB250" s="6"/>
      <c r="AC250" s="6"/>
      <c r="AD250" s="6">
        <v>1</v>
      </c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5">
        <f>SUM(E250:AO250)</f>
        <v>8</v>
      </c>
    </row>
    <row r="251" spans="1:42" x14ac:dyDescent="0.4">
      <c r="A251" s="7"/>
      <c r="B251" s="52"/>
      <c r="C251" s="24" t="s">
        <v>238</v>
      </c>
      <c r="D251" s="5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>
        <v>2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5">
        <f>SUM(E251:AO251)</f>
        <v>2</v>
      </c>
    </row>
    <row r="252" spans="1:42" x14ac:dyDescent="0.4">
      <c r="A252" s="7"/>
      <c r="B252" s="52"/>
      <c r="C252" s="24" t="s">
        <v>239</v>
      </c>
      <c r="D252" s="5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>
        <v>1</v>
      </c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5">
        <f>SUM(E252:AO252)</f>
        <v>1</v>
      </c>
    </row>
    <row r="253" spans="1:42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49"/>
    </row>
    <row r="254" spans="1:42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49"/>
    </row>
    <row r="255" spans="1:42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49"/>
    </row>
    <row r="256" spans="1:42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49"/>
    </row>
    <row r="257" spans="1:42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49"/>
    </row>
    <row r="258" spans="1:42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49"/>
    </row>
    <row r="259" spans="1:42" x14ac:dyDescent="0.4">
      <c r="A259" s="6" t="s">
        <v>26</v>
      </c>
      <c r="B259" s="67" t="s">
        <v>51</v>
      </c>
      <c r="C259" s="68"/>
      <c r="D259" s="69"/>
      <c r="E259" s="5">
        <f t="shared" ref="E259" si="606">SUM(E249:E258)</f>
        <v>1</v>
      </c>
      <c r="F259" s="5">
        <f t="shared" ref="F259" si="607">SUM(F249:F258)</f>
        <v>0</v>
      </c>
      <c r="G259" s="5">
        <f t="shared" ref="G259" si="608">SUM(G249:G258)</f>
        <v>0</v>
      </c>
      <c r="H259" s="5">
        <f t="shared" ref="H259" si="609">SUM(H249:H258)</f>
        <v>0</v>
      </c>
      <c r="I259" s="5">
        <f t="shared" ref="I259" si="610">SUM(I249:I258)</f>
        <v>0</v>
      </c>
      <c r="J259" s="5">
        <f t="shared" ref="J259" si="611">SUM(J249:J258)</f>
        <v>0</v>
      </c>
      <c r="K259" s="5">
        <f t="shared" ref="K259" si="612">SUM(K249:K258)</f>
        <v>0</v>
      </c>
      <c r="L259" s="5">
        <f t="shared" ref="L259" si="613">SUM(L249:L258)</f>
        <v>0</v>
      </c>
      <c r="M259" s="5">
        <f t="shared" ref="M259" si="614">SUM(M249:M258)</f>
        <v>0</v>
      </c>
      <c r="N259" s="5">
        <f t="shared" ref="N259" si="615">SUM(N249:N258)</f>
        <v>1</v>
      </c>
      <c r="O259" s="5">
        <f t="shared" ref="O259" si="616">SUM(O249:O258)</f>
        <v>1</v>
      </c>
      <c r="P259" s="5">
        <f t="shared" ref="P259" si="617">SUM(P249:P258)</f>
        <v>2</v>
      </c>
      <c r="Q259" s="5">
        <f t="shared" ref="Q259" si="618">SUM(Q249:Q258)</f>
        <v>0</v>
      </c>
      <c r="R259" s="5">
        <f t="shared" ref="R259" si="619">SUM(R249:R258)</f>
        <v>0</v>
      </c>
      <c r="S259" s="5">
        <f t="shared" ref="S259" si="620">SUM(S249:S258)</f>
        <v>1</v>
      </c>
      <c r="T259" s="5">
        <f t="shared" ref="T259" si="621">SUM(T249:T258)</f>
        <v>1</v>
      </c>
      <c r="U259" s="5">
        <f t="shared" ref="U259" si="622">SUM(U249:U258)</f>
        <v>7</v>
      </c>
      <c r="V259" s="5">
        <f t="shared" ref="V259" si="623">SUM(V249:V258)</f>
        <v>0</v>
      </c>
      <c r="W259" s="5">
        <f t="shared" ref="W259" si="624">SUM(W249:W258)</f>
        <v>0</v>
      </c>
      <c r="X259" s="5">
        <f t="shared" ref="X259" si="625">SUM(X249:X258)</f>
        <v>0</v>
      </c>
      <c r="Y259" s="5">
        <f t="shared" ref="Y259" si="626">SUM(Y249:Y258)</f>
        <v>0</v>
      </c>
      <c r="Z259" s="5">
        <f t="shared" ref="Z259" si="627">SUM(Z249:Z258)</f>
        <v>0</v>
      </c>
      <c r="AA259" s="5">
        <f t="shared" ref="AA259" si="628">SUM(AA249:AA258)</f>
        <v>0</v>
      </c>
      <c r="AB259" s="5">
        <f t="shared" ref="AB259" si="629">SUM(AB249:AB258)</f>
        <v>0</v>
      </c>
      <c r="AC259" s="5">
        <f t="shared" ref="AC259" si="630">SUM(AC249:AC258)</f>
        <v>0</v>
      </c>
      <c r="AD259" s="5">
        <f t="shared" ref="AD259" si="631">SUM(AD249:AD258)</f>
        <v>1</v>
      </c>
      <c r="AE259" s="5">
        <f t="shared" ref="AE259" si="632">SUM(AE249:AE258)</f>
        <v>0</v>
      </c>
      <c r="AF259" s="5">
        <f t="shared" ref="AF259" si="633">SUM(AF249:AF258)</f>
        <v>0</v>
      </c>
      <c r="AG259" s="5">
        <f t="shared" ref="AG259" si="634">SUM(AG249:AG258)</f>
        <v>1</v>
      </c>
      <c r="AH259" s="5">
        <f t="shared" ref="AH259" si="635">SUM(AH249:AH258)</f>
        <v>0</v>
      </c>
      <c r="AI259" s="5">
        <f t="shared" ref="AI259" si="636">SUM(AI249:AI258)</f>
        <v>0</v>
      </c>
      <c r="AJ259" s="5">
        <f t="shared" ref="AJ259" si="637">SUM(AJ249:AJ258)</f>
        <v>0</v>
      </c>
      <c r="AK259" s="5">
        <f t="shared" ref="AK259" si="638">SUM(AK249:AK258)</f>
        <v>0</v>
      </c>
      <c r="AL259" s="5">
        <f t="shared" ref="AL259" si="639">SUM(AL249:AL258)</f>
        <v>0</v>
      </c>
      <c r="AM259" s="5">
        <f t="shared" ref="AM259" si="640">SUM(AM249:AM258)</f>
        <v>0</v>
      </c>
      <c r="AN259" s="5">
        <f t="shared" ref="AN259" si="641">SUM(AN249:AN258)</f>
        <v>0</v>
      </c>
      <c r="AO259" s="5">
        <f t="shared" ref="AO259" si="642">SUM(AO249:AO258)</f>
        <v>0</v>
      </c>
      <c r="AP259" s="5">
        <f>SUM(E259:AO259)</f>
        <v>16</v>
      </c>
    </row>
    <row r="261" spans="1:42" x14ac:dyDescent="0.4">
      <c r="A261" s="16" t="s">
        <v>83</v>
      </c>
      <c r="B261" s="75" t="s">
        <v>84</v>
      </c>
      <c r="C261" s="76"/>
      <c r="D261" s="7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  <c r="AF261" s="5"/>
      <c r="AG261" s="5"/>
      <c r="AH261" s="15"/>
      <c r="AI261" s="5"/>
      <c r="AJ261" s="5"/>
      <c r="AK261" s="5"/>
      <c r="AL261" s="5"/>
      <c r="AM261" s="15"/>
      <c r="AN261" s="5"/>
      <c r="AO261" s="5"/>
      <c r="AP261" s="5"/>
    </row>
    <row r="262" spans="1:42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175</v>
      </c>
      <c r="F262" s="6">
        <f t="shared" ref="F262:AO262" si="643">F55+F67+F79+F91+F103+F115+F127+F139+F151+F163+F175+F187+F199+F211+F223+F235+F247+F259</f>
        <v>109</v>
      </c>
      <c r="G262" s="6">
        <f t="shared" si="643"/>
        <v>148</v>
      </c>
      <c r="H262" s="6">
        <f t="shared" si="643"/>
        <v>106</v>
      </c>
      <c r="I262" s="6">
        <f t="shared" si="643"/>
        <v>129</v>
      </c>
      <c r="J262" s="6">
        <f t="shared" si="643"/>
        <v>151</v>
      </c>
      <c r="K262" s="6">
        <f t="shared" si="643"/>
        <v>214</v>
      </c>
      <c r="L262" s="6">
        <f t="shared" si="643"/>
        <v>198</v>
      </c>
      <c r="M262" s="6">
        <f t="shared" si="643"/>
        <v>198</v>
      </c>
      <c r="N262" s="6">
        <f t="shared" si="643"/>
        <v>159</v>
      </c>
      <c r="O262" s="6">
        <f t="shared" ref="O262:S262" si="644">O55+O67+O79+O91+O103+O115+O127+O139+O151+O163+O175+O187+O199+O211+O223+O235+O247+O259</f>
        <v>149</v>
      </c>
      <c r="P262" s="6">
        <f t="shared" si="644"/>
        <v>128</v>
      </c>
      <c r="Q262" s="6">
        <f t="shared" si="644"/>
        <v>184</v>
      </c>
      <c r="R262" s="6">
        <f t="shared" si="644"/>
        <v>208</v>
      </c>
      <c r="S262" s="6">
        <f t="shared" si="644"/>
        <v>184</v>
      </c>
      <c r="T262" s="6">
        <f t="shared" si="643"/>
        <v>177</v>
      </c>
      <c r="U262" s="6">
        <f t="shared" si="643"/>
        <v>99</v>
      </c>
      <c r="V262" s="6">
        <f t="shared" si="643"/>
        <v>188</v>
      </c>
      <c r="W262" s="6">
        <f t="shared" si="643"/>
        <v>126</v>
      </c>
      <c r="X262" s="6">
        <f t="shared" si="643"/>
        <v>186</v>
      </c>
      <c r="Y262" s="6">
        <f t="shared" ref="Y262:AC262" si="645">Y55+Y67+Y79+Y91+Y103+Y115+Y127+Y139+Y151+Y163+Y175+Y187+Y199+Y211+Y223+Y235+Y247+Y259</f>
        <v>188</v>
      </c>
      <c r="Z262" s="6">
        <f t="shared" si="645"/>
        <v>174</v>
      </c>
      <c r="AA262" s="6">
        <f t="shared" si="645"/>
        <v>149</v>
      </c>
      <c r="AB262" s="6">
        <f t="shared" si="645"/>
        <v>151</v>
      </c>
      <c r="AC262" s="6">
        <f t="shared" si="645"/>
        <v>130</v>
      </c>
      <c r="AD262" s="6">
        <f t="shared" si="643"/>
        <v>124</v>
      </c>
      <c r="AE262" s="6">
        <f t="shared" si="643"/>
        <v>161</v>
      </c>
      <c r="AF262" s="6">
        <f t="shared" si="643"/>
        <v>149</v>
      </c>
      <c r="AG262" s="6">
        <f t="shared" si="643"/>
        <v>154</v>
      </c>
      <c r="AH262" s="6">
        <f t="shared" si="643"/>
        <v>159</v>
      </c>
      <c r="AI262" s="6">
        <f t="shared" ref="AI262:AM262" si="646">AI55+AI67+AI79+AI91+AI103+AI115+AI127+AI139+AI151+AI163+AI175+AI187+AI199+AI211+AI223+AI235+AI247+AI259</f>
        <v>129</v>
      </c>
      <c r="AJ262" s="6">
        <f t="shared" si="646"/>
        <v>151</v>
      </c>
      <c r="AK262" s="6">
        <f t="shared" si="646"/>
        <v>125</v>
      </c>
      <c r="AL262" s="6">
        <f t="shared" si="646"/>
        <v>184</v>
      </c>
      <c r="AM262" s="6">
        <f t="shared" si="646"/>
        <v>199</v>
      </c>
      <c r="AN262" s="6">
        <f t="shared" si="643"/>
        <v>177</v>
      </c>
      <c r="AO262" s="6">
        <f t="shared" si="643"/>
        <v>183</v>
      </c>
      <c r="AP262" s="5">
        <f>SUM(E262:AO262)</f>
        <v>5903</v>
      </c>
    </row>
    <row r="263" spans="1:42" x14ac:dyDescent="0.4">
      <c r="A263" s="13"/>
      <c r="B263" s="19" t="s">
        <v>87</v>
      </c>
      <c r="C263" s="65" t="s">
        <v>88</v>
      </c>
      <c r="D263" s="66"/>
      <c r="E263" s="6">
        <v>46</v>
      </c>
      <c r="F263" s="6">
        <v>31</v>
      </c>
      <c r="G263" s="6">
        <v>47</v>
      </c>
      <c r="H263" s="6">
        <v>22</v>
      </c>
      <c r="I263" s="6">
        <v>34</v>
      </c>
      <c r="J263" s="6">
        <v>48</v>
      </c>
      <c r="K263" s="6">
        <v>18</v>
      </c>
      <c r="L263" s="6">
        <v>40</v>
      </c>
      <c r="M263" s="6">
        <v>31</v>
      </c>
      <c r="N263" s="6">
        <v>26</v>
      </c>
      <c r="O263" s="6">
        <v>15</v>
      </c>
      <c r="P263" s="6">
        <v>45</v>
      </c>
      <c r="Q263" s="6">
        <v>20</v>
      </c>
      <c r="R263" s="6">
        <v>22</v>
      </c>
      <c r="S263" s="6">
        <v>29</v>
      </c>
      <c r="T263" s="6">
        <v>22</v>
      </c>
      <c r="U263" s="6">
        <v>31</v>
      </c>
      <c r="V263" s="6">
        <v>54</v>
      </c>
      <c r="W263" s="6">
        <v>30</v>
      </c>
      <c r="X263" s="6">
        <v>28</v>
      </c>
      <c r="Y263" s="6">
        <v>53</v>
      </c>
      <c r="Z263" s="6">
        <v>22</v>
      </c>
      <c r="AA263" s="6">
        <v>27</v>
      </c>
      <c r="AB263" s="6">
        <v>34</v>
      </c>
      <c r="AC263" s="6">
        <v>32</v>
      </c>
      <c r="AD263" s="6">
        <v>22</v>
      </c>
      <c r="AE263" s="6">
        <v>12</v>
      </c>
      <c r="AF263" s="6">
        <v>29</v>
      </c>
      <c r="AG263" s="6">
        <v>43</v>
      </c>
      <c r="AH263" s="6">
        <v>32</v>
      </c>
      <c r="AI263" s="6">
        <v>38</v>
      </c>
      <c r="AJ263" s="6">
        <v>37</v>
      </c>
      <c r="AK263" s="6">
        <v>64</v>
      </c>
      <c r="AL263" s="6">
        <v>26</v>
      </c>
      <c r="AM263" s="6">
        <v>9</v>
      </c>
      <c r="AN263" s="6">
        <v>4</v>
      </c>
      <c r="AO263" s="6">
        <v>6</v>
      </c>
      <c r="AP263" s="5">
        <f>SUM(E263:AO263)</f>
        <v>1129</v>
      </c>
    </row>
    <row r="264" spans="1:42" x14ac:dyDescent="0.4">
      <c r="A264" s="14"/>
      <c r="B264" s="19" t="s">
        <v>89</v>
      </c>
      <c r="C264" s="65" t="s">
        <v>90</v>
      </c>
      <c r="D264" s="66"/>
      <c r="E264" s="5">
        <f>SUM(E262:E263)</f>
        <v>221</v>
      </c>
      <c r="F264" s="5">
        <f t="shared" ref="F264:AO264" si="647">SUM(F262:F263)</f>
        <v>140</v>
      </c>
      <c r="G264" s="5">
        <f t="shared" si="647"/>
        <v>195</v>
      </c>
      <c r="H264" s="5">
        <f t="shared" si="647"/>
        <v>128</v>
      </c>
      <c r="I264" s="5">
        <f t="shared" si="647"/>
        <v>163</v>
      </c>
      <c r="J264" s="5">
        <f t="shared" si="647"/>
        <v>199</v>
      </c>
      <c r="K264" s="5">
        <f t="shared" si="647"/>
        <v>232</v>
      </c>
      <c r="L264" s="5">
        <f t="shared" si="647"/>
        <v>238</v>
      </c>
      <c r="M264" s="5">
        <f t="shared" si="647"/>
        <v>229</v>
      </c>
      <c r="N264" s="5">
        <f t="shared" si="647"/>
        <v>185</v>
      </c>
      <c r="O264" s="5">
        <f t="shared" ref="O264:S264" si="648">SUM(O262:O263)</f>
        <v>164</v>
      </c>
      <c r="P264" s="5">
        <f t="shared" si="648"/>
        <v>173</v>
      </c>
      <c r="Q264" s="5">
        <f t="shared" si="648"/>
        <v>204</v>
      </c>
      <c r="R264" s="5">
        <f t="shared" si="648"/>
        <v>230</v>
      </c>
      <c r="S264" s="5">
        <f t="shared" si="648"/>
        <v>213</v>
      </c>
      <c r="T264" s="5">
        <f t="shared" si="647"/>
        <v>199</v>
      </c>
      <c r="U264" s="5">
        <f t="shared" si="647"/>
        <v>130</v>
      </c>
      <c r="V264" s="5">
        <f t="shared" si="647"/>
        <v>242</v>
      </c>
      <c r="W264" s="5">
        <f t="shared" si="647"/>
        <v>156</v>
      </c>
      <c r="X264" s="5">
        <f t="shared" si="647"/>
        <v>214</v>
      </c>
      <c r="Y264" s="5">
        <f t="shared" ref="Y264:AC264" si="649">SUM(Y262:Y263)</f>
        <v>241</v>
      </c>
      <c r="Z264" s="5">
        <f t="shared" si="649"/>
        <v>196</v>
      </c>
      <c r="AA264" s="5">
        <f t="shared" si="649"/>
        <v>176</v>
      </c>
      <c r="AB264" s="5">
        <f t="shared" si="649"/>
        <v>185</v>
      </c>
      <c r="AC264" s="5">
        <f t="shared" si="649"/>
        <v>162</v>
      </c>
      <c r="AD264" s="5">
        <f t="shared" si="647"/>
        <v>146</v>
      </c>
      <c r="AE264" s="5">
        <f t="shared" si="647"/>
        <v>173</v>
      </c>
      <c r="AF264" s="5">
        <f t="shared" si="647"/>
        <v>178</v>
      </c>
      <c r="AG264" s="5">
        <f t="shared" si="647"/>
        <v>197</v>
      </c>
      <c r="AH264" s="5">
        <f t="shared" si="647"/>
        <v>191</v>
      </c>
      <c r="AI264" s="5">
        <f t="shared" ref="AI264:AM264" si="650">SUM(AI262:AI263)</f>
        <v>167</v>
      </c>
      <c r="AJ264" s="5">
        <f t="shared" si="650"/>
        <v>188</v>
      </c>
      <c r="AK264" s="5">
        <f t="shared" si="650"/>
        <v>189</v>
      </c>
      <c r="AL264" s="5">
        <f t="shared" si="650"/>
        <v>210</v>
      </c>
      <c r="AM264" s="5">
        <f t="shared" si="650"/>
        <v>208</v>
      </c>
      <c r="AN264" s="5">
        <f t="shared" si="647"/>
        <v>181</v>
      </c>
      <c r="AO264" s="5">
        <f t="shared" si="647"/>
        <v>189</v>
      </c>
      <c r="AP264" s="5">
        <f>SUM(E264:AO264)</f>
        <v>7032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O12"/>
    <mergeCell ref="AP12:AP13"/>
    <mergeCell ref="B13:D13"/>
    <mergeCell ref="B14:C16"/>
  </mergeCells>
  <phoneticPr fontId="9" type="noConversion"/>
  <conditionalFormatting sqref="E14:AO15">
    <cfRule type="containsBlanks" dxfId="57" priority="20">
      <formula>LEN(TRIM(E14))=0</formula>
    </cfRule>
  </conditionalFormatting>
  <conditionalFormatting sqref="E19:AO20">
    <cfRule type="containsBlanks" dxfId="56" priority="23">
      <formula>LEN(TRIM(E19))=0</formula>
    </cfRule>
  </conditionalFormatting>
  <conditionalFormatting sqref="E22:AO23 E25:AO26 E33:AO33 E35:AO35 E39:AO40">
    <cfRule type="containsBlanks" dxfId="55" priority="24">
      <formula>LEN(TRIM(E22))=0</formula>
    </cfRule>
  </conditionalFormatting>
  <conditionalFormatting sqref="E30:AO30">
    <cfRule type="expression" dxfId="54" priority="25">
      <formula>E30&lt;&gt;E47</formula>
    </cfRule>
    <cfRule type="expression" dxfId="53" priority="26">
      <formula>E30&lt;&gt;E34</formula>
    </cfRule>
  </conditionalFormatting>
  <conditionalFormatting sqref="E34:AO34">
    <cfRule type="expression" dxfId="52" priority="21">
      <formula>E30&lt;&gt;E34</formula>
    </cfRule>
    <cfRule type="expression" dxfId="51" priority="22">
      <formula>E30=E34</formula>
    </cfRule>
    <cfRule type="expression" dxfId="50" priority="27">
      <formula>E34&lt;&gt;E30</formula>
    </cfRule>
    <cfRule type="expression" dxfId="49" priority="29">
      <formula>E34&lt;&gt;E64</formula>
    </cfRule>
  </conditionalFormatting>
  <conditionalFormatting sqref="E45:AO54">
    <cfRule type="containsBlanks" dxfId="48" priority="19">
      <formula>LEN(TRIM(E45))=0</formula>
    </cfRule>
  </conditionalFormatting>
  <conditionalFormatting sqref="E57:AO66">
    <cfRule type="containsBlanks" dxfId="47" priority="18">
      <formula>LEN(TRIM(E57))=0</formula>
    </cfRule>
  </conditionalFormatting>
  <conditionalFormatting sqref="E69:AO78">
    <cfRule type="containsBlanks" dxfId="46" priority="17">
      <formula>LEN(TRIM(E69))=0</formula>
    </cfRule>
  </conditionalFormatting>
  <conditionalFormatting sqref="E81:AO90">
    <cfRule type="containsBlanks" dxfId="45" priority="16">
      <formula>LEN(TRIM(E81))=0</formula>
    </cfRule>
  </conditionalFormatting>
  <conditionalFormatting sqref="E93:AO102">
    <cfRule type="containsBlanks" dxfId="44" priority="15">
      <formula>LEN(TRIM(E93))=0</formula>
    </cfRule>
  </conditionalFormatting>
  <conditionalFormatting sqref="E105:AO114">
    <cfRule type="containsBlanks" dxfId="43" priority="14">
      <formula>LEN(TRIM(E105))=0</formula>
    </cfRule>
  </conditionalFormatting>
  <conditionalFormatting sqref="E117:AO126">
    <cfRule type="containsBlanks" dxfId="42" priority="1">
      <formula>LEN(TRIM(E117))=0</formula>
    </cfRule>
  </conditionalFormatting>
  <conditionalFormatting sqref="E129:AO138">
    <cfRule type="containsBlanks" dxfId="41" priority="13">
      <formula>LEN(TRIM(E129))=0</formula>
    </cfRule>
  </conditionalFormatting>
  <conditionalFormatting sqref="E141:AO150">
    <cfRule type="containsBlanks" dxfId="40" priority="12">
      <formula>LEN(TRIM(E141))=0</formula>
    </cfRule>
  </conditionalFormatting>
  <conditionalFormatting sqref="E153:AO162">
    <cfRule type="containsBlanks" dxfId="39" priority="3">
      <formula>LEN(TRIM(E153))=0</formula>
    </cfRule>
  </conditionalFormatting>
  <conditionalFormatting sqref="E165:AO174">
    <cfRule type="containsBlanks" dxfId="38" priority="11">
      <formula>LEN(TRIM(E165))=0</formula>
    </cfRule>
  </conditionalFormatting>
  <conditionalFormatting sqref="E177:AO186">
    <cfRule type="containsBlanks" dxfId="37" priority="10">
      <formula>LEN(TRIM(E177))=0</formula>
    </cfRule>
  </conditionalFormatting>
  <conditionalFormatting sqref="E189:AO198">
    <cfRule type="containsBlanks" dxfId="36" priority="9">
      <formula>LEN(TRIM(E189))=0</formula>
    </cfRule>
  </conditionalFormatting>
  <conditionalFormatting sqref="E201:AO210">
    <cfRule type="containsBlanks" dxfId="35" priority="8">
      <formula>LEN(TRIM(E201))=0</formula>
    </cfRule>
  </conditionalFormatting>
  <conditionalFormatting sqref="E213:AO222">
    <cfRule type="containsBlanks" dxfId="34" priority="7">
      <formula>LEN(TRIM(E213))=0</formula>
    </cfRule>
  </conditionalFormatting>
  <conditionalFormatting sqref="E225:AO234">
    <cfRule type="containsBlanks" dxfId="33" priority="6">
      <formula>LEN(TRIM(E225))=0</formula>
    </cfRule>
  </conditionalFormatting>
  <conditionalFormatting sqref="E237:AO246">
    <cfRule type="containsBlanks" dxfId="32" priority="5">
      <formula>LEN(TRIM(E237))=0</formula>
    </cfRule>
  </conditionalFormatting>
  <conditionalFormatting sqref="E249:AO258">
    <cfRule type="containsBlanks" dxfId="31" priority="4">
      <formula>LEN(TRIM(E249))=0</formula>
    </cfRule>
  </conditionalFormatting>
  <conditionalFormatting sqref="E262:AO263">
    <cfRule type="containsBlanks" dxfId="3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sheetPr>
    <tabColor rgb="FF92D050"/>
  </sheetPr>
  <dimension ref="A2:BN264"/>
  <sheetViews>
    <sheetView topLeftCell="AR13" zoomScaleNormal="100" workbookViewId="0">
      <pane ySplit="1" topLeftCell="A257" activePane="bottomLeft" state="frozen"/>
      <selection activeCell="A13" sqref="A13"/>
      <selection pane="bottomLeft" activeCell="BH266" sqref="BH266"/>
    </sheetView>
  </sheetViews>
  <sheetFormatPr defaultRowHeight="13.15" x14ac:dyDescent="0.4"/>
  <cols>
    <col min="3" max="3" width="67.140625" bestFit="1" customWidth="1"/>
    <col min="4" max="4" width="5.85546875" bestFit="1" customWidth="1"/>
    <col min="64" max="64" width="13.28515625" customWidth="1"/>
  </cols>
  <sheetData>
    <row r="2" spans="1:64" x14ac:dyDescent="0.4">
      <c r="C2" s="43" t="s">
        <v>116</v>
      </c>
      <c r="D2" s="43" t="s">
        <v>257</v>
      </c>
    </row>
    <row r="3" spans="1:64" x14ac:dyDescent="0.4">
      <c r="C3" s="43" t="s">
        <v>117</v>
      </c>
      <c r="D3" s="43" t="s">
        <v>118</v>
      </c>
    </row>
    <row r="4" spans="1:64" x14ac:dyDescent="0.4">
      <c r="C4" s="43" t="s">
        <v>119</v>
      </c>
      <c r="D4" s="43" t="s">
        <v>120</v>
      </c>
    </row>
    <row r="5" spans="1:64" x14ac:dyDescent="0.4">
      <c r="C5" s="43"/>
      <c r="D5" s="43"/>
    </row>
    <row r="6" spans="1:64" x14ac:dyDescent="0.4">
      <c r="C6" s="43"/>
      <c r="D6" s="43"/>
    </row>
    <row r="7" spans="1:64" x14ac:dyDescent="0.4">
      <c r="C7" s="43"/>
      <c r="D7" s="43"/>
    </row>
    <row r="8" spans="1:64" x14ac:dyDescent="0.4">
      <c r="C8" s="43"/>
      <c r="D8" s="43"/>
    </row>
    <row r="9" spans="1:64" x14ac:dyDescent="0.4">
      <c r="C9" s="43" t="s">
        <v>121</v>
      </c>
      <c r="D9" s="43" t="s">
        <v>264</v>
      </c>
    </row>
    <row r="11" spans="1:6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  <c r="AE11" s="1"/>
      <c r="AF11" s="1"/>
      <c r="AG11" s="1"/>
      <c r="AH11" s="3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1"/>
      <c r="AT11" s="1"/>
      <c r="AU11" s="1"/>
      <c r="AV11" s="1"/>
      <c r="AW11" s="3"/>
      <c r="AX11" s="1"/>
      <c r="AY11" s="1"/>
      <c r="AZ11" s="1"/>
      <c r="BA11" s="1"/>
      <c r="BB11" s="3"/>
      <c r="BC11" s="1"/>
      <c r="BD11" s="1"/>
      <c r="BE11" s="1"/>
      <c r="BF11" s="1"/>
      <c r="BG11" s="3"/>
      <c r="BH11" s="1"/>
      <c r="BI11" s="1"/>
      <c r="BJ11" s="1"/>
      <c r="BK11" s="1"/>
    </row>
    <row r="12" spans="1:64" x14ac:dyDescent="0.4">
      <c r="A12" s="5" t="s">
        <v>0</v>
      </c>
      <c r="B12" s="75" t="s">
        <v>1</v>
      </c>
      <c r="C12" s="83"/>
      <c r="D12" s="74"/>
      <c r="E12" s="100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2" t="s">
        <v>115</v>
      </c>
    </row>
    <row r="13" spans="1:64" x14ac:dyDescent="0.4">
      <c r="A13" s="6" t="s">
        <v>2</v>
      </c>
      <c r="B13" s="93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5" t="s">
        <v>110</v>
      </c>
      <c r="AQ13" s="5" t="s">
        <v>111</v>
      </c>
      <c r="AR13" s="5" t="s">
        <v>112</v>
      </c>
      <c r="AS13" s="5" t="s">
        <v>113</v>
      </c>
      <c r="AT13" s="5" t="s">
        <v>114</v>
      </c>
      <c r="AU13" s="5" t="s">
        <v>240</v>
      </c>
      <c r="AV13" s="5" t="s">
        <v>241</v>
      </c>
      <c r="AW13" s="5" t="s">
        <v>242</v>
      </c>
      <c r="AX13" s="5" t="s">
        <v>243</v>
      </c>
      <c r="AY13" s="5" t="s">
        <v>244</v>
      </c>
      <c r="AZ13" s="5" t="s">
        <v>245</v>
      </c>
      <c r="BA13" s="5" t="s">
        <v>246</v>
      </c>
      <c r="BB13" s="5" t="s">
        <v>247</v>
      </c>
      <c r="BC13" s="5" t="s">
        <v>248</v>
      </c>
      <c r="BD13" s="5" t="s">
        <v>249</v>
      </c>
      <c r="BE13" s="5" t="s">
        <v>250</v>
      </c>
      <c r="BF13" s="5" t="s">
        <v>251</v>
      </c>
      <c r="BG13" s="5" t="s">
        <v>252</v>
      </c>
      <c r="BH13" s="5" t="s">
        <v>253</v>
      </c>
      <c r="BI13" s="5" t="s">
        <v>254</v>
      </c>
      <c r="BJ13" s="5" t="s">
        <v>255</v>
      </c>
      <c r="BK13" s="5" t="s">
        <v>256</v>
      </c>
      <c r="BL13" s="103"/>
    </row>
    <row r="14" spans="1:64" x14ac:dyDescent="0.4">
      <c r="A14" s="7"/>
      <c r="B14" s="104" t="s">
        <v>22</v>
      </c>
      <c r="C14" s="79"/>
      <c r="D14" s="6" t="s">
        <v>23</v>
      </c>
      <c r="E14" s="6">
        <v>128</v>
      </c>
      <c r="F14" s="6">
        <v>143</v>
      </c>
      <c r="G14" s="6">
        <v>132</v>
      </c>
      <c r="H14" s="6">
        <v>93</v>
      </c>
      <c r="I14" s="6">
        <v>143</v>
      </c>
      <c r="J14" s="6">
        <v>135</v>
      </c>
      <c r="K14" s="6">
        <v>131</v>
      </c>
      <c r="L14" s="6">
        <v>148</v>
      </c>
      <c r="M14" s="6">
        <v>151</v>
      </c>
      <c r="N14" s="6">
        <v>82</v>
      </c>
      <c r="O14" s="6">
        <v>97</v>
      </c>
      <c r="P14" s="6">
        <v>124</v>
      </c>
      <c r="Q14" s="6">
        <v>119</v>
      </c>
      <c r="R14" s="6">
        <v>144</v>
      </c>
      <c r="S14" s="6">
        <v>141</v>
      </c>
      <c r="T14" s="6">
        <v>82</v>
      </c>
      <c r="U14" s="6">
        <v>130</v>
      </c>
      <c r="V14" s="6">
        <v>138</v>
      </c>
      <c r="W14" s="6">
        <v>123</v>
      </c>
      <c r="X14" s="6">
        <v>107</v>
      </c>
      <c r="Y14" s="6">
        <v>141</v>
      </c>
      <c r="Z14" s="6">
        <v>148</v>
      </c>
      <c r="AA14" s="6">
        <v>87</v>
      </c>
      <c r="AB14" s="6">
        <v>74</v>
      </c>
      <c r="AC14" s="6">
        <v>63</v>
      </c>
      <c r="AD14" s="6">
        <v>127</v>
      </c>
      <c r="AE14" s="6">
        <v>116</v>
      </c>
      <c r="AF14" s="6">
        <v>111</v>
      </c>
      <c r="AG14" s="6">
        <v>101</v>
      </c>
      <c r="AH14" s="6">
        <v>84</v>
      </c>
      <c r="AI14" s="6">
        <v>140</v>
      </c>
      <c r="AJ14" s="6">
        <v>155</v>
      </c>
      <c r="AK14" s="6">
        <v>150</v>
      </c>
      <c r="AL14" s="6">
        <v>110</v>
      </c>
      <c r="AM14" s="6">
        <v>122</v>
      </c>
      <c r="AN14" s="6">
        <v>90</v>
      </c>
      <c r="AO14" s="6">
        <v>131</v>
      </c>
      <c r="AP14" s="6">
        <v>77</v>
      </c>
      <c r="AQ14" s="6">
        <v>92</v>
      </c>
      <c r="AR14" s="6">
        <v>150</v>
      </c>
      <c r="AS14" s="6">
        <v>128</v>
      </c>
      <c r="AT14" s="6">
        <v>103</v>
      </c>
      <c r="AU14" s="6">
        <v>96</v>
      </c>
      <c r="AV14" s="6">
        <v>80</v>
      </c>
      <c r="AW14" s="6">
        <v>134</v>
      </c>
      <c r="AX14" s="6">
        <v>113</v>
      </c>
      <c r="AY14" s="6">
        <v>105</v>
      </c>
      <c r="AZ14" s="6">
        <v>105</v>
      </c>
      <c r="BA14" s="6">
        <v>71</v>
      </c>
      <c r="BB14" s="6">
        <v>88</v>
      </c>
      <c r="BC14" s="6">
        <v>136</v>
      </c>
      <c r="BD14" s="6">
        <v>120</v>
      </c>
      <c r="BE14" s="6">
        <v>138</v>
      </c>
      <c r="BF14" s="6">
        <v>130</v>
      </c>
      <c r="BG14" s="6">
        <v>55</v>
      </c>
      <c r="BH14" s="6">
        <v>95</v>
      </c>
      <c r="BI14" s="6">
        <v>89</v>
      </c>
      <c r="BJ14" s="6">
        <v>88</v>
      </c>
      <c r="BK14" s="6">
        <v>101</v>
      </c>
      <c r="BL14" s="5">
        <f>SUM(E14:BK14)</f>
        <v>6735</v>
      </c>
    </row>
    <row r="15" spans="1:64" x14ac:dyDescent="0.4">
      <c r="A15" s="7"/>
      <c r="B15" s="105"/>
      <c r="C15" s="89"/>
      <c r="D15" s="6" t="s">
        <v>24</v>
      </c>
      <c r="E15" s="6">
        <v>134</v>
      </c>
      <c r="F15" s="6">
        <v>142</v>
      </c>
      <c r="G15" s="6">
        <v>132</v>
      </c>
      <c r="H15" s="6">
        <v>96</v>
      </c>
      <c r="I15" s="6">
        <v>156</v>
      </c>
      <c r="J15" s="6">
        <v>149</v>
      </c>
      <c r="K15" s="6">
        <v>153</v>
      </c>
      <c r="L15" s="6">
        <v>145</v>
      </c>
      <c r="M15" s="6">
        <v>144</v>
      </c>
      <c r="N15" s="6">
        <v>93</v>
      </c>
      <c r="O15" s="6">
        <v>103</v>
      </c>
      <c r="P15" s="6">
        <v>152</v>
      </c>
      <c r="Q15" s="6">
        <v>111</v>
      </c>
      <c r="R15" s="6">
        <v>149</v>
      </c>
      <c r="S15" s="6">
        <v>147</v>
      </c>
      <c r="T15" s="6">
        <v>73</v>
      </c>
      <c r="U15" s="6">
        <v>163</v>
      </c>
      <c r="V15" s="6">
        <v>133</v>
      </c>
      <c r="W15" s="6">
        <v>147</v>
      </c>
      <c r="X15" s="6">
        <v>112</v>
      </c>
      <c r="Y15" s="6">
        <v>144</v>
      </c>
      <c r="Z15" s="6">
        <v>149</v>
      </c>
      <c r="AA15" s="6">
        <v>95</v>
      </c>
      <c r="AB15" s="6">
        <v>81</v>
      </c>
      <c r="AC15" s="6">
        <v>73</v>
      </c>
      <c r="AD15" s="6">
        <v>133</v>
      </c>
      <c r="AE15" s="6">
        <v>122</v>
      </c>
      <c r="AF15" s="6">
        <v>94</v>
      </c>
      <c r="AG15" s="6">
        <v>116</v>
      </c>
      <c r="AH15" s="6">
        <v>89</v>
      </c>
      <c r="AI15" s="6">
        <v>152</v>
      </c>
      <c r="AJ15" s="6">
        <v>144</v>
      </c>
      <c r="AK15" s="6">
        <v>147</v>
      </c>
      <c r="AL15" s="6">
        <v>101</v>
      </c>
      <c r="AM15" s="6">
        <v>120</v>
      </c>
      <c r="AN15" s="6">
        <v>105</v>
      </c>
      <c r="AO15" s="6">
        <v>131</v>
      </c>
      <c r="AP15" s="6">
        <v>82</v>
      </c>
      <c r="AQ15" s="6">
        <v>88</v>
      </c>
      <c r="AR15" s="6">
        <v>149</v>
      </c>
      <c r="AS15" s="6">
        <v>156</v>
      </c>
      <c r="AT15" s="6">
        <v>110</v>
      </c>
      <c r="AU15" s="6">
        <v>86</v>
      </c>
      <c r="AV15" s="6">
        <v>80</v>
      </c>
      <c r="AW15" s="6">
        <v>137</v>
      </c>
      <c r="AX15" s="6">
        <v>120</v>
      </c>
      <c r="AY15" s="6">
        <v>105</v>
      </c>
      <c r="AZ15" s="6">
        <v>120</v>
      </c>
      <c r="BA15" s="6">
        <v>68</v>
      </c>
      <c r="BB15" s="6">
        <v>106</v>
      </c>
      <c r="BC15" s="6">
        <v>142</v>
      </c>
      <c r="BD15" s="6">
        <v>141</v>
      </c>
      <c r="BE15" s="6">
        <v>141</v>
      </c>
      <c r="BF15" s="6">
        <v>162</v>
      </c>
      <c r="BG15" s="6">
        <v>57</v>
      </c>
      <c r="BH15" s="6">
        <v>99</v>
      </c>
      <c r="BI15" s="6">
        <v>100</v>
      </c>
      <c r="BJ15" s="6">
        <v>99</v>
      </c>
      <c r="BK15" s="6">
        <v>112</v>
      </c>
      <c r="BL15" s="5">
        <f>SUM(E15:BK15)</f>
        <v>7090</v>
      </c>
    </row>
    <row r="16" spans="1:64" x14ac:dyDescent="0.4">
      <c r="A16" s="8"/>
      <c r="B16" s="106"/>
      <c r="C16" s="90"/>
      <c r="D16" s="5" t="s">
        <v>25</v>
      </c>
      <c r="E16" s="5">
        <f t="shared" ref="E16:BK16" si="0">SUM(E14:E15)</f>
        <v>262</v>
      </c>
      <c r="F16" s="5">
        <f t="shared" si="0"/>
        <v>285</v>
      </c>
      <c r="G16" s="5">
        <f t="shared" si="0"/>
        <v>264</v>
      </c>
      <c r="H16" s="5">
        <f t="shared" si="0"/>
        <v>189</v>
      </c>
      <c r="I16" s="5">
        <f t="shared" si="0"/>
        <v>299</v>
      </c>
      <c r="J16" s="5">
        <f t="shared" si="0"/>
        <v>284</v>
      </c>
      <c r="K16" s="5">
        <f t="shared" si="0"/>
        <v>284</v>
      </c>
      <c r="L16" s="5">
        <f t="shared" si="0"/>
        <v>293</v>
      </c>
      <c r="M16" s="5">
        <f t="shared" si="0"/>
        <v>295</v>
      </c>
      <c r="N16" s="5">
        <f t="shared" si="0"/>
        <v>175</v>
      </c>
      <c r="O16" s="5">
        <f t="shared" ref="O16:S16" si="1">SUM(O14:O15)</f>
        <v>200</v>
      </c>
      <c r="P16" s="5">
        <f t="shared" si="1"/>
        <v>276</v>
      </c>
      <c r="Q16" s="5">
        <f t="shared" si="1"/>
        <v>230</v>
      </c>
      <c r="R16" s="5">
        <f t="shared" si="1"/>
        <v>293</v>
      </c>
      <c r="S16" s="5">
        <f t="shared" si="1"/>
        <v>288</v>
      </c>
      <c r="T16" s="5">
        <f t="shared" si="0"/>
        <v>155</v>
      </c>
      <c r="U16" s="5">
        <f t="shared" si="0"/>
        <v>293</v>
      </c>
      <c r="V16" s="5">
        <f t="shared" si="0"/>
        <v>271</v>
      </c>
      <c r="W16" s="5">
        <f t="shared" si="0"/>
        <v>270</v>
      </c>
      <c r="X16" s="5">
        <f t="shared" si="0"/>
        <v>219</v>
      </c>
      <c r="Y16" s="5">
        <f t="shared" ref="Y16:AC16" si="2">SUM(Y14:Y15)</f>
        <v>285</v>
      </c>
      <c r="Z16" s="5">
        <f t="shared" si="2"/>
        <v>297</v>
      </c>
      <c r="AA16" s="5">
        <f t="shared" si="2"/>
        <v>182</v>
      </c>
      <c r="AB16" s="5">
        <f t="shared" si="2"/>
        <v>155</v>
      </c>
      <c r="AC16" s="5">
        <f t="shared" si="2"/>
        <v>136</v>
      </c>
      <c r="AD16" s="5">
        <f t="shared" si="0"/>
        <v>260</v>
      </c>
      <c r="AE16" s="5">
        <f t="shared" si="0"/>
        <v>238</v>
      </c>
      <c r="AF16" s="5">
        <f t="shared" si="0"/>
        <v>205</v>
      </c>
      <c r="AG16" s="5">
        <f t="shared" si="0"/>
        <v>217</v>
      </c>
      <c r="AH16" s="5">
        <f t="shared" si="0"/>
        <v>173</v>
      </c>
      <c r="AI16" s="5">
        <f t="shared" ref="AI16:AM16" si="3">SUM(AI14:AI15)</f>
        <v>292</v>
      </c>
      <c r="AJ16" s="5">
        <f t="shared" si="3"/>
        <v>299</v>
      </c>
      <c r="AK16" s="5">
        <f t="shared" si="3"/>
        <v>297</v>
      </c>
      <c r="AL16" s="5">
        <f t="shared" si="3"/>
        <v>211</v>
      </c>
      <c r="AM16" s="5">
        <f t="shared" si="3"/>
        <v>242</v>
      </c>
      <c r="AN16" s="5">
        <f t="shared" si="0"/>
        <v>195</v>
      </c>
      <c r="AO16" s="5">
        <f t="shared" si="0"/>
        <v>262</v>
      </c>
      <c r="AP16" s="5">
        <f t="shared" si="0"/>
        <v>159</v>
      </c>
      <c r="AQ16" s="5">
        <f t="shared" si="0"/>
        <v>180</v>
      </c>
      <c r="AR16" s="5">
        <f t="shared" si="0"/>
        <v>299</v>
      </c>
      <c r="AS16" s="5">
        <f t="shared" ref="AS16:AW16" si="4">SUM(AS14:AS15)</f>
        <v>284</v>
      </c>
      <c r="AT16" s="5">
        <f t="shared" si="4"/>
        <v>213</v>
      </c>
      <c r="AU16" s="5">
        <f t="shared" si="4"/>
        <v>182</v>
      </c>
      <c r="AV16" s="5">
        <f t="shared" si="4"/>
        <v>160</v>
      </c>
      <c r="AW16" s="5">
        <f t="shared" si="4"/>
        <v>271</v>
      </c>
      <c r="AX16" s="5">
        <f t="shared" si="0"/>
        <v>233</v>
      </c>
      <c r="AY16" s="5">
        <f t="shared" si="0"/>
        <v>210</v>
      </c>
      <c r="AZ16" s="5">
        <f t="shared" si="0"/>
        <v>225</v>
      </c>
      <c r="BA16" s="5">
        <f t="shared" si="0"/>
        <v>139</v>
      </c>
      <c r="BB16" s="5">
        <f t="shared" si="0"/>
        <v>194</v>
      </c>
      <c r="BC16" s="5">
        <f t="shared" ref="BC16:BG16" si="5">SUM(BC14:BC15)</f>
        <v>278</v>
      </c>
      <c r="BD16" s="5">
        <f t="shared" si="5"/>
        <v>261</v>
      </c>
      <c r="BE16" s="5">
        <f t="shared" si="5"/>
        <v>279</v>
      </c>
      <c r="BF16" s="5">
        <f t="shared" si="5"/>
        <v>292</v>
      </c>
      <c r="BG16" s="5">
        <f t="shared" si="5"/>
        <v>112</v>
      </c>
      <c r="BH16" s="5">
        <f t="shared" si="0"/>
        <v>194</v>
      </c>
      <c r="BI16" s="5">
        <f t="shared" si="0"/>
        <v>189</v>
      </c>
      <c r="BJ16" s="5">
        <f t="shared" si="0"/>
        <v>187</v>
      </c>
      <c r="BK16" s="5">
        <f t="shared" si="0"/>
        <v>213</v>
      </c>
      <c r="BL16" s="5">
        <f>SUM(E16:BK16)</f>
        <v>13825</v>
      </c>
    </row>
    <row r="17" spans="1:64" x14ac:dyDescent="0.4">
      <c r="A17" s="70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  <c r="AG17" s="6"/>
      <c r="AH17" s="10"/>
      <c r="AI17" s="6"/>
      <c r="AJ17" s="6"/>
      <c r="AK17" s="6"/>
      <c r="AL17" s="6"/>
      <c r="AM17" s="10"/>
      <c r="AN17" s="6"/>
      <c r="AO17" s="6"/>
      <c r="AP17" s="6"/>
      <c r="AQ17" s="6"/>
      <c r="AR17" s="10"/>
      <c r="AS17" s="6"/>
      <c r="AT17" s="6"/>
      <c r="AU17" s="6"/>
      <c r="AV17" s="6"/>
      <c r="AW17" s="10"/>
      <c r="AX17" s="6"/>
      <c r="AY17" s="6"/>
      <c r="AZ17" s="6"/>
      <c r="BA17" s="6"/>
      <c r="BB17" s="10"/>
      <c r="BC17" s="6"/>
      <c r="BD17" s="6"/>
      <c r="BE17" s="6"/>
      <c r="BF17" s="6"/>
      <c r="BG17" s="10"/>
      <c r="BH17" s="6"/>
      <c r="BI17" s="6"/>
      <c r="BJ17" s="6"/>
      <c r="BK17" s="6"/>
      <c r="BL17" s="28"/>
    </row>
    <row r="18" spans="1:64" x14ac:dyDescent="0.4">
      <c r="A18" s="11" t="s">
        <v>26</v>
      </c>
      <c r="B18" s="93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6"/>
      <c r="AF18" s="6"/>
      <c r="AG18" s="6"/>
      <c r="AH18" s="10"/>
      <c r="AI18" s="6"/>
      <c r="AJ18" s="6"/>
      <c r="AK18" s="6"/>
      <c r="AL18" s="6"/>
      <c r="AM18" s="10"/>
      <c r="AN18" s="6"/>
      <c r="AO18" s="6"/>
      <c r="AP18" s="6"/>
      <c r="AQ18" s="6"/>
      <c r="AR18" s="10"/>
      <c r="AS18" s="6"/>
      <c r="AT18" s="6"/>
      <c r="AU18" s="6"/>
      <c r="AV18" s="6"/>
      <c r="AW18" s="10"/>
      <c r="AX18" s="6"/>
      <c r="AY18" s="6"/>
      <c r="AZ18" s="6"/>
      <c r="BA18" s="6"/>
      <c r="BB18" s="10"/>
      <c r="BC18" s="6"/>
      <c r="BD18" s="6"/>
      <c r="BE18" s="6"/>
      <c r="BF18" s="6"/>
      <c r="BG18" s="10"/>
      <c r="BH18" s="6"/>
      <c r="BI18" s="6"/>
      <c r="BJ18" s="6"/>
      <c r="BK18" s="6"/>
      <c r="BL18" s="28"/>
    </row>
    <row r="19" spans="1:64" x14ac:dyDescent="0.4">
      <c r="A19" s="11"/>
      <c r="B19" s="94" t="s">
        <v>28</v>
      </c>
      <c r="C19" s="95" t="s">
        <v>29</v>
      </c>
      <c r="D19" s="6" t="s">
        <v>23</v>
      </c>
      <c r="E19" s="6">
        <v>89</v>
      </c>
      <c r="F19" s="6">
        <v>92</v>
      </c>
      <c r="G19" s="6">
        <v>100</v>
      </c>
      <c r="H19" s="6">
        <v>69</v>
      </c>
      <c r="I19" s="6">
        <v>106</v>
      </c>
      <c r="J19" s="6">
        <v>93</v>
      </c>
      <c r="K19" s="6">
        <v>82</v>
      </c>
      <c r="L19" s="6">
        <v>109</v>
      </c>
      <c r="M19" s="6">
        <v>112</v>
      </c>
      <c r="N19" s="6">
        <v>53</v>
      </c>
      <c r="O19" s="6">
        <v>77</v>
      </c>
      <c r="P19" s="6">
        <v>96</v>
      </c>
      <c r="Q19" s="6">
        <v>112</v>
      </c>
      <c r="R19" s="6">
        <v>119</v>
      </c>
      <c r="S19" s="6">
        <v>105</v>
      </c>
      <c r="T19" s="6">
        <v>62</v>
      </c>
      <c r="U19" s="6">
        <v>90</v>
      </c>
      <c r="V19" s="6">
        <v>84</v>
      </c>
      <c r="W19" s="6">
        <v>87</v>
      </c>
      <c r="X19" s="6">
        <v>75</v>
      </c>
      <c r="Y19" s="6">
        <v>105</v>
      </c>
      <c r="Z19" s="6">
        <v>112</v>
      </c>
      <c r="AA19" s="6">
        <v>63</v>
      </c>
      <c r="AB19" s="6">
        <v>61</v>
      </c>
      <c r="AC19" s="6">
        <v>53</v>
      </c>
      <c r="AD19" s="6">
        <v>93</v>
      </c>
      <c r="AE19" s="6">
        <v>93</v>
      </c>
      <c r="AF19" s="6">
        <v>88</v>
      </c>
      <c r="AG19" s="6">
        <v>74</v>
      </c>
      <c r="AH19" s="6">
        <v>58</v>
      </c>
      <c r="AI19" s="6">
        <v>103</v>
      </c>
      <c r="AJ19" s="6">
        <v>112</v>
      </c>
      <c r="AK19" s="6">
        <v>114</v>
      </c>
      <c r="AL19" s="6">
        <v>90</v>
      </c>
      <c r="AM19" s="6">
        <v>90</v>
      </c>
      <c r="AN19" s="6">
        <v>68</v>
      </c>
      <c r="AO19" s="6">
        <v>87</v>
      </c>
      <c r="AP19" s="6">
        <v>57</v>
      </c>
      <c r="AQ19" s="6">
        <v>66</v>
      </c>
      <c r="AR19" s="6">
        <v>117</v>
      </c>
      <c r="AS19" s="6">
        <v>102</v>
      </c>
      <c r="AT19" s="6">
        <v>72</v>
      </c>
      <c r="AU19" s="6">
        <v>60</v>
      </c>
      <c r="AV19" s="6">
        <v>60</v>
      </c>
      <c r="AW19" s="6">
        <v>101</v>
      </c>
      <c r="AX19" s="6">
        <v>88</v>
      </c>
      <c r="AY19" s="6">
        <v>87</v>
      </c>
      <c r="AZ19" s="6">
        <v>89</v>
      </c>
      <c r="BA19" s="6">
        <v>60</v>
      </c>
      <c r="BB19" s="6">
        <v>58</v>
      </c>
      <c r="BC19" s="6">
        <v>86</v>
      </c>
      <c r="BD19" s="6">
        <v>74</v>
      </c>
      <c r="BE19" s="6">
        <v>103</v>
      </c>
      <c r="BF19" s="6">
        <v>79</v>
      </c>
      <c r="BG19" s="6">
        <v>54</v>
      </c>
      <c r="BH19" s="6">
        <v>86</v>
      </c>
      <c r="BI19" s="6">
        <v>82</v>
      </c>
      <c r="BJ19" s="6">
        <v>66</v>
      </c>
      <c r="BK19" s="6">
        <v>89</v>
      </c>
      <c r="BL19" s="5">
        <f t="shared" ref="BL19:BL30" si="6">SUM(E19:BK19)</f>
        <v>5012</v>
      </c>
    </row>
    <row r="20" spans="1:64" x14ac:dyDescent="0.4">
      <c r="A20" s="12"/>
      <c r="B20" s="89"/>
      <c r="C20" s="96"/>
      <c r="D20" s="6" t="s">
        <v>24</v>
      </c>
      <c r="E20" s="6">
        <v>96</v>
      </c>
      <c r="F20" s="6">
        <v>102</v>
      </c>
      <c r="G20" s="6">
        <v>104</v>
      </c>
      <c r="H20" s="6">
        <v>82</v>
      </c>
      <c r="I20" s="6">
        <v>121</v>
      </c>
      <c r="J20" s="6">
        <v>114</v>
      </c>
      <c r="K20" s="6">
        <v>117</v>
      </c>
      <c r="L20" s="6">
        <v>109</v>
      </c>
      <c r="M20" s="6">
        <v>116</v>
      </c>
      <c r="N20" s="6">
        <v>77</v>
      </c>
      <c r="O20" s="6">
        <v>77</v>
      </c>
      <c r="P20" s="6">
        <v>105</v>
      </c>
      <c r="Q20" s="6">
        <v>104</v>
      </c>
      <c r="R20" s="6">
        <v>126</v>
      </c>
      <c r="S20" s="6">
        <v>125</v>
      </c>
      <c r="T20" s="6">
        <v>59</v>
      </c>
      <c r="U20" s="6">
        <v>123</v>
      </c>
      <c r="V20" s="6">
        <v>92</v>
      </c>
      <c r="W20" s="6">
        <v>104</v>
      </c>
      <c r="X20" s="6">
        <v>86</v>
      </c>
      <c r="Y20" s="6">
        <v>108</v>
      </c>
      <c r="Z20" s="6">
        <v>128</v>
      </c>
      <c r="AA20" s="6">
        <v>70</v>
      </c>
      <c r="AB20" s="6">
        <v>66</v>
      </c>
      <c r="AC20" s="6">
        <v>67</v>
      </c>
      <c r="AD20" s="6">
        <v>104</v>
      </c>
      <c r="AE20" s="6">
        <v>94</v>
      </c>
      <c r="AF20" s="6">
        <v>84</v>
      </c>
      <c r="AG20" s="6">
        <v>99</v>
      </c>
      <c r="AH20" s="6">
        <v>70</v>
      </c>
      <c r="AI20" s="6">
        <v>125</v>
      </c>
      <c r="AJ20" s="6">
        <v>111</v>
      </c>
      <c r="AK20" s="6">
        <v>113</v>
      </c>
      <c r="AL20" s="6">
        <v>87</v>
      </c>
      <c r="AM20" s="6">
        <v>91</v>
      </c>
      <c r="AN20" s="6">
        <v>77</v>
      </c>
      <c r="AO20" s="6">
        <v>102</v>
      </c>
      <c r="AP20" s="6">
        <v>76</v>
      </c>
      <c r="AQ20" s="6">
        <v>70</v>
      </c>
      <c r="AR20" s="6">
        <v>131</v>
      </c>
      <c r="AS20" s="6">
        <v>128</v>
      </c>
      <c r="AT20" s="6">
        <v>84</v>
      </c>
      <c r="AU20" s="6">
        <v>71</v>
      </c>
      <c r="AV20" s="6">
        <v>66</v>
      </c>
      <c r="AW20" s="6">
        <v>104</v>
      </c>
      <c r="AX20" s="6">
        <v>96</v>
      </c>
      <c r="AY20" s="6">
        <v>90</v>
      </c>
      <c r="AZ20" s="6">
        <v>96</v>
      </c>
      <c r="BA20" s="6">
        <v>61</v>
      </c>
      <c r="BB20" s="6">
        <v>85</v>
      </c>
      <c r="BC20" s="6">
        <v>98</v>
      </c>
      <c r="BD20" s="6">
        <v>102</v>
      </c>
      <c r="BE20" s="6">
        <v>107</v>
      </c>
      <c r="BF20" s="6">
        <v>107</v>
      </c>
      <c r="BG20" s="6">
        <v>57</v>
      </c>
      <c r="BH20" s="6">
        <v>96</v>
      </c>
      <c r="BI20" s="6">
        <v>95</v>
      </c>
      <c r="BJ20" s="6">
        <v>68</v>
      </c>
      <c r="BK20" s="6">
        <v>104</v>
      </c>
      <c r="BL20" s="5">
        <f t="shared" si="6"/>
        <v>5627</v>
      </c>
    </row>
    <row r="21" spans="1:64" x14ac:dyDescent="0.4">
      <c r="A21" s="13"/>
      <c r="B21" s="90"/>
      <c r="C21" s="97"/>
      <c r="D21" s="5" t="s">
        <v>25</v>
      </c>
      <c r="E21" s="5">
        <f t="shared" ref="E21:BK21" si="7">SUM(E19:E20)</f>
        <v>185</v>
      </c>
      <c r="F21" s="5">
        <f t="shared" si="7"/>
        <v>194</v>
      </c>
      <c r="G21" s="5">
        <f t="shared" si="7"/>
        <v>204</v>
      </c>
      <c r="H21" s="5">
        <f t="shared" si="7"/>
        <v>151</v>
      </c>
      <c r="I21" s="5">
        <f t="shared" si="7"/>
        <v>227</v>
      </c>
      <c r="J21" s="5">
        <f t="shared" si="7"/>
        <v>207</v>
      </c>
      <c r="K21" s="5">
        <f t="shared" si="7"/>
        <v>199</v>
      </c>
      <c r="L21" s="5">
        <f t="shared" si="7"/>
        <v>218</v>
      </c>
      <c r="M21" s="5">
        <f t="shared" si="7"/>
        <v>228</v>
      </c>
      <c r="N21" s="5">
        <f t="shared" si="7"/>
        <v>130</v>
      </c>
      <c r="O21" s="5">
        <f t="shared" ref="O21:S21" si="8">SUM(O19:O20)</f>
        <v>154</v>
      </c>
      <c r="P21" s="5">
        <f t="shared" si="8"/>
        <v>201</v>
      </c>
      <c r="Q21" s="5">
        <f t="shared" si="8"/>
        <v>216</v>
      </c>
      <c r="R21" s="5">
        <f t="shared" si="8"/>
        <v>245</v>
      </c>
      <c r="S21" s="5">
        <f t="shared" si="8"/>
        <v>230</v>
      </c>
      <c r="T21" s="5">
        <f t="shared" si="7"/>
        <v>121</v>
      </c>
      <c r="U21" s="5">
        <f t="shared" si="7"/>
        <v>213</v>
      </c>
      <c r="V21" s="5">
        <f t="shared" si="7"/>
        <v>176</v>
      </c>
      <c r="W21" s="5">
        <f t="shared" si="7"/>
        <v>191</v>
      </c>
      <c r="X21" s="5">
        <f t="shared" si="7"/>
        <v>161</v>
      </c>
      <c r="Y21" s="5">
        <f t="shared" ref="Y21:AC21" si="9">SUM(Y19:Y20)</f>
        <v>213</v>
      </c>
      <c r="Z21" s="5">
        <f t="shared" si="9"/>
        <v>240</v>
      </c>
      <c r="AA21" s="5">
        <f t="shared" si="9"/>
        <v>133</v>
      </c>
      <c r="AB21" s="5">
        <f t="shared" si="9"/>
        <v>127</v>
      </c>
      <c r="AC21" s="5">
        <f t="shared" si="9"/>
        <v>120</v>
      </c>
      <c r="AD21" s="5">
        <f t="shared" si="7"/>
        <v>197</v>
      </c>
      <c r="AE21" s="5">
        <f t="shared" si="7"/>
        <v>187</v>
      </c>
      <c r="AF21" s="5">
        <f t="shared" si="7"/>
        <v>172</v>
      </c>
      <c r="AG21" s="5">
        <f t="shared" si="7"/>
        <v>173</v>
      </c>
      <c r="AH21" s="5">
        <f t="shared" si="7"/>
        <v>128</v>
      </c>
      <c r="AI21" s="5">
        <f t="shared" ref="AI21:AM21" si="10">SUM(AI19:AI20)</f>
        <v>228</v>
      </c>
      <c r="AJ21" s="5">
        <f t="shared" si="10"/>
        <v>223</v>
      </c>
      <c r="AK21" s="5">
        <f t="shared" si="10"/>
        <v>227</v>
      </c>
      <c r="AL21" s="5">
        <f t="shared" si="10"/>
        <v>177</v>
      </c>
      <c r="AM21" s="5">
        <f t="shared" si="10"/>
        <v>181</v>
      </c>
      <c r="AN21" s="5">
        <f t="shared" si="7"/>
        <v>145</v>
      </c>
      <c r="AO21" s="5">
        <f t="shared" si="7"/>
        <v>189</v>
      </c>
      <c r="AP21" s="5">
        <f t="shared" si="7"/>
        <v>133</v>
      </c>
      <c r="AQ21" s="5">
        <f t="shared" si="7"/>
        <v>136</v>
      </c>
      <c r="AR21" s="5">
        <f t="shared" si="7"/>
        <v>248</v>
      </c>
      <c r="AS21" s="5">
        <f t="shared" ref="AS21:AW21" si="11">SUM(AS19:AS20)</f>
        <v>230</v>
      </c>
      <c r="AT21" s="5">
        <f t="shared" si="11"/>
        <v>156</v>
      </c>
      <c r="AU21" s="5">
        <f t="shared" si="11"/>
        <v>131</v>
      </c>
      <c r="AV21" s="5">
        <f t="shared" si="11"/>
        <v>126</v>
      </c>
      <c r="AW21" s="5">
        <f t="shared" si="11"/>
        <v>205</v>
      </c>
      <c r="AX21" s="5">
        <f t="shared" si="7"/>
        <v>184</v>
      </c>
      <c r="AY21" s="5">
        <f t="shared" si="7"/>
        <v>177</v>
      </c>
      <c r="AZ21" s="5">
        <f t="shared" si="7"/>
        <v>185</v>
      </c>
      <c r="BA21" s="5">
        <f t="shared" si="7"/>
        <v>121</v>
      </c>
      <c r="BB21" s="5">
        <f t="shared" si="7"/>
        <v>143</v>
      </c>
      <c r="BC21" s="5">
        <f t="shared" ref="BC21:BG21" si="12">SUM(BC19:BC20)</f>
        <v>184</v>
      </c>
      <c r="BD21" s="5">
        <f t="shared" si="12"/>
        <v>176</v>
      </c>
      <c r="BE21" s="5">
        <f t="shared" si="12"/>
        <v>210</v>
      </c>
      <c r="BF21" s="5">
        <f t="shared" si="12"/>
        <v>186</v>
      </c>
      <c r="BG21" s="5">
        <f t="shared" si="12"/>
        <v>111</v>
      </c>
      <c r="BH21" s="5">
        <f t="shared" si="7"/>
        <v>182</v>
      </c>
      <c r="BI21" s="5">
        <f t="shared" si="7"/>
        <v>177</v>
      </c>
      <c r="BJ21" s="5">
        <f t="shared" si="7"/>
        <v>134</v>
      </c>
      <c r="BK21" s="5">
        <f t="shared" si="7"/>
        <v>193</v>
      </c>
      <c r="BL21" s="5">
        <f t="shared" si="6"/>
        <v>10639</v>
      </c>
    </row>
    <row r="22" spans="1:64" x14ac:dyDescent="0.4">
      <c r="A22" s="12"/>
      <c r="B22" s="94" t="s">
        <v>30</v>
      </c>
      <c r="C22" s="95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1</v>
      </c>
      <c r="AG22" s="6"/>
      <c r="AH22" s="6"/>
      <c r="AI22" s="6"/>
      <c r="AJ22" s="6"/>
      <c r="AK22" s="6"/>
      <c r="AL22" s="6"/>
      <c r="AM22" s="6"/>
      <c r="AN22" s="6">
        <v>1</v>
      </c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</v>
      </c>
      <c r="BA22" s="6"/>
      <c r="BB22" s="6"/>
      <c r="BC22" s="6">
        <v>1</v>
      </c>
      <c r="BD22" s="6">
        <v>1</v>
      </c>
      <c r="BE22" s="6"/>
      <c r="BF22" s="6"/>
      <c r="BG22" s="6">
        <v>1</v>
      </c>
      <c r="BH22" s="6">
        <v>1</v>
      </c>
      <c r="BI22" s="6"/>
      <c r="BJ22" s="6"/>
      <c r="BK22" s="6">
        <v>2</v>
      </c>
      <c r="BL22" s="5">
        <f t="shared" si="6"/>
        <v>10</v>
      </c>
    </row>
    <row r="23" spans="1:64" x14ac:dyDescent="0.4">
      <c r="A23" s="12"/>
      <c r="B23" s="89"/>
      <c r="C23" s="96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4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>
        <v>1</v>
      </c>
      <c r="AK23" s="6"/>
      <c r="AL23" s="6"/>
      <c r="AM23" s="6"/>
      <c r="AN23" s="6"/>
      <c r="AO23" s="6">
        <v>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1</v>
      </c>
      <c r="BL23" s="5">
        <f t="shared" si="6"/>
        <v>8</v>
      </c>
    </row>
    <row r="24" spans="1:64" x14ac:dyDescent="0.4">
      <c r="A24" s="13"/>
      <c r="B24" s="90"/>
      <c r="C24" s="97"/>
      <c r="D24" s="5" t="s">
        <v>25</v>
      </c>
      <c r="E24" s="5">
        <f t="shared" ref="E24:BK24" si="13">SUM(E22:E23)</f>
        <v>0</v>
      </c>
      <c r="F24" s="5">
        <f t="shared" si="13"/>
        <v>0</v>
      </c>
      <c r="G24" s="5">
        <f t="shared" si="13"/>
        <v>0</v>
      </c>
      <c r="H24" s="5">
        <f t="shared" si="13"/>
        <v>0</v>
      </c>
      <c r="I24" s="5">
        <f t="shared" si="13"/>
        <v>0</v>
      </c>
      <c r="J24" s="5">
        <f t="shared" si="13"/>
        <v>0</v>
      </c>
      <c r="K24" s="5">
        <f t="shared" si="13"/>
        <v>0</v>
      </c>
      <c r="L24" s="5">
        <f t="shared" si="13"/>
        <v>0</v>
      </c>
      <c r="M24" s="5">
        <f t="shared" si="13"/>
        <v>0</v>
      </c>
      <c r="N24" s="5">
        <f t="shared" si="13"/>
        <v>0</v>
      </c>
      <c r="O24" s="5">
        <f t="shared" ref="O24:S24" si="14">SUM(O22:O23)</f>
        <v>0</v>
      </c>
      <c r="P24" s="5">
        <f t="shared" si="14"/>
        <v>0</v>
      </c>
      <c r="Q24" s="5">
        <f t="shared" si="14"/>
        <v>4</v>
      </c>
      <c r="R24" s="5">
        <f t="shared" si="14"/>
        <v>0</v>
      </c>
      <c r="S24" s="5">
        <f t="shared" si="14"/>
        <v>0</v>
      </c>
      <c r="T24" s="5">
        <f t="shared" si="13"/>
        <v>0</v>
      </c>
      <c r="U24" s="5">
        <f t="shared" si="13"/>
        <v>0</v>
      </c>
      <c r="V24" s="5">
        <f t="shared" si="13"/>
        <v>0</v>
      </c>
      <c r="W24" s="5">
        <f t="shared" si="13"/>
        <v>0</v>
      </c>
      <c r="X24" s="5">
        <f t="shared" si="13"/>
        <v>0</v>
      </c>
      <c r="Y24" s="5">
        <f t="shared" ref="Y24:AC24" si="15">SUM(Y22:Y23)</f>
        <v>0</v>
      </c>
      <c r="Z24" s="5">
        <f t="shared" si="15"/>
        <v>0</v>
      </c>
      <c r="AA24" s="5">
        <f t="shared" si="15"/>
        <v>0</v>
      </c>
      <c r="AB24" s="5">
        <f t="shared" si="15"/>
        <v>0</v>
      </c>
      <c r="AC24" s="5">
        <f t="shared" si="15"/>
        <v>0</v>
      </c>
      <c r="AD24" s="5">
        <f t="shared" si="13"/>
        <v>0</v>
      </c>
      <c r="AE24" s="5">
        <f t="shared" si="13"/>
        <v>0</v>
      </c>
      <c r="AF24" s="5">
        <f t="shared" si="13"/>
        <v>1</v>
      </c>
      <c r="AG24" s="5">
        <f t="shared" si="13"/>
        <v>0</v>
      </c>
      <c r="AH24" s="5">
        <f t="shared" si="13"/>
        <v>0</v>
      </c>
      <c r="AI24" s="5">
        <f t="shared" ref="AI24:AM24" si="16">SUM(AI22:AI23)</f>
        <v>0</v>
      </c>
      <c r="AJ24" s="5">
        <f t="shared" si="16"/>
        <v>1</v>
      </c>
      <c r="AK24" s="5">
        <f t="shared" si="16"/>
        <v>0</v>
      </c>
      <c r="AL24" s="5">
        <f t="shared" si="16"/>
        <v>0</v>
      </c>
      <c r="AM24" s="5">
        <f t="shared" si="16"/>
        <v>0</v>
      </c>
      <c r="AN24" s="5">
        <f t="shared" si="13"/>
        <v>1</v>
      </c>
      <c r="AO24" s="5">
        <f t="shared" si="13"/>
        <v>1</v>
      </c>
      <c r="AP24" s="5">
        <f t="shared" si="13"/>
        <v>0</v>
      </c>
      <c r="AQ24" s="5">
        <f t="shared" si="13"/>
        <v>0</v>
      </c>
      <c r="AR24" s="5">
        <f t="shared" si="13"/>
        <v>0</v>
      </c>
      <c r="AS24" s="5">
        <f t="shared" ref="AS24:AW24" si="17">SUM(AS22:AS23)</f>
        <v>0</v>
      </c>
      <c r="AT24" s="5">
        <f t="shared" si="17"/>
        <v>0</v>
      </c>
      <c r="AU24" s="5">
        <f t="shared" si="17"/>
        <v>0</v>
      </c>
      <c r="AV24" s="5">
        <f t="shared" si="17"/>
        <v>0</v>
      </c>
      <c r="AW24" s="5">
        <f t="shared" si="17"/>
        <v>0</v>
      </c>
      <c r="AX24" s="5">
        <f t="shared" si="13"/>
        <v>0</v>
      </c>
      <c r="AY24" s="5">
        <f t="shared" si="13"/>
        <v>0</v>
      </c>
      <c r="AZ24" s="5">
        <f t="shared" si="13"/>
        <v>3</v>
      </c>
      <c r="BA24" s="5">
        <f t="shared" si="13"/>
        <v>0</v>
      </c>
      <c r="BB24" s="5">
        <f t="shared" si="13"/>
        <v>0</v>
      </c>
      <c r="BC24" s="5">
        <f t="shared" ref="BC24:BG24" si="18">SUM(BC22:BC23)</f>
        <v>1</v>
      </c>
      <c r="BD24" s="5">
        <f t="shared" si="18"/>
        <v>1</v>
      </c>
      <c r="BE24" s="5">
        <f t="shared" si="18"/>
        <v>0</v>
      </c>
      <c r="BF24" s="5">
        <f t="shared" si="18"/>
        <v>0</v>
      </c>
      <c r="BG24" s="5">
        <f t="shared" si="18"/>
        <v>1</v>
      </c>
      <c r="BH24" s="5">
        <f t="shared" si="13"/>
        <v>1</v>
      </c>
      <c r="BI24" s="5">
        <f t="shared" si="13"/>
        <v>0</v>
      </c>
      <c r="BJ24" s="5">
        <f t="shared" si="13"/>
        <v>0</v>
      </c>
      <c r="BK24" s="5">
        <f t="shared" si="13"/>
        <v>3</v>
      </c>
      <c r="BL24" s="5">
        <f t="shared" si="6"/>
        <v>18</v>
      </c>
    </row>
    <row r="25" spans="1:64" x14ac:dyDescent="0.4">
      <c r="A25" s="12"/>
      <c r="B25" s="94" t="s">
        <v>32</v>
      </c>
      <c r="C25" s="95" t="s">
        <v>33</v>
      </c>
      <c r="D25" s="6" t="s">
        <v>23</v>
      </c>
      <c r="E25" s="6"/>
      <c r="F25" s="6">
        <v>2</v>
      </c>
      <c r="G25" s="6"/>
      <c r="H25" s="6">
        <v>1</v>
      </c>
      <c r="I25" s="6"/>
      <c r="J25" s="6">
        <v>1</v>
      </c>
      <c r="K25" s="6"/>
      <c r="L25" s="6">
        <v>4</v>
      </c>
      <c r="M25" s="6">
        <v>2</v>
      </c>
      <c r="N25" s="6"/>
      <c r="O25" s="6"/>
      <c r="P25" s="6">
        <v>2</v>
      </c>
      <c r="Q25" s="6"/>
      <c r="R25" s="6"/>
      <c r="S25" s="6"/>
      <c r="T25" s="6"/>
      <c r="U25" s="6"/>
      <c r="V25" s="6"/>
      <c r="W25" s="6">
        <v>2</v>
      </c>
      <c r="X25" s="6"/>
      <c r="Y25" s="6">
        <v>1</v>
      </c>
      <c r="Z25" s="6"/>
      <c r="AA25" s="6"/>
      <c r="AB25" s="6"/>
      <c r="AC25" s="6"/>
      <c r="AD25" s="6"/>
      <c r="AE25" s="6"/>
      <c r="AF25" s="6"/>
      <c r="AG25" s="6">
        <v>1</v>
      </c>
      <c r="AH25" s="6">
        <v>1</v>
      </c>
      <c r="AI25" s="6">
        <v>1</v>
      </c>
      <c r="AJ25" s="6"/>
      <c r="AK25" s="6"/>
      <c r="AL25" s="6">
        <v>1</v>
      </c>
      <c r="AM25" s="6">
        <v>2</v>
      </c>
      <c r="AN25" s="6"/>
      <c r="AO25" s="6">
        <v>3</v>
      </c>
      <c r="AP25" s="6"/>
      <c r="AQ25" s="6"/>
      <c r="AR25" s="6"/>
      <c r="AS25" s="6"/>
      <c r="AT25" s="6"/>
      <c r="AU25" s="6"/>
      <c r="AV25" s="6">
        <v>5</v>
      </c>
      <c r="AW25" s="6"/>
      <c r="AX25" s="6"/>
      <c r="AY25" s="6"/>
      <c r="AZ25" s="6">
        <v>2</v>
      </c>
      <c r="BA25" s="6"/>
      <c r="BB25" s="6"/>
      <c r="BC25" s="6">
        <v>3</v>
      </c>
      <c r="BD25" s="6"/>
      <c r="BE25" s="6"/>
      <c r="BF25" s="6"/>
      <c r="BG25" s="6"/>
      <c r="BH25" s="6"/>
      <c r="BI25" s="6"/>
      <c r="BJ25" s="6"/>
      <c r="BK25" s="6"/>
      <c r="BL25" s="5">
        <f t="shared" si="6"/>
        <v>34</v>
      </c>
    </row>
    <row r="26" spans="1:64" x14ac:dyDescent="0.4">
      <c r="A26" s="12"/>
      <c r="B26" s="89"/>
      <c r="C26" s="96"/>
      <c r="D26" s="6" t="s">
        <v>24</v>
      </c>
      <c r="E26" s="6"/>
      <c r="F26" s="6">
        <v>1</v>
      </c>
      <c r="G26" s="6"/>
      <c r="H26" s="6">
        <v>3</v>
      </c>
      <c r="I26" s="6"/>
      <c r="J26" s="6"/>
      <c r="K26" s="6">
        <v>1</v>
      </c>
      <c r="L26" s="6">
        <v>1</v>
      </c>
      <c r="M26" s="6">
        <v>1</v>
      </c>
      <c r="N26" s="6"/>
      <c r="O26" s="6"/>
      <c r="P26" s="6">
        <v>1</v>
      </c>
      <c r="Q26" s="6"/>
      <c r="R26" s="6"/>
      <c r="S26" s="6"/>
      <c r="T26" s="6"/>
      <c r="U26" s="6"/>
      <c r="V26" s="6">
        <v>1</v>
      </c>
      <c r="W26" s="6">
        <v>4</v>
      </c>
      <c r="X26" s="6"/>
      <c r="Y26" s="6">
        <v>1</v>
      </c>
      <c r="Z26" s="6"/>
      <c r="AA26" s="6"/>
      <c r="AB26" s="6"/>
      <c r="AC26" s="6"/>
      <c r="AD26" s="6"/>
      <c r="AE26" s="6"/>
      <c r="AF26" s="6">
        <v>2</v>
      </c>
      <c r="AG26" s="6">
        <v>1</v>
      </c>
      <c r="AH26" s="6">
        <v>1</v>
      </c>
      <c r="AI26" s="6">
        <v>1</v>
      </c>
      <c r="AJ26" s="6">
        <v>1</v>
      </c>
      <c r="AK26" s="6">
        <v>2</v>
      </c>
      <c r="AL26" s="6">
        <v>3</v>
      </c>
      <c r="AM26" s="6">
        <v>1</v>
      </c>
      <c r="AN26" s="6"/>
      <c r="AO26" s="6"/>
      <c r="AP26" s="6"/>
      <c r="AQ26" s="6"/>
      <c r="AR26" s="6"/>
      <c r="AS26" s="6"/>
      <c r="AT26" s="6"/>
      <c r="AU26" s="6"/>
      <c r="AV26" s="6">
        <v>1</v>
      </c>
      <c r="AW26" s="6"/>
      <c r="AX26" s="6"/>
      <c r="AY26" s="6"/>
      <c r="AZ26" s="6">
        <v>1</v>
      </c>
      <c r="BA26" s="6">
        <v>2</v>
      </c>
      <c r="BB26" s="6"/>
      <c r="BC26" s="6">
        <v>6</v>
      </c>
      <c r="BD26" s="6"/>
      <c r="BE26" s="6"/>
      <c r="BF26" s="6"/>
      <c r="BG26" s="6"/>
      <c r="BH26" s="6"/>
      <c r="BI26" s="6"/>
      <c r="BJ26" s="6"/>
      <c r="BK26" s="6"/>
      <c r="BL26" s="5">
        <f t="shared" si="6"/>
        <v>36</v>
      </c>
    </row>
    <row r="27" spans="1:64" x14ac:dyDescent="0.4">
      <c r="A27" s="13"/>
      <c r="B27" s="90"/>
      <c r="C27" s="97"/>
      <c r="D27" s="5" t="s">
        <v>25</v>
      </c>
      <c r="E27" s="5">
        <f t="shared" ref="E27" si="19">SUM(E25:E26)</f>
        <v>0</v>
      </c>
      <c r="F27" s="5">
        <f t="shared" ref="F27:BK27" si="20">SUM(F25:F26)</f>
        <v>3</v>
      </c>
      <c r="G27" s="5">
        <f t="shared" si="20"/>
        <v>0</v>
      </c>
      <c r="H27" s="5">
        <f t="shared" si="20"/>
        <v>4</v>
      </c>
      <c r="I27" s="5">
        <f t="shared" si="20"/>
        <v>0</v>
      </c>
      <c r="J27" s="5">
        <f t="shared" si="20"/>
        <v>1</v>
      </c>
      <c r="K27" s="5">
        <f t="shared" si="20"/>
        <v>1</v>
      </c>
      <c r="L27" s="5">
        <f t="shared" si="20"/>
        <v>5</v>
      </c>
      <c r="M27" s="5">
        <f t="shared" si="20"/>
        <v>3</v>
      </c>
      <c r="N27" s="5">
        <f t="shared" si="20"/>
        <v>0</v>
      </c>
      <c r="O27" s="5">
        <f t="shared" ref="O27:S27" si="21">SUM(O25:O26)</f>
        <v>0</v>
      </c>
      <c r="P27" s="5">
        <f t="shared" si="21"/>
        <v>3</v>
      </c>
      <c r="Q27" s="5">
        <f t="shared" si="21"/>
        <v>0</v>
      </c>
      <c r="R27" s="5">
        <f t="shared" si="21"/>
        <v>0</v>
      </c>
      <c r="S27" s="5">
        <f t="shared" si="21"/>
        <v>0</v>
      </c>
      <c r="T27" s="5">
        <f t="shared" si="20"/>
        <v>0</v>
      </c>
      <c r="U27" s="5">
        <f t="shared" si="20"/>
        <v>0</v>
      </c>
      <c r="V27" s="5">
        <f t="shared" si="20"/>
        <v>1</v>
      </c>
      <c r="W27" s="5">
        <f t="shared" si="20"/>
        <v>6</v>
      </c>
      <c r="X27" s="5">
        <f t="shared" si="20"/>
        <v>0</v>
      </c>
      <c r="Y27" s="5">
        <f t="shared" ref="Y27:AC27" si="22">SUM(Y25:Y26)</f>
        <v>2</v>
      </c>
      <c r="Z27" s="5">
        <f t="shared" si="22"/>
        <v>0</v>
      </c>
      <c r="AA27" s="5">
        <f t="shared" si="22"/>
        <v>0</v>
      </c>
      <c r="AB27" s="5">
        <f t="shared" si="22"/>
        <v>0</v>
      </c>
      <c r="AC27" s="5">
        <f t="shared" si="22"/>
        <v>0</v>
      </c>
      <c r="AD27" s="5">
        <f t="shared" si="20"/>
        <v>0</v>
      </c>
      <c r="AE27" s="5">
        <f t="shared" si="20"/>
        <v>0</v>
      </c>
      <c r="AF27" s="5">
        <f t="shared" si="20"/>
        <v>2</v>
      </c>
      <c r="AG27" s="5">
        <f t="shared" si="20"/>
        <v>2</v>
      </c>
      <c r="AH27" s="5">
        <f t="shared" si="20"/>
        <v>2</v>
      </c>
      <c r="AI27" s="5">
        <f t="shared" ref="AI27:AM27" si="23">SUM(AI25:AI26)</f>
        <v>2</v>
      </c>
      <c r="AJ27" s="5">
        <f t="shared" si="23"/>
        <v>1</v>
      </c>
      <c r="AK27" s="5">
        <f t="shared" si="23"/>
        <v>2</v>
      </c>
      <c r="AL27" s="5">
        <f t="shared" si="23"/>
        <v>4</v>
      </c>
      <c r="AM27" s="5">
        <f t="shared" si="23"/>
        <v>3</v>
      </c>
      <c r="AN27" s="5">
        <f t="shared" si="20"/>
        <v>0</v>
      </c>
      <c r="AO27" s="5">
        <f t="shared" si="20"/>
        <v>3</v>
      </c>
      <c r="AP27" s="5">
        <f t="shared" si="20"/>
        <v>0</v>
      </c>
      <c r="AQ27" s="5">
        <f t="shared" si="20"/>
        <v>0</v>
      </c>
      <c r="AR27" s="5">
        <f t="shared" si="20"/>
        <v>0</v>
      </c>
      <c r="AS27" s="5">
        <f t="shared" ref="AS27:AW27" si="24">SUM(AS25:AS26)</f>
        <v>0</v>
      </c>
      <c r="AT27" s="5">
        <f t="shared" si="24"/>
        <v>0</v>
      </c>
      <c r="AU27" s="5">
        <f t="shared" si="24"/>
        <v>0</v>
      </c>
      <c r="AV27" s="5">
        <f t="shared" si="24"/>
        <v>6</v>
      </c>
      <c r="AW27" s="5">
        <f t="shared" si="24"/>
        <v>0</v>
      </c>
      <c r="AX27" s="5">
        <f t="shared" si="20"/>
        <v>0</v>
      </c>
      <c r="AY27" s="5">
        <f t="shared" si="20"/>
        <v>0</v>
      </c>
      <c r="AZ27" s="5">
        <f t="shared" si="20"/>
        <v>3</v>
      </c>
      <c r="BA27" s="5">
        <f t="shared" si="20"/>
        <v>2</v>
      </c>
      <c r="BB27" s="5">
        <f t="shared" si="20"/>
        <v>0</v>
      </c>
      <c r="BC27" s="5">
        <f t="shared" ref="BC27:BG27" si="25">SUM(BC25:BC26)</f>
        <v>9</v>
      </c>
      <c r="BD27" s="5">
        <f t="shared" si="25"/>
        <v>0</v>
      </c>
      <c r="BE27" s="5">
        <f t="shared" si="25"/>
        <v>0</v>
      </c>
      <c r="BF27" s="5">
        <f t="shared" si="25"/>
        <v>0</v>
      </c>
      <c r="BG27" s="5">
        <f t="shared" si="25"/>
        <v>0</v>
      </c>
      <c r="BH27" s="5">
        <f t="shared" si="20"/>
        <v>0</v>
      </c>
      <c r="BI27" s="5">
        <f t="shared" si="20"/>
        <v>0</v>
      </c>
      <c r="BJ27" s="5">
        <f t="shared" si="20"/>
        <v>0</v>
      </c>
      <c r="BK27" s="5">
        <f t="shared" si="20"/>
        <v>0</v>
      </c>
      <c r="BL27" s="5">
        <f t="shared" si="6"/>
        <v>70</v>
      </c>
    </row>
    <row r="28" spans="1:64" x14ac:dyDescent="0.4">
      <c r="A28" s="13"/>
      <c r="B28" s="98" t="s">
        <v>34</v>
      </c>
      <c r="C28" s="99" t="s">
        <v>35</v>
      </c>
      <c r="D28" s="5" t="s">
        <v>23</v>
      </c>
      <c r="E28" s="5">
        <f>SUM(E19,E22,E25)</f>
        <v>89</v>
      </c>
      <c r="F28" s="5">
        <f t="shared" ref="F28:BK28" si="26">SUM(F19,F22,F25)</f>
        <v>94</v>
      </c>
      <c r="G28" s="5">
        <f t="shared" si="26"/>
        <v>100</v>
      </c>
      <c r="H28" s="5">
        <f t="shared" si="26"/>
        <v>70</v>
      </c>
      <c r="I28" s="5">
        <f t="shared" si="26"/>
        <v>106</v>
      </c>
      <c r="J28" s="5">
        <f t="shared" si="26"/>
        <v>94</v>
      </c>
      <c r="K28" s="5">
        <f t="shared" si="26"/>
        <v>82</v>
      </c>
      <c r="L28" s="5">
        <f t="shared" si="26"/>
        <v>113</v>
      </c>
      <c r="M28" s="5">
        <f t="shared" si="26"/>
        <v>114</v>
      </c>
      <c r="N28" s="5">
        <f t="shared" si="26"/>
        <v>53</v>
      </c>
      <c r="O28" s="5">
        <f t="shared" ref="O28:S28" si="27">SUM(O19,O22,O25)</f>
        <v>77</v>
      </c>
      <c r="P28" s="5">
        <f t="shared" si="27"/>
        <v>98</v>
      </c>
      <c r="Q28" s="5">
        <f t="shared" si="27"/>
        <v>112</v>
      </c>
      <c r="R28" s="5">
        <f t="shared" si="27"/>
        <v>119</v>
      </c>
      <c r="S28" s="5">
        <f t="shared" si="27"/>
        <v>105</v>
      </c>
      <c r="T28" s="5">
        <f t="shared" si="26"/>
        <v>62</v>
      </c>
      <c r="U28" s="5">
        <f t="shared" si="26"/>
        <v>90</v>
      </c>
      <c r="V28" s="5">
        <f t="shared" si="26"/>
        <v>84</v>
      </c>
      <c r="W28" s="5">
        <f t="shared" si="26"/>
        <v>89</v>
      </c>
      <c r="X28" s="5">
        <f t="shared" si="26"/>
        <v>75</v>
      </c>
      <c r="Y28" s="5">
        <f t="shared" ref="Y28:AC28" si="28">SUM(Y19,Y22,Y25)</f>
        <v>106</v>
      </c>
      <c r="Z28" s="5">
        <f t="shared" si="28"/>
        <v>112</v>
      </c>
      <c r="AA28" s="5">
        <f t="shared" si="28"/>
        <v>63</v>
      </c>
      <c r="AB28" s="5">
        <f t="shared" si="28"/>
        <v>61</v>
      </c>
      <c r="AC28" s="5">
        <f t="shared" si="28"/>
        <v>53</v>
      </c>
      <c r="AD28" s="5">
        <f t="shared" si="26"/>
        <v>93</v>
      </c>
      <c r="AE28" s="5">
        <f t="shared" si="26"/>
        <v>93</v>
      </c>
      <c r="AF28" s="5">
        <f t="shared" si="26"/>
        <v>89</v>
      </c>
      <c r="AG28" s="5">
        <f t="shared" si="26"/>
        <v>75</v>
      </c>
      <c r="AH28" s="5">
        <f t="shared" si="26"/>
        <v>59</v>
      </c>
      <c r="AI28" s="5">
        <f t="shared" ref="AI28:AM28" si="29">SUM(AI19,AI22,AI25)</f>
        <v>104</v>
      </c>
      <c r="AJ28" s="5">
        <f t="shared" si="29"/>
        <v>112</v>
      </c>
      <c r="AK28" s="5">
        <f t="shared" si="29"/>
        <v>114</v>
      </c>
      <c r="AL28" s="5">
        <f t="shared" si="29"/>
        <v>91</v>
      </c>
      <c r="AM28" s="5">
        <f t="shared" si="29"/>
        <v>92</v>
      </c>
      <c r="AN28" s="5">
        <f t="shared" si="26"/>
        <v>69</v>
      </c>
      <c r="AO28" s="5">
        <f t="shared" si="26"/>
        <v>90</v>
      </c>
      <c r="AP28" s="5">
        <f t="shared" si="26"/>
        <v>57</v>
      </c>
      <c r="AQ28" s="5">
        <f t="shared" si="26"/>
        <v>66</v>
      </c>
      <c r="AR28" s="5">
        <f t="shared" si="26"/>
        <v>117</v>
      </c>
      <c r="AS28" s="5">
        <f t="shared" ref="AS28:AW28" si="30">SUM(AS19,AS22,AS25)</f>
        <v>102</v>
      </c>
      <c r="AT28" s="5">
        <f t="shared" si="30"/>
        <v>72</v>
      </c>
      <c r="AU28" s="5">
        <f t="shared" si="30"/>
        <v>60</v>
      </c>
      <c r="AV28" s="5">
        <f t="shared" si="30"/>
        <v>65</v>
      </c>
      <c r="AW28" s="5">
        <f t="shared" si="30"/>
        <v>101</v>
      </c>
      <c r="AX28" s="5">
        <f t="shared" si="26"/>
        <v>88</v>
      </c>
      <c r="AY28" s="5">
        <f t="shared" si="26"/>
        <v>87</v>
      </c>
      <c r="AZ28" s="5">
        <f t="shared" si="26"/>
        <v>93</v>
      </c>
      <c r="BA28" s="5">
        <f t="shared" si="26"/>
        <v>60</v>
      </c>
      <c r="BB28" s="5">
        <f t="shared" si="26"/>
        <v>58</v>
      </c>
      <c r="BC28" s="5">
        <f t="shared" ref="BC28:BG28" si="31">SUM(BC19,BC22,BC25)</f>
        <v>90</v>
      </c>
      <c r="BD28" s="5">
        <f t="shared" si="31"/>
        <v>75</v>
      </c>
      <c r="BE28" s="5">
        <f t="shared" si="31"/>
        <v>103</v>
      </c>
      <c r="BF28" s="5">
        <f t="shared" si="31"/>
        <v>79</v>
      </c>
      <c r="BG28" s="5">
        <f t="shared" si="31"/>
        <v>55</v>
      </c>
      <c r="BH28" s="5">
        <f t="shared" si="26"/>
        <v>87</v>
      </c>
      <c r="BI28" s="5">
        <f t="shared" si="26"/>
        <v>82</v>
      </c>
      <c r="BJ28" s="5">
        <f t="shared" si="26"/>
        <v>66</v>
      </c>
      <c r="BK28" s="5">
        <f t="shared" si="26"/>
        <v>91</v>
      </c>
      <c r="BL28" s="5">
        <f t="shared" si="6"/>
        <v>5056</v>
      </c>
    </row>
    <row r="29" spans="1:64" x14ac:dyDescent="0.4">
      <c r="A29" s="13"/>
      <c r="B29" s="89"/>
      <c r="C29" s="96"/>
      <c r="D29" s="5" t="s">
        <v>24</v>
      </c>
      <c r="E29" s="5">
        <f>SUM(E20,E23,E26)</f>
        <v>96</v>
      </c>
      <c r="F29" s="5">
        <f t="shared" ref="F29:BK29" si="32">SUM(F20,F23,F26)</f>
        <v>103</v>
      </c>
      <c r="G29" s="5">
        <f t="shared" si="32"/>
        <v>104</v>
      </c>
      <c r="H29" s="5">
        <f t="shared" si="32"/>
        <v>85</v>
      </c>
      <c r="I29" s="5">
        <f t="shared" si="32"/>
        <v>121</v>
      </c>
      <c r="J29" s="5">
        <f t="shared" si="32"/>
        <v>114</v>
      </c>
      <c r="K29" s="5">
        <f t="shared" si="32"/>
        <v>118</v>
      </c>
      <c r="L29" s="5">
        <f t="shared" si="32"/>
        <v>110</v>
      </c>
      <c r="M29" s="5">
        <f t="shared" si="32"/>
        <v>117</v>
      </c>
      <c r="N29" s="5">
        <f t="shared" si="32"/>
        <v>77</v>
      </c>
      <c r="O29" s="5">
        <f t="shared" ref="O29:S29" si="33">SUM(O20,O23,O26)</f>
        <v>77</v>
      </c>
      <c r="P29" s="5">
        <f t="shared" si="33"/>
        <v>106</v>
      </c>
      <c r="Q29" s="5">
        <f t="shared" si="33"/>
        <v>108</v>
      </c>
      <c r="R29" s="5">
        <f t="shared" si="33"/>
        <v>126</v>
      </c>
      <c r="S29" s="5">
        <f t="shared" si="33"/>
        <v>125</v>
      </c>
      <c r="T29" s="5">
        <f t="shared" si="32"/>
        <v>59</v>
      </c>
      <c r="U29" s="5">
        <f t="shared" si="32"/>
        <v>123</v>
      </c>
      <c r="V29" s="5">
        <f t="shared" si="32"/>
        <v>93</v>
      </c>
      <c r="W29" s="5">
        <f t="shared" si="32"/>
        <v>108</v>
      </c>
      <c r="X29" s="5">
        <f t="shared" si="32"/>
        <v>86</v>
      </c>
      <c r="Y29" s="5">
        <f t="shared" ref="Y29:AC29" si="34">SUM(Y20,Y23,Y26)</f>
        <v>109</v>
      </c>
      <c r="Z29" s="5">
        <f t="shared" si="34"/>
        <v>128</v>
      </c>
      <c r="AA29" s="5">
        <f t="shared" si="34"/>
        <v>70</v>
      </c>
      <c r="AB29" s="5">
        <f t="shared" si="34"/>
        <v>66</v>
      </c>
      <c r="AC29" s="5">
        <f t="shared" si="34"/>
        <v>67</v>
      </c>
      <c r="AD29" s="5">
        <f t="shared" si="32"/>
        <v>104</v>
      </c>
      <c r="AE29" s="5">
        <f t="shared" si="32"/>
        <v>94</v>
      </c>
      <c r="AF29" s="5">
        <f t="shared" si="32"/>
        <v>86</v>
      </c>
      <c r="AG29" s="5">
        <f t="shared" si="32"/>
        <v>100</v>
      </c>
      <c r="AH29" s="5">
        <f t="shared" si="32"/>
        <v>71</v>
      </c>
      <c r="AI29" s="5">
        <f t="shared" ref="AI29:AM29" si="35">SUM(AI20,AI23,AI26)</f>
        <v>126</v>
      </c>
      <c r="AJ29" s="5">
        <f t="shared" si="35"/>
        <v>113</v>
      </c>
      <c r="AK29" s="5">
        <f t="shared" si="35"/>
        <v>115</v>
      </c>
      <c r="AL29" s="5">
        <f t="shared" si="35"/>
        <v>90</v>
      </c>
      <c r="AM29" s="5">
        <f t="shared" si="35"/>
        <v>92</v>
      </c>
      <c r="AN29" s="5">
        <f t="shared" si="32"/>
        <v>77</v>
      </c>
      <c r="AO29" s="5">
        <f t="shared" si="32"/>
        <v>103</v>
      </c>
      <c r="AP29" s="5">
        <f t="shared" si="32"/>
        <v>76</v>
      </c>
      <c r="AQ29" s="5">
        <f t="shared" si="32"/>
        <v>70</v>
      </c>
      <c r="AR29" s="5">
        <f t="shared" si="32"/>
        <v>131</v>
      </c>
      <c r="AS29" s="5">
        <f t="shared" ref="AS29:AW29" si="36">SUM(AS20,AS23,AS26)</f>
        <v>128</v>
      </c>
      <c r="AT29" s="5">
        <f t="shared" si="36"/>
        <v>84</v>
      </c>
      <c r="AU29" s="5">
        <f t="shared" si="36"/>
        <v>71</v>
      </c>
      <c r="AV29" s="5">
        <f t="shared" si="36"/>
        <v>67</v>
      </c>
      <c r="AW29" s="5">
        <f t="shared" si="36"/>
        <v>104</v>
      </c>
      <c r="AX29" s="5">
        <f t="shared" si="32"/>
        <v>96</v>
      </c>
      <c r="AY29" s="5">
        <f t="shared" si="32"/>
        <v>90</v>
      </c>
      <c r="AZ29" s="5">
        <f t="shared" si="32"/>
        <v>98</v>
      </c>
      <c r="BA29" s="5">
        <f t="shared" si="32"/>
        <v>63</v>
      </c>
      <c r="BB29" s="5">
        <f t="shared" si="32"/>
        <v>85</v>
      </c>
      <c r="BC29" s="5">
        <f t="shared" ref="BC29:BG29" si="37">SUM(BC20,BC23,BC26)</f>
        <v>104</v>
      </c>
      <c r="BD29" s="5">
        <f t="shared" si="37"/>
        <v>102</v>
      </c>
      <c r="BE29" s="5">
        <f t="shared" si="37"/>
        <v>107</v>
      </c>
      <c r="BF29" s="5">
        <f t="shared" si="37"/>
        <v>107</v>
      </c>
      <c r="BG29" s="5">
        <f t="shared" si="37"/>
        <v>57</v>
      </c>
      <c r="BH29" s="5">
        <f t="shared" si="32"/>
        <v>96</v>
      </c>
      <c r="BI29" s="5">
        <f t="shared" si="32"/>
        <v>95</v>
      </c>
      <c r="BJ29" s="5">
        <f t="shared" si="32"/>
        <v>68</v>
      </c>
      <c r="BK29" s="5">
        <f t="shared" si="32"/>
        <v>105</v>
      </c>
      <c r="BL29" s="5">
        <f t="shared" si="6"/>
        <v>5671</v>
      </c>
    </row>
    <row r="30" spans="1:64" x14ac:dyDescent="0.4">
      <c r="A30" s="13"/>
      <c r="B30" s="90"/>
      <c r="C30" s="97"/>
      <c r="D30" s="5" t="s">
        <v>25</v>
      </c>
      <c r="E30" s="5">
        <f t="shared" ref="E30" si="38">SUM(E28:E29)</f>
        <v>185</v>
      </c>
      <c r="F30" s="5">
        <f t="shared" ref="F30:BK30" si="39">SUM(F28:F29)</f>
        <v>197</v>
      </c>
      <c r="G30" s="5">
        <f t="shared" si="39"/>
        <v>204</v>
      </c>
      <c r="H30" s="5">
        <f t="shared" si="39"/>
        <v>155</v>
      </c>
      <c r="I30" s="5">
        <f t="shared" si="39"/>
        <v>227</v>
      </c>
      <c r="J30" s="5">
        <f t="shared" si="39"/>
        <v>208</v>
      </c>
      <c r="K30" s="5">
        <f t="shared" si="39"/>
        <v>200</v>
      </c>
      <c r="L30" s="5">
        <f t="shared" si="39"/>
        <v>223</v>
      </c>
      <c r="M30" s="5">
        <f t="shared" si="39"/>
        <v>231</v>
      </c>
      <c r="N30" s="5">
        <f t="shared" si="39"/>
        <v>130</v>
      </c>
      <c r="O30" s="5">
        <f t="shared" ref="O30:S30" si="40">SUM(O28:O29)</f>
        <v>154</v>
      </c>
      <c r="P30" s="5">
        <f t="shared" si="40"/>
        <v>204</v>
      </c>
      <c r="Q30" s="5">
        <f t="shared" si="40"/>
        <v>220</v>
      </c>
      <c r="R30" s="5">
        <f t="shared" si="40"/>
        <v>245</v>
      </c>
      <c r="S30" s="5">
        <f t="shared" si="40"/>
        <v>230</v>
      </c>
      <c r="T30" s="5">
        <f t="shared" si="39"/>
        <v>121</v>
      </c>
      <c r="U30" s="5">
        <f t="shared" si="39"/>
        <v>213</v>
      </c>
      <c r="V30" s="5">
        <f t="shared" si="39"/>
        <v>177</v>
      </c>
      <c r="W30" s="5">
        <f t="shared" si="39"/>
        <v>197</v>
      </c>
      <c r="X30" s="5">
        <f t="shared" si="39"/>
        <v>161</v>
      </c>
      <c r="Y30" s="5">
        <f t="shared" ref="Y30:AC30" si="41">SUM(Y28:Y29)</f>
        <v>215</v>
      </c>
      <c r="Z30" s="5">
        <f t="shared" si="41"/>
        <v>240</v>
      </c>
      <c r="AA30" s="5">
        <f t="shared" si="41"/>
        <v>133</v>
      </c>
      <c r="AB30" s="5">
        <f t="shared" si="41"/>
        <v>127</v>
      </c>
      <c r="AC30" s="5">
        <f t="shared" si="41"/>
        <v>120</v>
      </c>
      <c r="AD30" s="5">
        <f t="shared" si="39"/>
        <v>197</v>
      </c>
      <c r="AE30" s="5">
        <f t="shared" si="39"/>
        <v>187</v>
      </c>
      <c r="AF30" s="5">
        <f t="shared" si="39"/>
        <v>175</v>
      </c>
      <c r="AG30" s="5">
        <f t="shared" si="39"/>
        <v>175</v>
      </c>
      <c r="AH30" s="5">
        <f t="shared" si="39"/>
        <v>130</v>
      </c>
      <c r="AI30" s="5">
        <f t="shared" ref="AI30:AM30" si="42">SUM(AI28:AI29)</f>
        <v>230</v>
      </c>
      <c r="AJ30" s="5">
        <f t="shared" si="42"/>
        <v>225</v>
      </c>
      <c r="AK30" s="5">
        <f t="shared" si="42"/>
        <v>229</v>
      </c>
      <c r="AL30" s="5">
        <f t="shared" si="42"/>
        <v>181</v>
      </c>
      <c r="AM30" s="5">
        <f t="shared" si="42"/>
        <v>184</v>
      </c>
      <c r="AN30" s="5">
        <f t="shared" si="39"/>
        <v>146</v>
      </c>
      <c r="AO30" s="5">
        <f t="shared" si="39"/>
        <v>193</v>
      </c>
      <c r="AP30" s="5">
        <f t="shared" si="39"/>
        <v>133</v>
      </c>
      <c r="AQ30" s="5">
        <f t="shared" si="39"/>
        <v>136</v>
      </c>
      <c r="AR30" s="5">
        <f t="shared" si="39"/>
        <v>248</v>
      </c>
      <c r="AS30" s="5">
        <f t="shared" ref="AS30:AW30" si="43">SUM(AS28:AS29)</f>
        <v>230</v>
      </c>
      <c r="AT30" s="5">
        <f t="shared" si="43"/>
        <v>156</v>
      </c>
      <c r="AU30" s="5">
        <f t="shared" si="43"/>
        <v>131</v>
      </c>
      <c r="AV30" s="5">
        <f t="shared" si="43"/>
        <v>132</v>
      </c>
      <c r="AW30" s="5">
        <f t="shared" si="43"/>
        <v>205</v>
      </c>
      <c r="AX30" s="5">
        <f t="shared" si="39"/>
        <v>184</v>
      </c>
      <c r="AY30" s="5">
        <f t="shared" si="39"/>
        <v>177</v>
      </c>
      <c r="AZ30" s="5">
        <f t="shared" si="39"/>
        <v>191</v>
      </c>
      <c r="BA30" s="5">
        <f t="shared" si="39"/>
        <v>123</v>
      </c>
      <c r="BB30" s="5">
        <f t="shared" si="39"/>
        <v>143</v>
      </c>
      <c r="BC30" s="5">
        <f t="shared" ref="BC30:BG30" si="44">SUM(BC28:BC29)</f>
        <v>194</v>
      </c>
      <c r="BD30" s="5">
        <f t="shared" si="44"/>
        <v>177</v>
      </c>
      <c r="BE30" s="5">
        <f t="shared" si="44"/>
        <v>210</v>
      </c>
      <c r="BF30" s="5">
        <f t="shared" si="44"/>
        <v>186</v>
      </c>
      <c r="BG30" s="5">
        <f t="shared" si="44"/>
        <v>112</v>
      </c>
      <c r="BH30" s="5">
        <f t="shared" si="39"/>
        <v>183</v>
      </c>
      <c r="BI30" s="5">
        <f t="shared" si="39"/>
        <v>177</v>
      </c>
      <c r="BJ30" s="5">
        <f t="shared" si="39"/>
        <v>134</v>
      </c>
      <c r="BK30" s="5">
        <f t="shared" si="39"/>
        <v>196</v>
      </c>
      <c r="BL30" s="5">
        <f t="shared" si="6"/>
        <v>10727</v>
      </c>
    </row>
    <row r="31" spans="1:64" x14ac:dyDescent="0.4">
      <c r="A31" s="70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  <c r="AG31" s="6"/>
      <c r="AH31" s="10"/>
      <c r="AI31" s="6"/>
      <c r="AJ31" s="6"/>
      <c r="AK31" s="6"/>
      <c r="AL31" s="6"/>
      <c r="AM31" s="10"/>
      <c r="AN31" s="6"/>
      <c r="AO31" s="6"/>
      <c r="AP31" s="6"/>
      <c r="AQ31" s="6"/>
      <c r="AR31" s="10"/>
      <c r="AS31" s="6"/>
      <c r="AT31" s="6"/>
      <c r="AU31" s="6"/>
      <c r="AV31" s="6"/>
      <c r="AW31" s="10"/>
      <c r="AX31" s="6"/>
      <c r="AY31" s="6"/>
      <c r="AZ31" s="6"/>
      <c r="BA31" s="6"/>
      <c r="BB31" s="10"/>
      <c r="BC31" s="6"/>
      <c r="BD31" s="6"/>
      <c r="BE31" s="6"/>
      <c r="BF31" s="6"/>
      <c r="BG31" s="10"/>
      <c r="BH31" s="6"/>
      <c r="BI31" s="6"/>
      <c r="BJ31" s="6"/>
      <c r="BK31" s="6"/>
      <c r="BL31" s="28"/>
    </row>
    <row r="32" spans="1:64" x14ac:dyDescent="0.4">
      <c r="A32" s="14" t="s">
        <v>36</v>
      </c>
      <c r="B32" s="75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5"/>
      <c r="AF32" s="5"/>
      <c r="AG32" s="5"/>
      <c r="AH32" s="15"/>
      <c r="AI32" s="5"/>
      <c r="AJ32" s="5"/>
      <c r="AK32" s="5"/>
      <c r="AL32" s="5"/>
      <c r="AM32" s="15"/>
      <c r="AN32" s="5"/>
      <c r="AO32" s="5"/>
      <c r="AP32" s="5"/>
      <c r="AQ32" s="5"/>
      <c r="AR32" s="15"/>
      <c r="AS32" s="5"/>
      <c r="AT32" s="5"/>
      <c r="AU32" s="5"/>
      <c r="AV32" s="5"/>
      <c r="AW32" s="15"/>
      <c r="AX32" s="5"/>
      <c r="AY32" s="5"/>
      <c r="AZ32" s="5"/>
      <c r="BA32" s="5"/>
      <c r="BB32" s="15"/>
      <c r="BC32" s="5"/>
      <c r="BD32" s="5"/>
      <c r="BE32" s="5"/>
      <c r="BF32" s="5"/>
      <c r="BG32" s="15"/>
      <c r="BH32" s="5"/>
      <c r="BI32" s="5"/>
      <c r="BJ32" s="5"/>
      <c r="BK32" s="5"/>
      <c r="BL32" s="28"/>
    </row>
    <row r="33" spans="1:64" x14ac:dyDescent="0.4">
      <c r="A33" s="6">
        <v>1</v>
      </c>
      <c r="B33" s="93" t="s">
        <v>38</v>
      </c>
      <c r="C33" s="83"/>
      <c r="D33" s="74"/>
      <c r="E33" s="6">
        <v>270</v>
      </c>
      <c r="F33" s="6">
        <v>291</v>
      </c>
      <c r="G33" s="6">
        <v>270</v>
      </c>
      <c r="H33" s="6">
        <v>193</v>
      </c>
      <c r="I33" s="6">
        <v>306</v>
      </c>
      <c r="J33" s="6">
        <v>289</v>
      </c>
      <c r="K33" s="6">
        <v>290</v>
      </c>
      <c r="L33" s="6">
        <v>299</v>
      </c>
      <c r="M33" s="6">
        <v>299</v>
      </c>
      <c r="N33" s="6">
        <v>279</v>
      </c>
      <c r="O33" s="6">
        <v>204</v>
      </c>
      <c r="P33" s="6">
        <v>282</v>
      </c>
      <c r="Q33" s="6">
        <v>235</v>
      </c>
      <c r="R33" s="6">
        <v>299</v>
      </c>
      <c r="S33" s="6">
        <v>282</v>
      </c>
      <c r="T33" s="6">
        <v>159</v>
      </c>
      <c r="U33" s="6">
        <v>300</v>
      </c>
      <c r="V33" s="6">
        <v>277</v>
      </c>
      <c r="W33" s="6">
        <v>276</v>
      </c>
      <c r="X33" s="6">
        <v>224</v>
      </c>
      <c r="Y33" s="6">
        <v>291</v>
      </c>
      <c r="Z33" s="6">
        <v>309</v>
      </c>
      <c r="AA33" s="6">
        <v>196</v>
      </c>
      <c r="AB33" s="6">
        <v>160</v>
      </c>
      <c r="AC33" s="6">
        <v>139</v>
      </c>
      <c r="AD33" s="6">
        <v>266</v>
      </c>
      <c r="AE33" s="6">
        <v>243</v>
      </c>
      <c r="AF33" s="6">
        <v>210</v>
      </c>
      <c r="AG33" s="6">
        <v>222</v>
      </c>
      <c r="AH33" s="6">
        <v>177</v>
      </c>
      <c r="AI33" s="6">
        <v>298</v>
      </c>
      <c r="AJ33" s="6">
        <v>305</v>
      </c>
      <c r="AK33" s="6">
        <v>303</v>
      </c>
      <c r="AL33" s="6">
        <v>216</v>
      </c>
      <c r="AM33" s="6">
        <v>247</v>
      </c>
      <c r="AN33" s="6">
        <v>189</v>
      </c>
      <c r="AO33" s="6">
        <v>269</v>
      </c>
      <c r="AP33" s="6">
        <v>163</v>
      </c>
      <c r="AQ33" s="6">
        <v>184</v>
      </c>
      <c r="AR33" s="6">
        <v>305</v>
      </c>
      <c r="AS33" s="6">
        <v>290</v>
      </c>
      <c r="AT33" s="6">
        <v>218</v>
      </c>
      <c r="AU33" s="6">
        <v>185</v>
      </c>
      <c r="AV33" s="6">
        <v>164</v>
      </c>
      <c r="AW33" s="6">
        <v>277</v>
      </c>
      <c r="AX33" s="6">
        <v>239</v>
      </c>
      <c r="AY33" s="6">
        <v>215</v>
      </c>
      <c r="AZ33" s="6">
        <v>230</v>
      </c>
      <c r="BA33" s="6">
        <v>142</v>
      </c>
      <c r="BB33" s="6">
        <v>198</v>
      </c>
      <c r="BC33" s="6">
        <v>284</v>
      </c>
      <c r="BD33" s="6">
        <v>267</v>
      </c>
      <c r="BE33" s="6">
        <v>286</v>
      </c>
      <c r="BF33" s="6">
        <v>293</v>
      </c>
      <c r="BG33" s="6">
        <v>115</v>
      </c>
      <c r="BH33" s="6">
        <v>199</v>
      </c>
      <c r="BI33" s="6">
        <v>193</v>
      </c>
      <c r="BJ33" s="6">
        <v>191</v>
      </c>
      <c r="BK33" s="6">
        <v>217</v>
      </c>
      <c r="BL33" s="5">
        <f>SUM(E33:BK33)</f>
        <v>14219</v>
      </c>
    </row>
    <row r="34" spans="1:64" x14ac:dyDescent="0.4">
      <c r="A34" s="6">
        <v>2</v>
      </c>
      <c r="B34" s="93" t="s">
        <v>39</v>
      </c>
      <c r="C34" s="83"/>
      <c r="D34" s="74"/>
      <c r="E34" s="5">
        <v>185</v>
      </c>
      <c r="F34" s="5">
        <v>197</v>
      </c>
      <c r="G34" s="5">
        <v>204</v>
      </c>
      <c r="H34" s="5">
        <v>155</v>
      </c>
      <c r="I34" s="5">
        <v>227</v>
      </c>
      <c r="J34" s="5">
        <v>208</v>
      </c>
      <c r="K34" s="5">
        <v>200</v>
      </c>
      <c r="L34" s="5">
        <v>223</v>
      </c>
      <c r="M34" s="5">
        <v>231</v>
      </c>
      <c r="N34" s="5">
        <v>130</v>
      </c>
      <c r="O34" s="5">
        <v>154</v>
      </c>
      <c r="P34" s="5">
        <v>204</v>
      </c>
      <c r="Q34" s="5">
        <v>220</v>
      </c>
      <c r="R34" s="5">
        <v>245</v>
      </c>
      <c r="S34" s="5">
        <v>230</v>
      </c>
      <c r="T34" s="5">
        <v>121</v>
      </c>
      <c r="U34" s="5">
        <v>213</v>
      </c>
      <c r="V34" s="5">
        <v>177</v>
      </c>
      <c r="W34" s="5">
        <v>197</v>
      </c>
      <c r="X34" s="5">
        <v>161</v>
      </c>
      <c r="Y34" s="5">
        <v>215</v>
      </c>
      <c r="Z34" s="5">
        <v>240</v>
      </c>
      <c r="AA34" s="5">
        <v>133</v>
      </c>
      <c r="AB34" s="5">
        <v>127</v>
      </c>
      <c r="AC34" s="5">
        <v>120</v>
      </c>
      <c r="AD34" s="5">
        <v>197</v>
      </c>
      <c r="AE34" s="5">
        <v>187</v>
      </c>
      <c r="AF34" s="5">
        <v>175</v>
      </c>
      <c r="AG34" s="5">
        <v>175</v>
      </c>
      <c r="AH34" s="5">
        <v>130</v>
      </c>
      <c r="AI34" s="5">
        <v>230</v>
      </c>
      <c r="AJ34" s="5">
        <v>225</v>
      </c>
      <c r="AK34" s="5">
        <v>229</v>
      </c>
      <c r="AL34" s="5">
        <v>181</v>
      </c>
      <c r="AM34" s="5">
        <v>184</v>
      </c>
      <c r="AN34" s="5">
        <v>146</v>
      </c>
      <c r="AO34" s="5">
        <v>193</v>
      </c>
      <c r="AP34" s="5">
        <v>133</v>
      </c>
      <c r="AQ34" s="5">
        <v>136</v>
      </c>
      <c r="AR34" s="5">
        <v>248</v>
      </c>
      <c r="AS34" s="5">
        <v>230</v>
      </c>
      <c r="AT34" s="5">
        <v>156</v>
      </c>
      <c r="AU34" s="5">
        <v>131</v>
      </c>
      <c r="AV34" s="5">
        <v>132</v>
      </c>
      <c r="AW34" s="5">
        <v>205</v>
      </c>
      <c r="AX34" s="5">
        <v>184</v>
      </c>
      <c r="AY34" s="5">
        <v>177</v>
      </c>
      <c r="AZ34" s="5">
        <v>191</v>
      </c>
      <c r="BA34" s="5">
        <v>123</v>
      </c>
      <c r="BB34" s="5">
        <v>143</v>
      </c>
      <c r="BC34" s="5">
        <v>194</v>
      </c>
      <c r="BD34" s="5">
        <v>177</v>
      </c>
      <c r="BE34" s="5">
        <v>210</v>
      </c>
      <c r="BF34" s="5">
        <v>186</v>
      </c>
      <c r="BG34" s="5">
        <v>112</v>
      </c>
      <c r="BH34" s="5">
        <v>183</v>
      </c>
      <c r="BI34" s="5">
        <v>177</v>
      </c>
      <c r="BJ34" s="5">
        <v>134</v>
      </c>
      <c r="BK34" s="5">
        <v>196</v>
      </c>
      <c r="BL34" s="5">
        <f>SUM(E34:BK34)</f>
        <v>10727</v>
      </c>
    </row>
    <row r="35" spans="1:64" x14ac:dyDescent="0.4">
      <c r="A35" s="6">
        <v>3</v>
      </c>
      <c r="B35" s="93" t="s">
        <v>40</v>
      </c>
      <c r="C35" s="83"/>
      <c r="D35" s="74"/>
      <c r="E35" s="6"/>
      <c r="F35" s="6"/>
      <c r="G35" s="6"/>
      <c r="H35" s="6">
        <v>2</v>
      </c>
      <c r="I35" s="6"/>
      <c r="J35" s="6"/>
      <c r="K35" s="6"/>
      <c r="L35" s="6"/>
      <c r="M35" s="6"/>
      <c r="N35" s="6"/>
      <c r="O35" s="6"/>
      <c r="P35" s="6">
        <v>1</v>
      </c>
      <c r="Q35" s="6">
        <v>1</v>
      </c>
      <c r="R35" s="6"/>
      <c r="S35" s="6"/>
      <c r="T35" s="6"/>
      <c r="U35" s="6"/>
      <c r="V35" s="6"/>
      <c r="W35" s="6">
        <v>4</v>
      </c>
      <c r="X35" s="6">
        <v>1</v>
      </c>
      <c r="Y35" s="6"/>
      <c r="Z35" s="6">
        <v>3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1</v>
      </c>
      <c r="AM35" s="6"/>
      <c r="AN35" s="6">
        <v>1</v>
      </c>
      <c r="AO35" s="6"/>
      <c r="AP35" s="6"/>
      <c r="AQ35" s="6"/>
      <c r="AR35" s="6"/>
      <c r="AS35" s="6"/>
      <c r="AT35" s="6"/>
      <c r="AU35" s="6"/>
      <c r="AV35" s="6">
        <v>1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2</v>
      </c>
      <c r="BL35" s="5">
        <f>SUM(E35:BK35)</f>
        <v>17</v>
      </c>
    </row>
    <row r="36" spans="1:64" x14ac:dyDescent="0.4">
      <c r="A36" s="6">
        <v>4</v>
      </c>
      <c r="B36" s="93" t="s">
        <v>41</v>
      </c>
      <c r="C36" s="83"/>
      <c r="D36" s="74"/>
      <c r="E36" s="5">
        <f t="shared" ref="E36:BK36" si="45">E33-(E34+E35)</f>
        <v>85</v>
      </c>
      <c r="F36" s="5">
        <f t="shared" si="45"/>
        <v>94</v>
      </c>
      <c r="G36" s="5">
        <f t="shared" si="45"/>
        <v>66</v>
      </c>
      <c r="H36" s="5">
        <f t="shared" si="45"/>
        <v>36</v>
      </c>
      <c r="I36" s="5">
        <f t="shared" si="45"/>
        <v>79</v>
      </c>
      <c r="J36" s="5">
        <f t="shared" si="45"/>
        <v>81</v>
      </c>
      <c r="K36" s="5">
        <f t="shared" si="45"/>
        <v>90</v>
      </c>
      <c r="L36" s="5">
        <f t="shared" si="45"/>
        <v>76</v>
      </c>
      <c r="M36" s="5">
        <f t="shared" si="45"/>
        <v>68</v>
      </c>
      <c r="N36" s="5">
        <f t="shared" si="45"/>
        <v>149</v>
      </c>
      <c r="O36" s="5">
        <f t="shared" ref="O36:S36" si="46">O33-(O34+O35)</f>
        <v>50</v>
      </c>
      <c r="P36" s="5">
        <f t="shared" si="46"/>
        <v>77</v>
      </c>
      <c r="Q36" s="5">
        <f t="shared" si="46"/>
        <v>14</v>
      </c>
      <c r="R36" s="5">
        <f t="shared" si="46"/>
        <v>54</v>
      </c>
      <c r="S36" s="5">
        <f t="shared" si="46"/>
        <v>52</v>
      </c>
      <c r="T36" s="5">
        <f t="shared" si="45"/>
        <v>38</v>
      </c>
      <c r="U36" s="5">
        <f t="shared" si="45"/>
        <v>87</v>
      </c>
      <c r="V36" s="5">
        <f t="shared" si="45"/>
        <v>100</v>
      </c>
      <c r="W36" s="5">
        <f t="shared" si="45"/>
        <v>75</v>
      </c>
      <c r="X36" s="5">
        <f t="shared" si="45"/>
        <v>62</v>
      </c>
      <c r="Y36" s="5">
        <f t="shared" ref="Y36:AC36" si="47">Y33-(Y34+Y35)</f>
        <v>76</v>
      </c>
      <c r="Z36" s="5">
        <f t="shared" si="47"/>
        <v>66</v>
      </c>
      <c r="AA36" s="5">
        <f t="shared" si="47"/>
        <v>63</v>
      </c>
      <c r="AB36" s="5">
        <f t="shared" si="47"/>
        <v>33</v>
      </c>
      <c r="AC36" s="5">
        <f t="shared" si="47"/>
        <v>19</v>
      </c>
      <c r="AD36" s="5">
        <f t="shared" si="45"/>
        <v>69</v>
      </c>
      <c r="AE36" s="5">
        <f t="shared" si="45"/>
        <v>56</v>
      </c>
      <c r="AF36" s="5">
        <f t="shared" si="45"/>
        <v>35</v>
      </c>
      <c r="AG36" s="5">
        <f t="shared" si="45"/>
        <v>47</v>
      </c>
      <c r="AH36" s="5">
        <f t="shared" si="45"/>
        <v>47</v>
      </c>
      <c r="AI36" s="5">
        <f t="shared" ref="AI36:AM36" si="48">AI33-(AI34+AI35)</f>
        <v>68</v>
      </c>
      <c r="AJ36" s="5">
        <f t="shared" si="48"/>
        <v>80</v>
      </c>
      <c r="AK36" s="5">
        <f t="shared" si="48"/>
        <v>74</v>
      </c>
      <c r="AL36" s="5">
        <f t="shared" si="48"/>
        <v>34</v>
      </c>
      <c r="AM36" s="5">
        <f t="shared" si="48"/>
        <v>63</v>
      </c>
      <c r="AN36" s="5">
        <f t="shared" si="45"/>
        <v>42</v>
      </c>
      <c r="AO36" s="5">
        <f t="shared" si="45"/>
        <v>76</v>
      </c>
      <c r="AP36" s="5">
        <f t="shared" si="45"/>
        <v>30</v>
      </c>
      <c r="AQ36" s="5">
        <f t="shared" si="45"/>
        <v>48</v>
      </c>
      <c r="AR36" s="5">
        <f t="shared" si="45"/>
        <v>57</v>
      </c>
      <c r="AS36" s="5">
        <f t="shared" ref="AS36:AW36" si="49">AS33-(AS34+AS35)</f>
        <v>60</v>
      </c>
      <c r="AT36" s="5">
        <f t="shared" si="49"/>
        <v>62</v>
      </c>
      <c r="AU36" s="5">
        <f t="shared" si="49"/>
        <v>54</v>
      </c>
      <c r="AV36" s="5">
        <f t="shared" si="49"/>
        <v>31</v>
      </c>
      <c r="AW36" s="5">
        <f t="shared" si="49"/>
        <v>72</v>
      </c>
      <c r="AX36" s="5">
        <f t="shared" si="45"/>
        <v>55</v>
      </c>
      <c r="AY36" s="5">
        <f t="shared" si="45"/>
        <v>38</v>
      </c>
      <c r="AZ36" s="5">
        <f t="shared" si="45"/>
        <v>39</v>
      </c>
      <c r="BA36" s="5">
        <f t="shared" si="45"/>
        <v>19</v>
      </c>
      <c r="BB36" s="5">
        <f t="shared" si="45"/>
        <v>55</v>
      </c>
      <c r="BC36" s="5">
        <f t="shared" ref="BC36:BG36" si="50">BC33-(BC34+BC35)</f>
        <v>90</v>
      </c>
      <c r="BD36" s="5">
        <f t="shared" si="50"/>
        <v>90</v>
      </c>
      <c r="BE36" s="5">
        <f t="shared" si="50"/>
        <v>76</v>
      </c>
      <c r="BF36" s="5">
        <f t="shared" si="50"/>
        <v>107</v>
      </c>
      <c r="BG36" s="5">
        <f t="shared" si="50"/>
        <v>3</v>
      </c>
      <c r="BH36" s="5">
        <f t="shared" si="45"/>
        <v>16</v>
      </c>
      <c r="BI36" s="5">
        <f t="shared" si="45"/>
        <v>16</v>
      </c>
      <c r="BJ36" s="5">
        <f t="shared" si="45"/>
        <v>57</v>
      </c>
      <c r="BK36" s="5">
        <f t="shared" si="45"/>
        <v>19</v>
      </c>
      <c r="BL36" s="5">
        <f>SUM(E36:BK36)</f>
        <v>3475</v>
      </c>
    </row>
    <row r="37" spans="1:64" x14ac:dyDescent="0.4">
      <c r="A37" s="70"/>
      <c r="B37" s="83"/>
      <c r="C37" s="83"/>
      <c r="D37" s="83"/>
      <c r="E37" s="70"/>
      <c r="F37" s="91"/>
      <c r="G37" s="91"/>
      <c r="H37" s="91"/>
      <c r="I37" s="92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6"/>
      <c r="AF37" s="6"/>
      <c r="AG37" s="6"/>
      <c r="AH37" s="10"/>
      <c r="AI37" s="6"/>
      <c r="AJ37" s="6"/>
      <c r="AK37" s="6"/>
      <c r="AL37" s="6"/>
      <c r="AM37" s="10"/>
      <c r="AN37" s="6"/>
      <c r="AO37" s="6"/>
      <c r="AP37" s="6"/>
      <c r="AQ37" s="6"/>
      <c r="AR37" s="10"/>
      <c r="AS37" s="6"/>
      <c r="AT37" s="6"/>
      <c r="AU37" s="6"/>
      <c r="AV37" s="6"/>
      <c r="AW37" s="10"/>
      <c r="AX37" s="6"/>
      <c r="AY37" s="6"/>
      <c r="AZ37" s="6"/>
      <c r="BA37" s="6"/>
      <c r="BB37" s="10"/>
      <c r="BC37" s="6"/>
      <c r="BD37" s="6"/>
      <c r="BE37" s="6"/>
      <c r="BF37" s="6"/>
      <c r="BG37" s="10"/>
      <c r="BH37" s="6"/>
      <c r="BI37" s="6"/>
      <c r="BJ37" s="6"/>
      <c r="BK37" s="6"/>
      <c r="BL37" s="28"/>
    </row>
    <row r="38" spans="1:64" x14ac:dyDescent="0.4">
      <c r="A38" s="16" t="s">
        <v>42</v>
      </c>
      <c r="B38" s="75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5"/>
      <c r="AF38" s="5"/>
      <c r="AG38" s="5"/>
      <c r="AH38" s="15"/>
      <c r="AI38" s="5"/>
      <c r="AJ38" s="5"/>
      <c r="AK38" s="5"/>
      <c r="AL38" s="5"/>
      <c r="AM38" s="15"/>
      <c r="AN38" s="5"/>
      <c r="AO38" s="5"/>
      <c r="AP38" s="5"/>
      <c r="AQ38" s="5"/>
      <c r="AR38" s="15"/>
      <c r="AS38" s="5"/>
      <c r="AT38" s="5"/>
      <c r="AU38" s="5"/>
      <c r="AV38" s="5"/>
      <c r="AW38" s="15"/>
      <c r="AX38" s="5"/>
      <c r="AY38" s="5"/>
      <c r="AZ38" s="5"/>
      <c r="BA38" s="5"/>
      <c r="BB38" s="15"/>
      <c r="BC38" s="5"/>
      <c r="BD38" s="5"/>
      <c r="BE38" s="5"/>
      <c r="BF38" s="5"/>
      <c r="BG38" s="15"/>
      <c r="BH38" s="5"/>
      <c r="BI38" s="5"/>
      <c r="BJ38" s="5"/>
      <c r="BK38" s="5"/>
      <c r="BL38" s="28"/>
    </row>
    <row r="39" spans="1:64" x14ac:dyDescent="0.4">
      <c r="A39" s="11"/>
      <c r="B39" s="86" t="s">
        <v>44</v>
      </c>
      <c r="C39" s="79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>
        <v>2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5">
        <f>SUM(E39:BK39)</f>
        <v>2</v>
      </c>
    </row>
    <row r="40" spans="1:64" x14ac:dyDescent="0.4">
      <c r="A40" s="12"/>
      <c r="B40" s="88"/>
      <c r="C40" s="89"/>
      <c r="D40" s="6" t="s">
        <v>24</v>
      </c>
      <c r="E40" s="6"/>
      <c r="F40" s="6"/>
      <c r="G40" s="6"/>
      <c r="H40" s="6"/>
      <c r="I40" s="6"/>
      <c r="J40" s="6"/>
      <c r="K40" s="6">
        <v>1</v>
      </c>
      <c r="L40" s="6">
        <v>2</v>
      </c>
      <c r="M40" s="6"/>
      <c r="N40" s="6"/>
      <c r="O40" s="6"/>
      <c r="P40" s="6"/>
      <c r="Q40" s="6"/>
      <c r="R40" s="6"/>
      <c r="S40" s="6">
        <v>6</v>
      </c>
      <c r="T40" s="6"/>
      <c r="U40" s="6"/>
      <c r="V40" s="6"/>
      <c r="W40" s="6"/>
      <c r="X40" s="6"/>
      <c r="Y40" s="6"/>
      <c r="Z40" s="6"/>
      <c r="AA40" s="6"/>
      <c r="AB40" s="6"/>
      <c r="AC40" s="6">
        <v>2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5">
        <f>SUM(E40:BK40)</f>
        <v>11</v>
      </c>
    </row>
    <row r="41" spans="1:64" x14ac:dyDescent="0.4">
      <c r="A41" s="14"/>
      <c r="B41" s="85"/>
      <c r="C41" s="90"/>
      <c r="D41" s="5" t="s">
        <v>25</v>
      </c>
      <c r="E41" s="5">
        <f t="shared" ref="E41:BK41" si="51">SUM(E39:E40)</f>
        <v>0</v>
      </c>
      <c r="F41" s="5">
        <f t="shared" si="51"/>
        <v>0</v>
      </c>
      <c r="G41" s="5">
        <f t="shared" si="51"/>
        <v>0</v>
      </c>
      <c r="H41" s="5">
        <f t="shared" si="51"/>
        <v>0</v>
      </c>
      <c r="I41" s="5">
        <f t="shared" si="51"/>
        <v>0</v>
      </c>
      <c r="J41" s="5">
        <f t="shared" si="51"/>
        <v>0</v>
      </c>
      <c r="K41" s="5">
        <f t="shared" si="51"/>
        <v>1</v>
      </c>
      <c r="L41" s="5">
        <f t="shared" si="51"/>
        <v>2</v>
      </c>
      <c r="M41" s="5">
        <f t="shared" si="51"/>
        <v>0</v>
      </c>
      <c r="N41" s="5">
        <f t="shared" si="51"/>
        <v>0</v>
      </c>
      <c r="O41" s="5">
        <f t="shared" ref="O41:S41" si="52">SUM(O39:O40)</f>
        <v>0</v>
      </c>
      <c r="P41" s="5">
        <f t="shared" si="52"/>
        <v>0</v>
      </c>
      <c r="Q41" s="5">
        <f t="shared" si="52"/>
        <v>0</v>
      </c>
      <c r="R41" s="5">
        <f t="shared" si="52"/>
        <v>0</v>
      </c>
      <c r="S41" s="5">
        <f t="shared" si="52"/>
        <v>6</v>
      </c>
      <c r="T41" s="5">
        <f t="shared" si="51"/>
        <v>0</v>
      </c>
      <c r="U41" s="5">
        <f t="shared" si="51"/>
        <v>0</v>
      </c>
      <c r="V41" s="5">
        <f t="shared" si="51"/>
        <v>0</v>
      </c>
      <c r="W41" s="5">
        <f t="shared" si="51"/>
        <v>0</v>
      </c>
      <c r="X41" s="5">
        <f t="shared" si="51"/>
        <v>0</v>
      </c>
      <c r="Y41" s="5">
        <f t="shared" ref="Y41:AC41" si="53">SUM(Y39:Y40)</f>
        <v>0</v>
      </c>
      <c r="Z41" s="5">
        <f t="shared" si="53"/>
        <v>0</v>
      </c>
      <c r="AA41" s="5">
        <f t="shared" si="53"/>
        <v>0</v>
      </c>
      <c r="AB41" s="5">
        <f t="shared" si="53"/>
        <v>0</v>
      </c>
      <c r="AC41" s="5">
        <f t="shared" si="53"/>
        <v>2</v>
      </c>
      <c r="AD41" s="5">
        <f t="shared" si="51"/>
        <v>0</v>
      </c>
      <c r="AE41" s="5">
        <f t="shared" si="51"/>
        <v>0</v>
      </c>
      <c r="AF41" s="5">
        <f t="shared" si="51"/>
        <v>0</v>
      </c>
      <c r="AG41" s="5">
        <f t="shared" si="51"/>
        <v>0</v>
      </c>
      <c r="AH41" s="5">
        <f t="shared" si="51"/>
        <v>0</v>
      </c>
      <c r="AI41" s="5">
        <f t="shared" ref="AI41:AM41" si="54">SUM(AI39:AI40)</f>
        <v>0</v>
      </c>
      <c r="AJ41" s="5">
        <f t="shared" si="54"/>
        <v>0</v>
      </c>
      <c r="AK41" s="5">
        <f t="shared" si="54"/>
        <v>0</v>
      </c>
      <c r="AL41" s="5">
        <f t="shared" si="54"/>
        <v>0</v>
      </c>
      <c r="AM41" s="5">
        <f t="shared" si="54"/>
        <v>0</v>
      </c>
      <c r="AN41" s="5">
        <f t="shared" si="51"/>
        <v>0</v>
      </c>
      <c r="AO41" s="5">
        <f t="shared" si="51"/>
        <v>2</v>
      </c>
      <c r="AP41" s="5">
        <f t="shared" si="51"/>
        <v>0</v>
      </c>
      <c r="AQ41" s="5">
        <f t="shared" si="51"/>
        <v>0</v>
      </c>
      <c r="AR41" s="5">
        <f t="shared" si="51"/>
        <v>0</v>
      </c>
      <c r="AS41" s="5">
        <f t="shared" ref="AS41:AW41" si="55">SUM(AS39:AS40)</f>
        <v>0</v>
      </c>
      <c r="AT41" s="5">
        <f t="shared" si="55"/>
        <v>0</v>
      </c>
      <c r="AU41" s="5">
        <f t="shared" si="55"/>
        <v>0</v>
      </c>
      <c r="AV41" s="5">
        <f t="shared" si="55"/>
        <v>0</v>
      </c>
      <c r="AW41" s="5">
        <f t="shared" si="55"/>
        <v>0</v>
      </c>
      <c r="AX41" s="5">
        <f t="shared" si="51"/>
        <v>0</v>
      </c>
      <c r="AY41" s="5">
        <f t="shared" si="51"/>
        <v>0</v>
      </c>
      <c r="AZ41" s="5">
        <f t="shared" si="51"/>
        <v>0</v>
      </c>
      <c r="BA41" s="5">
        <f t="shared" si="51"/>
        <v>0</v>
      </c>
      <c r="BB41" s="5">
        <f t="shared" si="51"/>
        <v>0</v>
      </c>
      <c r="BC41" s="5">
        <f t="shared" ref="BC41:BG41" si="56">SUM(BC39:BC40)</f>
        <v>0</v>
      </c>
      <c r="BD41" s="5">
        <f t="shared" si="56"/>
        <v>0</v>
      </c>
      <c r="BE41" s="5">
        <f t="shared" si="56"/>
        <v>0</v>
      </c>
      <c r="BF41" s="5">
        <f t="shared" si="56"/>
        <v>0</v>
      </c>
      <c r="BG41" s="5">
        <f t="shared" si="56"/>
        <v>0</v>
      </c>
      <c r="BH41" s="5">
        <f t="shared" si="51"/>
        <v>0</v>
      </c>
      <c r="BI41" s="5">
        <f t="shared" si="51"/>
        <v>0</v>
      </c>
      <c r="BJ41" s="5">
        <f t="shared" si="51"/>
        <v>0</v>
      </c>
      <c r="BK41" s="5">
        <f t="shared" si="51"/>
        <v>0</v>
      </c>
      <c r="BL41" s="5">
        <f>SUM(E41:BK41)</f>
        <v>13</v>
      </c>
    </row>
    <row r="42" spans="1:64" x14ac:dyDescent="0.4">
      <c r="A42" s="84"/>
      <c r="B42" s="85"/>
      <c r="C42" s="85"/>
      <c r="D42" s="90"/>
      <c r="E42" s="70"/>
      <c r="F42" s="83"/>
      <c r="G42" s="83"/>
      <c r="H42" s="83"/>
      <c r="I42" s="74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6"/>
      <c r="AF42" s="6"/>
      <c r="AG42" s="6"/>
      <c r="AH42" s="10"/>
      <c r="AI42" s="6"/>
      <c r="AJ42" s="6"/>
      <c r="AK42" s="6"/>
      <c r="AL42" s="6"/>
      <c r="AM42" s="10"/>
      <c r="AN42" s="6"/>
      <c r="AO42" s="6"/>
      <c r="AP42" s="6"/>
      <c r="AQ42" s="6"/>
      <c r="AR42" s="10"/>
      <c r="AS42" s="6"/>
      <c r="AT42" s="6"/>
      <c r="AU42" s="6"/>
      <c r="AV42" s="6"/>
      <c r="AW42" s="10"/>
      <c r="AX42" s="6"/>
      <c r="AY42" s="6"/>
      <c r="AZ42" s="6"/>
      <c r="BA42" s="6"/>
      <c r="BB42" s="10"/>
      <c r="BC42" s="6"/>
      <c r="BD42" s="6"/>
      <c r="BE42" s="6"/>
      <c r="BF42" s="6"/>
      <c r="BG42" s="10"/>
      <c r="BH42" s="6"/>
      <c r="BI42" s="6"/>
      <c r="BJ42" s="6"/>
      <c r="BK42" s="6"/>
      <c r="BL42" s="5"/>
    </row>
    <row r="43" spans="1:64" ht="13.15" customHeight="1" x14ac:dyDescent="0.4">
      <c r="A43" s="16" t="s">
        <v>45</v>
      </c>
      <c r="B43" s="75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  <c r="AF43" s="5"/>
      <c r="AG43" s="5"/>
      <c r="AH43" s="15"/>
      <c r="AI43" s="5"/>
      <c r="AJ43" s="5"/>
      <c r="AK43" s="5"/>
      <c r="AL43" s="5"/>
      <c r="AM43" s="15"/>
      <c r="AN43" s="5"/>
      <c r="AO43" s="5"/>
      <c r="AP43" s="5"/>
      <c r="AQ43" s="5"/>
      <c r="AR43" s="15"/>
      <c r="AS43" s="5"/>
      <c r="AT43" s="5"/>
      <c r="AU43" s="5"/>
      <c r="AV43" s="5"/>
      <c r="AW43" s="15"/>
      <c r="AX43" s="5"/>
      <c r="AY43" s="5"/>
      <c r="AZ43" s="5"/>
      <c r="BA43" s="5"/>
      <c r="BB43" s="15"/>
      <c r="BC43" s="5"/>
      <c r="BD43" s="5"/>
      <c r="BE43" s="5"/>
      <c r="BF43" s="5"/>
      <c r="BG43" s="15"/>
      <c r="BH43" s="5"/>
      <c r="BI43" s="5"/>
      <c r="BJ43" s="5"/>
      <c r="BK43" s="5"/>
      <c r="BL43" s="5"/>
    </row>
    <row r="44" spans="1:64" ht="13.15" customHeight="1" x14ac:dyDescent="0.4">
      <c r="A44" s="86" t="s">
        <v>47</v>
      </c>
      <c r="B44" s="87"/>
      <c r="C44" s="87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6"/>
      <c r="AF44" s="6"/>
      <c r="AG44" s="6"/>
      <c r="AH44" s="10"/>
      <c r="AI44" s="6"/>
      <c r="AJ44" s="6"/>
      <c r="AK44" s="6"/>
      <c r="AL44" s="6"/>
      <c r="AM44" s="10"/>
      <c r="AN44" s="6"/>
      <c r="AO44" s="6"/>
      <c r="AP44" s="6"/>
      <c r="AQ44" s="6"/>
      <c r="AR44" s="10"/>
      <c r="AS44" s="6"/>
      <c r="AT44" s="6"/>
      <c r="AU44" s="6"/>
      <c r="AV44" s="6"/>
      <c r="AW44" s="10"/>
      <c r="AX44" s="6"/>
      <c r="AY44" s="6"/>
      <c r="AZ44" s="6"/>
      <c r="BA44" s="6"/>
      <c r="BB44" s="10"/>
      <c r="BC44" s="6"/>
      <c r="BD44" s="6"/>
      <c r="BE44" s="6"/>
      <c r="BF44" s="6"/>
      <c r="BG44" s="10"/>
      <c r="BH44" s="6"/>
      <c r="BI44" s="6"/>
      <c r="BJ44" s="6"/>
      <c r="BK44" s="6"/>
      <c r="BL44" s="5"/>
    </row>
    <row r="45" spans="1:64" x14ac:dyDescent="0.4">
      <c r="A45" s="11" t="s">
        <v>48</v>
      </c>
      <c r="B45" s="17" t="s">
        <v>28</v>
      </c>
      <c r="C45" s="73" t="s">
        <v>49</v>
      </c>
      <c r="D45" s="74"/>
      <c r="E45" s="6">
        <v>11</v>
      </c>
      <c r="F45" s="6">
        <v>13</v>
      </c>
      <c r="G45" s="6">
        <v>11</v>
      </c>
      <c r="H45" s="6">
        <v>3</v>
      </c>
      <c r="I45" s="6">
        <v>9</v>
      </c>
      <c r="J45" s="6">
        <v>8</v>
      </c>
      <c r="K45" s="6">
        <v>5</v>
      </c>
      <c r="L45" s="6">
        <v>3</v>
      </c>
      <c r="M45" s="6">
        <v>7</v>
      </c>
      <c r="N45" s="6">
        <v>1</v>
      </c>
      <c r="O45" s="6">
        <v>4</v>
      </c>
      <c r="P45" s="6">
        <v>5</v>
      </c>
      <c r="Q45" s="6">
        <v>6</v>
      </c>
      <c r="R45" s="6">
        <v>1</v>
      </c>
      <c r="S45" s="6">
        <v>9</v>
      </c>
      <c r="T45" s="6">
        <v>5</v>
      </c>
      <c r="U45" s="6">
        <v>13</v>
      </c>
      <c r="V45" s="6">
        <v>8</v>
      </c>
      <c r="W45" s="6">
        <v>15</v>
      </c>
      <c r="X45" s="6">
        <v>5</v>
      </c>
      <c r="Y45" s="6">
        <v>3</v>
      </c>
      <c r="Z45" s="6">
        <v>10</v>
      </c>
      <c r="AA45" s="6">
        <v>11</v>
      </c>
      <c r="AB45" s="6">
        <v>8</v>
      </c>
      <c r="AC45" s="6">
        <v>0</v>
      </c>
      <c r="AD45" s="6">
        <v>0</v>
      </c>
      <c r="AE45" s="6">
        <v>2</v>
      </c>
      <c r="AF45" s="6">
        <v>9</v>
      </c>
      <c r="AG45" s="6">
        <v>4</v>
      </c>
      <c r="AH45" s="6">
        <v>3</v>
      </c>
      <c r="AI45" s="6">
        <v>0</v>
      </c>
      <c r="AJ45" s="6">
        <v>4</v>
      </c>
      <c r="AK45" s="6">
        <v>2</v>
      </c>
      <c r="AL45" s="6">
        <v>1</v>
      </c>
      <c r="AM45" s="6">
        <v>1</v>
      </c>
      <c r="AN45" s="6">
        <v>1</v>
      </c>
      <c r="AO45" s="6">
        <v>9</v>
      </c>
      <c r="AP45" s="6">
        <v>2</v>
      </c>
      <c r="AQ45" s="6">
        <v>12</v>
      </c>
      <c r="AR45" s="6">
        <v>13</v>
      </c>
      <c r="AS45" s="6">
        <v>8</v>
      </c>
      <c r="AT45" s="6">
        <v>6</v>
      </c>
      <c r="AU45" s="6">
        <v>6</v>
      </c>
      <c r="AV45" s="6">
        <v>1</v>
      </c>
      <c r="AW45" s="6">
        <v>0</v>
      </c>
      <c r="AX45" s="6">
        <v>1</v>
      </c>
      <c r="AY45" s="6">
        <v>2</v>
      </c>
      <c r="AZ45" s="6">
        <v>6</v>
      </c>
      <c r="BA45" s="6">
        <v>0</v>
      </c>
      <c r="BB45" s="6">
        <v>0</v>
      </c>
      <c r="BC45" s="6">
        <v>1</v>
      </c>
      <c r="BD45" s="6">
        <v>4</v>
      </c>
      <c r="BE45" s="6">
        <v>4</v>
      </c>
      <c r="BF45" s="6">
        <v>7</v>
      </c>
      <c r="BG45" s="6">
        <v>0</v>
      </c>
      <c r="BH45" s="6">
        <v>0</v>
      </c>
      <c r="BI45" s="6">
        <v>0</v>
      </c>
      <c r="BJ45" s="6">
        <v>2</v>
      </c>
      <c r="BK45" s="6">
        <v>4</v>
      </c>
      <c r="BL45" s="5">
        <f t="shared" ref="BL45:BL55" si="57">SUM(E45:BK45)</f>
        <v>289</v>
      </c>
    </row>
    <row r="46" spans="1:64" x14ac:dyDescent="0.4">
      <c r="A46" s="11" t="s">
        <v>50</v>
      </c>
      <c r="B46" s="51"/>
      <c r="C46" s="24" t="s">
        <v>122</v>
      </c>
      <c r="D46" s="24"/>
      <c r="E46" s="6">
        <v>9</v>
      </c>
      <c r="F46" s="6">
        <v>5</v>
      </c>
      <c r="G46" s="6">
        <v>7</v>
      </c>
      <c r="H46" s="6">
        <v>4</v>
      </c>
      <c r="I46" s="6">
        <v>7</v>
      </c>
      <c r="J46" s="6">
        <v>12</v>
      </c>
      <c r="K46" s="6">
        <v>8</v>
      </c>
      <c r="L46" s="6">
        <v>7</v>
      </c>
      <c r="M46" s="6">
        <v>22</v>
      </c>
      <c r="N46" s="6">
        <v>3</v>
      </c>
      <c r="O46" s="6">
        <v>19</v>
      </c>
      <c r="P46" s="6">
        <v>2</v>
      </c>
      <c r="Q46" s="6">
        <v>24</v>
      </c>
      <c r="R46" s="6">
        <v>12</v>
      </c>
      <c r="S46" s="6">
        <v>42</v>
      </c>
      <c r="T46" s="6">
        <v>2</v>
      </c>
      <c r="U46" s="6">
        <v>11</v>
      </c>
      <c r="V46" s="6">
        <v>8</v>
      </c>
      <c r="W46" s="6">
        <v>13</v>
      </c>
      <c r="X46" s="6">
        <v>10</v>
      </c>
      <c r="Y46" s="6">
        <v>22</v>
      </c>
      <c r="Z46" s="6">
        <v>31</v>
      </c>
      <c r="AA46" s="6">
        <v>31</v>
      </c>
      <c r="AB46" s="6">
        <v>24</v>
      </c>
      <c r="AC46" s="6">
        <v>20</v>
      </c>
      <c r="AD46" s="6">
        <v>23</v>
      </c>
      <c r="AE46" s="6">
        <v>7</v>
      </c>
      <c r="AF46" s="6">
        <v>25</v>
      </c>
      <c r="AG46" s="6">
        <v>18</v>
      </c>
      <c r="AH46" s="6">
        <v>7</v>
      </c>
      <c r="AI46" s="6">
        <v>1</v>
      </c>
      <c r="AJ46" s="6">
        <v>5</v>
      </c>
      <c r="AK46" s="6">
        <v>5</v>
      </c>
      <c r="AL46" s="6">
        <v>0</v>
      </c>
      <c r="AM46" s="6">
        <v>1</v>
      </c>
      <c r="AN46" s="6">
        <v>0</v>
      </c>
      <c r="AO46" s="6">
        <v>2</v>
      </c>
      <c r="AP46" s="6">
        <v>2</v>
      </c>
      <c r="AQ46" s="6">
        <v>20</v>
      </c>
      <c r="AR46" s="6">
        <v>33</v>
      </c>
      <c r="AS46" s="6">
        <v>25</v>
      </c>
      <c r="AT46" s="6">
        <v>16</v>
      </c>
      <c r="AU46" s="6">
        <v>13</v>
      </c>
      <c r="AV46" s="6">
        <v>6</v>
      </c>
      <c r="AW46" s="6">
        <v>0</v>
      </c>
      <c r="AX46" s="6">
        <v>0</v>
      </c>
      <c r="AY46" s="6">
        <v>9</v>
      </c>
      <c r="AZ46" s="6">
        <v>4</v>
      </c>
      <c r="BA46" s="6">
        <v>8</v>
      </c>
      <c r="BB46" s="6">
        <v>2</v>
      </c>
      <c r="BC46" s="6">
        <v>3</v>
      </c>
      <c r="BD46" s="6">
        <v>1</v>
      </c>
      <c r="BE46" s="6">
        <v>6</v>
      </c>
      <c r="BF46" s="6">
        <v>4</v>
      </c>
      <c r="BG46" s="6">
        <v>0</v>
      </c>
      <c r="BH46" s="6">
        <v>2</v>
      </c>
      <c r="BI46" s="6">
        <v>2</v>
      </c>
      <c r="BJ46" s="6">
        <v>5</v>
      </c>
      <c r="BK46" s="6">
        <v>6</v>
      </c>
      <c r="BL46" s="5">
        <f t="shared" si="57"/>
        <v>616</v>
      </c>
    </row>
    <row r="47" spans="1:64" x14ac:dyDescent="0.4">
      <c r="A47" s="7"/>
      <c r="B47" s="52"/>
      <c r="C47" s="24" t="s">
        <v>123</v>
      </c>
      <c r="D47" s="24"/>
      <c r="E47" s="6">
        <v>2</v>
      </c>
      <c r="F47" s="6">
        <v>3</v>
      </c>
      <c r="G47" s="6">
        <v>5</v>
      </c>
      <c r="H47" s="6">
        <v>2</v>
      </c>
      <c r="I47" s="6">
        <v>9</v>
      </c>
      <c r="J47" s="6">
        <v>20</v>
      </c>
      <c r="K47" s="6">
        <v>14</v>
      </c>
      <c r="L47" s="6">
        <v>3</v>
      </c>
      <c r="M47" s="6">
        <v>11</v>
      </c>
      <c r="N47" s="6">
        <v>0</v>
      </c>
      <c r="O47" s="6">
        <v>2</v>
      </c>
      <c r="P47" s="6">
        <v>1</v>
      </c>
      <c r="Q47" s="6">
        <v>2</v>
      </c>
      <c r="R47" s="6">
        <v>3</v>
      </c>
      <c r="S47" s="6">
        <v>11</v>
      </c>
      <c r="T47" s="6">
        <v>1</v>
      </c>
      <c r="U47" s="6">
        <v>9</v>
      </c>
      <c r="V47" s="6">
        <v>9</v>
      </c>
      <c r="W47" s="6">
        <v>49</v>
      </c>
      <c r="X47" s="6">
        <v>35</v>
      </c>
      <c r="Y47" s="6">
        <v>36</v>
      </c>
      <c r="Z47" s="6">
        <v>6</v>
      </c>
      <c r="AA47" s="6">
        <v>4</v>
      </c>
      <c r="AB47" s="6">
        <v>0</v>
      </c>
      <c r="AC47" s="6">
        <v>0</v>
      </c>
      <c r="AD47" s="6">
        <v>25</v>
      </c>
      <c r="AE47" s="6">
        <v>4</v>
      </c>
      <c r="AF47" s="6">
        <v>5</v>
      </c>
      <c r="AG47" s="6">
        <v>5</v>
      </c>
      <c r="AH47" s="6">
        <v>2</v>
      </c>
      <c r="AI47" s="6">
        <v>0</v>
      </c>
      <c r="AJ47" s="6">
        <v>5</v>
      </c>
      <c r="AK47" s="6">
        <v>3</v>
      </c>
      <c r="AL47" s="6">
        <v>1</v>
      </c>
      <c r="AM47" s="6">
        <v>8</v>
      </c>
      <c r="AN47" s="6">
        <v>0</v>
      </c>
      <c r="AO47" s="6">
        <v>3</v>
      </c>
      <c r="AP47" s="6">
        <v>0</v>
      </c>
      <c r="AQ47" s="6">
        <v>7</v>
      </c>
      <c r="AR47" s="6">
        <v>7</v>
      </c>
      <c r="AS47" s="6">
        <v>14</v>
      </c>
      <c r="AT47" s="6">
        <v>47</v>
      </c>
      <c r="AU47" s="6">
        <v>43</v>
      </c>
      <c r="AV47" s="6">
        <v>21</v>
      </c>
      <c r="AW47" s="6">
        <v>5</v>
      </c>
      <c r="AX47" s="6">
        <v>0</v>
      </c>
      <c r="AY47" s="6">
        <v>2</v>
      </c>
      <c r="AZ47" s="6">
        <v>1</v>
      </c>
      <c r="BA47" s="6">
        <v>0</v>
      </c>
      <c r="BB47" s="6">
        <v>0</v>
      </c>
      <c r="BC47" s="6">
        <v>0</v>
      </c>
      <c r="BD47" s="6">
        <v>5</v>
      </c>
      <c r="BE47" s="6">
        <v>3</v>
      </c>
      <c r="BF47" s="6">
        <v>3</v>
      </c>
      <c r="BG47" s="6">
        <v>0</v>
      </c>
      <c r="BH47" s="6">
        <v>25</v>
      </c>
      <c r="BI47" s="6">
        <v>62</v>
      </c>
      <c r="BJ47" s="6">
        <v>0</v>
      </c>
      <c r="BK47" s="6">
        <v>2</v>
      </c>
      <c r="BL47" s="5">
        <f t="shared" si="57"/>
        <v>545</v>
      </c>
    </row>
    <row r="48" spans="1:64" x14ac:dyDescent="0.4">
      <c r="A48" s="7"/>
      <c r="B48" s="52"/>
      <c r="C48" s="24" t="s">
        <v>124</v>
      </c>
      <c r="D48" s="24"/>
      <c r="E48" s="6">
        <v>2</v>
      </c>
      <c r="F48" s="6">
        <v>3</v>
      </c>
      <c r="G48" s="6">
        <v>4</v>
      </c>
      <c r="H48" s="6">
        <v>2</v>
      </c>
      <c r="I48" s="6">
        <v>2</v>
      </c>
      <c r="J48" s="6">
        <v>1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  <c r="P48" s="6">
        <v>1</v>
      </c>
      <c r="Q48" s="6">
        <v>3</v>
      </c>
      <c r="R48" s="6">
        <v>1</v>
      </c>
      <c r="S48" s="6">
        <v>1</v>
      </c>
      <c r="T48" s="6">
        <v>0</v>
      </c>
      <c r="U48" s="6">
        <v>3</v>
      </c>
      <c r="V48" s="6">
        <v>0</v>
      </c>
      <c r="W48" s="6">
        <v>0</v>
      </c>
      <c r="X48" s="6">
        <v>1</v>
      </c>
      <c r="Y48" s="6">
        <v>1</v>
      </c>
      <c r="Z48" s="6">
        <v>0</v>
      </c>
      <c r="AA48" s="6">
        <v>3</v>
      </c>
      <c r="AB48" s="6">
        <v>2</v>
      </c>
      <c r="AC48" s="6">
        <v>0</v>
      </c>
      <c r="AD48" s="6">
        <v>0</v>
      </c>
      <c r="AE48" s="6">
        <v>1</v>
      </c>
      <c r="AF48" s="6">
        <v>0</v>
      </c>
      <c r="AG48" s="6">
        <v>1</v>
      </c>
      <c r="AH48" s="6">
        <v>0</v>
      </c>
      <c r="AI48" s="6">
        <v>0</v>
      </c>
      <c r="AJ48" s="6">
        <v>3</v>
      </c>
      <c r="AK48" s="6">
        <v>0</v>
      </c>
      <c r="AL48" s="6">
        <v>0</v>
      </c>
      <c r="AM48" s="6">
        <v>0</v>
      </c>
      <c r="AN48" s="6">
        <v>0</v>
      </c>
      <c r="AO48" s="6">
        <v>1</v>
      </c>
      <c r="AP48" s="6">
        <v>2</v>
      </c>
      <c r="AQ48" s="6">
        <v>1</v>
      </c>
      <c r="AR48" s="6">
        <v>5</v>
      </c>
      <c r="AS48" s="6">
        <v>3</v>
      </c>
      <c r="AT48" s="6">
        <v>2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2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1</v>
      </c>
      <c r="BJ48" s="6">
        <v>2</v>
      </c>
      <c r="BK48" s="6">
        <v>0</v>
      </c>
      <c r="BL48" s="5">
        <f t="shared" si="57"/>
        <v>55</v>
      </c>
    </row>
    <row r="49" spans="1:64" x14ac:dyDescent="0.4">
      <c r="A49" s="7"/>
      <c r="B49" s="52"/>
      <c r="C49" s="24" t="s">
        <v>125</v>
      </c>
      <c r="D49" s="24"/>
      <c r="E49" s="6">
        <v>2</v>
      </c>
      <c r="F49" s="6">
        <v>3</v>
      </c>
      <c r="G49" s="6">
        <v>3</v>
      </c>
      <c r="H49" s="6">
        <v>1</v>
      </c>
      <c r="I49" s="6">
        <v>0</v>
      </c>
      <c r="J49" s="6">
        <v>0</v>
      </c>
      <c r="K49" s="6">
        <v>4</v>
      </c>
      <c r="L49" s="6">
        <v>2</v>
      </c>
      <c r="M49" s="6">
        <v>5</v>
      </c>
      <c r="N49" s="6">
        <v>0</v>
      </c>
      <c r="O49" s="6">
        <v>3</v>
      </c>
      <c r="P49" s="6">
        <v>2</v>
      </c>
      <c r="Q49" s="6">
        <v>1</v>
      </c>
      <c r="R49" s="6">
        <v>0</v>
      </c>
      <c r="S49" s="6">
        <v>2</v>
      </c>
      <c r="T49" s="6">
        <v>0</v>
      </c>
      <c r="U49" s="6">
        <v>2</v>
      </c>
      <c r="V49" s="6">
        <v>1</v>
      </c>
      <c r="W49" s="6">
        <v>2</v>
      </c>
      <c r="X49" s="6">
        <v>2</v>
      </c>
      <c r="Y49" s="6">
        <v>2</v>
      </c>
      <c r="Z49" s="6">
        <v>3</v>
      </c>
      <c r="AA49" s="6">
        <v>0</v>
      </c>
      <c r="AB49" s="6">
        <v>1</v>
      </c>
      <c r="AC49" s="6">
        <v>0</v>
      </c>
      <c r="AD49" s="6">
        <v>4</v>
      </c>
      <c r="AE49" s="6">
        <v>0</v>
      </c>
      <c r="AF49" s="6">
        <v>3</v>
      </c>
      <c r="AG49" s="6">
        <v>3</v>
      </c>
      <c r="AH49" s="6">
        <v>1</v>
      </c>
      <c r="AI49" s="6">
        <v>0</v>
      </c>
      <c r="AJ49" s="6">
        <v>0</v>
      </c>
      <c r="AK49" s="6">
        <v>2</v>
      </c>
      <c r="AL49" s="6">
        <v>0</v>
      </c>
      <c r="AM49" s="6">
        <v>0</v>
      </c>
      <c r="AN49" s="6">
        <v>0</v>
      </c>
      <c r="AO49" s="6">
        <v>5</v>
      </c>
      <c r="AP49" s="6">
        <v>1</v>
      </c>
      <c r="AQ49" s="6">
        <v>2</v>
      </c>
      <c r="AR49" s="6">
        <v>3</v>
      </c>
      <c r="AS49" s="6">
        <v>2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1</v>
      </c>
      <c r="AZ49" s="6">
        <v>0</v>
      </c>
      <c r="BA49" s="6">
        <v>0</v>
      </c>
      <c r="BB49" s="6">
        <v>0</v>
      </c>
      <c r="BC49" s="6">
        <v>2</v>
      </c>
      <c r="BD49" s="6">
        <v>0</v>
      </c>
      <c r="BE49" s="6">
        <v>1</v>
      </c>
      <c r="BF49" s="6">
        <v>1</v>
      </c>
      <c r="BG49" s="6">
        <v>0</v>
      </c>
      <c r="BH49" s="6">
        <v>0</v>
      </c>
      <c r="BI49" s="6">
        <v>0</v>
      </c>
      <c r="BJ49" s="6">
        <v>0</v>
      </c>
      <c r="BK49" s="6">
        <v>2</v>
      </c>
      <c r="BL49" s="5">
        <f t="shared" si="57"/>
        <v>74</v>
      </c>
    </row>
    <row r="50" spans="1:64" x14ac:dyDescent="0.4">
      <c r="A50" s="7"/>
      <c r="B50" s="52"/>
      <c r="C50" s="24" t="s">
        <v>126</v>
      </c>
      <c r="D50" s="24"/>
      <c r="E50" s="6">
        <v>0</v>
      </c>
      <c r="F50" s="6">
        <v>0</v>
      </c>
      <c r="G50" s="6">
        <v>1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6">
        <v>0</v>
      </c>
      <c r="P50" s="6">
        <v>0</v>
      </c>
      <c r="Q50" s="6">
        <v>2</v>
      </c>
      <c r="R50" s="6">
        <v>0</v>
      </c>
      <c r="S50" s="6">
        <v>0</v>
      </c>
      <c r="T50" s="6">
        <v>0</v>
      </c>
      <c r="U50" s="6">
        <v>1</v>
      </c>
      <c r="V50" s="6">
        <v>0</v>
      </c>
      <c r="W50" s="6">
        <v>1</v>
      </c>
      <c r="X50" s="6">
        <v>1</v>
      </c>
      <c r="Y50" s="6">
        <v>0</v>
      </c>
      <c r="Z50" s="6">
        <v>1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2</v>
      </c>
      <c r="AS50" s="6">
        <v>0</v>
      </c>
      <c r="AT50" s="6">
        <v>0</v>
      </c>
      <c r="AU50" s="6">
        <v>0</v>
      </c>
      <c r="AV50" s="6">
        <v>1</v>
      </c>
      <c r="AW50" s="6">
        <v>1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2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5">
        <f t="shared" si="57"/>
        <v>17</v>
      </c>
    </row>
    <row r="51" spans="1:64" x14ac:dyDescent="0.4">
      <c r="A51" s="7"/>
      <c r="B51" s="52"/>
      <c r="C51" s="24" t="s">
        <v>127</v>
      </c>
      <c r="D51" s="24"/>
      <c r="E51" s="6">
        <v>2</v>
      </c>
      <c r="F51" s="6">
        <v>0</v>
      </c>
      <c r="G51" s="6">
        <v>0</v>
      </c>
      <c r="H51" s="6">
        <v>0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0</v>
      </c>
      <c r="W51" s="6">
        <v>0</v>
      </c>
      <c r="X51" s="6">
        <v>0</v>
      </c>
      <c r="Y51" s="6">
        <v>0</v>
      </c>
      <c r="Z51" s="6">
        <v>1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6">
        <v>1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1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1</v>
      </c>
      <c r="BF51" s="6">
        <v>1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5">
        <f t="shared" si="57"/>
        <v>11</v>
      </c>
    </row>
    <row r="52" spans="1:64" ht="13.15" customHeight="1" x14ac:dyDescent="0.4">
      <c r="A52" s="7"/>
      <c r="B52" s="52"/>
      <c r="C52" s="24" t="s">
        <v>128</v>
      </c>
      <c r="D52" s="24"/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2</v>
      </c>
      <c r="N52" s="6">
        <v>0</v>
      </c>
      <c r="O52" s="6">
        <v>0</v>
      </c>
      <c r="P52" s="6">
        <v>0</v>
      </c>
      <c r="Q52" s="6">
        <v>1</v>
      </c>
      <c r="R52" s="6">
        <v>0</v>
      </c>
      <c r="S52" s="6">
        <v>0</v>
      </c>
      <c r="T52" s="6">
        <v>0</v>
      </c>
      <c r="U52" s="6">
        <v>1</v>
      </c>
      <c r="V52" s="6">
        <v>0</v>
      </c>
      <c r="W52" s="6">
        <v>1</v>
      </c>
      <c r="X52" s="6">
        <v>1</v>
      </c>
      <c r="Y52" s="6">
        <v>2</v>
      </c>
      <c r="Z52" s="6">
        <v>2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1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2</v>
      </c>
      <c r="AR52" s="6">
        <v>1</v>
      </c>
      <c r="AS52" s="6">
        <v>0</v>
      </c>
      <c r="AT52" s="6">
        <v>1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2</v>
      </c>
      <c r="BE52" s="6">
        <v>0</v>
      </c>
      <c r="BF52" s="6">
        <v>1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5">
        <f t="shared" si="57"/>
        <v>21</v>
      </c>
    </row>
    <row r="53" spans="1:64" ht="13.15" customHeight="1" x14ac:dyDescent="0.4">
      <c r="A53" s="7"/>
      <c r="B53" s="52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0</v>
      </c>
      <c r="T53" s="6">
        <v>0</v>
      </c>
      <c r="U53" s="6">
        <v>1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1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1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1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5">
        <f t="shared" si="57"/>
        <v>5</v>
      </c>
    </row>
    <row r="54" spans="1:64" ht="13.15" customHeight="1" x14ac:dyDescent="0.4">
      <c r="A54" s="7"/>
      <c r="B54" s="52"/>
      <c r="C54" s="24" t="s">
        <v>130</v>
      </c>
      <c r="D54" s="24"/>
      <c r="E54" s="6">
        <v>0</v>
      </c>
      <c r="F54" s="6">
        <v>0</v>
      </c>
      <c r="G54" s="6">
        <v>0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1</v>
      </c>
      <c r="W54" s="6">
        <v>0</v>
      </c>
      <c r="X54" s="6">
        <v>0</v>
      </c>
      <c r="Y54" s="6">
        <v>0</v>
      </c>
      <c r="Z54" s="6">
        <v>1</v>
      </c>
      <c r="AA54" s="6">
        <v>1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1</v>
      </c>
      <c r="AQ54" s="6">
        <v>0</v>
      </c>
      <c r="AR54" s="6">
        <v>0</v>
      </c>
      <c r="AS54" s="6">
        <v>1</v>
      </c>
      <c r="AT54" s="6">
        <v>1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5">
        <f t="shared" si="57"/>
        <v>7</v>
      </c>
    </row>
    <row r="55" spans="1:64" x14ac:dyDescent="0.4">
      <c r="A55" s="6" t="s">
        <v>26</v>
      </c>
      <c r="B55" s="67" t="s">
        <v>51</v>
      </c>
      <c r="C55" s="83"/>
      <c r="D55" s="74"/>
      <c r="E55" s="5">
        <f>SUM(E45:E54)</f>
        <v>29</v>
      </c>
      <c r="F55" s="5">
        <f t="shared" ref="F55:BL55" si="58">SUM(F45:F54)</f>
        <v>27</v>
      </c>
      <c r="G55" s="5">
        <f t="shared" si="58"/>
        <v>31</v>
      </c>
      <c r="H55" s="5">
        <f t="shared" si="58"/>
        <v>14</v>
      </c>
      <c r="I55" s="5">
        <f t="shared" si="58"/>
        <v>28</v>
      </c>
      <c r="J55" s="5">
        <f t="shared" si="58"/>
        <v>41</v>
      </c>
      <c r="K55" s="5">
        <f t="shared" si="58"/>
        <v>32</v>
      </c>
      <c r="L55" s="5">
        <f t="shared" si="58"/>
        <v>16</v>
      </c>
      <c r="M55" s="5">
        <f t="shared" si="58"/>
        <v>48</v>
      </c>
      <c r="N55" s="5">
        <f t="shared" si="58"/>
        <v>4</v>
      </c>
      <c r="O55" s="5">
        <f t="shared" si="58"/>
        <v>28</v>
      </c>
      <c r="P55" s="5">
        <f t="shared" si="58"/>
        <v>11</v>
      </c>
      <c r="Q55" s="5">
        <f t="shared" si="58"/>
        <v>39</v>
      </c>
      <c r="R55" s="5">
        <f t="shared" si="58"/>
        <v>18</v>
      </c>
      <c r="S55" s="5">
        <f t="shared" si="58"/>
        <v>66</v>
      </c>
      <c r="T55" s="5">
        <f t="shared" si="58"/>
        <v>8</v>
      </c>
      <c r="U55" s="5">
        <f t="shared" si="58"/>
        <v>42</v>
      </c>
      <c r="V55" s="5">
        <f t="shared" si="58"/>
        <v>27</v>
      </c>
      <c r="W55" s="5">
        <f t="shared" si="58"/>
        <v>81</v>
      </c>
      <c r="X55" s="5">
        <f t="shared" si="58"/>
        <v>55</v>
      </c>
      <c r="Y55" s="5">
        <f t="shared" si="58"/>
        <v>66</v>
      </c>
      <c r="Z55" s="5">
        <f t="shared" si="58"/>
        <v>55</v>
      </c>
      <c r="AA55" s="5">
        <f t="shared" si="58"/>
        <v>50</v>
      </c>
      <c r="AB55" s="5">
        <f t="shared" si="58"/>
        <v>35</v>
      </c>
      <c r="AC55" s="5">
        <f t="shared" si="58"/>
        <v>20</v>
      </c>
      <c r="AD55" s="5">
        <f t="shared" si="58"/>
        <v>52</v>
      </c>
      <c r="AE55" s="5">
        <f t="shared" si="58"/>
        <v>15</v>
      </c>
      <c r="AF55" s="5">
        <f t="shared" si="58"/>
        <v>45</v>
      </c>
      <c r="AG55" s="5">
        <f t="shared" si="58"/>
        <v>32</v>
      </c>
      <c r="AH55" s="5">
        <f t="shared" si="58"/>
        <v>13</v>
      </c>
      <c r="AI55" s="5">
        <f t="shared" si="58"/>
        <v>1</v>
      </c>
      <c r="AJ55" s="5">
        <f t="shared" si="58"/>
        <v>17</v>
      </c>
      <c r="AK55" s="5">
        <f t="shared" si="58"/>
        <v>14</v>
      </c>
      <c r="AL55" s="5">
        <f t="shared" si="58"/>
        <v>2</v>
      </c>
      <c r="AM55" s="5">
        <f t="shared" si="58"/>
        <v>10</v>
      </c>
      <c r="AN55" s="5">
        <f t="shared" si="58"/>
        <v>1</v>
      </c>
      <c r="AO55" s="5">
        <f t="shared" si="58"/>
        <v>20</v>
      </c>
      <c r="AP55" s="5">
        <f t="shared" si="58"/>
        <v>9</v>
      </c>
      <c r="AQ55" s="5">
        <f t="shared" si="58"/>
        <v>44</v>
      </c>
      <c r="AR55" s="5">
        <f t="shared" si="58"/>
        <v>64</v>
      </c>
      <c r="AS55" s="5">
        <f t="shared" si="58"/>
        <v>53</v>
      </c>
      <c r="AT55" s="5">
        <f t="shared" si="58"/>
        <v>73</v>
      </c>
      <c r="AU55" s="5">
        <f t="shared" si="58"/>
        <v>63</v>
      </c>
      <c r="AV55" s="5">
        <f t="shared" si="58"/>
        <v>29</v>
      </c>
      <c r="AW55" s="5">
        <f t="shared" si="58"/>
        <v>6</v>
      </c>
      <c r="AX55" s="5">
        <f t="shared" si="58"/>
        <v>1</v>
      </c>
      <c r="AY55" s="5">
        <f t="shared" si="58"/>
        <v>14</v>
      </c>
      <c r="AZ55" s="5">
        <f t="shared" si="58"/>
        <v>13</v>
      </c>
      <c r="BA55" s="5">
        <f t="shared" si="58"/>
        <v>9</v>
      </c>
      <c r="BB55" s="5">
        <f t="shared" si="58"/>
        <v>2</v>
      </c>
      <c r="BC55" s="5">
        <f t="shared" si="58"/>
        <v>6</v>
      </c>
      <c r="BD55" s="5">
        <f t="shared" si="58"/>
        <v>14</v>
      </c>
      <c r="BE55" s="5">
        <f t="shared" si="58"/>
        <v>15</v>
      </c>
      <c r="BF55" s="5">
        <f t="shared" si="58"/>
        <v>17</v>
      </c>
      <c r="BG55" s="5">
        <f t="shared" si="58"/>
        <v>0</v>
      </c>
      <c r="BH55" s="5">
        <f t="shared" si="58"/>
        <v>27</v>
      </c>
      <c r="BI55" s="5">
        <f t="shared" si="58"/>
        <v>65</v>
      </c>
      <c r="BJ55" s="5">
        <f t="shared" si="58"/>
        <v>9</v>
      </c>
      <c r="BK55" s="5">
        <f t="shared" si="58"/>
        <v>14</v>
      </c>
      <c r="BL55" s="5">
        <f t="shared" si="58"/>
        <v>1640</v>
      </c>
    </row>
    <row r="56" spans="1:64" x14ac:dyDescent="0.4">
      <c r="A56" s="84"/>
      <c r="B56" s="85"/>
      <c r="C56" s="85"/>
      <c r="D56" s="85"/>
      <c r="E56" s="85"/>
      <c r="BL56" s="5"/>
    </row>
    <row r="57" spans="1:64" x14ac:dyDescent="0.4">
      <c r="A57" s="11" t="s">
        <v>48</v>
      </c>
      <c r="B57" s="17" t="s">
        <v>30</v>
      </c>
      <c r="C57" s="73" t="s">
        <v>52</v>
      </c>
      <c r="D57" s="74"/>
      <c r="E57" s="6">
        <v>6</v>
      </c>
      <c r="F57" s="6">
        <v>7</v>
      </c>
      <c r="G57" s="6">
        <v>6</v>
      </c>
      <c r="H57" s="6">
        <v>3</v>
      </c>
      <c r="I57" s="6">
        <v>8</v>
      </c>
      <c r="J57" s="6">
        <v>12</v>
      </c>
      <c r="K57" s="6">
        <v>8</v>
      </c>
      <c r="L57" s="6">
        <v>9</v>
      </c>
      <c r="M57" s="6">
        <v>4</v>
      </c>
      <c r="N57" s="6">
        <v>3</v>
      </c>
      <c r="O57" s="6">
        <v>6</v>
      </c>
      <c r="P57" s="6">
        <v>7</v>
      </c>
      <c r="Q57" s="6">
        <v>10</v>
      </c>
      <c r="R57" s="6">
        <v>2</v>
      </c>
      <c r="S57" s="6">
        <v>6</v>
      </c>
      <c r="T57" s="6">
        <v>4</v>
      </c>
      <c r="U57" s="6">
        <v>9</v>
      </c>
      <c r="V57" s="6">
        <v>5</v>
      </c>
      <c r="W57" s="6">
        <v>3</v>
      </c>
      <c r="X57" s="6">
        <v>7</v>
      </c>
      <c r="Y57" s="6">
        <v>1</v>
      </c>
      <c r="Z57" s="6">
        <v>4</v>
      </c>
      <c r="AA57" s="6">
        <v>3</v>
      </c>
      <c r="AB57" s="6">
        <v>2</v>
      </c>
      <c r="AC57" s="6">
        <v>4</v>
      </c>
      <c r="AD57" s="6">
        <v>6</v>
      </c>
      <c r="AE57" s="6">
        <v>5</v>
      </c>
      <c r="AF57" s="6">
        <v>5</v>
      </c>
      <c r="AG57" s="6">
        <v>11</v>
      </c>
      <c r="AH57" s="6">
        <v>5</v>
      </c>
      <c r="AI57" s="6">
        <v>1</v>
      </c>
      <c r="AJ57" s="6">
        <v>7</v>
      </c>
      <c r="AK57" s="6">
        <v>11</v>
      </c>
      <c r="AL57" s="6">
        <v>6</v>
      </c>
      <c r="AM57" s="6">
        <v>6</v>
      </c>
      <c r="AN57" s="6">
        <v>1</v>
      </c>
      <c r="AO57" s="6">
        <v>17</v>
      </c>
      <c r="AP57" s="6">
        <v>5</v>
      </c>
      <c r="AQ57" s="6">
        <v>5</v>
      </c>
      <c r="AR57" s="6">
        <v>13</v>
      </c>
      <c r="AS57" s="6">
        <v>9</v>
      </c>
      <c r="AT57" s="6">
        <v>8</v>
      </c>
      <c r="AU57" s="6">
        <v>8</v>
      </c>
      <c r="AV57" s="6">
        <v>1</v>
      </c>
      <c r="AW57" s="6">
        <v>1</v>
      </c>
      <c r="AX57" s="6">
        <v>0</v>
      </c>
      <c r="AY57" s="6">
        <v>5</v>
      </c>
      <c r="AZ57" s="6">
        <v>7</v>
      </c>
      <c r="BA57" s="6">
        <v>1</v>
      </c>
      <c r="BB57" s="6">
        <v>2</v>
      </c>
      <c r="BC57" s="6">
        <v>16</v>
      </c>
      <c r="BD57" s="6">
        <v>9</v>
      </c>
      <c r="BE57" s="6">
        <v>4</v>
      </c>
      <c r="BF57" s="6">
        <v>8</v>
      </c>
      <c r="BG57" s="6">
        <v>0</v>
      </c>
      <c r="BH57" s="6">
        <v>3</v>
      </c>
      <c r="BI57" s="6">
        <v>0</v>
      </c>
      <c r="BJ57" s="6">
        <v>4</v>
      </c>
      <c r="BK57" s="6">
        <v>9</v>
      </c>
      <c r="BL57" s="5">
        <f t="shared" ref="BL57:BL67" si="59">SUM(E57:BK57)</f>
        <v>338</v>
      </c>
    </row>
    <row r="58" spans="1:64" x14ac:dyDescent="0.4">
      <c r="A58" s="11" t="s">
        <v>50</v>
      </c>
      <c r="B58" s="52"/>
      <c r="C58" s="24" t="s">
        <v>131</v>
      </c>
      <c r="D58" s="53"/>
      <c r="E58" s="6">
        <v>5</v>
      </c>
      <c r="F58" s="6">
        <v>8</v>
      </c>
      <c r="G58" s="6">
        <v>20</v>
      </c>
      <c r="H58" s="6">
        <v>7</v>
      </c>
      <c r="I58" s="6">
        <v>6</v>
      </c>
      <c r="J58" s="6">
        <v>11</v>
      </c>
      <c r="K58" s="6">
        <v>5</v>
      </c>
      <c r="L58" s="6">
        <v>6</v>
      </c>
      <c r="M58" s="6">
        <v>9</v>
      </c>
      <c r="N58" s="6">
        <v>18</v>
      </c>
      <c r="O58" s="6">
        <v>23</v>
      </c>
      <c r="P58" s="6">
        <v>7</v>
      </c>
      <c r="Q58" s="6">
        <v>13</v>
      </c>
      <c r="R58" s="6">
        <v>92</v>
      </c>
      <c r="S58" s="6">
        <v>9</v>
      </c>
      <c r="T58" s="6">
        <v>5</v>
      </c>
      <c r="U58" s="6">
        <v>10</v>
      </c>
      <c r="V58" s="6">
        <v>9</v>
      </c>
      <c r="W58" s="6">
        <v>12</v>
      </c>
      <c r="X58" s="6">
        <v>22</v>
      </c>
      <c r="Y58" s="6">
        <v>1</v>
      </c>
      <c r="Z58" s="6">
        <v>84</v>
      </c>
      <c r="AA58" s="6">
        <v>34</v>
      </c>
      <c r="AB58" s="6">
        <v>13</v>
      </c>
      <c r="AC58" s="6">
        <v>51</v>
      </c>
      <c r="AD58" s="6">
        <v>14</v>
      </c>
      <c r="AE58" s="6">
        <v>50</v>
      </c>
      <c r="AF58" s="6">
        <v>9</v>
      </c>
      <c r="AG58" s="6">
        <v>8</v>
      </c>
      <c r="AH58" s="6">
        <v>2</v>
      </c>
      <c r="AI58" s="6">
        <v>0</v>
      </c>
      <c r="AJ58" s="6">
        <v>2</v>
      </c>
      <c r="AK58" s="6">
        <v>75</v>
      </c>
      <c r="AL58" s="6">
        <v>1</v>
      </c>
      <c r="AM58" s="6">
        <v>2</v>
      </c>
      <c r="AN58" s="6">
        <v>2</v>
      </c>
      <c r="AO58" s="6">
        <v>0</v>
      </c>
      <c r="AP58" s="6">
        <v>13</v>
      </c>
      <c r="AQ58" s="6">
        <v>10</v>
      </c>
      <c r="AR58" s="6">
        <v>18</v>
      </c>
      <c r="AS58" s="6">
        <v>17</v>
      </c>
      <c r="AT58" s="6">
        <v>3</v>
      </c>
      <c r="AU58" s="6">
        <v>5</v>
      </c>
      <c r="AV58" s="6">
        <v>9</v>
      </c>
      <c r="AW58" s="6">
        <v>5</v>
      </c>
      <c r="AX58" s="6">
        <v>0</v>
      </c>
      <c r="AY58" s="6">
        <v>7</v>
      </c>
      <c r="AZ58" s="6">
        <v>17</v>
      </c>
      <c r="BA58" s="6">
        <v>4</v>
      </c>
      <c r="BB58" s="6">
        <v>9</v>
      </c>
      <c r="BC58" s="6">
        <v>19</v>
      </c>
      <c r="BD58" s="6">
        <v>9</v>
      </c>
      <c r="BE58" s="6">
        <v>5</v>
      </c>
      <c r="BF58" s="6">
        <v>10</v>
      </c>
      <c r="BG58" s="6">
        <v>2</v>
      </c>
      <c r="BH58" s="6">
        <v>2</v>
      </c>
      <c r="BI58" s="6">
        <v>0</v>
      </c>
      <c r="BJ58" s="6">
        <v>9</v>
      </c>
      <c r="BK58" s="6">
        <v>49</v>
      </c>
      <c r="BL58" s="5">
        <f t="shared" si="59"/>
        <v>867</v>
      </c>
    </row>
    <row r="59" spans="1:64" x14ac:dyDescent="0.4">
      <c r="A59" s="7"/>
      <c r="B59" s="52"/>
      <c r="C59" s="24" t="s">
        <v>132</v>
      </c>
      <c r="D59" s="53"/>
      <c r="E59" s="6">
        <v>6</v>
      </c>
      <c r="F59" s="6">
        <v>13</v>
      </c>
      <c r="G59" s="6">
        <v>9</v>
      </c>
      <c r="H59" s="6">
        <v>3</v>
      </c>
      <c r="I59" s="6">
        <v>7</v>
      </c>
      <c r="J59" s="6">
        <v>7</v>
      </c>
      <c r="K59" s="6">
        <v>6</v>
      </c>
      <c r="L59" s="6">
        <v>3</v>
      </c>
      <c r="M59" s="6">
        <v>0</v>
      </c>
      <c r="N59" s="6">
        <v>3</v>
      </c>
      <c r="O59" s="6">
        <v>2</v>
      </c>
      <c r="P59" s="6">
        <v>3</v>
      </c>
      <c r="Q59" s="6">
        <v>11</v>
      </c>
      <c r="R59" s="6">
        <v>3</v>
      </c>
      <c r="S59" s="6">
        <v>0</v>
      </c>
      <c r="T59" s="6">
        <v>0</v>
      </c>
      <c r="U59" s="6">
        <v>3</v>
      </c>
      <c r="V59" s="6">
        <v>2</v>
      </c>
      <c r="W59" s="6">
        <v>1</v>
      </c>
      <c r="X59" s="6">
        <v>3</v>
      </c>
      <c r="Y59" s="6">
        <v>3</v>
      </c>
      <c r="Z59" s="6">
        <v>3</v>
      </c>
      <c r="AA59" s="6">
        <v>0</v>
      </c>
      <c r="AB59" s="6">
        <v>3</v>
      </c>
      <c r="AC59" s="6">
        <v>1</v>
      </c>
      <c r="AD59" s="6">
        <v>1</v>
      </c>
      <c r="AE59" s="6">
        <v>1</v>
      </c>
      <c r="AF59" s="6">
        <v>4</v>
      </c>
      <c r="AG59" s="6">
        <v>5</v>
      </c>
      <c r="AH59" s="6">
        <v>0</v>
      </c>
      <c r="AI59" s="6">
        <v>0</v>
      </c>
      <c r="AJ59" s="6">
        <v>1</v>
      </c>
      <c r="AK59" s="6">
        <v>4</v>
      </c>
      <c r="AL59" s="6">
        <v>0</v>
      </c>
      <c r="AM59" s="6">
        <v>5</v>
      </c>
      <c r="AN59" s="6">
        <v>1</v>
      </c>
      <c r="AO59" s="6">
        <v>3</v>
      </c>
      <c r="AP59" s="6">
        <v>2</v>
      </c>
      <c r="AQ59" s="6">
        <v>2</v>
      </c>
      <c r="AR59" s="6">
        <v>2</v>
      </c>
      <c r="AS59" s="6">
        <v>5</v>
      </c>
      <c r="AT59" s="6">
        <v>3</v>
      </c>
      <c r="AU59" s="6">
        <v>8</v>
      </c>
      <c r="AV59" s="6">
        <v>3</v>
      </c>
      <c r="AW59" s="6">
        <v>0</v>
      </c>
      <c r="AX59" s="6">
        <v>2</v>
      </c>
      <c r="AY59" s="6">
        <v>4</v>
      </c>
      <c r="AZ59" s="6">
        <v>1</v>
      </c>
      <c r="BA59" s="6">
        <v>2</v>
      </c>
      <c r="BB59" s="6">
        <v>0</v>
      </c>
      <c r="BC59" s="6">
        <v>8</v>
      </c>
      <c r="BD59" s="6">
        <v>1</v>
      </c>
      <c r="BE59" s="6">
        <v>3</v>
      </c>
      <c r="BF59" s="6">
        <v>4</v>
      </c>
      <c r="BG59" s="6">
        <v>0</v>
      </c>
      <c r="BH59" s="6">
        <v>2</v>
      </c>
      <c r="BI59" s="6">
        <v>0</v>
      </c>
      <c r="BJ59" s="6">
        <v>3</v>
      </c>
      <c r="BK59" s="6">
        <v>12</v>
      </c>
      <c r="BL59" s="5">
        <f t="shared" si="59"/>
        <v>187</v>
      </c>
    </row>
    <row r="60" spans="1:64" x14ac:dyDescent="0.4">
      <c r="A60" s="7"/>
      <c r="B60" s="52"/>
      <c r="C60" s="24" t="s">
        <v>133</v>
      </c>
      <c r="D60" s="53"/>
      <c r="E60" s="6">
        <v>4</v>
      </c>
      <c r="F60" s="6">
        <v>1</v>
      </c>
      <c r="G60" s="6">
        <v>1</v>
      </c>
      <c r="H60" s="6">
        <v>1</v>
      </c>
      <c r="I60" s="6">
        <v>0</v>
      </c>
      <c r="J60" s="6">
        <v>1</v>
      </c>
      <c r="K60" s="6">
        <v>0</v>
      </c>
      <c r="L60" s="6">
        <v>0</v>
      </c>
      <c r="M60" s="6">
        <v>1</v>
      </c>
      <c r="N60" s="6">
        <v>1</v>
      </c>
      <c r="O60" s="6">
        <v>1</v>
      </c>
      <c r="P60" s="6">
        <v>1</v>
      </c>
      <c r="Q60" s="6">
        <v>34</v>
      </c>
      <c r="R60" s="6">
        <v>4</v>
      </c>
      <c r="S60" s="6">
        <v>2</v>
      </c>
      <c r="T60" s="6">
        <v>0</v>
      </c>
      <c r="U60" s="6">
        <v>1</v>
      </c>
      <c r="V60" s="6">
        <v>0</v>
      </c>
      <c r="W60" s="6">
        <v>1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2</v>
      </c>
      <c r="AF60" s="6">
        <v>1</v>
      </c>
      <c r="AG60" s="6">
        <v>1</v>
      </c>
      <c r="AH60" s="6">
        <v>3</v>
      </c>
      <c r="AI60" s="6">
        <v>0</v>
      </c>
      <c r="AJ60" s="6">
        <v>2</v>
      </c>
      <c r="AK60" s="6">
        <v>6</v>
      </c>
      <c r="AL60" s="6">
        <v>1</v>
      </c>
      <c r="AM60" s="6">
        <v>0</v>
      </c>
      <c r="AN60" s="6">
        <v>0</v>
      </c>
      <c r="AO60" s="6">
        <v>0</v>
      </c>
      <c r="AP60" s="6">
        <v>9</v>
      </c>
      <c r="AQ60" s="6">
        <v>0</v>
      </c>
      <c r="AR60" s="6">
        <v>0</v>
      </c>
      <c r="AS60" s="6">
        <v>2</v>
      </c>
      <c r="AT60" s="6">
        <v>2</v>
      </c>
      <c r="AU60" s="6">
        <v>2</v>
      </c>
      <c r="AV60" s="6">
        <v>0</v>
      </c>
      <c r="AW60" s="6">
        <v>0</v>
      </c>
      <c r="AX60" s="6">
        <v>3</v>
      </c>
      <c r="AY60" s="6">
        <v>0</v>
      </c>
      <c r="AZ60" s="6">
        <v>0</v>
      </c>
      <c r="BA60" s="6">
        <v>0</v>
      </c>
      <c r="BB60" s="6">
        <v>4</v>
      </c>
      <c r="BC60" s="6">
        <v>3</v>
      </c>
      <c r="BD60" s="6">
        <v>1</v>
      </c>
      <c r="BE60" s="6">
        <v>1</v>
      </c>
      <c r="BF60" s="6">
        <v>4</v>
      </c>
      <c r="BG60" s="6">
        <v>0</v>
      </c>
      <c r="BH60" s="6">
        <v>2</v>
      </c>
      <c r="BI60" s="6">
        <v>0</v>
      </c>
      <c r="BJ60" s="6">
        <v>2</v>
      </c>
      <c r="BK60" s="6">
        <v>5</v>
      </c>
      <c r="BL60" s="5">
        <f t="shared" si="59"/>
        <v>110</v>
      </c>
    </row>
    <row r="61" spans="1:64" x14ac:dyDescent="0.4">
      <c r="A61" s="7"/>
      <c r="B61" s="52"/>
      <c r="C61" s="24" t="s">
        <v>134</v>
      </c>
      <c r="D61" s="53"/>
      <c r="E61" s="6">
        <v>1</v>
      </c>
      <c r="F61" s="6">
        <v>1</v>
      </c>
      <c r="G61" s="6">
        <v>2</v>
      </c>
      <c r="H61" s="6">
        <v>2</v>
      </c>
      <c r="I61" s="6">
        <v>3</v>
      </c>
      <c r="J61" s="6">
        <v>3</v>
      </c>
      <c r="K61" s="6">
        <v>0</v>
      </c>
      <c r="L61" s="6">
        <v>0</v>
      </c>
      <c r="M61" s="6">
        <v>1</v>
      </c>
      <c r="N61" s="6">
        <v>1</v>
      </c>
      <c r="O61" s="6">
        <v>0</v>
      </c>
      <c r="P61" s="6">
        <v>4</v>
      </c>
      <c r="Q61" s="6">
        <v>3</v>
      </c>
      <c r="R61" s="6">
        <v>2</v>
      </c>
      <c r="S61" s="6">
        <v>2</v>
      </c>
      <c r="T61" s="6">
        <v>0</v>
      </c>
      <c r="U61" s="6">
        <v>3</v>
      </c>
      <c r="V61" s="6">
        <v>2</v>
      </c>
      <c r="W61" s="6">
        <v>2</v>
      </c>
      <c r="X61" s="6">
        <v>4</v>
      </c>
      <c r="Y61" s="6">
        <v>3</v>
      </c>
      <c r="Z61" s="6">
        <v>3</v>
      </c>
      <c r="AA61" s="6">
        <v>1</v>
      </c>
      <c r="AB61" s="6">
        <v>0</v>
      </c>
      <c r="AC61" s="6">
        <v>0</v>
      </c>
      <c r="AD61" s="6">
        <v>1</v>
      </c>
      <c r="AE61" s="6">
        <v>2</v>
      </c>
      <c r="AF61" s="6">
        <v>1</v>
      </c>
      <c r="AG61" s="6">
        <v>0</v>
      </c>
      <c r="AH61" s="6">
        <v>0</v>
      </c>
      <c r="AI61" s="6">
        <v>0</v>
      </c>
      <c r="AJ61" s="6">
        <v>2</v>
      </c>
      <c r="AK61" s="6">
        <v>4</v>
      </c>
      <c r="AL61" s="6">
        <v>0</v>
      </c>
      <c r="AM61" s="6">
        <v>1</v>
      </c>
      <c r="AN61" s="6">
        <v>0</v>
      </c>
      <c r="AO61" s="6">
        <v>1</v>
      </c>
      <c r="AP61" s="6">
        <v>3</v>
      </c>
      <c r="AQ61" s="6">
        <v>5</v>
      </c>
      <c r="AR61" s="6">
        <v>27</v>
      </c>
      <c r="AS61" s="6">
        <v>2</v>
      </c>
      <c r="AT61" s="6">
        <v>3</v>
      </c>
      <c r="AU61" s="6">
        <v>0</v>
      </c>
      <c r="AV61" s="6">
        <v>1</v>
      </c>
      <c r="AW61" s="6">
        <v>0</v>
      </c>
      <c r="AX61" s="6">
        <v>0</v>
      </c>
      <c r="AY61" s="6">
        <v>1</v>
      </c>
      <c r="AZ61" s="6">
        <v>1</v>
      </c>
      <c r="BA61" s="6">
        <v>2</v>
      </c>
      <c r="BB61" s="6">
        <v>2</v>
      </c>
      <c r="BC61" s="6">
        <v>7</v>
      </c>
      <c r="BD61" s="6">
        <v>2</v>
      </c>
      <c r="BE61" s="6">
        <v>7</v>
      </c>
      <c r="BF61" s="6">
        <v>1</v>
      </c>
      <c r="BG61" s="6">
        <v>0</v>
      </c>
      <c r="BH61" s="6">
        <v>2</v>
      </c>
      <c r="BI61" s="6">
        <v>0</v>
      </c>
      <c r="BJ61" s="6">
        <v>4</v>
      </c>
      <c r="BK61" s="6">
        <v>3</v>
      </c>
      <c r="BL61" s="5">
        <f t="shared" si="59"/>
        <v>128</v>
      </c>
    </row>
    <row r="62" spans="1:64" x14ac:dyDescent="0.4">
      <c r="A62" s="7"/>
      <c r="B62" s="52"/>
      <c r="C62" s="24" t="s">
        <v>135</v>
      </c>
      <c r="D62" s="53"/>
      <c r="E62" s="6">
        <v>0</v>
      </c>
      <c r="F62" s="6">
        <v>0</v>
      </c>
      <c r="G62" s="6">
        <v>0</v>
      </c>
      <c r="H62" s="6">
        <v>0</v>
      </c>
      <c r="I62" s="6">
        <v>3</v>
      </c>
      <c r="J62" s="6">
        <v>0</v>
      </c>
      <c r="K62" s="6">
        <v>1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1</v>
      </c>
      <c r="R62" s="6">
        <v>0</v>
      </c>
      <c r="S62" s="6">
        <v>0</v>
      </c>
      <c r="T62" s="6">
        <v>0</v>
      </c>
      <c r="U62" s="6">
        <v>2</v>
      </c>
      <c r="V62" s="6">
        <v>0</v>
      </c>
      <c r="W62" s="6">
        <v>2</v>
      </c>
      <c r="X62" s="6">
        <v>1</v>
      </c>
      <c r="Y62" s="6">
        <v>0</v>
      </c>
      <c r="Z62" s="6">
        <v>0</v>
      </c>
      <c r="AA62" s="6">
        <v>0</v>
      </c>
      <c r="AB62" s="6">
        <v>0</v>
      </c>
      <c r="AC62" s="6">
        <v>1</v>
      </c>
      <c r="AD62" s="6">
        <v>0</v>
      </c>
      <c r="AE62" s="6">
        <v>0</v>
      </c>
      <c r="AF62" s="6">
        <v>2</v>
      </c>
      <c r="AG62" s="6">
        <v>1</v>
      </c>
      <c r="AH62" s="6">
        <v>0</v>
      </c>
      <c r="AI62" s="6">
        <v>0</v>
      </c>
      <c r="AJ62" s="6">
        <v>1</v>
      </c>
      <c r="AK62" s="6">
        <v>4</v>
      </c>
      <c r="AL62" s="6">
        <v>1</v>
      </c>
      <c r="AM62" s="6">
        <v>1</v>
      </c>
      <c r="AN62" s="6">
        <v>0</v>
      </c>
      <c r="AO62" s="6">
        <v>1</v>
      </c>
      <c r="AP62" s="6">
        <v>0</v>
      </c>
      <c r="AQ62" s="6">
        <v>1</v>
      </c>
      <c r="AR62" s="6">
        <v>3</v>
      </c>
      <c r="AS62" s="6">
        <v>0</v>
      </c>
      <c r="AT62" s="6">
        <v>1</v>
      </c>
      <c r="AU62" s="6">
        <v>1</v>
      </c>
      <c r="AV62" s="6">
        <v>0</v>
      </c>
      <c r="AW62" s="6">
        <v>1</v>
      </c>
      <c r="AX62" s="6">
        <v>0</v>
      </c>
      <c r="AY62" s="6">
        <v>0</v>
      </c>
      <c r="AZ62" s="6">
        <v>0</v>
      </c>
      <c r="BA62" s="6">
        <v>2</v>
      </c>
      <c r="BB62" s="6">
        <v>1</v>
      </c>
      <c r="BC62" s="6">
        <v>0</v>
      </c>
      <c r="BD62" s="6">
        <v>1</v>
      </c>
      <c r="BE62" s="6">
        <v>1</v>
      </c>
      <c r="BF62" s="6">
        <v>0</v>
      </c>
      <c r="BG62" s="6">
        <v>1</v>
      </c>
      <c r="BH62" s="6">
        <v>0</v>
      </c>
      <c r="BI62" s="6">
        <v>0</v>
      </c>
      <c r="BJ62" s="6">
        <v>0</v>
      </c>
      <c r="BK62" s="6">
        <v>1</v>
      </c>
      <c r="BL62" s="5">
        <f t="shared" si="59"/>
        <v>37</v>
      </c>
    </row>
    <row r="63" spans="1:64" ht="13.15" customHeight="1" x14ac:dyDescent="0.4">
      <c r="A63" s="7"/>
      <c r="B63" s="52"/>
      <c r="C63" s="24" t="s">
        <v>136</v>
      </c>
      <c r="D63" s="50"/>
      <c r="E63" s="6">
        <v>0</v>
      </c>
      <c r="F63" s="6">
        <v>0</v>
      </c>
      <c r="G63" s="6">
        <v>0</v>
      </c>
      <c r="H63" s="6">
        <v>0</v>
      </c>
      <c r="I63" s="6">
        <v>2</v>
      </c>
      <c r="J63" s="6">
        <v>0</v>
      </c>
      <c r="K63" s="6">
        <v>1</v>
      </c>
      <c r="L63" s="6">
        <v>1</v>
      </c>
      <c r="M63" s="6">
        <v>0</v>
      </c>
      <c r="N63" s="6">
        <v>2</v>
      </c>
      <c r="O63" s="6">
        <v>0</v>
      </c>
      <c r="P63" s="6">
        <v>0</v>
      </c>
      <c r="Q63" s="6">
        <v>1</v>
      </c>
      <c r="R63" s="6">
        <v>0</v>
      </c>
      <c r="S63" s="6">
        <v>1</v>
      </c>
      <c r="T63" s="6">
        <v>0</v>
      </c>
      <c r="U63" s="6">
        <v>0</v>
      </c>
      <c r="V63" s="6">
        <v>0</v>
      </c>
      <c r="W63" s="6">
        <v>1</v>
      </c>
      <c r="X63" s="6">
        <v>0</v>
      </c>
      <c r="Y63" s="6">
        <v>0</v>
      </c>
      <c r="Z63" s="6">
        <v>2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6">
        <v>0</v>
      </c>
      <c r="AO63" s="6">
        <v>0</v>
      </c>
      <c r="AP63" s="6">
        <v>1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2</v>
      </c>
      <c r="BD63" s="6">
        <v>1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1</v>
      </c>
      <c r="BL63" s="5">
        <f t="shared" si="59"/>
        <v>18</v>
      </c>
    </row>
    <row r="64" spans="1:64" x14ac:dyDescent="0.4">
      <c r="A64" s="7"/>
      <c r="B64" s="52"/>
      <c r="C64" s="24" t="s">
        <v>137</v>
      </c>
      <c r="D64" s="53"/>
      <c r="E64" s="6">
        <v>0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2</v>
      </c>
      <c r="T64" s="6">
        <v>2</v>
      </c>
      <c r="U64" s="6">
        <v>1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1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1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2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1</v>
      </c>
      <c r="BL64" s="5">
        <f t="shared" si="59"/>
        <v>12</v>
      </c>
    </row>
    <row r="65" spans="1:64" x14ac:dyDescent="0.4">
      <c r="A65" s="7"/>
      <c r="B65" s="52"/>
      <c r="C65" s="24" t="s">
        <v>138</v>
      </c>
      <c r="D65" s="53"/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1</v>
      </c>
      <c r="AL65" s="6">
        <v>0</v>
      </c>
      <c r="AM65" s="6">
        <v>1</v>
      </c>
      <c r="AN65" s="6">
        <v>0</v>
      </c>
      <c r="AO65" s="6">
        <v>0</v>
      </c>
      <c r="AP65" s="6">
        <v>0</v>
      </c>
      <c r="AQ65" s="6">
        <v>1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1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5">
        <f t="shared" si="59"/>
        <v>7</v>
      </c>
    </row>
    <row r="66" spans="1:64" x14ac:dyDescent="0.4">
      <c r="A66" s="7"/>
      <c r="B66" s="52"/>
      <c r="C66" s="24" t="s">
        <v>139</v>
      </c>
      <c r="D66" s="53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1</v>
      </c>
      <c r="AD66" s="6">
        <v>0</v>
      </c>
      <c r="AE66" s="6">
        <v>0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1</v>
      </c>
      <c r="AP66" s="6">
        <v>0</v>
      </c>
      <c r="AQ66" s="6">
        <v>0</v>
      </c>
      <c r="AR66" s="6">
        <v>1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1</v>
      </c>
      <c r="BG66" s="6">
        <v>0</v>
      </c>
      <c r="BH66" s="6">
        <v>0</v>
      </c>
      <c r="BI66" s="6">
        <v>0</v>
      </c>
      <c r="BJ66" s="6">
        <v>1</v>
      </c>
      <c r="BK66" s="6">
        <v>0</v>
      </c>
      <c r="BL66" s="5">
        <f t="shared" si="59"/>
        <v>7</v>
      </c>
    </row>
    <row r="67" spans="1:64" x14ac:dyDescent="0.4">
      <c r="A67" s="6" t="s">
        <v>26</v>
      </c>
      <c r="B67" s="67" t="s">
        <v>51</v>
      </c>
      <c r="C67" s="83"/>
      <c r="D67" s="74"/>
      <c r="E67" s="5">
        <f t="shared" ref="E67:BL67" si="60">SUM(E57:E66)</f>
        <v>22</v>
      </c>
      <c r="F67" s="5">
        <f t="shared" si="60"/>
        <v>31</v>
      </c>
      <c r="G67" s="5">
        <f t="shared" si="60"/>
        <v>38</v>
      </c>
      <c r="H67" s="5">
        <f t="shared" si="60"/>
        <v>16</v>
      </c>
      <c r="I67" s="5">
        <f t="shared" si="60"/>
        <v>30</v>
      </c>
      <c r="J67" s="5">
        <f t="shared" si="60"/>
        <v>35</v>
      </c>
      <c r="K67" s="5">
        <f t="shared" si="60"/>
        <v>21</v>
      </c>
      <c r="L67" s="5">
        <f t="shared" si="60"/>
        <v>19</v>
      </c>
      <c r="M67" s="5">
        <f t="shared" si="60"/>
        <v>15</v>
      </c>
      <c r="N67" s="5">
        <f t="shared" si="60"/>
        <v>29</v>
      </c>
      <c r="O67" s="5">
        <f t="shared" si="60"/>
        <v>32</v>
      </c>
      <c r="P67" s="5">
        <f t="shared" si="60"/>
        <v>23</v>
      </c>
      <c r="Q67" s="5">
        <f t="shared" si="60"/>
        <v>73</v>
      </c>
      <c r="R67" s="5">
        <f t="shared" si="60"/>
        <v>103</v>
      </c>
      <c r="S67" s="5">
        <f t="shared" si="60"/>
        <v>22</v>
      </c>
      <c r="T67" s="5">
        <f t="shared" si="60"/>
        <v>11</v>
      </c>
      <c r="U67" s="5">
        <f t="shared" si="60"/>
        <v>29</v>
      </c>
      <c r="V67" s="5">
        <f t="shared" si="60"/>
        <v>18</v>
      </c>
      <c r="W67" s="5">
        <f t="shared" si="60"/>
        <v>22</v>
      </c>
      <c r="X67" s="5">
        <f t="shared" si="60"/>
        <v>37</v>
      </c>
      <c r="Y67" s="5">
        <f t="shared" si="60"/>
        <v>8</v>
      </c>
      <c r="Z67" s="5">
        <f t="shared" si="60"/>
        <v>96</v>
      </c>
      <c r="AA67" s="5">
        <f t="shared" si="60"/>
        <v>39</v>
      </c>
      <c r="AB67" s="5">
        <f t="shared" si="60"/>
        <v>18</v>
      </c>
      <c r="AC67" s="5">
        <f t="shared" si="60"/>
        <v>58</v>
      </c>
      <c r="AD67" s="5">
        <f t="shared" si="60"/>
        <v>22</v>
      </c>
      <c r="AE67" s="5">
        <f t="shared" si="60"/>
        <v>61</v>
      </c>
      <c r="AF67" s="5">
        <f t="shared" si="60"/>
        <v>22</v>
      </c>
      <c r="AG67" s="5">
        <f t="shared" si="60"/>
        <v>26</v>
      </c>
      <c r="AH67" s="5">
        <f t="shared" si="60"/>
        <v>11</v>
      </c>
      <c r="AI67" s="5">
        <f t="shared" si="60"/>
        <v>1</v>
      </c>
      <c r="AJ67" s="5">
        <f t="shared" si="60"/>
        <v>16</v>
      </c>
      <c r="AK67" s="5">
        <f t="shared" si="60"/>
        <v>107</v>
      </c>
      <c r="AL67" s="5">
        <f t="shared" si="60"/>
        <v>9</v>
      </c>
      <c r="AM67" s="5">
        <f t="shared" si="60"/>
        <v>16</v>
      </c>
      <c r="AN67" s="5">
        <f t="shared" si="60"/>
        <v>4</v>
      </c>
      <c r="AO67" s="5">
        <f t="shared" si="60"/>
        <v>23</v>
      </c>
      <c r="AP67" s="5">
        <f t="shared" si="60"/>
        <v>34</v>
      </c>
      <c r="AQ67" s="5">
        <f t="shared" si="60"/>
        <v>24</v>
      </c>
      <c r="AR67" s="5">
        <f t="shared" si="60"/>
        <v>64</v>
      </c>
      <c r="AS67" s="5">
        <f t="shared" si="60"/>
        <v>35</v>
      </c>
      <c r="AT67" s="5">
        <f t="shared" si="60"/>
        <v>20</v>
      </c>
      <c r="AU67" s="5">
        <f t="shared" si="60"/>
        <v>24</v>
      </c>
      <c r="AV67" s="5">
        <f t="shared" si="60"/>
        <v>14</v>
      </c>
      <c r="AW67" s="5">
        <f t="shared" si="60"/>
        <v>7</v>
      </c>
      <c r="AX67" s="5">
        <f t="shared" si="60"/>
        <v>5</v>
      </c>
      <c r="AY67" s="5">
        <f t="shared" si="60"/>
        <v>17</v>
      </c>
      <c r="AZ67" s="5">
        <f t="shared" si="60"/>
        <v>26</v>
      </c>
      <c r="BA67" s="5">
        <f t="shared" si="60"/>
        <v>11</v>
      </c>
      <c r="BB67" s="5">
        <f t="shared" si="60"/>
        <v>18</v>
      </c>
      <c r="BC67" s="5">
        <f t="shared" si="60"/>
        <v>55</v>
      </c>
      <c r="BD67" s="5">
        <f t="shared" si="60"/>
        <v>27</v>
      </c>
      <c r="BE67" s="5">
        <f t="shared" si="60"/>
        <v>21</v>
      </c>
      <c r="BF67" s="5">
        <f t="shared" si="60"/>
        <v>28</v>
      </c>
      <c r="BG67" s="5">
        <f t="shared" si="60"/>
        <v>3</v>
      </c>
      <c r="BH67" s="5">
        <f t="shared" si="60"/>
        <v>11</v>
      </c>
      <c r="BI67" s="5">
        <f t="shared" si="60"/>
        <v>0</v>
      </c>
      <c r="BJ67" s="5">
        <f t="shared" si="60"/>
        <v>23</v>
      </c>
      <c r="BK67" s="5">
        <f t="shared" si="60"/>
        <v>81</v>
      </c>
      <c r="BL67" s="5">
        <f t="shared" si="60"/>
        <v>1711</v>
      </c>
    </row>
    <row r="68" spans="1:64" x14ac:dyDescent="0.4">
      <c r="A68" s="84"/>
      <c r="B68" s="85"/>
      <c r="C68" s="85"/>
      <c r="D68" s="85"/>
      <c r="E68" s="85"/>
    </row>
    <row r="69" spans="1:64" x14ac:dyDescent="0.4">
      <c r="A69" s="11" t="s">
        <v>48</v>
      </c>
      <c r="B69" s="17" t="s">
        <v>32</v>
      </c>
      <c r="C69" s="73" t="s">
        <v>53</v>
      </c>
      <c r="D69" s="74"/>
      <c r="E69" s="6">
        <v>16</v>
      </c>
      <c r="F69" s="6">
        <v>5</v>
      </c>
      <c r="G69" s="6">
        <v>6</v>
      </c>
      <c r="H69" s="6">
        <v>8</v>
      </c>
      <c r="I69" s="6">
        <v>5</v>
      </c>
      <c r="J69" s="6">
        <v>8</v>
      </c>
      <c r="K69" s="6">
        <v>6</v>
      </c>
      <c r="L69" s="6">
        <v>7</v>
      </c>
      <c r="M69" s="6">
        <v>7</v>
      </c>
      <c r="N69" s="6">
        <v>2</v>
      </c>
      <c r="O69" s="6">
        <v>6</v>
      </c>
      <c r="P69" s="6">
        <v>8</v>
      </c>
      <c r="Q69" s="6">
        <v>4</v>
      </c>
      <c r="R69" s="6">
        <v>5</v>
      </c>
      <c r="S69" s="6">
        <v>3</v>
      </c>
      <c r="T69" s="6">
        <v>0</v>
      </c>
      <c r="U69" s="6">
        <v>9</v>
      </c>
      <c r="V69" s="6">
        <v>8</v>
      </c>
      <c r="W69" s="6">
        <v>2</v>
      </c>
      <c r="X69" s="6">
        <v>3</v>
      </c>
      <c r="Y69" s="6">
        <v>4</v>
      </c>
      <c r="Z69" s="6">
        <v>5</v>
      </c>
      <c r="AA69" s="6">
        <v>2</v>
      </c>
      <c r="AB69" s="6">
        <v>1</v>
      </c>
      <c r="AC69" s="6">
        <v>0</v>
      </c>
      <c r="AD69" s="6">
        <v>4</v>
      </c>
      <c r="AE69" s="6">
        <v>6</v>
      </c>
      <c r="AF69" s="6">
        <v>9</v>
      </c>
      <c r="AG69" s="6">
        <v>8</v>
      </c>
      <c r="AH69" s="6">
        <v>7</v>
      </c>
      <c r="AI69" s="6">
        <v>1</v>
      </c>
      <c r="AJ69" s="6">
        <v>7</v>
      </c>
      <c r="AK69" s="6">
        <v>9</v>
      </c>
      <c r="AL69" s="6">
        <v>10</v>
      </c>
      <c r="AM69" s="6">
        <v>17</v>
      </c>
      <c r="AN69" s="6">
        <v>13</v>
      </c>
      <c r="AO69" s="6">
        <v>11</v>
      </c>
      <c r="AP69" s="6">
        <v>4</v>
      </c>
      <c r="AQ69" s="6">
        <v>1</v>
      </c>
      <c r="AR69" s="6">
        <v>7</v>
      </c>
      <c r="AS69" s="6">
        <v>5</v>
      </c>
      <c r="AT69" s="6">
        <v>7</v>
      </c>
      <c r="AU69" s="6">
        <v>3</v>
      </c>
      <c r="AV69" s="6">
        <v>3</v>
      </c>
      <c r="AW69" s="6">
        <v>1</v>
      </c>
      <c r="AX69" s="6">
        <v>1</v>
      </c>
      <c r="AY69" s="6">
        <v>6</v>
      </c>
      <c r="AZ69" s="6">
        <v>7</v>
      </c>
      <c r="BA69" s="6">
        <v>1</v>
      </c>
      <c r="BB69" s="6">
        <v>7</v>
      </c>
      <c r="BC69" s="6">
        <v>5</v>
      </c>
      <c r="BD69" s="6">
        <v>2</v>
      </c>
      <c r="BE69" s="6">
        <v>5</v>
      </c>
      <c r="BF69" s="6">
        <v>7</v>
      </c>
      <c r="BG69" s="6">
        <v>1</v>
      </c>
      <c r="BH69" s="6">
        <v>4</v>
      </c>
      <c r="BI69" s="6">
        <v>0</v>
      </c>
      <c r="BJ69" s="6">
        <v>0</v>
      </c>
      <c r="BK69" s="6">
        <v>5</v>
      </c>
      <c r="BL69" s="5">
        <f t="shared" ref="BL69:BL79" si="61">SUM(E69:BK69)</f>
        <v>314</v>
      </c>
    </row>
    <row r="70" spans="1:64" x14ac:dyDescent="0.4">
      <c r="A70" s="11" t="s">
        <v>50</v>
      </c>
      <c r="B70" s="52"/>
      <c r="C70" s="24" t="s">
        <v>140</v>
      </c>
      <c r="D70" s="50"/>
      <c r="E70" s="6">
        <v>30</v>
      </c>
      <c r="F70" s="6">
        <v>7</v>
      </c>
      <c r="G70" s="6">
        <v>7</v>
      </c>
      <c r="H70" s="6">
        <v>5</v>
      </c>
      <c r="I70" s="6">
        <v>6</v>
      </c>
      <c r="J70" s="6">
        <v>5</v>
      </c>
      <c r="K70" s="6">
        <v>12</v>
      </c>
      <c r="L70" s="6">
        <v>5</v>
      </c>
      <c r="M70" s="6">
        <v>5</v>
      </c>
      <c r="N70" s="6">
        <v>3</v>
      </c>
      <c r="O70" s="6">
        <v>2</v>
      </c>
      <c r="P70" s="6">
        <v>5</v>
      </c>
      <c r="Q70" s="6">
        <v>6</v>
      </c>
      <c r="R70" s="6">
        <v>3</v>
      </c>
      <c r="S70" s="6">
        <v>11</v>
      </c>
      <c r="T70" s="6">
        <v>3</v>
      </c>
      <c r="U70" s="6">
        <v>4</v>
      </c>
      <c r="V70" s="6">
        <v>2</v>
      </c>
      <c r="W70" s="6">
        <v>4</v>
      </c>
      <c r="X70" s="6">
        <v>0</v>
      </c>
      <c r="Y70" s="6">
        <v>3</v>
      </c>
      <c r="Z70" s="6">
        <v>4</v>
      </c>
      <c r="AA70" s="6">
        <v>1</v>
      </c>
      <c r="AB70" s="6">
        <v>0</v>
      </c>
      <c r="AC70" s="6">
        <v>3</v>
      </c>
      <c r="AD70" s="6">
        <v>3</v>
      </c>
      <c r="AE70" s="6">
        <v>4</v>
      </c>
      <c r="AF70" s="6">
        <v>1</v>
      </c>
      <c r="AG70" s="6">
        <v>5</v>
      </c>
      <c r="AH70" s="6">
        <v>7</v>
      </c>
      <c r="AI70" s="6">
        <v>1</v>
      </c>
      <c r="AJ70" s="6">
        <v>1</v>
      </c>
      <c r="AK70" s="6">
        <v>4</v>
      </c>
      <c r="AL70" s="6">
        <v>24</v>
      </c>
      <c r="AM70" s="6">
        <v>26</v>
      </c>
      <c r="AN70" s="6">
        <v>15</v>
      </c>
      <c r="AO70" s="6">
        <v>1</v>
      </c>
      <c r="AP70" s="6">
        <v>5</v>
      </c>
      <c r="AQ70" s="6">
        <v>3</v>
      </c>
      <c r="AR70" s="6">
        <v>7</v>
      </c>
      <c r="AS70" s="6">
        <v>6</v>
      </c>
      <c r="AT70" s="6">
        <v>2</v>
      </c>
      <c r="AU70" s="6">
        <v>2</v>
      </c>
      <c r="AV70" s="6">
        <v>2</v>
      </c>
      <c r="AW70" s="6">
        <v>3</v>
      </c>
      <c r="AX70" s="6">
        <v>2</v>
      </c>
      <c r="AY70" s="6">
        <v>2</v>
      </c>
      <c r="AZ70" s="6">
        <v>13</v>
      </c>
      <c r="BA70" s="6">
        <v>9</v>
      </c>
      <c r="BB70" s="6">
        <v>8</v>
      </c>
      <c r="BC70" s="6">
        <v>9</v>
      </c>
      <c r="BD70" s="6">
        <v>3</v>
      </c>
      <c r="BE70" s="6">
        <v>2</v>
      </c>
      <c r="BF70" s="6">
        <v>6</v>
      </c>
      <c r="BG70" s="6">
        <v>0</v>
      </c>
      <c r="BH70" s="6">
        <v>1</v>
      </c>
      <c r="BI70" s="6">
        <v>3</v>
      </c>
      <c r="BJ70" s="6">
        <v>4</v>
      </c>
      <c r="BK70" s="6">
        <v>6</v>
      </c>
      <c r="BL70" s="5">
        <f t="shared" si="61"/>
        <v>326</v>
      </c>
    </row>
    <row r="71" spans="1:64" x14ac:dyDescent="0.4">
      <c r="A71" s="7"/>
      <c r="B71" s="52"/>
      <c r="C71" s="24" t="s">
        <v>141</v>
      </c>
      <c r="D71" s="50"/>
      <c r="E71" s="6">
        <v>1</v>
      </c>
      <c r="F71" s="6">
        <v>1</v>
      </c>
      <c r="G71" s="6">
        <v>1</v>
      </c>
      <c r="H71" s="6">
        <v>2</v>
      </c>
      <c r="I71" s="6">
        <v>2</v>
      </c>
      <c r="J71" s="6">
        <v>1</v>
      </c>
      <c r="K71" s="6">
        <v>1</v>
      </c>
      <c r="L71" s="6">
        <v>2</v>
      </c>
      <c r="M71" s="6">
        <v>0</v>
      </c>
      <c r="N71" s="6">
        <v>1</v>
      </c>
      <c r="O71" s="6">
        <v>2</v>
      </c>
      <c r="P71" s="6">
        <v>2</v>
      </c>
      <c r="Q71" s="6">
        <v>4</v>
      </c>
      <c r="R71" s="6">
        <v>0</v>
      </c>
      <c r="S71" s="6">
        <v>1</v>
      </c>
      <c r="T71" s="6">
        <v>0</v>
      </c>
      <c r="U71" s="6">
        <v>1</v>
      </c>
      <c r="V71" s="6">
        <v>0</v>
      </c>
      <c r="W71" s="6">
        <v>2</v>
      </c>
      <c r="X71" s="6">
        <v>0</v>
      </c>
      <c r="Y71" s="6">
        <v>2</v>
      </c>
      <c r="Z71" s="6">
        <v>1</v>
      </c>
      <c r="AA71" s="6">
        <v>0</v>
      </c>
      <c r="AB71" s="6">
        <v>0</v>
      </c>
      <c r="AC71" s="6">
        <v>0</v>
      </c>
      <c r="AD71" s="6">
        <v>3</v>
      </c>
      <c r="AE71" s="6">
        <v>1</v>
      </c>
      <c r="AF71" s="6">
        <v>1</v>
      </c>
      <c r="AG71" s="6">
        <v>3</v>
      </c>
      <c r="AH71" s="6">
        <v>2</v>
      </c>
      <c r="AI71" s="6">
        <v>0</v>
      </c>
      <c r="AJ71" s="6">
        <v>1</v>
      </c>
      <c r="AK71" s="6">
        <v>2</v>
      </c>
      <c r="AL71" s="6">
        <v>1</v>
      </c>
      <c r="AM71" s="6">
        <v>1</v>
      </c>
      <c r="AN71" s="6">
        <v>5</v>
      </c>
      <c r="AO71" s="6">
        <v>6</v>
      </c>
      <c r="AP71" s="6">
        <v>1</v>
      </c>
      <c r="AQ71" s="6">
        <v>0</v>
      </c>
      <c r="AR71" s="6">
        <v>2</v>
      </c>
      <c r="AS71" s="6">
        <v>2</v>
      </c>
      <c r="AT71" s="6">
        <v>1</v>
      </c>
      <c r="AU71" s="6">
        <v>0</v>
      </c>
      <c r="AV71" s="6">
        <v>0</v>
      </c>
      <c r="AW71" s="6">
        <v>3</v>
      </c>
      <c r="AX71" s="6">
        <v>0</v>
      </c>
      <c r="AY71" s="6">
        <v>0</v>
      </c>
      <c r="AZ71" s="6">
        <v>2</v>
      </c>
      <c r="BA71" s="6">
        <v>1</v>
      </c>
      <c r="BB71" s="6">
        <v>2</v>
      </c>
      <c r="BC71" s="6">
        <v>4</v>
      </c>
      <c r="BD71" s="6">
        <v>0</v>
      </c>
      <c r="BE71" s="6">
        <v>3</v>
      </c>
      <c r="BF71" s="6">
        <v>3</v>
      </c>
      <c r="BG71" s="6">
        <v>0</v>
      </c>
      <c r="BH71" s="6">
        <v>1</v>
      </c>
      <c r="BI71" s="6">
        <v>0</v>
      </c>
      <c r="BJ71" s="6">
        <v>1</v>
      </c>
      <c r="BK71" s="6">
        <v>2</v>
      </c>
      <c r="BL71" s="5">
        <f t="shared" si="61"/>
        <v>81</v>
      </c>
    </row>
    <row r="72" spans="1:64" x14ac:dyDescent="0.4">
      <c r="A72" s="7"/>
      <c r="B72" s="52"/>
      <c r="C72" s="24" t="s">
        <v>142</v>
      </c>
      <c r="D72" s="50"/>
      <c r="E72" s="6">
        <v>6</v>
      </c>
      <c r="F72" s="6">
        <v>0</v>
      </c>
      <c r="G72" s="6">
        <v>2</v>
      </c>
      <c r="H72" s="6">
        <v>1</v>
      </c>
      <c r="I72" s="6">
        <v>1</v>
      </c>
      <c r="J72" s="6">
        <v>4</v>
      </c>
      <c r="K72" s="6">
        <v>3</v>
      </c>
      <c r="L72" s="6">
        <v>1</v>
      </c>
      <c r="M72" s="6">
        <v>0</v>
      </c>
      <c r="N72" s="6">
        <v>2</v>
      </c>
      <c r="O72" s="6">
        <v>1</v>
      </c>
      <c r="P72" s="6">
        <v>2</v>
      </c>
      <c r="Q72" s="6">
        <v>0</v>
      </c>
      <c r="R72" s="6">
        <v>2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0</v>
      </c>
      <c r="Y72" s="6">
        <v>2</v>
      </c>
      <c r="Z72" s="6">
        <v>4</v>
      </c>
      <c r="AA72" s="6">
        <v>2</v>
      </c>
      <c r="AB72" s="6">
        <v>0</v>
      </c>
      <c r="AC72" s="6">
        <v>0</v>
      </c>
      <c r="AD72" s="6">
        <v>1</v>
      </c>
      <c r="AE72" s="6">
        <v>1</v>
      </c>
      <c r="AF72" s="6">
        <v>2</v>
      </c>
      <c r="AG72" s="6">
        <v>1</v>
      </c>
      <c r="AH72" s="6">
        <v>1</v>
      </c>
      <c r="AI72" s="6">
        <v>0</v>
      </c>
      <c r="AJ72" s="6">
        <v>0</v>
      </c>
      <c r="AK72" s="6">
        <v>5</v>
      </c>
      <c r="AL72" s="6">
        <v>1</v>
      </c>
      <c r="AM72" s="6">
        <v>6</v>
      </c>
      <c r="AN72" s="6">
        <v>3</v>
      </c>
      <c r="AO72" s="6">
        <v>3</v>
      </c>
      <c r="AP72" s="6">
        <v>6</v>
      </c>
      <c r="AQ72" s="6">
        <v>1</v>
      </c>
      <c r="AR72" s="6">
        <v>2</v>
      </c>
      <c r="AS72" s="6">
        <v>1</v>
      </c>
      <c r="AT72" s="6">
        <v>5</v>
      </c>
      <c r="AU72" s="6">
        <v>3</v>
      </c>
      <c r="AV72" s="6">
        <v>0</v>
      </c>
      <c r="AW72" s="6">
        <v>0</v>
      </c>
      <c r="AX72" s="6">
        <v>1</v>
      </c>
      <c r="AY72" s="6">
        <v>0</v>
      </c>
      <c r="AZ72" s="6">
        <v>3</v>
      </c>
      <c r="BA72" s="6">
        <v>1</v>
      </c>
      <c r="BB72" s="6">
        <v>0</v>
      </c>
      <c r="BC72" s="6">
        <v>1</v>
      </c>
      <c r="BD72" s="6">
        <v>0</v>
      </c>
      <c r="BE72" s="6">
        <v>0</v>
      </c>
      <c r="BF72" s="6">
        <v>1</v>
      </c>
      <c r="BG72" s="6">
        <v>0</v>
      </c>
      <c r="BH72" s="6">
        <v>2</v>
      </c>
      <c r="BI72" s="6">
        <v>0</v>
      </c>
      <c r="BJ72" s="6">
        <v>2</v>
      </c>
      <c r="BK72" s="6">
        <v>1</v>
      </c>
      <c r="BL72" s="5">
        <f t="shared" si="61"/>
        <v>92</v>
      </c>
    </row>
    <row r="73" spans="1:64" x14ac:dyDescent="0.4">
      <c r="A73" s="7"/>
      <c r="B73" s="52"/>
      <c r="C73" s="24" t="s">
        <v>143</v>
      </c>
      <c r="D73" s="50"/>
      <c r="E73" s="6">
        <v>1</v>
      </c>
      <c r="F73" s="6">
        <v>1</v>
      </c>
      <c r="G73" s="6">
        <v>1</v>
      </c>
      <c r="H73" s="6">
        <v>5</v>
      </c>
      <c r="I73" s="6">
        <v>8</v>
      </c>
      <c r="J73" s="6">
        <v>6</v>
      </c>
      <c r="K73" s="6">
        <v>1</v>
      </c>
      <c r="L73" s="6">
        <v>2</v>
      </c>
      <c r="M73" s="6">
        <v>13</v>
      </c>
      <c r="N73" s="6">
        <v>1</v>
      </c>
      <c r="O73" s="6">
        <v>1</v>
      </c>
      <c r="P73" s="6">
        <v>8</v>
      </c>
      <c r="Q73" s="6">
        <v>6</v>
      </c>
      <c r="R73" s="6">
        <v>3</v>
      </c>
      <c r="S73" s="6">
        <v>2</v>
      </c>
      <c r="T73" s="6">
        <v>0</v>
      </c>
      <c r="U73" s="6">
        <v>14</v>
      </c>
      <c r="V73" s="6">
        <v>8</v>
      </c>
      <c r="W73" s="6">
        <v>12</v>
      </c>
      <c r="X73" s="6">
        <v>2</v>
      </c>
      <c r="Y73" s="6">
        <v>12</v>
      </c>
      <c r="Z73" s="6">
        <v>9</v>
      </c>
      <c r="AA73" s="6">
        <v>10</v>
      </c>
      <c r="AB73" s="6">
        <v>1</v>
      </c>
      <c r="AC73" s="6">
        <v>1</v>
      </c>
      <c r="AD73" s="6">
        <v>16</v>
      </c>
      <c r="AE73" s="6">
        <v>37</v>
      </c>
      <c r="AF73" s="6">
        <v>10</v>
      </c>
      <c r="AG73" s="6">
        <v>13</v>
      </c>
      <c r="AH73" s="6">
        <v>2</v>
      </c>
      <c r="AI73" s="6">
        <v>0</v>
      </c>
      <c r="AJ73" s="6">
        <v>9</v>
      </c>
      <c r="AK73" s="6">
        <v>4</v>
      </c>
      <c r="AL73" s="6">
        <v>2</v>
      </c>
      <c r="AM73" s="6">
        <v>3</v>
      </c>
      <c r="AN73" s="6">
        <v>1</v>
      </c>
      <c r="AO73" s="6">
        <v>2</v>
      </c>
      <c r="AP73" s="6">
        <v>16</v>
      </c>
      <c r="AQ73" s="6">
        <v>0</v>
      </c>
      <c r="AR73" s="6">
        <v>10</v>
      </c>
      <c r="AS73" s="6">
        <v>17</v>
      </c>
      <c r="AT73" s="6">
        <v>12</v>
      </c>
      <c r="AU73" s="6">
        <v>3</v>
      </c>
      <c r="AV73" s="6">
        <v>0</v>
      </c>
      <c r="AW73" s="6">
        <v>2</v>
      </c>
      <c r="AX73" s="6">
        <v>2</v>
      </c>
      <c r="AY73" s="6">
        <v>4</v>
      </c>
      <c r="AZ73" s="6">
        <v>10</v>
      </c>
      <c r="BA73" s="6">
        <v>3</v>
      </c>
      <c r="BB73" s="6">
        <v>5</v>
      </c>
      <c r="BC73" s="6">
        <v>4</v>
      </c>
      <c r="BD73" s="6">
        <v>4</v>
      </c>
      <c r="BE73" s="6">
        <v>6</v>
      </c>
      <c r="BF73" s="6">
        <v>2</v>
      </c>
      <c r="BG73" s="6">
        <v>1</v>
      </c>
      <c r="BH73" s="6">
        <v>3</v>
      </c>
      <c r="BI73" s="6">
        <v>1</v>
      </c>
      <c r="BJ73" s="6">
        <v>2</v>
      </c>
      <c r="BK73" s="6">
        <v>2</v>
      </c>
      <c r="BL73" s="5">
        <f t="shared" si="61"/>
        <v>336</v>
      </c>
    </row>
    <row r="74" spans="1:64" ht="13.15" customHeight="1" x14ac:dyDescent="0.4">
      <c r="A74" s="7"/>
      <c r="B74" s="52"/>
      <c r="C74" s="24" t="s">
        <v>144</v>
      </c>
      <c r="D74" s="50"/>
      <c r="E74" s="6">
        <v>2</v>
      </c>
      <c r="F74" s="6">
        <v>1</v>
      </c>
      <c r="G74" s="6">
        <v>0</v>
      </c>
      <c r="H74" s="6">
        <v>2</v>
      </c>
      <c r="I74" s="6">
        <v>0</v>
      </c>
      <c r="J74" s="6">
        <v>0</v>
      </c>
      <c r="K74" s="6">
        <v>0</v>
      </c>
      <c r="L74" s="6">
        <v>0</v>
      </c>
      <c r="M74" s="6">
        <v>1</v>
      </c>
      <c r="N74" s="6">
        <v>0</v>
      </c>
      <c r="O74" s="6">
        <v>1</v>
      </c>
      <c r="P74" s="6">
        <v>0</v>
      </c>
      <c r="Q74" s="6">
        <v>1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1</v>
      </c>
      <c r="AA74" s="6">
        <v>0</v>
      </c>
      <c r="AB74" s="6">
        <v>0</v>
      </c>
      <c r="AC74" s="6">
        <v>1</v>
      </c>
      <c r="AD74" s="6">
        <v>0</v>
      </c>
      <c r="AE74" s="6">
        <v>1</v>
      </c>
      <c r="AF74" s="6">
        <v>2</v>
      </c>
      <c r="AG74" s="6">
        <v>0</v>
      </c>
      <c r="AH74" s="6">
        <v>0</v>
      </c>
      <c r="AI74" s="6">
        <v>0</v>
      </c>
      <c r="AJ74" s="6">
        <v>0</v>
      </c>
      <c r="AK74" s="6">
        <v>2</v>
      </c>
      <c r="AL74" s="6">
        <v>0</v>
      </c>
      <c r="AM74" s="6">
        <v>1</v>
      </c>
      <c r="AN74" s="6">
        <v>2</v>
      </c>
      <c r="AO74" s="6">
        <v>0</v>
      </c>
      <c r="AP74" s="6">
        <v>1</v>
      </c>
      <c r="AQ74" s="6">
        <v>1</v>
      </c>
      <c r="AR74" s="6">
        <v>1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1</v>
      </c>
      <c r="AY74" s="6">
        <v>1</v>
      </c>
      <c r="AZ74" s="6">
        <v>1</v>
      </c>
      <c r="BA74" s="6">
        <v>0</v>
      </c>
      <c r="BB74" s="6">
        <v>0</v>
      </c>
      <c r="BC74" s="6">
        <v>5</v>
      </c>
      <c r="BD74" s="6">
        <v>1</v>
      </c>
      <c r="BE74" s="6">
        <v>0</v>
      </c>
      <c r="BF74" s="6">
        <v>0</v>
      </c>
      <c r="BG74" s="6">
        <v>0</v>
      </c>
      <c r="BH74" s="6">
        <v>1</v>
      </c>
      <c r="BI74" s="6">
        <v>0</v>
      </c>
      <c r="BJ74" s="6">
        <v>0</v>
      </c>
      <c r="BK74" s="6">
        <v>0</v>
      </c>
      <c r="BL74" s="5">
        <f t="shared" si="61"/>
        <v>31</v>
      </c>
    </row>
    <row r="75" spans="1:64" x14ac:dyDescent="0.4">
      <c r="A75" s="7"/>
      <c r="B75" s="52"/>
      <c r="C75" s="24" t="s">
        <v>145</v>
      </c>
      <c r="D75" s="50"/>
      <c r="E75" s="6">
        <v>2</v>
      </c>
      <c r="F75" s="6">
        <v>0</v>
      </c>
      <c r="G75" s="6">
        <v>1</v>
      </c>
      <c r="H75" s="6">
        <v>1</v>
      </c>
      <c r="I75" s="6">
        <v>0</v>
      </c>
      <c r="J75" s="6">
        <v>0</v>
      </c>
      <c r="K75" s="6">
        <v>1</v>
      </c>
      <c r="L75" s="6">
        <v>0</v>
      </c>
      <c r="M75" s="6">
        <v>1</v>
      </c>
      <c r="N75" s="6">
        <v>0</v>
      </c>
      <c r="O75" s="6">
        <v>0</v>
      </c>
      <c r="P75" s="6">
        <v>2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1</v>
      </c>
      <c r="AA75" s="6">
        <v>1</v>
      </c>
      <c r="AB75" s="6">
        <v>0</v>
      </c>
      <c r="AC75" s="6">
        <v>1</v>
      </c>
      <c r="AD75" s="6">
        <v>2</v>
      </c>
      <c r="AE75" s="6">
        <v>0</v>
      </c>
      <c r="AF75" s="6">
        <v>1</v>
      </c>
      <c r="AG75" s="6">
        <v>1</v>
      </c>
      <c r="AH75" s="6">
        <v>4</v>
      </c>
      <c r="AI75" s="6">
        <v>0</v>
      </c>
      <c r="AJ75" s="6">
        <v>1</v>
      </c>
      <c r="AK75" s="6">
        <v>1</v>
      </c>
      <c r="AL75" s="6">
        <v>0</v>
      </c>
      <c r="AM75" s="6">
        <v>3</v>
      </c>
      <c r="AN75" s="6">
        <v>1</v>
      </c>
      <c r="AO75" s="6">
        <v>1</v>
      </c>
      <c r="AP75" s="6">
        <v>0</v>
      </c>
      <c r="AQ75" s="6">
        <v>1</v>
      </c>
      <c r="AR75" s="6">
        <v>2</v>
      </c>
      <c r="AS75" s="6">
        <v>0</v>
      </c>
      <c r="AT75" s="6">
        <v>2</v>
      </c>
      <c r="AU75" s="6">
        <v>0</v>
      </c>
      <c r="AV75" s="6">
        <v>1</v>
      </c>
      <c r="AW75" s="6">
        <v>0</v>
      </c>
      <c r="AX75" s="6">
        <v>0</v>
      </c>
      <c r="AY75" s="6">
        <v>1</v>
      </c>
      <c r="AZ75" s="6">
        <v>2</v>
      </c>
      <c r="BA75" s="6">
        <v>0</v>
      </c>
      <c r="BB75" s="6">
        <v>0</v>
      </c>
      <c r="BC75" s="6">
        <v>1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5">
        <f t="shared" si="61"/>
        <v>36</v>
      </c>
    </row>
    <row r="76" spans="1:64" x14ac:dyDescent="0.4">
      <c r="A76" s="7"/>
      <c r="B76" s="52"/>
      <c r="C76" s="24" t="s">
        <v>146</v>
      </c>
      <c r="D76" s="50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1</v>
      </c>
      <c r="AN76" s="6">
        <v>1</v>
      </c>
      <c r="AO76" s="6">
        <v>0</v>
      </c>
      <c r="AP76" s="6">
        <v>0</v>
      </c>
      <c r="AQ76" s="6">
        <v>0</v>
      </c>
      <c r="AR76" s="6">
        <v>1</v>
      </c>
      <c r="AS76" s="6">
        <v>0</v>
      </c>
      <c r="AT76" s="6">
        <v>0</v>
      </c>
      <c r="AU76" s="6">
        <v>1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5">
        <f t="shared" si="61"/>
        <v>6</v>
      </c>
    </row>
    <row r="77" spans="1:64" x14ac:dyDescent="0.4">
      <c r="A77" s="7"/>
      <c r="B77" s="52"/>
      <c r="C77" s="24" t="s">
        <v>147</v>
      </c>
      <c r="D77" s="50"/>
      <c r="E77" s="6">
        <v>0</v>
      </c>
      <c r="F77" s="6">
        <v>0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1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1</v>
      </c>
      <c r="AE77" s="6">
        <v>0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1</v>
      </c>
      <c r="BG77" s="6">
        <v>0</v>
      </c>
      <c r="BH77" s="6">
        <v>0</v>
      </c>
      <c r="BI77" s="6">
        <v>0</v>
      </c>
      <c r="BJ77" s="6">
        <v>1</v>
      </c>
      <c r="BK77" s="6">
        <v>0</v>
      </c>
      <c r="BL77" s="5">
        <f t="shared" si="61"/>
        <v>6</v>
      </c>
    </row>
    <row r="78" spans="1:64" x14ac:dyDescent="0.4">
      <c r="A78" s="7"/>
      <c r="B78" s="52"/>
      <c r="C78" s="24" t="s">
        <v>148</v>
      </c>
      <c r="D78" s="50"/>
      <c r="E78" s="6">
        <v>0</v>
      </c>
      <c r="F78" s="6">
        <v>2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3</v>
      </c>
      <c r="S78" s="6">
        <v>0</v>
      </c>
      <c r="T78" s="6">
        <v>0</v>
      </c>
      <c r="U78" s="6">
        <v>0</v>
      </c>
      <c r="V78" s="6">
        <v>1</v>
      </c>
      <c r="W78" s="6">
        <v>0</v>
      </c>
      <c r="X78" s="6">
        <v>1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1</v>
      </c>
      <c r="AF78" s="6">
        <v>0</v>
      </c>
      <c r="AG78" s="6">
        <v>1</v>
      </c>
      <c r="AH78" s="6">
        <v>1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6">
        <v>1</v>
      </c>
      <c r="AO78" s="6">
        <v>0</v>
      </c>
      <c r="AP78" s="6">
        <v>0</v>
      </c>
      <c r="AQ78" s="6">
        <v>1</v>
      </c>
      <c r="AR78" s="6">
        <v>1</v>
      </c>
      <c r="AS78" s="6">
        <v>2</v>
      </c>
      <c r="AT78" s="6">
        <v>1</v>
      </c>
      <c r="AU78" s="6">
        <v>0</v>
      </c>
      <c r="AV78" s="6">
        <v>0</v>
      </c>
      <c r="AW78" s="6">
        <v>0</v>
      </c>
      <c r="AX78" s="6">
        <v>0</v>
      </c>
      <c r="AY78" s="6">
        <v>1</v>
      </c>
      <c r="AZ78" s="6">
        <v>0</v>
      </c>
      <c r="BA78" s="6">
        <v>0</v>
      </c>
      <c r="BB78" s="6">
        <v>1</v>
      </c>
      <c r="BC78" s="6">
        <v>1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5">
        <f t="shared" si="61"/>
        <v>22</v>
      </c>
    </row>
    <row r="79" spans="1:64" x14ac:dyDescent="0.4">
      <c r="A79" s="6" t="s">
        <v>26</v>
      </c>
      <c r="B79" s="67" t="s">
        <v>51</v>
      </c>
      <c r="C79" s="83"/>
      <c r="D79" s="74"/>
      <c r="E79" s="5">
        <f t="shared" ref="E79:BL79" si="62">SUM(E69:E78)</f>
        <v>58</v>
      </c>
      <c r="F79" s="5">
        <f t="shared" si="62"/>
        <v>17</v>
      </c>
      <c r="G79" s="5">
        <f t="shared" si="62"/>
        <v>18</v>
      </c>
      <c r="H79" s="5">
        <f t="shared" si="62"/>
        <v>25</v>
      </c>
      <c r="I79" s="5">
        <f t="shared" si="62"/>
        <v>22</v>
      </c>
      <c r="J79" s="5">
        <f t="shared" si="62"/>
        <v>24</v>
      </c>
      <c r="K79" s="5">
        <f t="shared" si="62"/>
        <v>25</v>
      </c>
      <c r="L79" s="5">
        <f t="shared" si="62"/>
        <v>18</v>
      </c>
      <c r="M79" s="5">
        <f t="shared" si="62"/>
        <v>27</v>
      </c>
      <c r="N79" s="5">
        <f t="shared" si="62"/>
        <v>9</v>
      </c>
      <c r="O79" s="5">
        <f t="shared" si="62"/>
        <v>13</v>
      </c>
      <c r="P79" s="5">
        <f t="shared" si="62"/>
        <v>27</v>
      </c>
      <c r="Q79" s="5">
        <f t="shared" si="62"/>
        <v>21</v>
      </c>
      <c r="R79" s="5">
        <f t="shared" si="62"/>
        <v>16</v>
      </c>
      <c r="S79" s="5">
        <f t="shared" si="62"/>
        <v>18</v>
      </c>
      <c r="T79" s="5">
        <f t="shared" si="62"/>
        <v>5</v>
      </c>
      <c r="U79" s="5">
        <f t="shared" si="62"/>
        <v>30</v>
      </c>
      <c r="V79" s="5">
        <f t="shared" si="62"/>
        <v>20</v>
      </c>
      <c r="W79" s="5">
        <f t="shared" si="62"/>
        <v>21</v>
      </c>
      <c r="X79" s="5">
        <f t="shared" si="62"/>
        <v>6</v>
      </c>
      <c r="Y79" s="5">
        <f t="shared" si="62"/>
        <v>23</v>
      </c>
      <c r="Z79" s="5">
        <f t="shared" si="62"/>
        <v>25</v>
      </c>
      <c r="AA79" s="5">
        <f t="shared" si="62"/>
        <v>16</v>
      </c>
      <c r="AB79" s="5">
        <f t="shared" si="62"/>
        <v>2</v>
      </c>
      <c r="AC79" s="5">
        <f t="shared" si="62"/>
        <v>6</v>
      </c>
      <c r="AD79" s="5">
        <f t="shared" si="62"/>
        <v>30</v>
      </c>
      <c r="AE79" s="5">
        <f t="shared" si="62"/>
        <v>51</v>
      </c>
      <c r="AF79" s="5">
        <f t="shared" si="62"/>
        <v>27</v>
      </c>
      <c r="AG79" s="5">
        <f t="shared" si="62"/>
        <v>33</v>
      </c>
      <c r="AH79" s="5">
        <f t="shared" si="62"/>
        <v>24</v>
      </c>
      <c r="AI79" s="5">
        <f t="shared" si="62"/>
        <v>2</v>
      </c>
      <c r="AJ79" s="5">
        <f t="shared" si="62"/>
        <v>19</v>
      </c>
      <c r="AK79" s="5">
        <f t="shared" si="62"/>
        <v>27</v>
      </c>
      <c r="AL79" s="5">
        <f t="shared" si="62"/>
        <v>39</v>
      </c>
      <c r="AM79" s="5">
        <f t="shared" si="62"/>
        <v>58</v>
      </c>
      <c r="AN79" s="5">
        <f t="shared" si="62"/>
        <v>42</v>
      </c>
      <c r="AO79" s="5">
        <f t="shared" si="62"/>
        <v>24</v>
      </c>
      <c r="AP79" s="5">
        <f t="shared" si="62"/>
        <v>33</v>
      </c>
      <c r="AQ79" s="5">
        <f t="shared" si="62"/>
        <v>8</v>
      </c>
      <c r="AR79" s="5">
        <f t="shared" si="62"/>
        <v>33</v>
      </c>
      <c r="AS79" s="5">
        <f t="shared" si="62"/>
        <v>33</v>
      </c>
      <c r="AT79" s="5">
        <f t="shared" si="62"/>
        <v>30</v>
      </c>
      <c r="AU79" s="5">
        <f t="shared" si="62"/>
        <v>12</v>
      </c>
      <c r="AV79" s="5">
        <f t="shared" si="62"/>
        <v>6</v>
      </c>
      <c r="AW79" s="5">
        <f t="shared" si="62"/>
        <v>9</v>
      </c>
      <c r="AX79" s="5">
        <f t="shared" si="62"/>
        <v>7</v>
      </c>
      <c r="AY79" s="5">
        <f t="shared" si="62"/>
        <v>15</v>
      </c>
      <c r="AZ79" s="5">
        <f t="shared" si="62"/>
        <v>38</v>
      </c>
      <c r="BA79" s="5">
        <f t="shared" si="62"/>
        <v>15</v>
      </c>
      <c r="BB79" s="5">
        <f t="shared" si="62"/>
        <v>23</v>
      </c>
      <c r="BC79" s="5">
        <f t="shared" si="62"/>
        <v>30</v>
      </c>
      <c r="BD79" s="5">
        <f t="shared" si="62"/>
        <v>10</v>
      </c>
      <c r="BE79" s="5">
        <f t="shared" si="62"/>
        <v>16</v>
      </c>
      <c r="BF79" s="5">
        <f t="shared" si="62"/>
        <v>20</v>
      </c>
      <c r="BG79" s="5">
        <f t="shared" si="62"/>
        <v>2</v>
      </c>
      <c r="BH79" s="5">
        <f t="shared" si="62"/>
        <v>12</v>
      </c>
      <c r="BI79" s="5">
        <f t="shared" si="62"/>
        <v>4</v>
      </c>
      <c r="BJ79" s="5">
        <f t="shared" si="62"/>
        <v>10</v>
      </c>
      <c r="BK79" s="5">
        <f t="shared" si="62"/>
        <v>16</v>
      </c>
      <c r="BL79" s="5">
        <f t="shared" si="62"/>
        <v>1250</v>
      </c>
    </row>
    <row r="80" spans="1:64" x14ac:dyDescent="0.4">
      <c r="A80" s="84"/>
      <c r="B80" s="85"/>
      <c r="C80" s="85"/>
      <c r="D80" s="85"/>
      <c r="E80" s="85"/>
    </row>
    <row r="81" spans="1:64" x14ac:dyDescent="0.4">
      <c r="A81" s="11" t="s">
        <v>48</v>
      </c>
      <c r="B81" s="17" t="s">
        <v>34</v>
      </c>
      <c r="C81" s="73" t="s">
        <v>54</v>
      </c>
      <c r="D81" s="74"/>
      <c r="E81" s="6">
        <v>10</v>
      </c>
      <c r="F81" s="6">
        <v>13</v>
      </c>
      <c r="G81" s="6">
        <v>7</v>
      </c>
      <c r="H81" s="6">
        <v>6</v>
      </c>
      <c r="I81" s="6">
        <v>19</v>
      </c>
      <c r="J81" s="6">
        <v>3</v>
      </c>
      <c r="K81" s="6">
        <v>9</v>
      </c>
      <c r="L81" s="6">
        <v>6</v>
      </c>
      <c r="M81" s="6">
        <v>8</v>
      </c>
      <c r="N81" s="6">
        <v>6</v>
      </c>
      <c r="O81" s="6">
        <v>3</v>
      </c>
      <c r="P81" s="6">
        <v>9</v>
      </c>
      <c r="Q81" s="6">
        <v>1</v>
      </c>
      <c r="R81" s="6">
        <v>2</v>
      </c>
      <c r="S81" s="6">
        <v>2</v>
      </c>
      <c r="T81" s="6">
        <v>4</v>
      </c>
      <c r="U81" s="6">
        <v>11</v>
      </c>
      <c r="V81" s="6">
        <v>12</v>
      </c>
      <c r="W81" s="6">
        <v>3</v>
      </c>
      <c r="X81" s="6">
        <v>0</v>
      </c>
      <c r="Y81" s="6">
        <v>6</v>
      </c>
      <c r="Z81" s="6">
        <v>2</v>
      </c>
      <c r="AA81" s="6">
        <v>1</v>
      </c>
      <c r="AB81" s="6">
        <v>2</v>
      </c>
      <c r="AC81" s="6">
        <v>0</v>
      </c>
      <c r="AD81" s="6">
        <v>2</v>
      </c>
      <c r="AE81" s="6">
        <v>4</v>
      </c>
      <c r="AF81" s="6">
        <v>5</v>
      </c>
      <c r="AG81" s="6">
        <v>9</v>
      </c>
      <c r="AH81" s="6">
        <v>6</v>
      </c>
      <c r="AI81" s="6">
        <v>19</v>
      </c>
      <c r="AJ81" s="6">
        <v>37</v>
      </c>
      <c r="AK81" s="6">
        <v>8</v>
      </c>
      <c r="AL81" s="6">
        <v>23</v>
      </c>
      <c r="AM81" s="6">
        <v>21</v>
      </c>
      <c r="AN81" s="6">
        <v>19</v>
      </c>
      <c r="AO81" s="6">
        <v>20</v>
      </c>
      <c r="AP81" s="6">
        <v>5</v>
      </c>
      <c r="AQ81" s="6">
        <v>6</v>
      </c>
      <c r="AR81" s="6">
        <v>16</v>
      </c>
      <c r="AS81" s="6">
        <v>8</v>
      </c>
      <c r="AT81" s="6">
        <v>3</v>
      </c>
      <c r="AU81" s="6">
        <v>1</v>
      </c>
      <c r="AV81" s="6">
        <v>17</v>
      </c>
      <c r="AW81" s="6">
        <v>6</v>
      </c>
      <c r="AX81" s="6">
        <v>8</v>
      </c>
      <c r="AY81" s="6">
        <v>13</v>
      </c>
      <c r="AZ81" s="6">
        <v>11</v>
      </c>
      <c r="BA81" s="6">
        <v>17</v>
      </c>
      <c r="BB81" s="6">
        <v>11</v>
      </c>
      <c r="BC81" s="6">
        <v>5</v>
      </c>
      <c r="BD81" s="6">
        <v>9</v>
      </c>
      <c r="BE81" s="6">
        <v>6</v>
      </c>
      <c r="BF81" s="6">
        <v>11</v>
      </c>
      <c r="BG81" s="6">
        <v>1</v>
      </c>
      <c r="BH81" s="6">
        <v>12</v>
      </c>
      <c r="BI81" s="6">
        <v>5</v>
      </c>
      <c r="BJ81" s="6">
        <v>7</v>
      </c>
      <c r="BK81" s="6">
        <v>4</v>
      </c>
      <c r="BL81" s="5">
        <f t="shared" ref="BL81:BL91" si="63">SUM(E81:BK81)</f>
        <v>500</v>
      </c>
    </row>
    <row r="82" spans="1:64" x14ac:dyDescent="0.4">
      <c r="A82" s="11" t="s">
        <v>50</v>
      </c>
      <c r="B82" s="52"/>
      <c r="C82" s="24" t="s">
        <v>149</v>
      </c>
      <c r="D82" s="50"/>
      <c r="E82" s="6">
        <v>18</v>
      </c>
      <c r="F82" s="6">
        <v>20</v>
      </c>
      <c r="G82" s="6">
        <v>9</v>
      </c>
      <c r="H82" s="6">
        <v>30</v>
      </c>
      <c r="I82" s="6">
        <v>50</v>
      </c>
      <c r="J82" s="6">
        <v>12</v>
      </c>
      <c r="K82" s="6">
        <v>22</v>
      </c>
      <c r="L82" s="6">
        <v>18</v>
      </c>
      <c r="M82" s="6">
        <v>15</v>
      </c>
      <c r="N82" s="6">
        <v>38</v>
      </c>
      <c r="O82" s="6">
        <v>26</v>
      </c>
      <c r="P82" s="6">
        <v>34</v>
      </c>
      <c r="Q82" s="6">
        <v>27</v>
      </c>
      <c r="R82" s="6">
        <v>5</v>
      </c>
      <c r="S82" s="6">
        <v>15</v>
      </c>
      <c r="T82" s="6">
        <v>10</v>
      </c>
      <c r="U82" s="6">
        <v>23</v>
      </c>
      <c r="V82" s="6">
        <v>29</v>
      </c>
      <c r="W82" s="6">
        <v>6</v>
      </c>
      <c r="X82" s="6">
        <v>8</v>
      </c>
      <c r="Y82" s="6">
        <v>17</v>
      </c>
      <c r="Z82" s="6">
        <v>3</v>
      </c>
      <c r="AA82" s="6">
        <v>2</v>
      </c>
      <c r="AB82" s="6">
        <v>9</v>
      </c>
      <c r="AC82" s="6">
        <v>7</v>
      </c>
      <c r="AD82" s="6">
        <v>7</v>
      </c>
      <c r="AE82" s="6">
        <v>11</v>
      </c>
      <c r="AF82" s="6">
        <v>5</v>
      </c>
      <c r="AG82" s="6">
        <v>10</v>
      </c>
      <c r="AH82" s="6">
        <v>8</v>
      </c>
      <c r="AI82" s="6">
        <v>186</v>
      </c>
      <c r="AJ82" s="6">
        <v>92</v>
      </c>
      <c r="AK82" s="6">
        <v>10</v>
      </c>
      <c r="AL82" s="6">
        <v>44</v>
      </c>
      <c r="AM82" s="6">
        <v>24</v>
      </c>
      <c r="AN82" s="6">
        <v>36</v>
      </c>
      <c r="AO82" s="6">
        <v>14</v>
      </c>
      <c r="AP82" s="6">
        <v>9</v>
      </c>
      <c r="AQ82" s="6">
        <v>13</v>
      </c>
      <c r="AR82" s="6">
        <v>14</v>
      </c>
      <c r="AS82" s="6">
        <v>28</v>
      </c>
      <c r="AT82" s="6">
        <v>2</v>
      </c>
      <c r="AU82" s="6">
        <v>2</v>
      </c>
      <c r="AV82" s="6">
        <v>17</v>
      </c>
      <c r="AW82" s="6">
        <v>83</v>
      </c>
      <c r="AX82" s="6">
        <v>145</v>
      </c>
      <c r="AY82" s="6">
        <v>89</v>
      </c>
      <c r="AZ82" s="6">
        <v>44</v>
      </c>
      <c r="BA82" s="6">
        <v>58</v>
      </c>
      <c r="BB82" s="6">
        <v>24</v>
      </c>
      <c r="BC82" s="6">
        <v>24</v>
      </c>
      <c r="BD82" s="6">
        <v>41</v>
      </c>
      <c r="BE82" s="6">
        <v>15</v>
      </c>
      <c r="BF82" s="6">
        <v>21</v>
      </c>
      <c r="BG82" s="6">
        <v>100</v>
      </c>
      <c r="BH82" s="6">
        <v>68</v>
      </c>
      <c r="BI82" s="6">
        <v>51</v>
      </c>
      <c r="BJ82" s="6">
        <v>32</v>
      </c>
      <c r="BK82" s="6">
        <v>19</v>
      </c>
      <c r="BL82" s="5">
        <f t="shared" si="63"/>
        <v>1799</v>
      </c>
    </row>
    <row r="83" spans="1:64" x14ac:dyDescent="0.4">
      <c r="A83" s="7"/>
      <c r="B83" s="52"/>
      <c r="C83" s="24" t="s">
        <v>150</v>
      </c>
      <c r="D83" s="50"/>
      <c r="E83" s="6">
        <v>1</v>
      </c>
      <c r="F83" s="6">
        <v>0</v>
      </c>
      <c r="G83" s="6">
        <v>2</v>
      </c>
      <c r="H83" s="6">
        <v>2</v>
      </c>
      <c r="I83" s="6">
        <v>0</v>
      </c>
      <c r="J83" s="6">
        <v>3</v>
      </c>
      <c r="K83" s="6">
        <v>4</v>
      </c>
      <c r="L83" s="6">
        <v>1</v>
      </c>
      <c r="M83" s="6">
        <v>3</v>
      </c>
      <c r="N83" s="6">
        <v>1</v>
      </c>
      <c r="O83" s="6">
        <v>2</v>
      </c>
      <c r="P83" s="6">
        <v>2</v>
      </c>
      <c r="Q83" s="6">
        <v>1</v>
      </c>
      <c r="R83" s="6">
        <v>1</v>
      </c>
      <c r="S83" s="6">
        <v>2</v>
      </c>
      <c r="T83" s="6">
        <v>0</v>
      </c>
      <c r="U83" s="6">
        <v>1</v>
      </c>
      <c r="V83" s="6">
        <v>4</v>
      </c>
      <c r="W83" s="6">
        <v>1</v>
      </c>
      <c r="X83" s="6">
        <v>0</v>
      </c>
      <c r="Y83" s="6">
        <v>0</v>
      </c>
      <c r="Z83" s="6">
        <v>1</v>
      </c>
      <c r="AA83" s="6">
        <v>0</v>
      </c>
      <c r="AB83" s="6">
        <v>1</v>
      </c>
      <c r="AC83" s="6">
        <v>0</v>
      </c>
      <c r="AD83" s="6">
        <v>0</v>
      </c>
      <c r="AE83" s="6">
        <v>0</v>
      </c>
      <c r="AF83" s="6">
        <v>5</v>
      </c>
      <c r="AG83" s="6">
        <v>0</v>
      </c>
      <c r="AH83" s="6">
        <v>2</v>
      </c>
      <c r="AI83" s="6">
        <v>1</v>
      </c>
      <c r="AJ83" s="6">
        <v>2</v>
      </c>
      <c r="AK83" s="6">
        <v>5</v>
      </c>
      <c r="AL83" s="6">
        <v>2</v>
      </c>
      <c r="AM83" s="6">
        <v>2</v>
      </c>
      <c r="AN83" s="6">
        <v>6</v>
      </c>
      <c r="AO83" s="6">
        <v>1</v>
      </c>
      <c r="AP83" s="6">
        <v>2</v>
      </c>
      <c r="AQ83" s="6">
        <v>3</v>
      </c>
      <c r="AR83" s="6">
        <v>4</v>
      </c>
      <c r="AS83" s="6">
        <v>4</v>
      </c>
      <c r="AT83" s="6">
        <v>2</v>
      </c>
      <c r="AU83" s="6">
        <v>0</v>
      </c>
      <c r="AV83" s="6">
        <v>3</v>
      </c>
      <c r="AW83" s="6">
        <v>3</v>
      </c>
      <c r="AX83" s="6">
        <v>3</v>
      </c>
      <c r="AY83" s="6">
        <v>1</v>
      </c>
      <c r="AZ83" s="6">
        <v>1</v>
      </c>
      <c r="BA83" s="6">
        <v>2</v>
      </c>
      <c r="BB83" s="6">
        <v>2</v>
      </c>
      <c r="BC83" s="6">
        <v>0</v>
      </c>
      <c r="BD83" s="6">
        <v>2</v>
      </c>
      <c r="BE83" s="6">
        <v>3</v>
      </c>
      <c r="BF83" s="6">
        <v>0</v>
      </c>
      <c r="BG83" s="6">
        <v>0</v>
      </c>
      <c r="BH83" s="6">
        <v>5</v>
      </c>
      <c r="BI83" s="6">
        <v>1</v>
      </c>
      <c r="BJ83" s="6">
        <v>1</v>
      </c>
      <c r="BK83" s="6">
        <v>3</v>
      </c>
      <c r="BL83" s="5">
        <f t="shared" si="63"/>
        <v>104</v>
      </c>
    </row>
    <row r="84" spans="1:64" x14ac:dyDescent="0.4">
      <c r="A84" s="7"/>
      <c r="B84" s="52"/>
      <c r="C84" s="24" t="s">
        <v>151</v>
      </c>
      <c r="D84" s="50"/>
      <c r="E84" s="6">
        <v>2</v>
      </c>
      <c r="F84" s="6">
        <v>2</v>
      </c>
      <c r="G84" s="6">
        <v>0</v>
      </c>
      <c r="H84" s="6">
        <v>2</v>
      </c>
      <c r="I84" s="6">
        <v>0</v>
      </c>
      <c r="J84" s="6">
        <v>0</v>
      </c>
      <c r="K84" s="6">
        <v>5</v>
      </c>
      <c r="L84" s="6">
        <v>2</v>
      </c>
      <c r="M84" s="6">
        <v>0</v>
      </c>
      <c r="N84" s="6">
        <v>0</v>
      </c>
      <c r="O84" s="6">
        <v>1</v>
      </c>
      <c r="P84" s="6">
        <v>2</v>
      </c>
      <c r="Q84" s="6">
        <v>0</v>
      </c>
      <c r="R84" s="6">
        <v>1</v>
      </c>
      <c r="S84" s="6">
        <v>3</v>
      </c>
      <c r="T84" s="6">
        <v>0</v>
      </c>
      <c r="U84" s="6">
        <v>3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1</v>
      </c>
      <c r="AB84" s="6">
        <v>1</v>
      </c>
      <c r="AC84" s="6">
        <v>0</v>
      </c>
      <c r="AD84" s="6">
        <v>0</v>
      </c>
      <c r="AE84" s="6">
        <v>0</v>
      </c>
      <c r="AF84" s="6">
        <v>3</v>
      </c>
      <c r="AG84" s="6">
        <v>2</v>
      </c>
      <c r="AH84" s="6">
        <v>1</v>
      </c>
      <c r="AI84" s="6">
        <v>0</v>
      </c>
      <c r="AJ84" s="6">
        <v>1</v>
      </c>
      <c r="AK84" s="6">
        <v>1</v>
      </c>
      <c r="AL84" s="6">
        <v>0</v>
      </c>
      <c r="AM84" s="6">
        <v>3</v>
      </c>
      <c r="AN84" s="6">
        <v>1</v>
      </c>
      <c r="AO84" s="6">
        <v>0</v>
      </c>
      <c r="AP84" s="6">
        <v>0</v>
      </c>
      <c r="AQ84" s="6">
        <v>1</v>
      </c>
      <c r="AR84" s="6">
        <v>4</v>
      </c>
      <c r="AS84" s="6">
        <v>2</v>
      </c>
      <c r="AT84" s="6">
        <v>0</v>
      </c>
      <c r="AU84" s="6">
        <v>0</v>
      </c>
      <c r="AV84" s="6">
        <v>1</v>
      </c>
      <c r="AW84" s="6">
        <v>2</v>
      </c>
      <c r="AX84" s="6">
        <v>4</v>
      </c>
      <c r="AY84" s="6">
        <v>0</v>
      </c>
      <c r="AZ84" s="6">
        <v>1</v>
      </c>
      <c r="BA84" s="6">
        <v>0</v>
      </c>
      <c r="BB84" s="6">
        <v>1</v>
      </c>
      <c r="BC84" s="6">
        <v>0</v>
      </c>
      <c r="BD84" s="6">
        <v>0</v>
      </c>
      <c r="BE84" s="6">
        <v>1</v>
      </c>
      <c r="BF84" s="6">
        <v>1</v>
      </c>
      <c r="BG84" s="6">
        <v>0</v>
      </c>
      <c r="BH84" s="6">
        <v>2</v>
      </c>
      <c r="BI84" s="6">
        <v>0</v>
      </c>
      <c r="BJ84" s="6">
        <v>0</v>
      </c>
      <c r="BK84" s="6">
        <v>2</v>
      </c>
      <c r="BL84" s="5">
        <f t="shared" si="63"/>
        <v>59</v>
      </c>
    </row>
    <row r="85" spans="1:64" ht="13.15" customHeight="1" x14ac:dyDescent="0.4">
      <c r="A85" s="7"/>
      <c r="B85" s="52"/>
      <c r="C85" s="24" t="s">
        <v>152</v>
      </c>
      <c r="D85" s="50"/>
      <c r="E85" s="6">
        <v>2</v>
      </c>
      <c r="F85" s="6">
        <v>2</v>
      </c>
      <c r="G85" s="6">
        <v>1</v>
      </c>
      <c r="H85" s="6">
        <v>1</v>
      </c>
      <c r="I85" s="6">
        <v>1</v>
      </c>
      <c r="J85" s="6">
        <v>4</v>
      </c>
      <c r="K85" s="6">
        <v>1</v>
      </c>
      <c r="L85" s="6">
        <v>2</v>
      </c>
      <c r="M85" s="6">
        <v>2</v>
      </c>
      <c r="N85" s="6">
        <v>1</v>
      </c>
      <c r="O85" s="6">
        <v>2</v>
      </c>
      <c r="P85" s="6">
        <v>0</v>
      </c>
      <c r="Q85" s="6">
        <v>1</v>
      </c>
      <c r="R85" s="6">
        <v>0</v>
      </c>
      <c r="S85" s="6">
        <v>0</v>
      </c>
      <c r="T85" s="6">
        <v>0</v>
      </c>
      <c r="U85" s="6">
        <v>1</v>
      </c>
      <c r="V85" s="6">
        <v>3</v>
      </c>
      <c r="W85" s="6">
        <v>1</v>
      </c>
      <c r="X85" s="6">
        <v>0</v>
      </c>
      <c r="Y85" s="6">
        <v>2</v>
      </c>
      <c r="Z85" s="6">
        <v>2</v>
      </c>
      <c r="AA85" s="6">
        <v>0</v>
      </c>
      <c r="AB85" s="6">
        <v>0</v>
      </c>
      <c r="AC85" s="6">
        <v>0</v>
      </c>
      <c r="AD85" s="6">
        <v>0</v>
      </c>
      <c r="AE85" s="6">
        <v>1</v>
      </c>
      <c r="AF85" s="6">
        <v>4</v>
      </c>
      <c r="AG85" s="6">
        <v>1</v>
      </c>
      <c r="AH85" s="6">
        <v>1</v>
      </c>
      <c r="AI85" s="6">
        <v>0</v>
      </c>
      <c r="AJ85" s="6">
        <v>2</v>
      </c>
      <c r="AK85" s="6">
        <v>2</v>
      </c>
      <c r="AL85" s="6">
        <v>1</v>
      </c>
      <c r="AM85" s="6">
        <v>0</v>
      </c>
      <c r="AN85" s="6">
        <v>0</v>
      </c>
      <c r="AO85" s="6">
        <v>1</v>
      </c>
      <c r="AP85" s="6">
        <v>2</v>
      </c>
      <c r="AQ85" s="6">
        <v>1</v>
      </c>
      <c r="AR85" s="6">
        <v>0</v>
      </c>
      <c r="AS85" s="6">
        <v>1</v>
      </c>
      <c r="AT85" s="6">
        <v>0</v>
      </c>
      <c r="AU85" s="6">
        <v>0</v>
      </c>
      <c r="AV85" s="6">
        <v>0</v>
      </c>
      <c r="AW85" s="6">
        <v>1</v>
      </c>
      <c r="AX85" s="6">
        <v>1</v>
      </c>
      <c r="AY85" s="6">
        <v>1</v>
      </c>
      <c r="AZ85" s="6">
        <v>2</v>
      </c>
      <c r="BA85" s="6">
        <v>2</v>
      </c>
      <c r="BB85" s="6">
        <v>2</v>
      </c>
      <c r="BC85" s="6">
        <v>2</v>
      </c>
      <c r="BD85" s="6">
        <v>0</v>
      </c>
      <c r="BE85" s="6">
        <v>0</v>
      </c>
      <c r="BF85" s="6">
        <v>1</v>
      </c>
      <c r="BG85" s="6">
        <v>0</v>
      </c>
      <c r="BH85" s="6">
        <v>0</v>
      </c>
      <c r="BI85" s="6">
        <v>0</v>
      </c>
      <c r="BJ85" s="6">
        <v>1</v>
      </c>
      <c r="BK85" s="6">
        <v>2</v>
      </c>
      <c r="BL85" s="5">
        <f t="shared" si="63"/>
        <v>61</v>
      </c>
    </row>
    <row r="86" spans="1:64" x14ac:dyDescent="0.4">
      <c r="A86" s="7"/>
      <c r="B86" s="52"/>
      <c r="C86" s="24" t="s">
        <v>153</v>
      </c>
      <c r="D86" s="50"/>
      <c r="E86" s="6">
        <v>1</v>
      </c>
      <c r="F86" s="6">
        <v>1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2</v>
      </c>
      <c r="M86" s="6">
        <v>0</v>
      </c>
      <c r="N86" s="6">
        <v>2</v>
      </c>
      <c r="O86" s="6">
        <v>1</v>
      </c>
      <c r="P86" s="6">
        <v>1</v>
      </c>
      <c r="Q86" s="6">
        <v>0</v>
      </c>
      <c r="R86" s="6">
        <v>0</v>
      </c>
      <c r="S86" s="6">
        <v>1</v>
      </c>
      <c r="T86" s="6">
        <v>0</v>
      </c>
      <c r="U86" s="6">
        <v>0</v>
      </c>
      <c r="V86" s="6">
        <v>1</v>
      </c>
      <c r="W86" s="6">
        <v>0</v>
      </c>
      <c r="X86" s="6">
        <v>1</v>
      </c>
      <c r="Y86" s="6">
        <v>2</v>
      </c>
      <c r="Z86" s="6">
        <v>4</v>
      </c>
      <c r="AA86" s="6">
        <v>2</v>
      </c>
      <c r="AB86" s="6">
        <v>0</v>
      </c>
      <c r="AC86" s="6">
        <v>0</v>
      </c>
      <c r="AD86" s="6">
        <v>0</v>
      </c>
      <c r="AE86" s="6">
        <v>0</v>
      </c>
      <c r="AF86" s="6">
        <v>4</v>
      </c>
      <c r="AG86" s="6">
        <v>13</v>
      </c>
      <c r="AH86" s="6">
        <v>32</v>
      </c>
      <c r="AI86" s="6">
        <v>0</v>
      </c>
      <c r="AJ86" s="6">
        <v>0</v>
      </c>
      <c r="AK86" s="6">
        <v>0</v>
      </c>
      <c r="AL86" s="6">
        <v>0</v>
      </c>
      <c r="AM86" s="6">
        <v>1</v>
      </c>
      <c r="AN86" s="6">
        <v>2</v>
      </c>
      <c r="AO86" s="6">
        <v>0</v>
      </c>
      <c r="AP86" s="6">
        <v>1</v>
      </c>
      <c r="AQ86" s="6">
        <v>0</v>
      </c>
      <c r="AR86" s="6">
        <v>2</v>
      </c>
      <c r="AS86" s="6">
        <v>0</v>
      </c>
      <c r="AT86" s="6">
        <v>0</v>
      </c>
      <c r="AU86" s="6">
        <v>0</v>
      </c>
      <c r="AV86" s="6">
        <v>0</v>
      </c>
      <c r="AW86" s="6">
        <v>2</v>
      </c>
      <c r="AX86" s="6">
        <v>0</v>
      </c>
      <c r="AY86" s="6">
        <v>1</v>
      </c>
      <c r="AZ86" s="6">
        <v>0</v>
      </c>
      <c r="BA86" s="6">
        <v>0</v>
      </c>
      <c r="BB86" s="6">
        <v>1</v>
      </c>
      <c r="BC86" s="6">
        <v>4</v>
      </c>
      <c r="BD86" s="6">
        <v>1</v>
      </c>
      <c r="BE86" s="6">
        <v>1</v>
      </c>
      <c r="BF86" s="6">
        <v>1</v>
      </c>
      <c r="BG86" s="6">
        <v>0</v>
      </c>
      <c r="BH86" s="6">
        <v>0</v>
      </c>
      <c r="BI86" s="6">
        <v>0</v>
      </c>
      <c r="BJ86" s="6">
        <v>0</v>
      </c>
      <c r="BK86" s="6">
        <v>2</v>
      </c>
      <c r="BL86" s="5">
        <f t="shared" si="63"/>
        <v>87</v>
      </c>
    </row>
    <row r="87" spans="1:64" x14ac:dyDescent="0.4">
      <c r="A87" s="7"/>
      <c r="B87" s="52"/>
      <c r="C87" s="24" t="s">
        <v>154</v>
      </c>
      <c r="D87" s="50"/>
      <c r="E87" s="6">
        <v>2</v>
      </c>
      <c r="F87" s="6">
        <v>2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1</v>
      </c>
      <c r="AL87" s="6">
        <v>0</v>
      </c>
      <c r="AM87" s="6">
        <v>1</v>
      </c>
      <c r="AN87" s="6">
        <v>0</v>
      </c>
      <c r="AO87" s="6">
        <v>0</v>
      </c>
      <c r="AP87" s="6">
        <v>0</v>
      </c>
      <c r="AQ87" s="6">
        <v>1</v>
      </c>
      <c r="AR87" s="6">
        <v>0</v>
      </c>
      <c r="AS87" s="6">
        <v>0</v>
      </c>
      <c r="AT87" s="6">
        <v>1</v>
      </c>
      <c r="AU87" s="6">
        <v>0</v>
      </c>
      <c r="AV87" s="6">
        <v>0</v>
      </c>
      <c r="AW87" s="6">
        <v>2</v>
      </c>
      <c r="AX87" s="6">
        <v>0</v>
      </c>
      <c r="AY87" s="6">
        <v>0</v>
      </c>
      <c r="AZ87" s="6">
        <v>0</v>
      </c>
      <c r="BA87" s="6">
        <v>0</v>
      </c>
      <c r="BB87" s="6">
        <v>1</v>
      </c>
      <c r="BC87" s="6">
        <v>0</v>
      </c>
      <c r="BD87" s="6">
        <v>1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5">
        <f t="shared" si="63"/>
        <v>14</v>
      </c>
    </row>
    <row r="88" spans="1:64" x14ac:dyDescent="0.4">
      <c r="A88" s="7"/>
      <c r="B88" s="52"/>
      <c r="C88" s="24" t="s">
        <v>155</v>
      </c>
      <c r="D88" s="50"/>
      <c r="E88" s="6">
        <v>0</v>
      </c>
      <c r="F88" s="6">
        <v>1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6">
        <v>1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1</v>
      </c>
      <c r="AO88" s="6">
        <v>0</v>
      </c>
      <c r="AP88" s="6">
        <v>1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1</v>
      </c>
      <c r="AW88" s="6">
        <v>0</v>
      </c>
      <c r="AX88" s="6">
        <v>0</v>
      </c>
      <c r="AY88" s="6">
        <v>0</v>
      </c>
      <c r="AZ88" s="6">
        <v>1</v>
      </c>
      <c r="BA88" s="6">
        <v>0</v>
      </c>
      <c r="BB88" s="6">
        <v>0</v>
      </c>
      <c r="BC88" s="6">
        <v>1</v>
      </c>
      <c r="BD88" s="6">
        <v>0</v>
      </c>
      <c r="BE88" s="6">
        <v>1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5">
        <f t="shared" si="63"/>
        <v>13</v>
      </c>
    </row>
    <row r="89" spans="1:64" x14ac:dyDescent="0.4">
      <c r="A89" s="7"/>
      <c r="B89" s="52"/>
      <c r="C89" s="24" t="s">
        <v>156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1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1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1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5">
        <f t="shared" si="63"/>
        <v>4</v>
      </c>
    </row>
    <row r="90" spans="1:64" x14ac:dyDescent="0.4">
      <c r="A90" s="7"/>
      <c r="B90" s="52"/>
      <c r="C90" s="24" t="s">
        <v>157</v>
      </c>
      <c r="D90" s="50"/>
      <c r="E90" s="6">
        <v>0</v>
      </c>
      <c r="F90" s="6">
        <v>0</v>
      </c>
      <c r="G90" s="6">
        <v>1</v>
      </c>
      <c r="H90" s="6">
        <v>0</v>
      </c>
      <c r="I90" s="6">
        <v>1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2</v>
      </c>
      <c r="W90" s="6">
        <v>1</v>
      </c>
      <c r="X90" s="6">
        <v>0</v>
      </c>
      <c r="Y90" s="6">
        <v>0</v>
      </c>
      <c r="Z90" s="6">
        <v>0</v>
      </c>
      <c r="AA90" s="6">
        <v>1</v>
      </c>
      <c r="AB90" s="6">
        <v>0</v>
      </c>
      <c r="AC90" s="6">
        <v>0</v>
      </c>
      <c r="AD90" s="6">
        <v>0</v>
      </c>
      <c r="AE90" s="6">
        <v>1</v>
      </c>
      <c r="AF90" s="6">
        <v>0</v>
      </c>
      <c r="AG90" s="6">
        <v>0</v>
      </c>
      <c r="AH90" s="6">
        <v>0</v>
      </c>
      <c r="AI90" s="6">
        <v>0</v>
      </c>
      <c r="AJ90" s="6">
        <v>1</v>
      </c>
      <c r="AK90" s="6">
        <v>0</v>
      </c>
      <c r="AL90" s="6">
        <v>1</v>
      </c>
      <c r="AM90" s="6">
        <v>0</v>
      </c>
      <c r="AN90" s="6">
        <v>0</v>
      </c>
      <c r="AO90" s="6">
        <v>0</v>
      </c>
      <c r="AP90" s="6">
        <v>0</v>
      </c>
      <c r="AQ90" s="6">
        <v>1</v>
      </c>
      <c r="AR90" s="6">
        <v>1</v>
      </c>
      <c r="AS90" s="6">
        <v>0</v>
      </c>
      <c r="AT90" s="6">
        <v>1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2</v>
      </c>
      <c r="BA90" s="6">
        <v>0</v>
      </c>
      <c r="BB90" s="6">
        <v>1</v>
      </c>
      <c r="BC90" s="6">
        <v>0</v>
      </c>
      <c r="BD90" s="6">
        <v>0</v>
      </c>
      <c r="BE90" s="6">
        <v>1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2</v>
      </c>
      <c r="BL90" s="5">
        <f t="shared" si="63"/>
        <v>20</v>
      </c>
    </row>
    <row r="91" spans="1:64" x14ac:dyDescent="0.4">
      <c r="A91" s="6" t="s">
        <v>26</v>
      </c>
      <c r="B91" s="67" t="s">
        <v>51</v>
      </c>
      <c r="C91" s="83"/>
      <c r="D91" s="74"/>
      <c r="E91" s="5">
        <f t="shared" ref="E91:BL91" si="64">SUM(E81:E90)</f>
        <v>36</v>
      </c>
      <c r="F91" s="5">
        <f t="shared" si="64"/>
        <v>41</v>
      </c>
      <c r="G91" s="5">
        <f t="shared" si="64"/>
        <v>21</v>
      </c>
      <c r="H91" s="5">
        <f t="shared" si="64"/>
        <v>41</v>
      </c>
      <c r="I91" s="5">
        <f t="shared" si="64"/>
        <v>71</v>
      </c>
      <c r="J91" s="5">
        <f t="shared" si="64"/>
        <v>22</v>
      </c>
      <c r="K91" s="5">
        <f t="shared" si="64"/>
        <v>42</v>
      </c>
      <c r="L91" s="5">
        <f t="shared" si="64"/>
        <v>32</v>
      </c>
      <c r="M91" s="5">
        <f t="shared" si="64"/>
        <v>29</v>
      </c>
      <c r="N91" s="5">
        <f t="shared" si="64"/>
        <v>49</v>
      </c>
      <c r="O91" s="5">
        <f t="shared" si="64"/>
        <v>35</v>
      </c>
      <c r="P91" s="5">
        <f t="shared" si="64"/>
        <v>48</v>
      </c>
      <c r="Q91" s="5">
        <f t="shared" si="64"/>
        <v>30</v>
      </c>
      <c r="R91" s="5">
        <f t="shared" si="64"/>
        <v>12</v>
      </c>
      <c r="S91" s="5">
        <f t="shared" si="64"/>
        <v>24</v>
      </c>
      <c r="T91" s="5">
        <f t="shared" si="64"/>
        <v>16</v>
      </c>
      <c r="U91" s="5">
        <f t="shared" si="64"/>
        <v>39</v>
      </c>
      <c r="V91" s="5">
        <f t="shared" si="64"/>
        <v>51</v>
      </c>
      <c r="W91" s="5">
        <f t="shared" si="64"/>
        <v>12</v>
      </c>
      <c r="X91" s="5">
        <f t="shared" si="64"/>
        <v>9</v>
      </c>
      <c r="Y91" s="5">
        <f t="shared" si="64"/>
        <v>27</v>
      </c>
      <c r="Z91" s="5">
        <f t="shared" si="64"/>
        <v>13</v>
      </c>
      <c r="AA91" s="5">
        <f t="shared" si="64"/>
        <v>7</v>
      </c>
      <c r="AB91" s="5">
        <f t="shared" si="64"/>
        <v>13</v>
      </c>
      <c r="AC91" s="5">
        <f t="shared" si="64"/>
        <v>7</v>
      </c>
      <c r="AD91" s="5">
        <f t="shared" si="64"/>
        <v>9</v>
      </c>
      <c r="AE91" s="5">
        <f t="shared" si="64"/>
        <v>17</v>
      </c>
      <c r="AF91" s="5">
        <f t="shared" si="64"/>
        <v>26</v>
      </c>
      <c r="AG91" s="5">
        <f t="shared" si="64"/>
        <v>36</v>
      </c>
      <c r="AH91" s="5">
        <f t="shared" si="64"/>
        <v>50</v>
      </c>
      <c r="AI91" s="5">
        <f t="shared" si="64"/>
        <v>206</v>
      </c>
      <c r="AJ91" s="5">
        <f t="shared" si="64"/>
        <v>135</v>
      </c>
      <c r="AK91" s="5">
        <f t="shared" si="64"/>
        <v>27</v>
      </c>
      <c r="AL91" s="5">
        <f t="shared" si="64"/>
        <v>72</v>
      </c>
      <c r="AM91" s="5">
        <f t="shared" si="64"/>
        <v>52</v>
      </c>
      <c r="AN91" s="5">
        <f t="shared" si="64"/>
        <v>65</v>
      </c>
      <c r="AO91" s="5">
        <f t="shared" si="64"/>
        <v>36</v>
      </c>
      <c r="AP91" s="5">
        <f t="shared" si="64"/>
        <v>20</v>
      </c>
      <c r="AQ91" s="5">
        <f t="shared" si="64"/>
        <v>26</v>
      </c>
      <c r="AR91" s="5">
        <f t="shared" si="64"/>
        <v>41</v>
      </c>
      <c r="AS91" s="5">
        <f t="shared" si="64"/>
        <v>43</v>
      </c>
      <c r="AT91" s="5">
        <f t="shared" si="64"/>
        <v>9</v>
      </c>
      <c r="AU91" s="5">
        <f t="shared" si="64"/>
        <v>3</v>
      </c>
      <c r="AV91" s="5">
        <f t="shared" si="64"/>
        <v>39</v>
      </c>
      <c r="AW91" s="5">
        <f t="shared" si="64"/>
        <v>99</v>
      </c>
      <c r="AX91" s="5">
        <f t="shared" si="64"/>
        <v>161</v>
      </c>
      <c r="AY91" s="5">
        <f t="shared" si="64"/>
        <v>105</v>
      </c>
      <c r="AZ91" s="5">
        <f t="shared" si="64"/>
        <v>62</v>
      </c>
      <c r="BA91" s="5">
        <f t="shared" si="64"/>
        <v>79</v>
      </c>
      <c r="BB91" s="5">
        <f t="shared" si="64"/>
        <v>43</v>
      </c>
      <c r="BC91" s="5">
        <f t="shared" si="64"/>
        <v>36</v>
      </c>
      <c r="BD91" s="5">
        <f t="shared" si="64"/>
        <v>54</v>
      </c>
      <c r="BE91" s="5">
        <f t="shared" si="64"/>
        <v>28</v>
      </c>
      <c r="BF91" s="5">
        <f t="shared" si="64"/>
        <v>35</v>
      </c>
      <c r="BG91" s="5">
        <f t="shared" si="64"/>
        <v>101</v>
      </c>
      <c r="BH91" s="5">
        <f t="shared" si="64"/>
        <v>87</v>
      </c>
      <c r="BI91" s="5">
        <f t="shared" si="64"/>
        <v>57</v>
      </c>
      <c r="BJ91" s="5">
        <f t="shared" si="64"/>
        <v>41</v>
      </c>
      <c r="BK91" s="5">
        <f t="shared" si="64"/>
        <v>34</v>
      </c>
      <c r="BL91" s="5">
        <f t="shared" si="64"/>
        <v>2661</v>
      </c>
    </row>
    <row r="92" spans="1:64" x14ac:dyDescent="0.4">
      <c r="A92" s="84"/>
      <c r="B92" s="85"/>
      <c r="C92" s="85"/>
      <c r="D92" s="85"/>
      <c r="E92" s="85"/>
    </row>
    <row r="93" spans="1:64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2</v>
      </c>
      <c r="G93" s="6">
        <v>3</v>
      </c>
      <c r="H93" s="6">
        <v>0</v>
      </c>
      <c r="I93" s="6">
        <v>1</v>
      </c>
      <c r="J93" s="6">
        <v>2</v>
      </c>
      <c r="K93" s="6">
        <v>0</v>
      </c>
      <c r="L93" s="6">
        <v>1</v>
      </c>
      <c r="M93" s="6">
        <v>1</v>
      </c>
      <c r="N93" s="6">
        <v>1</v>
      </c>
      <c r="O93" s="6">
        <v>2</v>
      </c>
      <c r="P93" s="6">
        <v>1</v>
      </c>
      <c r="Q93" s="6">
        <v>0</v>
      </c>
      <c r="R93" s="6">
        <v>0</v>
      </c>
      <c r="S93" s="6">
        <v>0</v>
      </c>
      <c r="T93" s="6">
        <v>1</v>
      </c>
      <c r="U93" s="6">
        <v>1</v>
      </c>
      <c r="V93" s="6">
        <v>2</v>
      </c>
      <c r="W93" s="6">
        <v>0</v>
      </c>
      <c r="X93" s="6">
        <v>0</v>
      </c>
      <c r="Y93" s="6">
        <v>0</v>
      </c>
      <c r="Z93" s="6">
        <v>0</v>
      </c>
      <c r="AA93" s="6">
        <v>2</v>
      </c>
      <c r="AB93" s="6">
        <v>0</v>
      </c>
      <c r="AC93" s="6">
        <v>0</v>
      </c>
      <c r="AD93" s="6">
        <v>1</v>
      </c>
      <c r="AE93" s="6">
        <v>0</v>
      </c>
      <c r="AF93" s="6">
        <v>1</v>
      </c>
      <c r="AG93" s="6">
        <v>1</v>
      </c>
      <c r="AH93" s="6">
        <v>1</v>
      </c>
      <c r="AI93" s="6">
        <v>0</v>
      </c>
      <c r="AJ93" s="6">
        <v>0</v>
      </c>
      <c r="AK93" s="6">
        <v>1</v>
      </c>
      <c r="AL93" s="6">
        <v>0</v>
      </c>
      <c r="AM93" s="6">
        <v>0</v>
      </c>
      <c r="AN93" s="6">
        <v>1</v>
      </c>
      <c r="AO93" s="6">
        <v>0</v>
      </c>
      <c r="AP93" s="6">
        <v>0</v>
      </c>
      <c r="AQ93" s="6">
        <v>0</v>
      </c>
      <c r="AR93" s="6">
        <v>1</v>
      </c>
      <c r="AS93" s="6">
        <v>4</v>
      </c>
      <c r="AT93" s="6">
        <v>1</v>
      </c>
      <c r="AU93" s="6">
        <v>0</v>
      </c>
      <c r="AV93" s="6">
        <v>2</v>
      </c>
      <c r="AW93" s="6">
        <v>0</v>
      </c>
      <c r="AX93" s="6">
        <v>0</v>
      </c>
      <c r="AY93" s="6">
        <v>1</v>
      </c>
      <c r="AZ93" s="6">
        <v>1</v>
      </c>
      <c r="BA93" s="6">
        <v>0</v>
      </c>
      <c r="BB93" s="6">
        <v>0</v>
      </c>
      <c r="BC93" s="6">
        <v>6</v>
      </c>
      <c r="BD93" s="6">
        <v>0</v>
      </c>
      <c r="BE93" s="6">
        <v>3</v>
      </c>
      <c r="BF93" s="6">
        <v>1</v>
      </c>
      <c r="BG93" s="6">
        <v>0</v>
      </c>
      <c r="BH93" s="6">
        <v>1</v>
      </c>
      <c r="BI93" s="6">
        <v>1</v>
      </c>
      <c r="BJ93" s="6">
        <v>0</v>
      </c>
      <c r="BK93" s="6">
        <v>0</v>
      </c>
      <c r="BL93" s="5">
        <f t="shared" ref="BL93:BL103" si="65">SUM(E93:BK93)</f>
        <v>48</v>
      </c>
    </row>
    <row r="94" spans="1:64" x14ac:dyDescent="0.4">
      <c r="A94" s="11" t="s">
        <v>50</v>
      </c>
      <c r="B94" s="52"/>
      <c r="C94" s="24" t="s">
        <v>158</v>
      </c>
      <c r="D94" s="50"/>
      <c r="E94" s="6">
        <v>2</v>
      </c>
      <c r="F94" s="6">
        <v>3</v>
      </c>
      <c r="G94" s="6">
        <v>0</v>
      </c>
      <c r="H94" s="6">
        <v>0</v>
      </c>
      <c r="I94" s="6">
        <v>2</v>
      </c>
      <c r="J94" s="6">
        <v>2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4</v>
      </c>
      <c r="Q94" s="6">
        <v>0</v>
      </c>
      <c r="R94" s="6">
        <v>1</v>
      </c>
      <c r="S94" s="6">
        <v>2</v>
      </c>
      <c r="T94" s="6">
        <v>0</v>
      </c>
      <c r="U94" s="6">
        <v>3</v>
      </c>
      <c r="V94" s="6">
        <v>0</v>
      </c>
      <c r="W94" s="6">
        <v>0</v>
      </c>
      <c r="X94" s="6">
        <v>0</v>
      </c>
      <c r="Y94" s="6">
        <v>3</v>
      </c>
      <c r="Z94" s="6">
        <v>0</v>
      </c>
      <c r="AA94" s="6">
        <v>0</v>
      </c>
      <c r="AB94" s="6">
        <v>0</v>
      </c>
      <c r="AC94" s="6">
        <v>0</v>
      </c>
      <c r="AD94" s="6">
        <v>4</v>
      </c>
      <c r="AE94" s="6">
        <v>0</v>
      </c>
      <c r="AF94" s="6">
        <v>0</v>
      </c>
      <c r="AG94" s="6">
        <v>0</v>
      </c>
      <c r="AH94" s="6">
        <v>2</v>
      </c>
      <c r="AI94" s="6">
        <v>0</v>
      </c>
      <c r="AJ94" s="6">
        <v>1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1</v>
      </c>
      <c r="AS94" s="6">
        <v>0</v>
      </c>
      <c r="AT94" s="6">
        <v>0</v>
      </c>
      <c r="AU94" s="6">
        <v>0</v>
      </c>
      <c r="AV94" s="6">
        <v>3</v>
      </c>
      <c r="AW94" s="6">
        <v>0</v>
      </c>
      <c r="AX94" s="6">
        <v>0</v>
      </c>
      <c r="AY94" s="6">
        <v>0</v>
      </c>
      <c r="AZ94" s="6">
        <v>1</v>
      </c>
      <c r="BA94" s="6">
        <v>0</v>
      </c>
      <c r="BB94" s="6">
        <v>1</v>
      </c>
      <c r="BC94" s="6">
        <v>0</v>
      </c>
      <c r="BD94" s="6">
        <v>2</v>
      </c>
      <c r="BE94" s="6">
        <v>11</v>
      </c>
      <c r="BF94" s="6">
        <v>4</v>
      </c>
      <c r="BG94" s="6">
        <v>1</v>
      </c>
      <c r="BH94" s="6">
        <v>1</v>
      </c>
      <c r="BI94" s="6">
        <v>0</v>
      </c>
      <c r="BJ94" s="6">
        <v>0</v>
      </c>
      <c r="BK94" s="6">
        <v>1</v>
      </c>
      <c r="BL94" s="5">
        <f t="shared" si="65"/>
        <v>55</v>
      </c>
    </row>
    <row r="95" spans="1:64" x14ac:dyDescent="0.4">
      <c r="A95" s="7"/>
      <c r="B95" s="52"/>
      <c r="C95" s="24" t="s">
        <v>159</v>
      </c>
      <c r="D95" s="50"/>
      <c r="E95" s="6">
        <v>0</v>
      </c>
      <c r="F95" s="6">
        <v>0</v>
      </c>
      <c r="G95" s="6">
        <v>2</v>
      </c>
      <c r="H95" s="6">
        <v>1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3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3</v>
      </c>
      <c r="BF95" s="6">
        <v>3</v>
      </c>
      <c r="BG95" s="6">
        <v>0</v>
      </c>
      <c r="BH95" s="6">
        <v>0</v>
      </c>
      <c r="BI95" s="6">
        <v>0</v>
      </c>
      <c r="BJ95" s="6">
        <v>0</v>
      </c>
      <c r="BK95" s="6">
        <v>1</v>
      </c>
      <c r="BL95" s="5">
        <f t="shared" si="65"/>
        <v>16</v>
      </c>
    </row>
    <row r="96" spans="1:64" ht="13.15" customHeight="1" x14ac:dyDescent="0.4">
      <c r="A96" s="7"/>
      <c r="B96" s="52"/>
      <c r="C96" s="24" t="s">
        <v>160</v>
      </c>
      <c r="D96" s="50"/>
      <c r="E96" s="6">
        <v>0</v>
      </c>
      <c r="F96" s="6">
        <v>0</v>
      </c>
      <c r="G96" s="6">
        <v>0</v>
      </c>
      <c r="H96" s="6">
        <v>1</v>
      </c>
      <c r="I96" s="6">
        <v>1</v>
      </c>
      <c r="J96" s="6">
        <v>0</v>
      </c>
      <c r="K96" s="6">
        <v>1</v>
      </c>
      <c r="L96" s="6">
        <v>1</v>
      </c>
      <c r="M96" s="6">
        <v>0</v>
      </c>
      <c r="N96" s="6">
        <v>1</v>
      </c>
      <c r="O96" s="6">
        <v>0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1</v>
      </c>
      <c r="Z96" s="6">
        <v>0</v>
      </c>
      <c r="AA96" s="6">
        <v>0</v>
      </c>
      <c r="AB96" s="6">
        <v>1</v>
      </c>
      <c r="AC96" s="6">
        <v>0</v>
      </c>
      <c r="AD96" s="6">
        <v>0</v>
      </c>
      <c r="AE96" s="6">
        <v>0</v>
      </c>
      <c r="AF96" s="6">
        <v>0</v>
      </c>
      <c r="AG96" s="6">
        <v>1</v>
      </c>
      <c r="AH96" s="6">
        <v>0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1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3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5">
        <f t="shared" si="65"/>
        <v>14</v>
      </c>
    </row>
    <row r="97" spans="1:64" x14ac:dyDescent="0.4">
      <c r="A97" s="7"/>
      <c r="B97" s="52"/>
      <c r="C97" s="24" t="s">
        <v>161</v>
      </c>
      <c r="D97" s="50"/>
      <c r="E97" s="6">
        <v>1</v>
      </c>
      <c r="F97" s="6">
        <v>1</v>
      </c>
      <c r="G97" s="6">
        <v>4</v>
      </c>
      <c r="H97" s="6">
        <v>0</v>
      </c>
      <c r="I97" s="6">
        <v>0</v>
      </c>
      <c r="J97" s="6">
        <v>1</v>
      </c>
      <c r="K97" s="6">
        <v>0</v>
      </c>
      <c r="L97" s="6">
        <v>1</v>
      </c>
      <c r="M97" s="6">
        <v>0</v>
      </c>
      <c r="N97" s="6">
        <v>0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1</v>
      </c>
      <c r="AB97" s="6">
        <v>0</v>
      </c>
      <c r="AC97" s="6">
        <v>0</v>
      </c>
      <c r="AD97" s="6">
        <v>0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1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3</v>
      </c>
      <c r="BD97" s="6">
        <v>2</v>
      </c>
      <c r="BE97" s="6">
        <v>3</v>
      </c>
      <c r="BF97" s="6">
        <v>2</v>
      </c>
      <c r="BG97" s="6">
        <v>0</v>
      </c>
      <c r="BH97" s="6">
        <v>0</v>
      </c>
      <c r="BI97" s="6">
        <v>0</v>
      </c>
      <c r="BJ97" s="6">
        <v>0</v>
      </c>
      <c r="BK97" s="6">
        <v>1</v>
      </c>
      <c r="BL97" s="5">
        <f t="shared" si="65"/>
        <v>23</v>
      </c>
    </row>
    <row r="98" spans="1:64" x14ac:dyDescent="0.4">
      <c r="A98" s="7"/>
      <c r="B98" s="52"/>
      <c r="C98" s="24" t="s">
        <v>162</v>
      </c>
      <c r="D98" s="50"/>
      <c r="E98" s="6">
        <v>0</v>
      </c>
      <c r="F98" s="6">
        <v>1</v>
      </c>
      <c r="G98" s="6">
        <v>2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1</v>
      </c>
      <c r="W98" s="6">
        <v>0</v>
      </c>
      <c r="X98" s="6">
        <v>1</v>
      </c>
      <c r="Y98" s="6">
        <v>0</v>
      </c>
      <c r="Z98" s="6">
        <v>1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1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1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5">
        <f t="shared" si="65"/>
        <v>8</v>
      </c>
    </row>
    <row r="99" spans="1:64" x14ac:dyDescent="0.4">
      <c r="A99" s="7"/>
      <c r="B99" s="52"/>
      <c r="C99" s="24" t="s">
        <v>163</v>
      </c>
      <c r="D99" s="50"/>
      <c r="E99" s="6">
        <v>0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1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1</v>
      </c>
      <c r="BL99" s="5">
        <f t="shared" si="65"/>
        <v>3</v>
      </c>
    </row>
    <row r="100" spans="1:64" x14ac:dyDescent="0.4">
      <c r="A100" s="7"/>
      <c r="B100" s="52"/>
      <c r="C100" s="24" t="s">
        <v>164</v>
      </c>
      <c r="D100" s="50"/>
      <c r="E100" s="6">
        <v>0</v>
      </c>
      <c r="F100" s="6">
        <v>3</v>
      </c>
      <c r="G100" s="6">
        <v>2</v>
      </c>
      <c r="H100" s="6">
        <v>2</v>
      </c>
      <c r="I100" s="6">
        <v>1</v>
      </c>
      <c r="J100" s="6">
        <v>0</v>
      </c>
      <c r="K100" s="6">
        <v>1</v>
      </c>
      <c r="L100" s="6">
        <v>0</v>
      </c>
      <c r="M100" s="6">
        <v>2</v>
      </c>
      <c r="N100" s="6">
        <v>0</v>
      </c>
      <c r="O100" s="6">
        <v>0</v>
      </c>
      <c r="P100" s="6">
        <v>2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1</v>
      </c>
      <c r="Y100" s="6">
        <v>1</v>
      </c>
      <c r="Z100" s="6">
        <v>1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1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1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</v>
      </c>
      <c r="BA100" s="6">
        <v>0</v>
      </c>
      <c r="BB100" s="6">
        <v>0</v>
      </c>
      <c r="BC100" s="6">
        <v>1</v>
      </c>
      <c r="BD100" s="6">
        <v>0</v>
      </c>
      <c r="BE100" s="6">
        <v>1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5">
        <f t="shared" si="65"/>
        <v>21</v>
      </c>
    </row>
    <row r="101" spans="1:64" x14ac:dyDescent="0.4">
      <c r="A101" s="7"/>
      <c r="B101" s="52"/>
      <c r="C101" s="24" t="s">
        <v>165</v>
      </c>
      <c r="D101" s="50"/>
      <c r="E101" s="6">
        <v>1</v>
      </c>
      <c r="F101" s="6">
        <v>1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1</v>
      </c>
      <c r="BL101" s="5">
        <f t="shared" si="65"/>
        <v>3</v>
      </c>
    </row>
    <row r="102" spans="1:64" x14ac:dyDescent="0.4">
      <c r="A102" s="7"/>
      <c r="B102" s="52"/>
      <c r="C102" s="24" t="s">
        <v>166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1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1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1</v>
      </c>
      <c r="BL102" s="5">
        <f t="shared" si="65"/>
        <v>3</v>
      </c>
    </row>
    <row r="103" spans="1:64" x14ac:dyDescent="0.4">
      <c r="A103" s="6" t="s">
        <v>26</v>
      </c>
      <c r="B103" s="67" t="s">
        <v>51</v>
      </c>
      <c r="C103" s="83"/>
      <c r="D103" s="74"/>
      <c r="E103" s="5">
        <f t="shared" ref="E103:BL103" si="66">SUM(E93:E102)</f>
        <v>4</v>
      </c>
      <c r="F103" s="5">
        <f t="shared" si="66"/>
        <v>12</v>
      </c>
      <c r="G103" s="5">
        <f t="shared" si="66"/>
        <v>13</v>
      </c>
      <c r="H103" s="5">
        <f t="shared" si="66"/>
        <v>4</v>
      </c>
      <c r="I103" s="5">
        <f t="shared" si="66"/>
        <v>6</v>
      </c>
      <c r="J103" s="5">
        <f t="shared" si="66"/>
        <v>6</v>
      </c>
      <c r="K103" s="5">
        <f t="shared" si="66"/>
        <v>2</v>
      </c>
      <c r="L103" s="5">
        <f t="shared" si="66"/>
        <v>3</v>
      </c>
      <c r="M103" s="5">
        <f t="shared" si="66"/>
        <v>3</v>
      </c>
      <c r="N103" s="5">
        <f t="shared" si="66"/>
        <v>2</v>
      </c>
      <c r="O103" s="5">
        <f t="shared" si="66"/>
        <v>2</v>
      </c>
      <c r="P103" s="5">
        <f t="shared" si="66"/>
        <v>8</v>
      </c>
      <c r="Q103" s="5">
        <f t="shared" si="66"/>
        <v>1</v>
      </c>
      <c r="R103" s="5">
        <f t="shared" si="66"/>
        <v>1</v>
      </c>
      <c r="S103" s="5">
        <f t="shared" si="66"/>
        <v>3</v>
      </c>
      <c r="T103" s="5">
        <f t="shared" si="66"/>
        <v>2</v>
      </c>
      <c r="U103" s="5">
        <f t="shared" si="66"/>
        <v>4</v>
      </c>
      <c r="V103" s="5">
        <f t="shared" si="66"/>
        <v>3</v>
      </c>
      <c r="W103" s="5">
        <f t="shared" si="66"/>
        <v>0</v>
      </c>
      <c r="X103" s="5">
        <f t="shared" si="66"/>
        <v>2</v>
      </c>
      <c r="Y103" s="5">
        <f t="shared" si="66"/>
        <v>5</v>
      </c>
      <c r="Z103" s="5">
        <f t="shared" si="66"/>
        <v>3</v>
      </c>
      <c r="AA103" s="5">
        <f t="shared" si="66"/>
        <v>3</v>
      </c>
      <c r="AB103" s="5">
        <f t="shared" si="66"/>
        <v>1</v>
      </c>
      <c r="AC103" s="5">
        <f t="shared" si="66"/>
        <v>0</v>
      </c>
      <c r="AD103" s="5">
        <f t="shared" si="66"/>
        <v>5</v>
      </c>
      <c r="AE103" s="5">
        <f t="shared" si="66"/>
        <v>1</v>
      </c>
      <c r="AF103" s="5">
        <f t="shared" si="66"/>
        <v>1</v>
      </c>
      <c r="AG103" s="5">
        <f t="shared" si="66"/>
        <v>2</v>
      </c>
      <c r="AH103" s="5">
        <f t="shared" si="66"/>
        <v>3</v>
      </c>
      <c r="AI103" s="5">
        <f t="shared" si="66"/>
        <v>0</v>
      </c>
      <c r="AJ103" s="5">
        <f t="shared" si="66"/>
        <v>2</v>
      </c>
      <c r="AK103" s="5">
        <f t="shared" si="66"/>
        <v>2</v>
      </c>
      <c r="AL103" s="5">
        <f t="shared" si="66"/>
        <v>1</v>
      </c>
      <c r="AM103" s="5">
        <f t="shared" si="66"/>
        <v>0</v>
      </c>
      <c r="AN103" s="5">
        <f t="shared" si="66"/>
        <v>1</v>
      </c>
      <c r="AO103" s="5">
        <f t="shared" si="66"/>
        <v>0</v>
      </c>
      <c r="AP103" s="5">
        <f t="shared" si="66"/>
        <v>0</v>
      </c>
      <c r="AQ103" s="5">
        <f t="shared" si="66"/>
        <v>0</v>
      </c>
      <c r="AR103" s="5">
        <f t="shared" si="66"/>
        <v>3</v>
      </c>
      <c r="AS103" s="5">
        <f t="shared" si="66"/>
        <v>6</v>
      </c>
      <c r="AT103" s="5">
        <f t="shared" si="66"/>
        <v>1</v>
      </c>
      <c r="AU103" s="5">
        <f t="shared" si="66"/>
        <v>0</v>
      </c>
      <c r="AV103" s="5">
        <f t="shared" si="66"/>
        <v>8</v>
      </c>
      <c r="AW103" s="5">
        <f t="shared" si="66"/>
        <v>0</v>
      </c>
      <c r="AX103" s="5">
        <f t="shared" si="66"/>
        <v>0</v>
      </c>
      <c r="AY103" s="5">
        <f t="shared" si="66"/>
        <v>1</v>
      </c>
      <c r="AZ103" s="5">
        <f t="shared" si="66"/>
        <v>4</v>
      </c>
      <c r="BA103" s="5">
        <f t="shared" si="66"/>
        <v>0</v>
      </c>
      <c r="BB103" s="5">
        <f t="shared" si="66"/>
        <v>1</v>
      </c>
      <c r="BC103" s="5">
        <f t="shared" si="66"/>
        <v>10</v>
      </c>
      <c r="BD103" s="5">
        <f t="shared" si="66"/>
        <v>4</v>
      </c>
      <c r="BE103" s="5">
        <f t="shared" si="66"/>
        <v>24</v>
      </c>
      <c r="BF103" s="5">
        <f t="shared" si="66"/>
        <v>11</v>
      </c>
      <c r="BG103" s="5">
        <f t="shared" si="66"/>
        <v>1</v>
      </c>
      <c r="BH103" s="5">
        <f t="shared" si="66"/>
        <v>2</v>
      </c>
      <c r="BI103" s="5">
        <f t="shared" si="66"/>
        <v>1</v>
      </c>
      <c r="BJ103" s="5">
        <f t="shared" si="66"/>
        <v>0</v>
      </c>
      <c r="BK103" s="5">
        <f t="shared" si="66"/>
        <v>6</v>
      </c>
      <c r="BL103" s="5">
        <f t="shared" si="66"/>
        <v>194</v>
      </c>
    </row>
    <row r="104" spans="1:64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</row>
    <row r="105" spans="1:64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2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2</v>
      </c>
      <c r="V105" s="6">
        <v>1</v>
      </c>
      <c r="W105" s="6">
        <v>1</v>
      </c>
      <c r="X105" s="6">
        <v>0</v>
      </c>
      <c r="Y105" s="6">
        <v>1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1</v>
      </c>
      <c r="AL105" s="6">
        <v>0</v>
      </c>
      <c r="AM105" s="6">
        <v>0</v>
      </c>
      <c r="AN105" s="6">
        <v>1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1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2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1</v>
      </c>
      <c r="BL105" s="5">
        <f>SUM(E105:BK105)</f>
        <v>14</v>
      </c>
    </row>
    <row r="106" spans="1:64" x14ac:dyDescent="0.4">
      <c r="A106" s="11" t="s">
        <v>50</v>
      </c>
      <c r="B106" s="52"/>
      <c r="C106" s="24" t="s">
        <v>167</v>
      </c>
      <c r="D106" s="50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1</v>
      </c>
      <c r="AL106" s="6">
        <v>1</v>
      </c>
      <c r="AM106" s="6">
        <v>0</v>
      </c>
      <c r="AN106" s="6">
        <v>1</v>
      </c>
      <c r="AO106" s="6">
        <v>1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2</v>
      </c>
      <c r="AV106" s="6">
        <v>0</v>
      </c>
      <c r="AW106" s="6">
        <v>0</v>
      </c>
      <c r="AX106" s="6">
        <v>0</v>
      </c>
      <c r="AY106" s="6">
        <v>0</v>
      </c>
      <c r="AZ106" s="6">
        <v>1</v>
      </c>
      <c r="BA106" s="6">
        <v>0</v>
      </c>
      <c r="BB106" s="6">
        <v>0</v>
      </c>
      <c r="BC106" s="6">
        <v>0</v>
      </c>
      <c r="BD106" s="6">
        <v>2</v>
      </c>
      <c r="BE106" s="6">
        <v>0</v>
      </c>
      <c r="BF106" s="6">
        <v>1</v>
      </c>
      <c r="BG106" s="6">
        <v>0</v>
      </c>
      <c r="BH106" s="6">
        <v>0</v>
      </c>
      <c r="BI106" s="6">
        <v>0</v>
      </c>
      <c r="BJ106" s="6">
        <v>0</v>
      </c>
      <c r="BK106" s="6">
        <v>1</v>
      </c>
      <c r="BL106" s="5">
        <f>SUM(E106:BK106)</f>
        <v>13</v>
      </c>
    </row>
    <row r="107" spans="1:64" ht="13.15" customHeight="1" x14ac:dyDescent="0.4">
      <c r="A107" s="7"/>
      <c r="B107" s="52"/>
      <c r="C107" s="24" t="s">
        <v>168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1</v>
      </c>
      <c r="Q107" s="6">
        <v>0</v>
      </c>
      <c r="R107" s="6">
        <v>1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2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1</v>
      </c>
      <c r="BF107" s="6">
        <v>0</v>
      </c>
      <c r="BG107" s="6">
        <v>0</v>
      </c>
      <c r="BH107" s="6">
        <v>1</v>
      </c>
      <c r="BI107" s="6">
        <v>0</v>
      </c>
      <c r="BJ107" s="6">
        <v>0</v>
      </c>
      <c r="BK107" s="6">
        <v>0</v>
      </c>
      <c r="BL107" s="5">
        <f>SUM(E107:BK107)</f>
        <v>6</v>
      </c>
    </row>
    <row r="108" spans="1:64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49"/>
    </row>
    <row r="109" spans="1:64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49"/>
    </row>
    <row r="110" spans="1:64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49"/>
    </row>
    <row r="111" spans="1:64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49"/>
    </row>
    <row r="112" spans="1:64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49"/>
    </row>
    <row r="113" spans="1:66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49"/>
    </row>
    <row r="114" spans="1:66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49"/>
    </row>
    <row r="115" spans="1:66" ht="13.15" customHeight="1" x14ac:dyDescent="0.4">
      <c r="A115" s="6" t="s">
        <v>26</v>
      </c>
      <c r="B115" s="67" t="s">
        <v>51</v>
      </c>
      <c r="C115" s="68"/>
      <c r="D115" s="69"/>
      <c r="E115" s="5">
        <f t="shared" ref="E115:BL115" si="67">SUM(E105:E114)</f>
        <v>1</v>
      </c>
      <c r="F115" s="5">
        <f t="shared" si="67"/>
        <v>0</v>
      </c>
      <c r="G115" s="5">
        <f t="shared" si="67"/>
        <v>0</v>
      </c>
      <c r="H115" s="5">
        <f t="shared" si="67"/>
        <v>0</v>
      </c>
      <c r="I115" s="5">
        <f t="shared" si="67"/>
        <v>0</v>
      </c>
      <c r="J115" s="5">
        <f t="shared" si="67"/>
        <v>0</v>
      </c>
      <c r="K115" s="5">
        <f t="shared" si="67"/>
        <v>0</v>
      </c>
      <c r="L115" s="5">
        <f t="shared" si="67"/>
        <v>1</v>
      </c>
      <c r="M115" s="5">
        <f t="shared" si="67"/>
        <v>0</v>
      </c>
      <c r="N115" s="5">
        <f t="shared" si="67"/>
        <v>0</v>
      </c>
      <c r="O115" s="5">
        <f t="shared" si="67"/>
        <v>2</v>
      </c>
      <c r="P115" s="5">
        <f t="shared" si="67"/>
        <v>1</v>
      </c>
      <c r="Q115" s="5">
        <f t="shared" si="67"/>
        <v>0</v>
      </c>
      <c r="R115" s="5">
        <f t="shared" si="67"/>
        <v>1</v>
      </c>
      <c r="S115" s="5">
        <f t="shared" si="67"/>
        <v>0</v>
      </c>
      <c r="T115" s="5">
        <f t="shared" si="67"/>
        <v>0</v>
      </c>
      <c r="U115" s="5">
        <f t="shared" si="67"/>
        <v>2</v>
      </c>
      <c r="V115" s="5">
        <f t="shared" si="67"/>
        <v>1</v>
      </c>
      <c r="W115" s="5">
        <f t="shared" si="67"/>
        <v>1</v>
      </c>
      <c r="X115" s="5">
        <f t="shared" si="67"/>
        <v>0</v>
      </c>
      <c r="Y115" s="5">
        <f t="shared" si="67"/>
        <v>1</v>
      </c>
      <c r="Z115" s="5">
        <f t="shared" si="67"/>
        <v>0</v>
      </c>
      <c r="AA115" s="5">
        <f t="shared" si="67"/>
        <v>0</v>
      </c>
      <c r="AB115" s="5">
        <f t="shared" si="67"/>
        <v>2</v>
      </c>
      <c r="AC115" s="5">
        <f t="shared" si="67"/>
        <v>0</v>
      </c>
      <c r="AD115" s="5">
        <f t="shared" si="67"/>
        <v>0</v>
      </c>
      <c r="AE115" s="5">
        <f t="shared" si="67"/>
        <v>0</v>
      </c>
      <c r="AF115" s="5">
        <f t="shared" si="67"/>
        <v>0</v>
      </c>
      <c r="AG115" s="5">
        <f t="shared" si="67"/>
        <v>0</v>
      </c>
      <c r="AH115" s="5">
        <f t="shared" si="67"/>
        <v>1</v>
      </c>
      <c r="AI115" s="5">
        <f t="shared" si="67"/>
        <v>0</v>
      </c>
      <c r="AJ115" s="5">
        <f t="shared" si="67"/>
        <v>0</v>
      </c>
      <c r="AK115" s="5">
        <f t="shared" si="67"/>
        <v>2</v>
      </c>
      <c r="AL115" s="5">
        <f t="shared" si="67"/>
        <v>1</v>
      </c>
      <c r="AM115" s="5">
        <f t="shared" si="67"/>
        <v>0</v>
      </c>
      <c r="AN115" s="5">
        <f t="shared" si="67"/>
        <v>2</v>
      </c>
      <c r="AO115" s="5">
        <f t="shared" si="67"/>
        <v>1</v>
      </c>
      <c r="AP115" s="5">
        <f t="shared" si="67"/>
        <v>0</v>
      </c>
      <c r="AQ115" s="5">
        <f t="shared" si="67"/>
        <v>0</v>
      </c>
      <c r="AR115" s="5">
        <f t="shared" si="67"/>
        <v>0</v>
      </c>
      <c r="AS115" s="5">
        <f t="shared" si="67"/>
        <v>0</v>
      </c>
      <c r="AT115" s="5">
        <f t="shared" si="67"/>
        <v>0</v>
      </c>
      <c r="AU115" s="5">
        <f t="shared" si="67"/>
        <v>3</v>
      </c>
      <c r="AV115" s="5">
        <f t="shared" si="67"/>
        <v>0</v>
      </c>
      <c r="AW115" s="5">
        <f t="shared" si="67"/>
        <v>0</v>
      </c>
      <c r="AX115" s="5">
        <f t="shared" si="67"/>
        <v>0</v>
      </c>
      <c r="AY115" s="5">
        <f t="shared" si="67"/>
        <v>0</v>
      </c>
      <c r="AZ115" s="5">
        <f t="shared" si="67"/>
        <v>1</v>
      </c>
      <c r="BA115" s="5">
        <f t="shared" si="67"/>
        <v>0</v>
      </c>
      <c r="BB115" s="5">
        <f t="shared" si="67"/>
        <v>0</v>
      </c>
      <c r="BC115" s="5">
        <f t="shared" si="67"/>
        <v>2</v>
      </c>
      <c r="BD115" s="5">
        <f t="shared" si="67"/>
        <v>2</v>
      </c>
      <c r="BE115" s="5">
        <f t="shared" si="67"/>
        <v>1</v>
      </c>
      <c r="BF115" s="5">
        <f t="shared" si="67"/>
        <v>1</v>
      </c>
      <c r="BG115" s="5">
        <f t="shared" si="67"/>
        <v>0</v>
      </c>
      <c r="BH115" s="5">
        <f t="shared" si="67"/>
        <v>1</v>
      </c>
      <c r="BI115" s="5">
        <f t="shared" si="67"/>
        <v>0</v>
      </c>
      <c r="BJ115" s="5">
        <f t="shared" si="67"/>
        <v>0</v>
      </c>
      <c r="BK115" s="5">
        <f t="shared" si="67"/>
        <v>2</v>
      </c>
      <c r="BL115" s="5">
        <f t="shared" si="67"/>
        <v>33</v>
      </c>
    </row>
    <row r="116" spans="1:66" x14ac:dyDescent="0.4">
      <c r="A116" s="70"/>
      <c r="B116" s="71"/>
      <c r="C116" s="71"/>
      <c r="D116" s="71"/>
      <c r="E116" s="7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5"/>
    </row>
    <row r="117" spans="1:66" x14ac:dyDescent="0.4">
      <c r="A117" s="11" t="s">
        <v>48</v>
      </c>
      <c r="B117" s="17" t="s">
        <v>59</v>
      </c>
      <c r="C117" s="73" t="s">
        <v>60</v>
      </c>
      <c r="D117" s="74"/>
      <c r="E117" s="6">
        <v>1</v>
      </c>
      <c r="F117" s="6">
        <v>2</v>
      </c>
      <c r="G117" s="6">
        <v>1</v>
      </c>
      <c r="H117" s="6">
        <v>2</v>
      </c>
      <c r="I117" s="6">
        <v>1</v>
      </c>
      <c r="J117" s="6">
        <v>1</v>
      </c>
      <c r="K117" s="6">
        <v>0</v>
      </c>
      <c r="L117" s="6">
        <v>1</v>
      </c>
      <c r="M117" s="6">
        <v>2</v>
      </c>
      <c r="N117" s="6">
        <v>0</v>
      </c>
      <c r="O117" s="6">
        <v>0</v>
      </c>
      <c r="P117" s="6">
        <v>0</v>
      </c>
      <c r="Q117" s="6">
        <v>1</v>
      </c>
      <c r="R117" s="6">
        <v>0</v>
      </c>
      <c r="S117" s="6">
        <v>1</v>
      </c>
      <c r="T117" s="6">
        <v>1</v>
      </c>
      <c r="U117" s="6">
        <v>1</v>
      </c>
      <c r="V117" s="6">
        <v>0</v>
      </c>
      <c r="W117" s="6">
        <v>0</v>
      </c>
      <c r="X117" s="6">
        <v>1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1</v>
      </c>
      <c r="AH117" s="6">
        <v>0</v>
      </c>
      <c r="AI117" s="6">
        <v>0</v>
      </c>
      <c r="AJ117" s="6">
        <v>1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1</v>
      </c>
      <c r="AQ117" s="6">
        <v>0</v>
      </c>
      <c r="AR117" s="6">
        <v>0</v>
      </c>
      <c r="AS117" s="6">
        <v>2</v>
      </c>
      <c r="AT117" s="6">
        <v>0</v>
      </c>
      <c r="AU117" s="6">
        <v>1</v>
      </c>
      <c r="AV117" s="6">
        <v>0</v>
      </c>
      <c r="AW117" s="6">
        <v>0</v>
      </c>
      <c r="AX117" s="6">
        <v>0</v>
      </c>
      <c r="AY117" s="6">
        <v>1</v>
      </c>
      <c r="AZ117" s="6">
        <v>0</v>
      </c>
      <c r="BA117" s="6">
        <v>0</v>
      </c>
      <c r="BB117" s="6">
        <v>0</v>
      </c>
      <c r="BC117" s="6">
        <v>2</v>
      </c>
      <c r="BD117" s="6">
        <v>0</v>
      </c>
      <c r="BE117" s="6">
        <v>0</v>
      </c>
      <c r="BF117" s="6">
        <v>5</v>
      </c>
      <c r="BG117" s="6">
        <v>0</v>
      </c>
      <c r="BH117" s="6">
        <v>0</v>
      </c>
      <c r="BI117" s="6">
        <v>0</v>
      </c>
      <c r="BJ117" s="6">
        <v>0</v>
      </c>
      <c r="BK117" s="6">
        <v>1</v>
      </c>
      <c r="BL117" s="5">
        <f t="shared" ref="BL117:BL122" si="68">SUM(E117:BK117)</f>
        <v>31</v>
      </c>
      <c r="BM117" s="20"/>
      <c r="BN117" s="20"/>
    </row>
    <row r="118" spans="1:66" x14ac:dyDescent="0.4">
      <c r="A118" s="11" t="s">
        <v>50</v>
      </c>
      <c r="B118" s="52"/>
      <c r="C118" s="24" t="s">
        <v>169</v>
      </c>
      <c r="D118" s="50"/>
      <c r="E118" s="6">
        <v>0</v>
      </c>
      <c r="F118" s="6">
        <v>0</v>
      </c>
      <c r="G118" s="6">
        <v>2</v>
      </c>
      <c r="H118" s="6">
        <v>0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1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2</v>
      </c>
      <c r="AC118" s="6">
        <v>2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1</v>
      </c>
      <c r="AS118" s="6">
        <v>1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1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1</v>
      </c>
      <c r="BL118" s="5">
        <f t="shared" si="68"/>
        <v>13</v>
      </c>
      <c r="BM118" s="20"/>
      <c r="BN118" s="20"/>
    </row>
    <row r="119" spans="1:66" x14ac:dyDescent="0.4">
      <c r="A119" s="7"/>
      <c r="B119" s="52"/>
      <c r="C119" s="24" t="s">
        <v>170</v>
      </c>
      <c r="D119" s="50"/>
      <c r="E119" s="6">
        <v>1</v>
      </c>
      <c r="F119" s="6">
        <v>0</v>
      </c>
      <c r="G119" s="6">
        <v>0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2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1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2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5">
        <f t="shared" si="68"/>
        <v>7</v>
      </c>
      <c r="BM119" s="20"/>
      <c r="BN119" s="20"/>
    </row>
    <row r="120" spans="1:66" x14ac:dyDescent="0.4">
      <c r="A120" s="7"/>
      <c r="B120" s="52"/>
      <c r="C120" s="24" t="s">
        <v>171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1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1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5">
        <f t="shared" si="68"/>
        <v>2</v>
      </c>
      <c r="BM120" s="20"/>
      <c r="BN120" s="20"/>
    </row>
    <row r="121" spans="1:66" x14ac:dyDescent="0.4">
      <c r="A121" s="7"/>
      <c r="B121" s="52"/>
      <c r="C121" s="24" t="s">
        <v>172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1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5">
        <f t="shared" si="68"/>
        <v>1</v>
      </c>
      <c r="BM121" s="20"/>
      <c r="BN121" s="20"/>
    </row>
    <row r="122" spans="1:66" x14ac:dyDescent="0.4">
      <c r="A122" s="7"/>
      <c r="B122" s="52"/>
      <c r="C122" s="24" t="s">
        <v>173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1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5">
        <f t="shared" si="68"/>
        <v>1</v>
      </c>
      <c r="BM122" s="20"/>
      <c r="BN122" s="20"/>
    </row>
    <row r="123" spans="1:66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49"/>
      <c r="BM123" s="20"/>
      <c r="BN123" s="20"/>
    </row>
    <row r="124" spans="1:66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49"/>
      <c r="BM124" s="20"/>
      <c r="BN124" s="20"/>
    </row>
    <row r="125" spans="1:66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49"/>
      <c r="BM125" s="20"/>
      <c r="BN125" s="20"/>
    </row>
    <row r="126" spans="1:66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49"/>
      <c r="BM126" s="20"/>
      <c r="BN126" s="20"/>
    </row>
    <row r="127" spans="1:66" x14ac:dyDescent="0.4">
      <c r="A127" s="6" t="s">
        <v>26</v>
      </c>
      <c r="B127" s="67" t="s">
        <v>51</v>
      </c>
      <c r="C127" s="68"/>
      <c r="D127" s="69"/>
      <c r="E127" s="5">
        <f t="shared" ref="E127:BL127" si="69">SUM(E117:E126)</f>
        <v>2</v>
      </c>
      <c r="F127" s="5">
        <f t="shared" si="69"/>
        <v>2</v>
      </c>
      <c r="G127" s="5">
        <f t="shared" si="69"/>
        <v>3</v>
      </c>
      <c r="H127" s="5">
        <f t="shared" si="69"/>
        <v>2</v>
      </c>
      <c r="I127" s="5">
        <f t="shared" si="69"/>
        <v>3</v>
      </c>
      <c r="J127" s="5">
        <f t="shared" si="69"/>
        <v>1</v>
      </c>
      <c r="K127" s="5">
        <f t="shared" si="69"/>
        <v>0</v>
      </c>
      <c r="L127" s="5">
        <f t="shared" si="69"/>
        <v>1</v>
      </c>
      <c r="M127" s="5">
        <f t="shared" si="69"/>
        <v>2</v>
      </c>
      <c r="N127" s="5">
        <f t="shared" si="69"/>
        <v>0</v>
      </c>
      <c r="O127" s="5">
        <f t="shared" si="69"/>
        <v>0</v>
      </c>
      <c r="P127" s="5">
        <f t="shared" si="69"/>
        <v>0</v>
      </c>
      <c r="Q127" s="5">
        <f t="shared" si="69"/>
        <v>3</v>
      </c>
      <c r="R127" s="5">
        <f t="shared" si="69"/>
        <v>0</v>
      </c>
      <c r="S127" s="5">
        <f t="shared" si="69"/>
        <v>3</v>
      </c>
      <c r="T127" s="5">
        <f t="shared" si="69"/>
        <v>1</v>
      </c>
      <c r="U127" s="5">
        <f t="shared" si="69"/>
        <v>1</v>
      </c>
      <c r="V127" s="5">
        <f t="shared" si="69"/>
        <v>0</v>
      </c>
      <c r="W127" s="5">
        <f t="shared" si="69"/>
        <v>1</v>
      </c>
      <c r="X127" s="5">
        <f t="shared" si="69"/>
        <v>1</v>
      </c>
      <c r="Y127" s="5">
        <f t="shared" si="69"/>
        <v>1</v>
      </c>
      <c r="Z127" s="5">
        <f t="shared" si="69"/>
        <v>0</v>
      </c>
      <c r="AA127" s="5">
        <f t="shared" si="69"/>
        <v>0</v>
      </c>
      <c r="AB127" s="5">
        <f t="shared" si="69"/>
        <v>2</v>
      </c>
      <c r="AC127" s="5">
        <f t="shared" si="69"/>
        <v>2</v>
      </c>
      <c r="AD127" s="5">
        <f t="shared" si="69"/>
        <v>0</v>
      </c>
      <c r="AE127" s="5">
        <f t="shared" si="69"/>
        <v>0</v>
      </c>
      <c r="AF127" s="5">
        <f t="shared" si="69"/>
        <v>0</v>
      </c>
      <c r="AG127" s="5">
        <f t="shared" si="69"/>
        <v>1</v>
      </c>
      <c r="AH127" s="5">
        <f t="shared" si="69"/>
        <v>0</v>
      </c>
      <c r="AI127" s="5">
        <f t="shared" si="69"/>
        <v>0</v>
      </c>
      <c r="AJ127" s="5">
        <f t="shared" si="69"/>
        <v>1</v>
      </c>
      <c r="AK127" s="5">
        <f t="shared" si="69"/>
        <v>1</v>
      </c>
      <c r="AL127" s="5">
        <f t="shared" si="69"/>
        <v>0</v>
      </c>
      <c r="AM127" s="5">
        <f t="shared" si="69"/>
        <v>0</v>
      </c>
      <c r="AN127" s="5">
        <f t="shared" si="69"/>
        <v>0</v>
      </c>
      <c r="AO127" s="5">
        <f t="shared" si="69"/>
        <v>1</v>
      </c>
      <c r="AP127" s="5">
        <f t="shared" si="69"/>
        <v>1</v>
      </c>
      <c r="AQ127" s="5">
        <f t="shared" si="69"/>
        <v>0</v>
      </c>
      <c r="AR127" s="5">
        <f t="shared" si="69"/>
        <v>1</v>
      </c>
      <c r="AS127" s="5">
        <f t="shared" si="69"/>
        <v>3</v>
      </c>
      <c r="AT127" s="5">
        <f t="shared" si="69"/>
        <v>0</v>
      </c>
      <c r="AU127" s="5">
        <f t="shared" si="69"/>
        <v>1</v>
      </c>
      <c r="AV127" s="5">
        <f t="shared" si="69"/>
        <v>0</v>
      </c>
      <c r="AW127" s="5">
        <f t="shared" si="69"/>
        <v>0</v>
      </c>
      <c r="AX127" s="5">
        <f t="shared" si="69"/>
        <v>0</v>
      </c>
      <c r="AY127" s="5">
        <f t="shared" si="69"/>
        <v>1</v>
      </c>
      <c r="AZ127" s="5">
        <f t="shared" si="69"/>
        <v>0</v>
      </c>
      <c r="BA127" s="5">
        <f t="shared" si="69"/>
        <v>0</v>
      </c>
      <c r="BB127" s="5">
        <f t="shared" si="69"/>
        <v>0</v>
      </c>
      <c r="BC127" s="5">
        <f t="shared" si="69"/>
        <v>2</v>
      </c>
      <c r="BD127" s="5">
        <f t="shared" si="69"/>
        <v>2</v>
      </c>
      <c r="BE127" s="5">
        <f t="shared" si="69"/>
        <v>2</v>
      </c>
      <c r="BF127" s="5">
        <f t="shared" si="69"/>
        <v>5</v>
      </c>
      <c r="BG127" s="5">
        <f t="shared" si="69"/>
        <v>0</v>
      </c>
      <c r="BH127" s="5">
        <f t="shared" si="69"/>
        <v>0</v>
      </c>
      <c r="BI127" s="5">
        <f t="shared" si="69"/>
        <v>0</v>
      </c>
      <c r="BJ127" s="5">
        <f t="shared" si="69"/>
        <v>0</v>
      </c>
      <c r="BK127" s="5">
        <f t="shared" si="69"/>
        <v>2</v>
      </c>
      <c r="BL127" s="5">
        <f t="shared" si="69"/>
        <v>55</v>
      </c>
      <c r="BM127" s="20"/>
      <c r="BN127" s="20"/>
    </row>
    <row r="128" spans="1:66" x14ac:dyDescent="0.4">
      <c r="A128" s="70"/>
      <c r="B128" s="71"/>
      <c r="C128" s="71"/>
      <c r="D128" s="71"/>
      <c r="E128" s="7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20"/>
      <c r="BN128" s="20"/>
    </row>
    <row r="129" spans="1:66" x14ac:dyDescent="0.4">
      <c r="A129" s="11" t="s">
        <v>48</v>
      </c>
      <c r="B129" s="17" t="s">
        <v>61</v>
      </c>
      <c r="C129" s="73" t="s">
        <v>62</v>
      </c>
      <c r="D129" s="74"/>
      <c r="E129" s="6">
        <v>1</v>
      </c>
      <c r="F129" s="6">
        <v>1</v>
      </c>
      <c r="G129" s="6">
        <v>0</v>
      </c>
      <c r="H129" s="6">
        <v>1</v>
      </c>
      <c r="I129" s="6">
        <v>3</v>
      </c>
      <c r="J129" s="6">
        <v>1</v>
      </c>
      <c r="K129" s="6">
        <v>0</v>
      </c>
      <c r="L129" s="6">
        <v>16</v>
      </c>
      <c r="M129" s="6">
        <v>7</v>
      </c>
      <c r="N129" s="6">
        <v>0</v>
      </c>
      <c r="O129" s="6">
        <v>1</v>
      </c>
      <c r="P129" s="6">
        <v>0</v>
      </c>
      <c r="Q129" s="6">
        <v>2</v>
      </c>
      <c r="R129" s="6">
        <v>2</v>
      </c>
      <c r="S129" s="6">
        <v>1</v>
      </c>
      <c r="T129" s="6">
        <v>0</v>
      </c>
      <c r="U129" s="6">
        <v>3</v>
      </c>
      <c r="V129" s="6">
        <v>0</v>
      </c>
      <c r="W129" s="6">
        <v>0</v>
      </c>
      <c r="X129" s="6">
        <v>0</v>
      </c>
      <c r="Y129" s="6">
        <v>0</v>
      </c>
      <c r="Z129" s="6">
        <v>2</v>
      </c>
      <c r="AA129" s="6">
        <v>0</v>
      </c>
      <c r="AB129" s="6">
        <v>2</v>
      </c>
      <c r="AC129" s="6">
        <v>0</v>
      </c>
      <c r="AD129" s="6">
        <v>1</v>
      </c>
      <c r="AE129" s="6">
        <v>1</v>
      </c>
      <c r="AF129" s="6">
        <v>1</v>
      </c>
      <c r="AG129" s="6">
        <v>1</v>
      </c>
      <c r="AH129" s="6">
        <v>0</v>
      </c>
      <c r="AI129" s="6">
        <v>0</v>
      </c>
      <c r="AJ129" s="6">
        <v>0</v>
      </c>
      <c r="AK129" s="6">
        <v>1</v>
      </c>
      <c r="AL129" s="6">
        <v>2</v>
      </c>
      <c r="AM129" s="6">
        <v>0</v>
      </c>
      <c r="AN129" s="6">
        <v>1</v>
      </c>
      <c r="AO129" s="6">
        <v>1</v>
      </c>
      <c r="AP129" s="6">
        <v>0</v>
      </c>
      <c r="AQ129" s="6">
        <v>5</v>
      </c>
      <c r="AR129" s="6">
        <v>0</v>
      </c>
      <c r="AS129" s="6">
        <v>5</v>
      </c>
      <c r="AT129" s="6">
        <v>0</v>
      </c>
      <c r="AU129" s="6">
        <v>1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5</v>
      </c>
      <c r="BF129" s="6">
        <v>1</v>
      </c>
      <c r="BG129" s="6">
        <v>0</v>
      </c>
      <c r="BH129" s="6">
        <v>0</v>
      </c>
      <c r="BI129" s="6">
        <v>0</v>
      </c>
      <c r="BJ129" s="6">
        <v>1</v>
      </c>
      <c r="BK129" s="6">
        <v>0</v>
      </c>
      <c r="BL129" s="5">
        <f t="shared" ref="BL129:BL139" si="70">SUM(E129:BK129)</f>
        <v>70</v>
      </c>
      <c r="BM129" s="20"/>
      <c r="BN129" s="20"/>
    </row>
    <row r="130" spans="1:66" ht="13.15" customHeight="1" x14ac:dyDescent="0.4">
      <c r="A130" s="11" t="s">
        <v>50</v>
      </c>
      <c r="B130" s="52"/>
      <c r="C130" s="24" t="s">
        <v>174</v>
      </c>
      <c r="D130" s="53"/>
      <c r="E130" s="6">
        <v>0</v>
      </c>
      <c r="F130" s="6">
        <v>0</v>
      </c>
      <c r="G130" s="6">
        <v>2</v>
      </c>
      <c r="H130" s="6">
        <v>10</v>
      </c>
      <c r="I130" s="6">
        <v>3</v>
      </c>
      <c r="J130" s="6">
        <v>7</v>
      </c>
      <c r="K130" s="6">
        <v>7</v>
      </c>
      <c r="L130" s="6">
        <v>35</v>
      </c>
      <c r="M130" s="6">
        <v>53</v>
      </c>
      <c r="N130" s="6">
        <v>0</v>
      </c>
      <c r="O130" s="6">
        <v>11</v>
      </c>
      <c r="P130" s="6">
        <v>15</v>
      </c>
      <c r="Q130" s="6">
        <v>3</v>
      </c>
      <c r="R130" s="6">
        <v>4</v>
      </c>
      <c r="S130" s="6">
        <v>18</v>
      </c>
      <c r="T130" s="6">
        <v>1</v>
      </c>
      <c r="U130" s="6">
        <v>8</v>
      </c>
      <c r="V130" s="6">
        <v>1</v>
      </c>
      <c r="W130" s="6">
        <v>0</v>
      </c>
      <c r="X130" s="6">
        <v>0</v>
      </c>
      <c r="Y130" s="6">
        <v>10</v>
      </c>
      <c r="Z130" s="6">
        <v>10</v>
      </c>
      <c r="AA130" s="6">
        <v>3</v>
      </c>
      <c r="AB130" s="6">
        <v>5</v>
      </c>
      <c r="AC130" s="6">
        <v>1</v>
      </c>
      <c r="AD130" s="6">
        <v>44</v>
      </c>
      <c r="AE130" s="6">
        <v>14</v>
      </c>
      <c r="AF130" s="6">
        <v>15</v>
      </c>
      <c r="AG130" s="6">
        <v>5</v>
      </c>
      <c r="AH130" s="6">
        <v>0</v>
      </c>
      <c r="AI130" s="6">
        <v>1</v>
      </c>
      <c r="AJ130" s="6">
        <v>0</v>
      </c>
      <c r="AK130" s="6">
        <v>0</v>
      </c>
      <c r="AL130" s="6">
        <v>1</v>
      </c>
      <c r="AM130" s="6">
        <v>0</v>
      </c>
      <c r="AN130" s="6">
        <v>1</v>
      </c>
      <c r="AO130" s="6">
        <v>4</v>
      </c>
      <c r="AP130" s="6">
        <v>0</v>
      </c>
      <c r="AQ130" s="6">
        <v>3</v>
      </c>
      <c r="AR130" s="6">
        <v>2</v>
      </c>
      <c r="AS130" s="6">
        <v>9</v>
      </c>
      <c r="AT130" s="6">
        <v>0</v>
      </c>
      <c r="AU130" s="6">
        <v>0</v>
      </c>
      <c r="AV130" s="6">
        <v>1</v>
      </c>
      <c r="AW130" s="6">
        <v>1</v>
      </c>
      <c r="AX130" s="6">
        <v>0</v>
      </c>
      <c r="AY130" s="6">
        <v>2</v>
      </c>
      <c r="AZ130" s="6">
        <v>0</v>
      </c>
      <c r="BA130" s="6">
        <v>0</v>
      </c>
      <c r="BB130" s="6">
        <v>3</v>
      </c>
      <c r="BC130" s="6">
        <v>7</v>
      </c>
      <c r="BD130" s="6">
        <v>0</v>
      </c>
      <c r="BE130" s="6">
        <v>3</v>
      </c>
      <c r="BF130" s="6">
        <v>5</v>
      </c>
      <c r="BG130" s="6">
        <v>1</v>
      </c>
      <c r="BH130" s="6">
        <v>2</v>
      </c>
      <c r="BI130" s="6">
        <v>0</v>
      </c>
      <c r="BJ130" s="6">
        <v>0</v>
      </c>
      <c r="BK130" s="6">
        <v>0</v>
      </c>
      <c r="BL130" s="5">
        <f t="shared" si="70"/>
        <v>331</v>
      </c>
      <c r="BM130" s="1"/>
      <c r="BN130" s="1"/>
    </row>
    <row r="131" spans="1:66" x14ac:dyDescent="0.4">
      <c r="A131" s="7"/>
      <c r="B131" s="52"/>
      <c r="C131" s="24" t="s">
        <v>175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1</v>
      </c>
      <c r="N131" s="6">
        <v>0</v>
      </c>
      <c r="O131" s="6">
        <v>1</v>
      </c>
      <c r="P131" s="6">
        <v>1</v>
      </c>
      <c r="Q131" s="6">
        <v>1</v>
      </c>
      <c r="R131" s="6">
        <v>1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1</v>
      </c>
      <c r="Z131" s="6">
        <v>0</v>
      </c>
      <c r="AA131" s="6">
        <v>0</v>
      </c>
      <c r="AB131" s="6">
        <v>0</v>
      </c>
      <c r="AC131" s="6">
        <v>0</v>
      </c>
      <c r="AD131" s="6">
        <v>1</v>
      </c>
      <c r="AE131" s="6">
        <v>0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1</v>
      </c>
      <c r="AP131" s="6">
        <v>0</v>
      </c>
      <c r="AQ131" s="6">
        <v>1</v>
      </c>
      <c r="AR131" s="6">
        <v>1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1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1</v>
      </c>
      <c r="BL131" s="5">
        <f t="shared" si="70"/>
        <v>13</v>
      </c>
      <c r="BM131" s="27"/>
      <c r="BN131" s="27"/>
    </row>
    <row r="132" spans="1:66" x14ac:dyDescent="0.4">
      <c r="A132" s="7"/>
      <c r="B132" s="52"/>
      <c r="C132" s="24" t="s">
        <v>176</v>
      </c>
      <c r="D132" s="53"/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1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2</v>
      </c>
      <c r="AF132" s="6">
        <v>0</v>
      </c>
      <c r="AG132" s="6">
        <v>1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1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5">
        <f t="shared" si="70"/>
        <v>7</v>
      </c>
      <c r="BM132" s="20"/>
      <c r="BN132" s="20"/>
    </row>
    <row r="133" spans="1:66" x14ac:dyDescent="0.4">
      <c r="A133" s="7"/>
      <c r="B133" s="52"/>
      <c r="C133" s="24" t="s">
        <v>177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1</v>
      </c>
      <c r="M133" s="6">
        <v>0</v>
      </c>
      <c r="N133" s="6">
        <v>0</v>
      </c>
      <c r="O133" s="6">
        <v>1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1</v>
      </c>
      <c r="AE133" s="6">
        <v>0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2</v>
      </c>
      <c r="AP133" s="6">
        <v>1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2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5">
        <f t="shared" si="70"/>
        <v>10</v>
      </c>
      <c r="BM133" s="20"/>
      <c r="BN133" s="20"/>
    </row>
    <row r="134" spans="1:66" x14ac:dyDescent="0.4">
      <c r="A134" s="7"/>
      <c r="B134" s="52"/>
      <c r="C134" s="24" t="s">
        <v>178</v>
      </c>
      <c r="D134" s="53"/>
      <c r="E134" s="6">
        <v>0</v>
      </c>
      <c r="F134" s="6">
        <v>0</v>
      </c>
      <c r="G134" s="6">
        <v>0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1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5">
        <f t="shared" si="70"/>
        <v>3</v>
      </c>
      <c r="BM134" s="20"/>
      <c r="BN134" s="20"/>
    </row>
    <row r="135" spans="1:66" x14ac:dyDescent="0.4">
      <c r="A135" s="7"/>
      <c r="B135" s="52"/>
      <c r="C135" s="24" t="s">
        <v>179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1</v>
      </c>
      <c r="P135" s="6">
        <v>2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1</v>
      </c>
      <c r="AC135" s="6">
        <v>0</v>
      </c>
      <c r="AD135" s="6">
        <v>0</v>
      </c>
      <c r="AE135" s="6">
        <v>0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5">
        <f t="shared" si="70"/>
        <v>5</v>
      </c>
      <c r="BM135" s="20"/>
      <c r="BN135" s="20"/>
    </row>
    <row r="136" spans="1:66" x14ac:dyDescent="0.4">
      <c r="A136" s="7"/>
      <c r="B136" s="52"/>
      <c r="C136" s="24" t="s">
        <v>180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1</v>
      </c>
      <c r="AA136" s="6">
        <v>0</v>
      </c>
      <c r="AB136" s="6">
        <v>1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4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5">
        <f t="shared" si="70"/>
        <v>6</v>
      </c>
      <c r="BM136" s="20"/>
      <c r="BN136" s="20"/>
    </row>
    <row r="137" spans="1:66" x14ac:dyDescent="0.4">
      <c r="A137" s="7"/>
      <c r="B137" s="52"/>
      <c r="C137" s="24" t="s">
        <v>181</v>
      </c>
      <c r="D137" s="53"/>
      <c r="E137" s="6">
        <v>0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1</v>
      </c>
      <c r="P137" s="6">
        <v>1</v>
      </c>
      <c r="Q137" s="6">
        <v>0</v>
      </c>
      <c r="R137" s="6">
        <v>0</v>
      </c>
      <c r="S137" s="6">
        <v>1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1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3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5">
        <f t="shared" si="70"/>
        <v>8</v>
      </c>
      <c r="BM137" s="20"/>
      <c r="BN137" s="20"/>
    </row>
    <row r="138" spans="1:66" x14ac:dyDescent="0.4">
      <c r="A138" s="7"/>
      <c r="B138" s="52"/>
      <c r="C138" s="24" t="s">
        <v>182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1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1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5">
        <f t="shared" si="70"/>
        <v>3</v>
      </c>
      <c r="BM138" s="20"/>
      <c r="BN138" s="20"/>
    </row>
    <row r="139" spans="1:66" x14ac:dyDescent="0.4">
      <c r="A139" s="6" t="s">
        <v>26</v>
      </c>
      <c r="B139" s="67" t="s">
        <v>51</v>
      </c>
      <c r="C139" s="68"/>
      <c r="D139" s="69"/>
      <c r="E139" s="5">
        <f t="shared" ref="E139:BL139" si="71">SUM(E129:E138)</f>
        <v>1</v>
      </c>
      <c r="F139" s="5">
        <f t="shared" si="71"/>
        <v>1</v>
      </c>
      <c r="G139" s="5">
        <f t="shared" si="71"/>
        <v>2</v>
      </c>
      <c r="H139" s="5">
        <f t="shared" si="71"/>
        <v>14</v>
      </c>
      <c r="I139" s="5">
        <f t="shared" si="71"/>
        <v>6</v>
      </c>
      <c r="J139" s="5">
        <f t="shared" si="71"/>
        <v>9</v>
      </c>
      <c r="K139" s="5">
        <f t="shared" si="71"/>
        <v>8</v>
      </c>
      <c r="L139" s="5">
        <f t="shared" si="71"/>
        <v>52</v>
      </c>
      <c r="M139" s="5">
        <f t="shared" si="71"/>
        <v>62</v>
      </c>
      <c r="N139" s="5">
        <f t="shared" si="71"/>
        <v>0</v>
      </c>
      <c r="O139" s="5">
        <f t="shared" si="71"/>
        <v>16</v>
      </c>
      <c r="P139" s="5">
        <f t="shared" si="71"/>
        <v>20</v>
      </c>
      <c r="Q139" s="5">
        <f t="shared" si="71"/>
        <v>6</v>
      </c>
      <c r="R139" s="5">
        <f t="shared" si="71"/>
        <v>7</v>
      </c>
      <c r="S139" s="5">
        <f t="shared" si="71"/>
        <v>20</v>
      </c>
      <c r="T139" s="5">
        <f t="shared" si="71"/>
        <v>1</v>
      </c>
      <c r="U139" s="5">
        <f t="shared" si="71"/>
        <v>11</v>
      </c>
      <c r="V139" s="5">
        <f t="shared" si="71"/>
        <v>1</v>
      </c>
      <c r="W139" s="5">
        <f t="shared" si="71"/>
        <v>0</v>
      </c>
      <c r="X139" s="5">
        <f t="shared" si="71"/>
        <v>0</v>
      </c>
      <c r="Y139" s="5">
        <f t="shared" si="71"/>
        <v>11</v>
      </c>
      <c r="Z139" s="5">
        <f t="shared" si="71"/>
        <v>13</v>
      </c>
      <c r="AA139" s="5">
        <f t="shared" si="71"/>
        <v>3</v>
      </c>
      <c r="AB139" s="5">
        <f t="shared" si="71"/>
        <v>9</v>
      </c>
      <c r="AC139" s="5">
        <f t="shared" si="71"/>
        <v>1</v>
      </c>
      <c r="AD139" s="5">
        <f t="shared" si="71"/>
        <v>48</v>
      </c>
      <c r="AE139" s="5">
        <f t="shared" si="71"/>
        <v>17</v>
      </c>
      <c r="AF139" s="5">
        <f t="shared" si="71"/>
        <v>20</v>
      </c>
      <c r="AG139" s="5">
        <f t="shared" si="71"/>
        <v>8</v>
      </c>
      <c r="AH139" s="5">
        <f t="shared" si="71"/>
        <v>0</v>
      </c>
      <c r="AI139" s="5">
        <f t="shared" si="71"/>
        <v>1</v>
      </c>
      <c r="AJ139" s="5">
        <f t="shared" si="71"/>
        <v>0</v>
      </c>
      <c r="AK139" s="5">
        <f t="shared" si="71"/>
        <v>1</v>
      </c>
      <c r="AL139" s="5">
        <f t="shared" si="71"/>
        <v>3</v>
      </c>
      <c r="AM139" s="5">
        <f t="shared" si="71"/>
        <v>0</v>
      </c>
      <c r="AN139" s="5">
        <f t="shared" si="71"/>
        <v>2</v>
      </c>
      <c r="AO139" s="5">
        <f t="shared" si="71"/>
        <v>12</v>
      </c>
      <c r="AP139" s="5">
        <f t="shared" si="71"/>
        <v>1</v>
      </c>
      <c r="AQ139" s="5">
        <f t="shared" si="71"/>
        <v>9</v>
      </c>
      <c r="AR139" s="5">
        <f t="shared" si="71"/>
        <v>3</v>
      </c>
      <c r="AS139" s="5">
        <f t="shared" si="71"/>
        <v>14</v>
      </c>
      <c r="AT139" s="5">
        <f t="shared" si="71"/>
        <v>0</v>
      </c>
      <c r="AU139" s="5">
        <f t="shared" si="71"/>
        <v>5</v>
      </c>
      <c r="AV139" s="5">
        <f t="shared" si="71"/>
        <v>1</v>
      </c>
      <c r="AW139" s="5">
        <f t="shared" si="71"/>
        <v>1</v>
      </c>
      <c r="AX139" s="5">
        <f t="shared" si="71"/>
        <v>0</v>
      </c>
      <c r="AY139" s="5">
        <f t="shared" si="71"/>
        <v>2</v>
      </c>
      <c r="AZ139" s="5">
        <f t="shared" si="71"/>
        <v>0</v>
      </c>
      <c r="BA139" s="5">
        <f t="shared" si="71"/>
        <v>0</v>
      </c>
      <c r="BB139" s="5">
        <f t="shared" si="71"/>
        <v>3</v>
      </c>
      <c r="BC139" s="5">
        <f t="shared" si="71"/>
        <v>8</v>
      </c>
      <c r="BD139" s="5">
        <f t="shared" si="71"/>
        <v>0</v>
      </c>
      <c r="BE139" s="5">
        <f t="shared" si="71"/>
        <v>10</v>
      </c>
      <c r="BF139" s="5">
        <f t="shared" si="71"/>
        <v>8</v>
      </c>
      <c r="BG139" s="5">
        <f t="shared" si="71"/>
        <v>1</v>
      </c>
      <c r="BH139" s="5">
        <f t="shared" si="71"/>
        <v>2</v>
      </c>
      <c r="BI139" s="5">
        <f t="shared" si="71"/>
        <v>0</v>
      </c>
      <c r="BJ139" s="5">
        <f t="shared" si="71"/>
        <v>1</v>
      </c>
      <c r="BK139" s="5">
        <f t="shared" si="71"/>
        <v>1</v>
      </c>
      <c r="BL139" s="5">
        <f t="shared" si="71"/>
        <v>456</v>
      </c>
      <c r="BM139" s="20"/>
      <c r="BN139" s="20"/>
    </row>
    <row r="140" spans="1:66" x14ac:dyDescent="0.4">
      <c r="A140" s="70"/>
      <c r="B140" s="71"/>
      <c r="C140" s="71"/>
      <c r="D140" s="71"/>
      <c r="E140" s="72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20"/>
      <c r="BN140" s="20"/>
    </row>
    <row r="141" spans="1:66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>
        <v>1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>
        <v>1</v>
      </c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>
        <v>1</v>
      </c>
      <c r="BL141" s="5">
        <f>SUM(E141:BK141)</f>
        <v>3</v>
      </c>
      <c r="BM141" s="1"/>
      <c r="BN141" s="1"/>
    </row>
    <row r="142" spans="1:66" x14ac:dyDescent="0.4">
      <c r="A142" s="11" t="s">
        <v>50</v>
      </c>
      <c r="B142" s="52"/>
      <c r="C142" s="24" t="s">
        <v>183</v>
      </c>
      <c r="D142" s="50"/>
      <c r="E142" s="6"/>
      <c r="F142" s="6"/>
      <c r="G142" s="6">
        <v>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5">
        <f>SUM(E142:BK142)</f>
        <v>1</v>
      </c>
      <c r="BM142" s="27"/>
      <c r="BN142" s="27"/>
    </row>
    <row r="143" spans="1:66" x14ac:dyDescent="0.4">
      <c r="A143" s="7"/>
      <c r="B143" s="52"/>
      <c r="C143" s="24" t="s">
        <v>184</v>
      </c>
      <c r="D143" s="50"/>
      <c r="E143" s="6"/>
      <c r="F143" s="6"/>
      <c r="G143" s="6"/>
      <c r="H143" s="6"/>
      <c r="I143" s="6"/>
      <c r="J143" s="6"/>
      <c r="K143" s="6">
        <v>1</v>
      </c>
      <c r="L143" s="6"/>
      <c r="M143" s="6"/>
      <c r="N143" s="6"/>
      <c r="O143" s="6"/>
      <c r="P143" s="6"/>
      <c r="Q143" s="6"/>
      <c r="R143" s="6">
        <v>1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5">
        <f>SUM(E143:BK143)</f>
        <v>2</v>
      </c>
      <c r="BM143" s="20"/>
      <c r="BN143" s="20"/>
    </row>
    <row r="144" spans="1:66" x14ac:dyDescent="0.4">
      <c r="A144" s="7"/>
      <c r="B144" s="52"/>
      <c r="C144" s="24" t="s">
        <v>185</v>
      </c>
      <c r="D144" s="5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5">
        <f>SUM(E144:BK144)</f>
        <v>0</v>
      </c>
      <c r="BM144" s="20"/>
      <c r="BN144" s="20"/>
    </row>
    <row r="145" spans="1:66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49"/>
      <c r="BM145" s="20"/>
      <c r="BN145" s="20"/>
    </row>
    <row r="146" spans="1:66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49"/>
      <c r="BM146" s="20"/>
      <c r="BN146" s="20"/>
    </row>
    <row r="147" spans="1:66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49"/>
      <c r="BM147" s="20"/>
      <c r="BN147" s="20"/>
    </row>
    <row r="148" spans="1:66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49"/>
      <c r="BM148" s="20"/>
      <c r="BN148" s="20"/>
    </row>
    <row r="149" spans="1:66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49"/>
      <c r="BM149" s="20"/>
      <c r="BN149" s="20"/>
    </row>
    <row r="150" spans="1:66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49"/>
      <c r="BM150" s="20"/>
      <c r="BN150" s="20"/>
    </row>
    <row r="151" spans="1:66" ht="13.15" customHeight="1" x14ac:dyDescent="0.4">
      <c r="A151" s="6" t="s">
        <v>26</v>
      </c>
      <c r="B151" s="67" t="s">
        <v>51</v>
      </c>
      <c r="C151" s="68"/>
      <c r="D151" s="69"/>
      <c r="E151" s="5">
        <f t="shared" ref="E151:BL151" si="72">SUM(E141:E150)</f>
        <v>0</v>
      </c>
      <c r="F151" s="5">
        <f t="shared" si="72"/>
        <v>0</v>
      </c>
      <c r="G151" s="5">
        <f t="shared" si="72"/>
        <v>1</v>
      </c>
      <c r="H151" s="5">
        <f t="shared" si="72"/>
        <v>0</v>
      </c>
      <c r="I151" s="5">
        <f t="shared" si="72"/>
        <v>0</v>
      </c>
      <c r="J151" s="5">
        <f t="shared" si="72"/>
        <v>0</v>
      </c>
      <c r="K151" s="5">
        <f t="shared" si="72"/>
        <v>1</v>
      </c>
      <c r="L151" s="5">
        <f t="shared" si="72"/>
        <v>0</v>
      </c>
      <c r="M151" s="5">
        <f t="shared" si="72"/>
        <v>0</v>
      </c>
      <c r="N151" s="5">
        <f t="shared" si="72"/>
        <v>0</v>
      </c>
      <c r="O151" s="5">
        <f t="shared" si="72"/>
        <v>1</v>
      </c>
      <c r="P151" s="5">
        <f t="shared" si="72"/>
        <v>0</v>
      </c>
      <c r="Q151" s="5">
        <f t="shared" si="72"/>
        <v>0</v>
      </c>
      <c r="R151" s="5">
        <f t="shared" si="72"/>
        <v>1</v>
      </c>
      <c r="S151" s="5">
        <f t="shared" si="72"/>
        <v>0</v>
      </c>
      <c r="T151" s="5">
        <f t="shared" si="72"/>
        <v>0</v>
      </c>
      <c r="U151" s="5">
        <f t="shared" si="72"/>
        <v>0</v>
      </c>
      <c r="V151" s="5">
        <f t="shared" si="72"/>
        <v>0</v>
      </c>
      <c r="W151" s="5">
        <f t="shared" si="72"/>
        <v>0</v>
      </c>
      <c r="X151" s="5">
        <f t="shared" si="72"/>
        <v>0</v>
      </c>
      <c r="Y151" s="5">
        <f t="shared" si="72"/>
        <v>0</v>
      </c>
      <c r="Z151" s="5">
        <f t="shared" si="72"/>
        <v>0</v>
      </c>
      <c r="AA151" s="5">
        <f t="shared" si="72"/>
        <v>0</v>
      </c>
      <c r="AB151" s="5">
        <f t="shared" si="72"/>
        <v>0</v>
      </c>
      <c r="AC151" s="5">
        <f t="shared" si="72"/>
        <v>0</v>
      </c>
      <c r="AD151" s="5">
        <f t="shared" si="72"/>
        <v>0</v>
      </c>
      <c r="AE151" s="5">
        <f t="shared" si="72"/>
        <v>0</v>
      </c>
      <c r="AF151" s="5">
        <f t="shared" si="72"/>
        <v>0</v>
      </c>
      <c r="AG151" s="5">
        <f t="shared" si="72"/>
        <v>0</v>
      </c>
      <c r="AH151" s="5">
        <f t="shared" si="72"/>
        <v>0</v>
      </c>
      <c r="AI151" s="5">
        <f t="shared" si="72"/>
        <v>0</v>
      </c>
      <c r="AJ151" s="5">
        <f t="shared" si="72"/>
        <v>0</v>
      </c>
      <c r="AK151" s="5">
        <f t="shared" si="72"/>
        <v>0</v>
      </c>
      <c r="AL151" s="5">
        <f t="shared" si="72"/>
        <v>1</v>
      </c>
      <c r="AM151" s="5">
        <f t="shared" si="72"/>
        <v>0</v>
      </c>
      <c r="AN151" s="5">
        <f t="shared" si="72"/>
        <v>0</v>
      </c>
      <c r="AO151" s="5">
        <f t="shared" si="72"/>
        <v>0</v>
      </c>
      <c r="AP151" s="5">
        <f t="shared" si="72"/>
        <v>0</v>
      </c>
      <c r="AQ151" s="5">
        <f t="shared" si="72"/>
        <v>0</v>
      </c>
      <c r="AR151" s="5">
        <f t="shared" si="72"/>
        <v>0</v>
      </c>
      <c r="AS151" s="5">
        <f t="shared" si="72"/>
        <v>0</v>
      </c>
      <c r="AT151" s="5">
        <f t="shared" si="72"/>
        <v>0</v>
      </c>
      <c r="AU151" s="5">
        <f t="shared" si="72"/>
        <v>0</v>
      </c>
      <c r="AV151" s="5">
        <f t="shared" si="72"/>
        <v>0</v>
      </c>
      <c r="AW151" s="5">
        <f t="shared" si="72"/>
        <v>0</v>
      </c>
      <c r="AX151" s="5">
        <f t="shared" si="72"/>
        <v>0</v>
      </c>
      <c r="AY151" s="5">
        <f t="shared" si="72"/>
        <v>0</v>
      </c>
      <c r="AZ151" s="5">
        <f t="shared" si="72"/>
        <v>0</v>
      </c>
      <c r="BA151" s="5">
        <f t="shared" si="72"/>
        <v>0</v>
      </c>
      <c r="BB151" s="5">
        <f t="shared" si="72"/>
        <v>0</v>
      </c>
      <c r="BC151" s="5">
        <f t="shared" si="72"/>
        <v>0</v>
      </c>
      <c r="BD151" s="5">
        <f t="shared" si="72"/>
        <v>0</v>
      </c>
      <c r="BE151" s="5">
        <f t="shared" si="72"/>
        <v>0</v>
      </c>
      <c r="BF151" s="5">
        <f t="shared" si="72"/>
        <v>0</v>
      </c>
      <c r="BG151" s="5">
        <f t="shared" si="72"/>
        <v>0</v>
      </c>
      <c r="BH151" s="5">
        <f t="shared" si="72"/>
        <v>0</v>
      </c>
      <c r="BI151" s="5">
        <f t="shared" si="72"/>
        <v>0</v>
      </c>
      <c r="BJ151" s="5">
        <f t="shared" si="72"/>
        <v>0</v>
      </c>
      <c r="BK151" s="5">
        <f t="shared" si="72"/>
        <v>1</v>
      </c>
      <c r="BL151" s="5">
        <f t="shared" si="72"/>
        <v>6</v>
      </c>
      <c r="BM151" s="1"/>
      <c r="BN151" s="1"/>
    </row>
    <row r="152" spans="1:66" x14ac:dyDescent="0.4">
      <c r="A152" s="70"/>
      <c r="B152" s="71"/>
      <c r="C152" s="71"/>
      <c r="D152" s="71"/>
      <c r="E152" s="72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5"/>
      <c r="BM152" s="27"/>
      <c r="BN152" s="27"/>
    </row>
    <row r="153" spans="1:66" x14ac:dyDescent="0.4">
      <c r="A153" s="11" t="s">
        <v>48</v>
      </c>
      <c r="B153" s="44" t="s">
        <v>65</v>
      </c>
      <c r="C153" s="78" t="s">
        <v>66</v>
      </c>
      <c r="D153" s="79"/>
      <c r="E153" s="6"/>
      <c r="F153" s="6"/>
      <c r="G153" s="6"/>
      <c r="H153" s="6"/>
      <c r="I153" s="6">
        <v>1</v>
      </c>
      <c r="J153" s="6"/>
      <c r="K153" s="6"/>
      <c r="L153" s="6">
        <v>1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>
        <v>1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>
        <v>1</v>
      </c>
      <c r="BE153" s="6"/>
      <c r="BF153" s="6"/>
      <c r="BG153" s="6"/>
      <c r="BH153" s="6"/>
      <c r="BI153" s="6"/>
      <c r="BJ153" s="6"/>
      <c r="BK153" s="6"/>
      <c r="BL153" s="5">
        <f t="shared" ref="BL153:BL162" si="73">SUM(E153:BK153)</f>
        <v>4</v>
      </c>
      <c r="BM153" s="20"/>
      <c r="BN153" s="20"/>
    </row>
    <row r="154" spans="1:66" x14ac:dyDescent="0.4">
      <c r="A154" s="54" t="s">
        <v>50</v>
      </c>
      <c r="B154" s="56"/>
      <c r="C154" s="24" t="s">
        <v>186</v>
      </c>
      <c r="D154" s="57"/>
      <c r="E154" s="55"/>
      <c r="F154" s="6"/>
      <c r="G154" s="6"/>
      <c r="H154" s="6"/>
      <c r="I154" s="6"/>
      <c r="J154" s="6">
        <v>1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>
        <v>2</v>
      </c>
      <c r="BE154" s="6">
        <v>1</v>
      </c>
      <c r="BF154" s="6"/>
      <c r="BG154" s="6"/>
      <c r="BH154" s="6"/>
      <c r="BI154" s="6"/>
      <c r="BJ154" s="6">
        <v>1</v>
      </c>
      <c r="BK154" s="6">
        <v>1</v>
      </c>
      <c r="BL154" s="5">
        <f t="shared" si="73"/>
        <v>6</v>
      </c>
      <c r="BM154" s="20"/>
      <c r="BN154" s="20"/>
    </row>
    <row r="155" spans="1:66" x14ac:dyDescent="0.4">
      <c r="A155" s="7"/>
      <c r="B155" s="56"/>
      <c r="C155" s="24" t="s">
        <v>187</v>
      </c>
      <c r="D155" s="57"/>
      <c r="E155" s="55"/>
      <c r="F155" s="6"/>
      <c r="G155" s="6"/>
      <c r="H155" s="6"/>
      <c r="I155" s="6"/>
      <c r="J155" s="6">
        <v>1</v>
      </c>
      <c r="K155" s="6"/>
      <c r="L155" s="6"/>
      <c r="M155" s="6"/>
      <c r="N155" s="6"/>
      <c r="O155" s="6"/>
      <c r="P155" s="6"/>
      <c r="Q155" s="6"/>
      <c r="R155" s="6"/>
      <c r="S155" s="6"/>
      <c r="T155" s="6">
        <v>1</v>
      </c>
      <c r="U155" s="6">
        <v>1</v>
      </c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5">
        <f t="shared" si="73"/>
        <v>3</v>
      </c>
      <c r="BM155" s="20"/>
      <c r="BN155" s="20"/>
    </row>
    <row r="156" spans="1:66" x14ac:dyDescent="0.4">
      <c r="A156" s="7"/>
      <c r="B156" s="56"/>
      <c r="C156" s="24" t="s">
        <v>188</v>
      </c>
      <c r="D156" s="57"/>
      <c r="E156" s="55"/>
      <c r="F156" s="6"/>
      <c r="G156" s="6"/>
      <c r="H156" s="6"/>
      <c r="I156" s="6"/>
      <c r="J156" s="6"/>
      <c r="K156" s="6">
        <v>1</v>
      </c>
      <c r="L156" s="6">
        <v>1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>
        <v>1</v>
      </c>
      <c r="BE156" s="6"/>
      <c r="BF156" s="6"/>
      <c r="BG156" s="6"/>
      <c r="BH156" s="6"/>
      <c r="BI156" s="6"/>
      <c r="BJ156" s="6"/>
      <c r="BK156" s="6"/>
      <c r="BL156" s="5">
        <f t="shared" si="73"/>
        <v>3</v>
      </c>
      <c r="BM156" s="20"/>
      <c r="BN156" s="20"/>
    </row>
    <row r="157" spans="1:66" x14ac:dyDescent="0.4">
      <c r="A157" s="7"/>
      <c r="B157" s="56"/>
      <c r="C157" s="24" t="s">
        <v>189</v>
      </c>
      <c r="D157" s="57"/>
      <c r="E157" s="5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5">
        <f t="shared" si="73"/>
        <v>0</v>
      </c>
      <c r="BM157" s="20"/>
      <c r="BN157" s="20"/>
    </row>
    <row r="158" spans="1:66" x14ac:dyDescent="0.4">
      <c r="A158" s="7"/>
      <c r="B158" s="56"/>
      <c r="C158" s="24" t="s">
        <v>190</v>
      </c>
      <c r="D158" s="57"/>
      <c r="E158" s="55"/>
      <c r="F158" s="6"/>
      <c r="G158" s="6"/>
      <c r="H158" s="6"/>
      <c r="I158" s="6"/>
      <c r="J158" s="6">
        <v>1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5">
        <f t="shared" si="73"/>
        <v>1</v>
      </c>
      <c r="BM158" s="20"/>
      <c r="BN158" s="20"/>
    </row>
    <row r="159" spans="1:66" x14ac:dyDescent="0.4">
      <c r="A159" s="7"/>
      <c r="B159" s="56"/>
      <c r="C159" s="24" t="s">
        <v>191</v>
      </c>
      <c r="D159" s="57"/>
      <c r="E159" s="5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>
        <v>1</v>
      </c>
      <c r="BC159" s="6"/>
      <c r="BD159" s="6"/>
      <c r="BE159" s="6"/>
      <c r="BF159" s="6"/>
      <c r="BG159" s="6"/>
      <c r="BH159" s="6"/>
      <c r="BI159" s="6"/>
      <c r="BJ159" s="6"/>
      <c r="BK159" s="6"/>
      <c r="BL159" s="5">
        <f t="shared" si="73"/>
        <v>1</v>
      </c>
      <c r="BM159" s="20"/>
      <c r="BN159" s="20"/>
    </row>
    <row r="160" spans="1:66" x14ac:dyDescent="0.4">
      <c r="A160" s="7"/>
      <c r="B160" s="56"/>
      <c r="C160" s="24" t="s">
        <v>192</v>
      </c>
      <c r="D160" s="57"/>
      <c r="E160" s="5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5">
        <f t="shared" si="73"/>
        <v>0</v>
      </c>
      <c r="BM160" s="20"/>
      <c r="BN160" s="20"/>
    </row>
    <row r="161" spans="1:66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5">
        <f t="shared" si="73"/>
        <v>0</v>
      </c>
      <c r="BM161" s="20"/>
      <c r="BN161" s="20"/>
    </row>
    <row r="162" spans="1:66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5">
        <f t="shared" si="73"/>
        <v>0</v>
      </c>
      <c r="BM162" s="20"/>
      <c r="BN162" s="20"/>
    </row>
    <row r="163" spans="1:66" x14ac:dyDescent="0.4">
      <c r="A163" s="6" t="s">
        <v>26</v>
      </c>
      <c r="B163" s="80" t="s">
        <v>51</v>
      </c>
      <c r="C163" s="81"/>
      <c r="D163" s="82"/>
      <c r="E163" s="5">
        <f t="shared" ref="E163:BL163" si="74">SUM(E153:E162)</f>
        <v>0</v>
      </c>
      <c r="F163" s="5">
        <f t="shared" si="74"/>
        <v>0</v>
      </c>
      <c r="G163" s="5">
        <f t="shared" si="74"/>
        <v>0</v>
      </c>
      <c r="H163" s="5">
        <f t="shared" si="74"/>
        <v>0</v>
      </c>
      <c r="I163" s="5">
        <f t="shared" si="74"/>
        <v>1</v>
      </c>
      <c r="J163" s="5">
        <f t="shared" si="74"/>
        <v>3</v>
      </c>
      <c r="K163" s="5">
        <f t="shared" si="74"/>
        <v>1</v>
      </c>
      <c r="L163" s="5">
        <f t="shared" si="74"/>
        <v>2</v>
      </c>
      <c r="M163" s="5">
        <f t="shared" si="74"/>
        <v>0</v>
      </c>
      <c r="N163" s="5">
        <f t="shared" si="74"/>
        <v>0</v>
      </c>
      <c r="O163" s="5">
        <f t="shared" si="74"/>
        <v>0</v>
      </c>
      <c r="P163" s="5">
        <f t="shared" si="74"/>
        <v>0</v>
      </c>
      <c r="Q163" s="5">
        <f t="shared" si="74"/>
        <v>0</v>
      </c>
      <c r="R163" s="5">
        <f t="shared" si="74"/>
        <v>0</v>
      </c>
      <c r="S163" s="5">
        <f t="shared" si="74"/>
        <v>0</v>
      </c>
      <c r="T163" s="5">
        <f t="shared" si="74"/>
        <v>1</v>
      </c>
      <c r="U163" s="5">
        <f t="shared" si="74"/>
        <v>1</v>
      </c>
      <c r="V163" s="5">
        <f t="shared" si="74"/>
        <v>0</v>
      </c>
      <c r="W163" s="5">
        <f t="shared" si="74"/>
        <v>0</v>
      </c>
      <c r="X163" s="5">
        <f t="shared" si="74"/>
        <v>0</v>
      </c>
      <c r="Y163" s="5">
        <f t="shared" si="74"/>
        <v>1</v>
      </c>
      <c r="Z163" s="5">
        <f t="shared" si="74"/>
        <v>0</v>
      </c>
      <c r="AA163" s="5">
        <f t="shared" si="74"/>
        <v>0</v>
      </c>
      <c r="AB163" s="5">
        <f t="shared" si="74"/>
        <v>0</v>
      </c>
      <c r="AC163" s="5">
        <f t="shared" si="74"/>
        <v>0</v>
      </c>
      <c r="AD163" s="5">
        <f t="shared" si="74"/>
        <v>0</v>
      </c>
      <c r="AE163" s="5">
        <f t="shared" si="74"/>
        <v>0</v>
      </c>
      <c r="AF163" s="5">
        <f t="shared" si="74"/>
        <v>0</v>
      </c>
      <c r="AG163" s="5">
        <f t="shared" si="74"/>
        <v>0</v>
      </c>
      <c r="AH163" s="5">
        <f t="shared" si="74"/>
        <v>0</v>
      </c>
      <c r="AI163" s="5">
        <f t="shared" si="74"/>
        <v>0</v>
      </c>
      <c r="AJ163" s="5">
        <f t="shared" si="74"/>
        <v>0</v>
      </c>
      <c r="AK163" s="5">
        <f t="shared" si="74"/>
        <v>0</v>
      </c>
      <c r="AL163" s="5">
        <f t="shared" si="74"/>
        <v>0</v>
      </c>
      <c r="AM163" s="5">
        <f t="shared" si="74"/>
        <v>0</v>
      </c>
      <c r="AN163" s="5">
        <f t="shared" si="74"/>
        <v>0</v>
      </c>
      <c r="AO163" s="5">
        <f t="shared" si="74"/>
        <v>0</v>
      </c>
      <c r="AP163" s="5">
        <f t="shared" si="74"/>
        <v>0</v>
      </c>
      <c r="AQ163" s="5">
        <f t="shared" si="74"/>
        <v>0</v>
      </c>
      <c r="AR163" s="5">
        <f t="shared" si="74"/>
        <v>0</v>
      </c>
      <c r="AS163" s="5">
        <f t="shared" si="74"/>
        <v>0</v>
      </c>
      <c r="AT163" s="5">
        <f t="shared" si="74"/>
        <v>0</v>
      </c>
      <c r="AU163" s="5">
        <f t="shared" si="74"/>
        <v>0</v>
      </c>
      <c r="AV163" s="5">
        <f t="shared" si="74"/>
        <v>0</v>
      </c>
      <c r="AW163" s="5">
        <f t="shared" si="74"/>
        <v>0</v>
      </c>
      <c r="AX163" s="5">
        <f t="shared" si="74"/>
        <v>0</v>
      </c>
      <c r="AY163" s="5">
        <f t="shared" si="74"/>
        <v>0</v>
      </c>
      <c r="AZ163" s="5">
        <f t="shared" si="74"/>
        <v>0</v>
      </c>
      <c r="BA163" s="5">
        <f t="shared" si="74"/>
        <v>0</v>
      </c>
      <c r="BB163" s="5">
        <f t="shared" si="74"/>
        <v>1</v>
      </c>
      <c r="BC163" s="5">
        <f t="shared" si="74"/>
        <v>0</v>
      </c>
      <c r="BD163" s="5">
        <f t="shared" si="74"/>
        <v>4</v>
      </c>
      <c r="BE163" s="5">
        <f t="shared" si="74"/>
        <v>1</v>
      </c>
      <c r="BF163" s="5">
        <f t="shared" si="74"/>
        <v>0</v>
      </c>
      <c r="BG163" s="5">
        <f t="shared" si="74"/>
        <v>0</v>
      </c>
      <c r="BH163" s="5">
        <f t="shared" si="74"/>
        <v>0</v>
      </c>
      <c r="BI163" s="5">
        <f t="shared" si="74"/>
        <v>0</v>
      </c>
      <c r="BJ163" s="5">
        <f t="shared" si="74"/>
        <v>1</v>
      </c>
      <c r="BK163" s="5">
        <f t="shared" si="74"/>
        <v>1</v>
      </c>
      <c r="BL163" s="5">
        <f t="shared" si="74"/>
        <v>18</v>
      </c>
      <c r="BM163" s="20"/>
      <c r="BN163" s="20"/>
    </row>
    <row r="164" spans="1:66" x14ac:dyDescent="0.4">
      <c r="A164" s="70"/>
      <c r="B164" s="71"/>
      <c r="C164" s="71"/>
      <c r="D164" s="71"/>
      <c r="E164" s="7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20"/>
      <c r="BN164" s="20"/>
    </row>
    <row r="165" spans="1:66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2</v>
      </c>
      <c r="G165" s="6">
        <v>0</v>
      </c>
      <c r="H165" s="6">
        <v>0</v>
      </c>
      <c r="I165" s="6">
        <v>0</v>
      </c>
      <c r="J165" s="6">
        <v>1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>
        <v>2</v>
      </c>
      <c r="BD165" s="6"/>
      <c r="BE165" s="6"/>
      <c r="BF165" s="6"/>
      <c r="BG165" s="6"/>
      <c r="BH165" s="6"/>
      <c r="BI165" s="6"/>
      <c r="BJ165" s="6">
        <v>1</v>
      </c>
      <c r="BK165" s="6">
        <v>2</v>
      </c>
      <c r="BL165" s="5">
        <f>SUM(E165:BK165)</f>
        <v>10</v>
      </c>
      <c r="BM165" s="1"/>
      <c r="BN165" s="1"/>
    </row>
    <row r="166" spans="1:66" x14ac:dyDescent="0.4">
      <c r="A166" s="11" t="s">
        <v>50</v>
      </c>
      <c r="B166" s="52"/>
      <c r="C166" s="24" t="s">
        <v>193</v>
      </c>
      <c r="D166" s="50"/>
      <c r="E166" s="6">
        <v>0</v>
      </c>
      <c r="F166" s="6">
        <v>0</v>
      </c>
      <c r="G166" s="6">
        <v>2</v>
      </c>
      <c r="H166" s="6">
        <v>0</v>
      </c>
      <c r="I166" s="6">
        <v>1</v>
      </c>
      <c r="J166" s="6">
        <v>1</v>
      </c>
      <c r="K166" s="6">
        <v>1</v>
      </c>
      <c r="L166" s="6">
        <v>0</v>
      </c>
      <c r="M166" s="6">
        <v>0</v>
      </c>
      <c r="N166" s="6">
        <v>0</v>
      </c>
      <c r="O166" s="6">
        <v>1</v>
      </c>
      <c r="P166" s="6">
        <v>0</v>
      </c>
      <c r="Q166" s="6">
        <v>0</v>
      </c>
      <c r="R166" s="6">
        <v>0</v>
      </c>
      <c r="S166" s="6">
        <v>0</v>
      </c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>
        <v>2</v>
      </c>
      <c r="AP166" s="6"/>
      <c r="AQ166" s="6"/>
      <c r="AR166" s="6"/>
      <c r="AS166" s="6">
        <v>1</v>
      </c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>
        <v>1</v>
      </c>
      <c r="BE166" s="6"/>
      <c r="BF166" s="6"/>
      <c r="BG166" s="6"/>
      <c r="BH166" s="6"/>
      <c r="BI166" s="6"/>
      <c r="BJ166" s="6"/>
      <c r="BK166" s="6"/>
      <c r="BL166" s="5">
        <f>SUM(E166:BK166)</f>
        <v>10</v>
      </c>
      <c r="BM166" s="27"/>
      <c r="BN166" s="27"/>
    </row>
    <row r="167" spans="1:66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49"/>
      <c r="BM167" s="20"/>
      <c r="BN167" s="20"/>
    </row>
    <row r="168" spans="1:66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49"/>
      <c r="BM168" s="20"/>
      <c r="BN168" s="20"/>
    </row>
    <row r="169" spans="1:66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49"/>
      <c r="BM169" s="20"/>
      <c r="BN169" s="20"/>
    </row>
    <row r="170" spans="1:66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49"/>
      <c r="BM170" s="20"/>
      <c r="BN170" s="20"/>
    </row>
    <row r="171" spans="1:66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49"/>
      <c r="BM171" s="20"/>
      <c r="BN171" s="20"/>
    </row>
    <row r="172" spans="1:66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49"/>
      <c r="BM172" s="20"/>
      <c r="BN172" s="20"/>
    </row>
    <row r="173" spans="1:66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49"/>
      <c r="BM173" s="20"/>
      <c r="BN173" s="20"/>
    </row>
    <row r="174" spans="1:66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49"/>
      <c r="BM174" s="20"/>
      <c r="BN174" s="20"/>
    </row>
    <row r="175" spans="1:66" x14ac:dyDescent="0.4">
      <c r="A175" s="6" t="s">
        <v>26</v>
      </c>
      <c r="B175" s="67" t="s">
        <v>51</v>
      </c>
      <c r="C175" s="68"/>
      <c r="D175" s="69"/>
      <c r="E175" s="5">
        <f t="shared" ref="E175:BL175" si="75">SUM(E165:E174)</f>
        <v>0</v>
      </c>
      <c r="F175" s="5">
        <f t="shared" si="75"/>
        <v>2</v>
      </c>
      <c r="G175" s="5">
        <f t="shared" si="75"/>
        <v>2</v>
      </c>
      <c r="H175" s="5">
        <f t="shared" si="75"/>
        <v>0</v>
      </c>
      <c r="I175" s="5">
        <f t="shared" si="75"/>
        <v>1</v>
      </c>
      <c r="J175" s="5">
        <f t="shared" si="75"/>
        <v>2</v>
      </c>
      <c r="K175" s="5">
        <f t="shared" si="75"/>
        <v>1</v>
      </c>
      <c r="L175" s="5">
        <f t="shared" si="75"/>
        <v>1</v>
      </c>
      <c r="M175" s="5">
        <f t="shared" si="75"/>
        <v>0</v>
      </c>
      <c r="N175" s="5">
        <f t="shared" si="75"/>
        <v>0</v>
      </c>
      <c r="O175" s="5">
        <f t="shared" si="75"/>
        <v>1</v>
      </c>
      <c r="P175" s="5">
        <f t="shared" si="75"/>
        <v>0</v>
      </c>
      <c r="Q175" s="5">
        <f t="shared" si="75"/>
        <v>1</v>
      </c>
      <c r="R175" s="5">
        <f t="shared" si="75"/>
        <v>0</v>
      </c>
      <c r="S175" s="5">
        <f t="shared" si="75"/>
        <v>0</v>
      </c>
      <c r="T175" s="5">
        <f t="shared" si="75"/>
        <v>0</v>
      </c>
      <c r="U175" s="5">
        <f t="shared" si="75"/>
        <v>0</v>
      </c>
      <c r="V175" s="5">
        <f t="shared" si="75"/>
        <v>0</v>
      </c>
      <c r="W175" s="5">
        <f t="shared" si="75"/>
        <v>0</v>
      </c>
      <c r="X175" s="5">
        <f t="shared" si="75"/>
        <v>0</v>
      </c>
      <c r="Y175" s="5">
        <f t="shared" si="75"/>
        <v>0</v>
      </c>
      <c r="Z175" s="5">
        <f t="shared" si="75"/>
        <v>0</v>
      </c>
      <c r="AA175" s="5">
        <f t="shared" si="75"/>
        <v>0</v>
      </c>
      <c r="AB175" s="5">
        <f t="shared" si="75"/>
        <v>0</v>
      </c>
      <c r="AC175" s="5">
        <f t="shared" si="75"/>
        <v>0</v>
      </c>
      <c r="AD175" s="5">
        <f t="shared" si="75"/>
        <v>0</v>
      </c>
      <c r="AE175" s="5">
        <f t="shared" si="75"/>
        <v>0</v>
      </c>
      <c r="AF175" s="5">
        <f t="shared" si="75"/>
        <v>0</v>
      </c>
      <c r="AG175" s="5">
        <f t="shared" si="75"/>
        <v>0</v>
      </c>
      <c r="AH175" s="5">
        <f t="shared" si="75"/>
        <v>0</v>
      </c>
      <c r="AI175" s="5">
        <f t="shared" si="75"/>
        <v>0</v>
      </c>
      <c r="AJ175" s="5">
        <f t="shared" si="75"/>
        <v>0</v>
      </c>
      <c r="AK175" s="5">
        <f t="shared" si="75"/>
        <v>0</v>
      </c>
      <c r="AL175" s="5">
        <f t="shared" si="75"/>
        <v>0</v>
      </c>
      <c r="AM175" s="5">
        <f t="shared" si="75"/>
        <v>0</v>
      </c>
      <c r="AN175" s="5">
        <f t="shared" si="75"/>
        <v>0</v>
      </c>
      <c r="AO175" s="5">
        <f t="shared" si="75"/>
        <v>2</v>
      </c>
      <c r="AP175" s="5">
        <f t="shared" si="75"/>
        <v>0</v>
      </c>
      <c r="AQ175" s="5">
        <f t="shared" si="75"/>
        <v>0</v>
      </c>
      <c r="AR175" s="5">
        <f t="shared" si="75"/>
        <v>0</v>
      </c>
      <c r="AS175" s="5">
        <f t="shared" si="75"/>
        <v>1</v>
      </c>
      <c r="AT175" s="5">
        <f t="shared" si="75"/>
        <v>0</v>
      </c>
      <c r="AU175" s="5">
        <f t="shared" si="75"/>
        <v>0</v>
      </c>
      <c r="AV175" s="5">
        <f t="shared" si="75"/>
        <v>0</v>
      </c>
      <c r="AW175" s="5">
        <f t="shared" si="75"/>
        <v>0</v>
      </c>
      <c r="AX175" s="5">
        <f t="shared" si="75"/>
        <v>0</v>
      </c>
      <c r="AY175" s="5">
        <f t="shared" si="75"/>
        <v>0</v>
      </c>
      <c r="AZ175" s="5">
        <f t="shared" si="75"/>
        <v>0</v>
      </c>
      <c r="BA175" s="5">
        <f t="shared" si="75"/>
        <v>0</v>
      </c>
      <c r="BB175" s="5">
        <f t="shared" si="75"/>
        <v>0</v>
      </c>
      <c r="BC175" s="5">
        <f t="shared" si="75"/>
        <v>2</v>
      </c>
      <c r="BD175" s="5">
        <f t="shared" si="75"/>
        <v>1</v>
      </c>
      <c r="BE175" s="5">
        <f t="shared" si="75"/>
        <v>0</v>
      </c>
      <c r="BF175" s="5">
        <f t="shared" si="75"/>
        <v>0</v>
      </c>
      <c r="BG175" s="5">
        <f t="shared" si="75"/>
        <v>0</v>
      </c>
      <c r="BH175" s="5">
        <f t="shared" si="75"/>
        <v>0</v>
      </c>
      <c r="BI175" s="5">
        <f t="shared" si="75"/>
        <v>0</v>
      </c>
      <c r="BJ175" s="5">
        <f t="shared" si="75"/>
        <v>1</v>
      </c>
      <c r="BK175" s="5">
        <f t="shared" si="75"/>
        <v>2</v>
      </c>
      <c r="BL175" s="5">
        <f t="shared" si="75"/>
        <v>20</v>
      </c>
      <c r="BM175" s="20"/>
      <c r="BN175" s="20"/>
    </row>
    <row r="176" spans="1:66" ht="13.15" customHeight="1" x14ac:dyDescent="0.4">
      <c r="A176" s="70"/>
      <c r="B176" s="71"/>
      <c r="C176" s="71"/>
      <c r="D176" s="71"/>
      <c r="E176" s="7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"/>
      <c r="BN176" s="1"/>
    </row>
    <row r="177" spans="1:66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1</v>
      </c>
      <c r="G177" s="6">
        <v>1</v>
      </c>
      <c r="H177" s="6">
        <v>2</v>
      </c>
      <c r="I177" s="6">
        <v>2</v>
      </c>
      <c r="J177" s="6">
        <v>0</v>
      </c>
      <c r="K177" s="6">
        <v>1</v>
      </c>
      <c r="L177" s="6">
        <v>0</v>
      </c>
      <c r="M177" s="6">
        <v>1</v>
      </c>
      <c r="N177" s="6">
        <v>0</v>
      </c>
      <c r="O177" s="6">
        <v>0</v>
      </c>
      <c r="P177" s="6">
        <v>2</v>
      </c>
      <c r="Q177" s="6">
        <v>0</v>
      </c>
      <c r="R177" s="6">
        <v>0</v>
      </c>
      <c r="S177" s="6">
        <v>1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2</v>
      </c>
      <c r="AA177" s="6">
        <v>0</v>
      </c>
      <c r="AB177" s="6">
        <v>2</v>
      </c>
      <c r="AC177" s="6">
        <v>0</v>
      </c>
      <c r="AD177" s="6">
        <v>1</v>
      </c>
      <c r="AE177" s="6">
        <v>0</v>
      </c>
      <c r="AF177" s="6">
        <v>2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1</v>
      </c>
      <c r="AM177" s="6">
        <v>0</v>
      </c>
      <c r="AN177" s="6">
        <v>0</v>
      </c>
      <c r="AO177" s="6">
        <v>1</v>
      </c>
      <c r="AP177" s="6">
        <v>3</v>
      </c>
      <c r="AQ177" s="6">
        <v>1</v>
      </c>
      <c r="AR177" s="6">
        <v>2</v>
      </c>
      <c r="AS177" s="6">
        <v>1</v>
      </c>
      <c r="AT177" s="6">
        <v>0</v>
      </c>
      <c r="AU177" s="6">
        <v>0</v>
      </c>
      <c r="AV177" s="6">
        <v>0</v>
      </c>
      <c r="AW177" s="6">
        <v>0</v>
      </c>
      <c r="AX177" s="6"/>
      <c r="AY177" s="6"/>
      <c r="AZ177" s="6"/>
      <c r="BA177" s="6"/>
      <c r="BB177" s="6"/>
      <c r="BC177" s="6"/>
      <c r="BD177" s="6">
        <v>1</v>
      </c>
      <c r="BE177" s="6"/>
      <c r="BF177" s="6"/>
      <c r="BG177" s="6">
        <v>1</v>
      </c>
      <c r="BH177" s="6"/>
      <c r="BI177" s="6"/>
      <c r="BJ177" s="6"/>
      <c r="BK177" s="6">
        <v>2</v>
      </c>
      <c r="BL177" s="5">
        <f t="shared" ref="BL177:BL187" si="76">SUM(E177:BK177)</f>
        <v>32</v>
      </c>
    </row>
    <row r="178" spans="1:66" x14ac:dyDescent="0.4">
      <c r="A178" s="11" t="s">
        <v>50</v>
      </c>
      <c r="B178" s="52"/>
      <c r="C178" s="24" t="s">
        <v>194</v>
      </c>
      <c r="D178" s="50"/>
      <c r="E178" s="6">
        <v>0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2</v>
      </c>
      <c r="N178" s="6">
        <v>0</v>
      </c>
      <c r="O178" s="6">
        <v>2</v>
      </c>
      <c r="P178" s="6">
        <v>2</v>
      </c>
      <c r="Q178" s="6">
        <v>0</v>
      </c>
      <c r="R178" s="6">
        <v>0</v>
      </c>
      <c r="S178" s="6">
        <v>0</v>
      </c>
      <c r="T178" s="6">
        <v>1</v>
      </c>
      <c r="U178" s="6">
        <v>0</v>
      </c>
      <c r="V178" s="6">
        <v>1</v>
      </c>
      <c r="W178" s="6">
        <v>0</v>
      </c>
      <c r="X178" s="6">
        <v>0</v>
      </c>
      <c r="Y178" s="6">
        <v>1</v>
      </c>
      <c r="Z178" s="6">
        <v>0</v>
      </c>
      <c r="AA178" s="6">
        <v>0</v>
      </c>
      <c r="AB178" s="6">
        <v>0</v>
      </c>
      <c r="AC178" s="6">
        <v>1</v>
      </c>
      <c r="AD178" s="6">
        <v>1</v>
      </c>
      <c r="AE178" s="6">
        <v>0</v>
      </c>
      <c r="AF178" s="6">
        <v>0</v>
      </c>
      <c r="AG178" s="6">
        <v>1</v>
      </c>
      <c r="AH178" s="6">
        <v>0</v>
      </c>
      <c r="AI178" s="6">
        <v>0</v>
      </c>
      <c r="AJ178" s="6">
        <v>3</v>
      </c>
      <c r="AK178" s="6">
        <v>0</v>
      </c>
      <c r="AL178" s="6">
        <v>0</v>
      </c>
      <c r="AM178" s="6">
        <v>0</v>
      </c>
      <c r="AN178" s="6">
        <v>0</v>
      </c>
      <c r="AO178" s="6">
        <v>18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1</v>
      </c>
      <c r="AW178" s="6">
        <v>0</v>
      </c>
      <c r="AX178" s="6"/>
      <c r="AY178" s="6">
        <v>1</v>
      </c>
      <c r="AZ178" s="6">
        <v>2</v>
      </c>
      <c r="BA178" s="6"/>
      <c r="BB178" s="6">
        <v>2</v>
      </c>
      <c r="BC178" s="6"/>
      <c r="BD178" s="6">
        <v>3</v>
      </c>
      <c r="BE178" s="6">
        <v>1</v>
      </c>
      <c r="BF178" s="6">
        <v>2</v>
      </c>
      <c r="BG178" s="6"/>
      <c r="BH178" s="6">
        <v>1</v>
      </c>
      <c r="BI178" s="6">
        <v>1</v>
      </c>
      <c r="BJ178" s="6"/>
      <c r="BK178" s="6">
        <v>1</v>
      </c>
      <c r="BL178" s="5">
        <f t="shared" si="76"/>
        <v>50</v>
      </c>
      <c r="BM178" s="20"/>
      <c r="BN178" s="20"/>
    </row>
    <row r="179" spans="1:66" x14ac:dyDescent="0.4">
      <c r="A179" s="7"/>
      <c r="B179" s="52"/>
      <c r="C179" s="24" t="s">
        <v>195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2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>
        <v>1</v>
      </c>
      <c r="BI179" s="6"/>
      <c r="BJ179" s="6"/>
      <c r="BK179" s="6"/>
      <c r="BL179" s="5">
        <f t="shared" si="76"/>
        <v>3</v>
      </c>
      <c r="BM179" s="20"/>
      <c r="BN179" s="20"/>
    </row>
    <row r="180" spans="1:66" x14ac:dyDescent="0.4">
      <c r="A180" s="7"/>
      <c r="B180" s="52"/>
      <c r="C180" s="24" t="s">
        <v>196</v>
      </c>
      <c r="D180" s="50"/>
      <c r="E180" s="6">
        <v>0</v>
      </c>
      <c r="F180" s="6">
        <v>0</v>
      </c>
      <c r="G180" s="6">
        <v>2</v>
      </c>
      <c r="H180" s="6">
        <v>0</v>
      </c>
      <c r="I180" s="6">
        <v>2</v>
      </c>
      <c r="J180" s="6">
        <v>0</v>
      </c>
      <c r="K180" s="6">
        <v>1</v>
      </c>
      <c r="L180" s="6">
        <v>0</v>
      </c>
      <c r="M180" s="6">
        <v>1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1</v>
      </c>
      <c r="T180" s="6">
        <v>1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1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0</v>
      </c>
      <c r="AM180" s="6">
        <v>0</v>
      </c>
      <c r="AN180" s="6">
        <v>0</v>
      </c>
      <c r="AO180" s="6">
        <v>1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1</v>
      </c>
      <c r="AX180" s="6">
        <v>1</v>
      </c>
      <c r="AY180" s="6">
        <v>1</v>
      </c>
      <c r="AZ180" s="6"/>
      <c r="BA180" s="6"/>
      <c r="BB180" s="6"/>
      <c r="BC180" s="6"/>
      <c r="BD180" s="6"/>
      <c r="BE180" s="6"/>
      <c r="BF180" s="6">
        <v>2</v>
      </c>
      <c r="BG180" s="6"/>
      <c r="BH180" s="6">
        <v>1</v>
      </c>
      <c r="BI180" s="6"/>
      <c r="BJ180" s="6">
        <v>1</v>
      </c>
      <c r="BK180" s="6"/>
      <c r="BL180" s="5">
        <f t="shared" si="76"/>
        <v>19</v>
      </c>
      <c r="BM180" s="20"/>
      <c r="BN180" s="20"/>
    </row>
    <row r="181" spans="1:66" x14ac:dyDescent="0.4">
      <c r="A181" s="7"/>
      <c r="B181" s="52"/>
      <c r="C181" s="24" t="s">
        <v>197</v>
      </c>
      <c r="D181" s="50"/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1</v>
      </c>
      <c r="Q181" s="6">
        <v>1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1</v>
      </c>
      <c r="AE181" s="6">
        <v>0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1</v>
      </c>
      <c r="AP181" s="6">
        <v>0</v>
      </c>
      <c r="AQ181" s="6">
        <v>0</v>
      </c>
      <c r="AR181" s="6">
        <v>0</v>
      </c>
      <c r="AS181" s="6">
        <v>1</v>
      </c>
      <c r="AT181" s="6">
        <v>0</v>
      </c>
      <c r="AU181" s="6">
        <v>0</v>
      </c>
      <c r="AV181" s="6">
        <v>0</v>
      </c>
      <c r="AW181" s="6">
        <v>0</v>
      </c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5">
        <f t="shared" si="76"/>
        <v>7</v>
      </c>
      <c r="BM181" s="20"/>
      <c r="BN181" s="20"/>
    </row>
    <row r="182" spans="1:66" x14ac:dyDescent="0.4">
      <c r="A182" s="7"/>
      <c r="B182" s="52"/>
      <c r="C182" s="24" t="s">
        <v>198</v>
      </c>
      <c r="D182" s="50"/>
      <c r="E182" s="6">
        <v>0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1</v>
      </c>
      <c r="AT182" s="6">
        <v>0</v>
      </c>
      <c r="AU182" s="6">
        <v>0</v>
      </c>
      <c r="AV182" s="6">
        <v>0</v>
      </c>
      <c r="AW182" s="6">
        <v>0</v>
      </c>
      <c r="AX182" s="6"/>
      <c r="AY182" s="6"/>
      <c r="AZ182" s="6"/>
      <c r="BA182" s="6"/>
      <c r="BB182" s="6"/>
      <c r="BC182" s="6">
        <v>1</v>
      </c>
      <c r="BD182" s="6"/>
      <c r="BE182" s="6">
        <v>1</v>
      </c>
      <c r="BF182" s="6"/>
      <c r="BG182" s="6"/>
      <c r="BH182" s="6"/>
      <c r="BI182" s="6"/>
      <c r="BJ182" s="6"/>
      <c r="BK182" s="6"/>
      <c r="BL182" s="5">
        <f t="shared" si="76"/>
        <v>5</v>
      </c>
      <c r="BM182" s="20"/>
      <c r="BN182" s="20"/>
    </row>
    <row r="183" spans="1:66" x14ac:dyDescent="0.4">
      <c r="A183" s="7"/>
      <c r="B183" s="52"/>
      <c r="C183" s="24" t="s">
        <v>199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1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5">
        <f t="shared" si="76"/>
        <v>1</v>
      </c>
      <c r="BM183" s="20"/>
      <c r="BN183" s="20"/>
    </row>
    <row r="184" spans="1:66" x14ac:dyDescent="0.4">
      <c r="A184" s="7"/>
      <c r="B184" s="52"/>
      <c r="C184" s="24" t="s">
        <v>200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1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/>
      <c r="AY184" s="6"/>
      <c r="AZ184" s="6"/>
      <c r="BA184" s="6"/>
      <c r="BB184" s="6"/>
      <c r="BC184" s="6">
        <v>1</v>
      </c>
      <c r="BD184" s="6">
        <v>1</v>
      </c>
      <c r="BE184" s="6"/>
      <c r="BF184" s="6"/>
      <c r="BG184" s="6"/>
      <c r="BH184" s="6"/>
      <c r="BI184" s="6"/>
      <c r="BJ184" s="6"/>
      <c r="BK184" s="6"/>
      <c r="BL184" s="5">
        <f t="shared" si="76"/>
        <v>3</v>
      </c>
      <c r="BM184" s="20"/>
      <c r="BN184" s="20"/>
    </row>
    <row r="185" spans="1:66" x14ac:dyDescent="0.4">
      <c r="A185" s="7"/>
      <c r="B185" s="52"/>
      <c r="C185" s="24" t="s">
        <v>201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1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1</v>
      </c>
      <c r="AP185" s="6">
        <v>0</v>
      </c>
      <c r="AQ185" s="6">
        <v>0</v>
      </c>
      <c r="AR185" s="6">
        <v>0</v>
      </c>
      <c r="AS185" s="6">
        <v>0</v>
      </c>
      <c r="AT185" s="6">
        <v>1</v>
      </c>
      <c r="AU185" s="6">
        <v>0</v>
      </c>
      <c r="AV185" s="6">
        <v>0</v>
      </c>
      <c r="AW185" s="6">
        <v>0</v>
      </c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5">
        <f t="shared" si="76"/>
        <v>4</v>
      </c>
      <c r="BM185" s="20"/>
      <c r="BN185" s="20"/>
    </row>
    <row r="186" spans="1:66" x14ac:dyDescent="0.4">
      <c r="A186" s="7"/>
      <c r="B186" s="52"/>
      <c r="C186" s="24" t="s">
        <v>202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5">
        <f t="shared" si="76"/>
        <v>0</v>
      </c>
      <c r="BM186" s="20"/>
      <c r="BN186" s="20"/>
    </row>
    <row r="187" spans="1:66" ht="13.15" customHeight="1" x14ac:dyDescent="0.4">
      <c r="A187" s="6" t="s">
        <v>26</v>
      </c>
      <c r="B187" s="67" t="s">
        <v>51</v>
      </c>
      <c r="C187" s="68"/>
      <c r="D187" s="69"/>
      <c r="E187" s="5">
        <f t="shared" ref="E187:BL187" si="77">SUM(E177:E186)</f>
        <v>1</v>
      </c>
      <c r="F187" s="5">
        <f t="shared" si="77"/>
        <v>2</v>
      </c>
      <c r="G187" s="5">
        <f t="shared" si="77"/>
        <v>3</v>
      </c>
      <c r="H187" s="5">
        <f t="shared" si="77"/>
        <v>3</v>
      </c>
      <c r="I187" s="5">
        <f t="shared" si="77"/>
        <v>5</v>
      </c>
      <c r="J187" s="5">
        <f t="shared" si="77"/>
        <v>0</v>
      </c>
      <c r="K187" s="5">
        <f t="shared" si="77"/>
        <v>3</v>
      </c>
      <c r="L187" s="5">
        <f t="shared" si="77"/>
        <v>0</v>
      </c>
      <c r="M187" s="5">
        <f t="shared" si="77"/>
        <v>4</v>
      </c>
      <c r="N187" s="5">
        <f t="shared" si="77"/>
        <v>0</v>
      </c>
      <c r="O187" s="5">
        <f t="shared" si="77"/>
        <v>2</v>
      </c>
      <c r="P187" s="5">
        <f t="shared" si="77"/>
        <v>6</v>
      </c>
      <c r="Q187" s="5">
        <f t="shared" si="77"/>
        <v>2</v>
      </c>
      <c r="R187" s="5">
        <f t="shared" si="77"/>
        <v>1</v>
      </c>
      <c r="S187" s="5">
        <f t="shared" si="77"/>
        <v>3</v>
      </c>
      <c r="T187" s="5">
        <f t="shared" si="77"/>
        <v>2</v>
      </c>
      <c r="U187" s="5">
        <f t="shared" si="77"/>
        <v>0</v>
      </c>
      <c r="V187" s="5">
        <f t="shared" si="77"/>
        <v>1</v>
      </c>
      <c r="W187" s="5">
        <f t="shared" si="77"/>
        <v>0</v>
      </c>
      <c r="X187" s="5">
        <f t="shared" si="77"/>
        <v>0</v>
      </c>
      <c r="Y187" s="5">
        <f t="shared" si="77"/>
        <v>1</v>
      </c>
      <c r="Z187" s="5">
        <f t="shared" si="77"/>
        <v>2</v>
      </c>
      <c r="AA187" s="5">
        <f t="shared" si="77"/>
        <v>0</v>
      </c>
      <c r="AB187" s="5">
        <f t="shared" si="77"/>
        <v>3</v>
      </c>
      <c r="AC187" s="5">
        <f t="shared" si="77"/>
        <v>1</v>
      </c>
      <c r="AD187" s="5">
        <f t="shared" si="77"/>
        <v>3</v>
      </c>
      <c r="AE187" s="5">
        <f t="shared" si="77"/>
        <v>0</v>
      </c>
      <c r="AF187" s="5">
        <f t="shared" si="77"/>
        <v>3</v>
      </c>
      <c r="AG187" s="5">
        <f t="shared" si="77"/>
        <v>1</v>
      </c>
      <c r="AH187" s="5">
        <f t="shared" si="77"/>
        <v>1</v>
      </c>
      <c r="AI187" s="5">
        <f t="shared" si="77"/>
        <v>0</v>
      </c>
      <c r="AJ187" s="5">
        <f t="shared" si="77"/>
        <v>3</v>
      </c>
      <c r="AK187" s="5">
        <f t="shared" si="77"/>
        <v>1</v>
      </c>
      <c r="AL187" s="5">
        <f t="shared" si="77"/>
        <v>1</v>
      </c>
      <c r="AM187" s="5">
        <f t="shared" si="77"/>
        <v>0</v>
      </c>
      <c r="AN187" s="5">
        <f t="shared" si="77"/>
        <v>0</v>
      </c>
      <c r="AO187" s="5">
        <f t="shared" si="77"/>
        <v>24</v>
      </c>
      <c r="AP187" s="5">
        <f t="shared" si="77"/>
        <v>3</v>
      </c>
      <c r="AQ187" s="5">
        <f t="shared" si="77"/>
        <v>1</v>
      </c>
      <c r="AR187" s="5">
        <f t="shared" si="77"/>
        <v>3</v>
      </c>
      <c r="AS187" s="5">
        <f t="shared" si="77"/>
        <v>3</v>
      </c>
      <c r="AT187" s="5">
        <f t="shared" si="77"/>
        <v>1</v>
      </c>
      <c r="AU187" s="5">
        <f t="shared" si="77"/>
        <v>0</v>
      </c>
      <c r="AV187" s="5">
        <f t="shared" si="77"/>
        <v>1</v>
      </c>
      <c r="AW187" s="5">
        <f t="shared" si="77"/>
        <v>1</v>
      </c>
      <c r="AX187" s="5">
        <f t="shared" si="77"/>
        <v>1</v>
      </c>
      <c r="AY187" s="5">
        <f t="shared" si="77"/>
        <v>2</v>
      </c>
      <c r="AZ187" s="5">
        <f t="shared" si="77"/>
        <v>2</v>
      </c>
      <c r="BA187" s="5">
        <f t="shared" si="77"/>
        <v>0</v>
      </c>
      <c r="BB187" s="5">
        <f t="shared" si="77"/>
        <v>2</v>
      </c>
      <c r="BC187" s="5">
        <f t="shared" si="77"/>
        <v>2</v>
      </c>
      <c r="BD187" s="5">
        <f t="shared" si="77"/>
        <v>5</v>
      </c>
      <c r="BE187" s="5">
        <f t="shared" si="77"/>
        <v>2</v>
      </c>
      <c r="BF187" s="5">
        <f t="shared" si="77"/>
        <v>4</v>
      </c>
      <c r="BG187" s="5">
        <f t="shared" si="77"/>
        <v>1</v>
      </c>
      <c r="BH187" s="5">
        <f t="shared" si="77"/>
        <v>3</v>
      </c>
      <c r="BI187" s="5">
        <f t="shared" si="77"/>
        <v>1</v>
      </c>
      <c r="BJ187" s="5">
        <f t="shared" si="77"/>
        <v>1</v>
      </c>
      <c r="BK187" s="5">
        <f t="shared" si="77"/>
        <v>3</v>
      </c>
      <c r="BL187" s="5">
        <f t="shared" si="77"/>
        <v>124</v>
      </c>
      <c r="BM187" s="1"/>
      <c r="BN187" s="1"/>
    </row>
    <row r="188" spans="1:66" x14ac:dyDescent="0.4">
      <c r="A188" s="70"/>
      <c r="B188" s="71"/>
      <c r="C188" s="71"/>
      <c r="D188" s="71"/>
      <c r="E188" s="7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5"/>
    </row>
    <row r="189" spans="1:66" x14ac:dyDescent="0.4">
      <c r="A189" s="11" t="s">
        <v>48</v>
      </c>
      <c r="B189" s="17" t="s">
        <v>71</v>
      </c>
      <c r="C189" s="73" t="s">
        <v>72</v>
      </c>
      <c r="D189" s="74"/>
      <c r="E189" s="6"/>
      <c r="F189" s="6"/>
      <c r="G189" s="6"/>
      <c r="H189" s="6"/>
      <c r="I189" s="6"/>
      <c r="J189" s="6"/>
      <c r="K189" s="6">
        <v>1</v>
      </c>
      <c r="L189" s="6"/>
      <c r="M189" s="6"/>
      <c r="N189" s="6"/>
      <c r="O189" s="6"/>
      <c r="P189" s="6"/>
      <c r="Q189" s="6"/>
      <c r="R189" s="6"/>
      <c r="S189" s="6"/>
      <c r="T189" s="6">
        <v>1</v>
      </c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>
        <v>1</v>
      </c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>
        <v>1</v>
      </c>
      <c r="BF189" s="6"/>
      <c r="BG189" s="6"/>
      <c r="BH189" s="6"/>
      <c r="BI189" s="6"/>
      <c r="BJ189" s="6"/>
      <c r="BK189" s="6"/>
      <c r="BL189" s="5">
        <f t="shared" ref="BL189:BL199" si="78">SUM(E189:BK189)</f>
        <v>4</v>
      </c>
      <c r="BM189" s="20"/>
      <c r="BN189" s="20"/>
    </row>
    <row r="190" spans="1:66" x14ac:dyDescent="0.4">
      <c r="A190" s="11" t="s">
        <v>50</v>
      </c>
      <c r="B190" s="52"/>
      <c r="C190" s="24" t="s">
        <v>203</v>
      </c>
      <c r="D190" s="5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>
        <v>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5">
        <f t="shared" si="78"/>
        <v>1</v>
      </c>
      <c r="BM190" s="20"/>
      <c r="BN190" s="20"/>
    </row>
    <row r="191" spans="1:66" x14ac:dyDescent="0.4">
      <c r="A191" s="7"/>
      <c r="B191" s="52"/>
      <c r="C191" s="24" t="s">
        <v>204</v>
      </c>
      <c r="D191" s="50"/>
      <c r="E191" s="6"/>
      <c r="F191" s="6"/>
      <c r="G191" s="6"/>
      <c r="H191" s="6"/>
      <c r="I191" s="6"/>
      <c r="J191" s="6"/>
      <c r="K191" s="6"/>
      <c r="L191" s="6"/>
      <c r="M191" s="6">
        <v>1</v>
      </c>
      <c r="N191" s="6"/>
      <c r="O191" s="6"/>
      <c r="P191" s="6"/>
      <c r="Q191" s="6"/>
      <c r="R191" s="6"/>
      <c r="S191" s="6"/>
      <c r="T191" s="6"/>
      <c r="U191" s="6">
        <v>1</v>
      </c>
      <c r="V191" s="6">
        <v>1</v>
      </c>
      <c r="W191" s="6"/>
      <c r="X191" s="6"/>
      <c r="Y191" s="6">
        <v>1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5">
        <f t="shared" si="78"/>
        <v>4</v>
      </c>
      <c r="BM191" s="20"/>
      <c r="BN191" s="20"/>
    </row>
    <row r="192" spans="1:66" x14ac:dyDescent="0.4">
      <c r="A192" s="7"/>
      <c r="B192" s="52"/>
      <c r="C192" s="24" t="s">
        <v>205</v>
      </c>
      <c r="D192" s="5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5">
        <f t="shared" si="78"/>
        <v>0</v>
      </c>
      <c r="BM192" s="20"/>
      <c r="BN192" s="20"/>
    </row>
    <row r="193" spans="1:66" x14ac:dyDescent="0.4">
      <c r="A193" s="7"/>
      <c r="B193" s="52"/>
      <c r="C193" s="24" t="s">
        <v>206</v>
      </c>
      <c r="D193" s="5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>
        <v>1</v>
      </c>
      <c r="BG193" s="6"/>
      <c r="BH193" s="6"/>
      <c r="BI193" s="6"/>
      <c r="BJ193" s="6"/>
      <c r="BK193" s="6"/>
      <c r="BL193" s="5">
        <f t="shared" si="78"/>
        <v>1</v>
      </c>
      <c r="BM193" s="20"/>
      <c r="BN193" s="20"/>
    </row>
    <row r="194" spans="1:66" x14ac:dyDescent="0.4">
      <c r="A194" s="7"/>
      <c r="B194" s="52"/>
      <c r="C194" s="24" t="s">
        <v>207</v>
      </c>
      <c r="D194" s="5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>
        <v>1</v>
      </c>
      <c r="BK194" s="6"/>
      <c r="BL194" s="5">
        <f t="shared" si="78"/>
        <v>1</v>
      </c>
      <c r="BM194" s="20"/>
      <c r="BN194" s="20"/>
    </row>
    <row r="195" spans="1:66" x14ac:dyDescent="0.4">
      <c r="A195" s="7"/>
      <c r="B195" s="52"/>
      <c r="C195" s="24" t="s">
        <v>208</v>
      </c>
      <c r="D195" s="50"/>
      <c r="E195" s="6"/>
      <c r="F195" s="6"/>
      <c r="G195" s="6"/>
      <c r="H195" s="6"/>
      <c r="I195" s="6"/>
      <c r="J195" s="6"/>
      <c r="K195" s="6"/>
      <c r="L195" s="6">
        <v>1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5">
        <f t="shared" si="78"/>
        <v>1</v>
      </c>
      <c r="BM195" s="20"/>
      <c r="BN195" s="20"/>
    </row>
    <row r="196" spans="1:66" ht="13.15" customHeight="1" x14ac:dyDescent="0.4">
      <c r="A196" s="7"/>
      <c r="B196" s="52"/>
      <c r="C196" s="24" t="s">
        <v>209</v>
      </c>
      <c r="D196" s="50"/>
      <c r="E196" s="6"/>
      <c r="F196" s="6">
        <v>2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>
        <v>2</v>
      </c>
      <c r="BI196" s="6"/>
      <c r="BJ196" s="6"/>
      <c r="BK196" s="6"/>
      <c r="BL196" s="5">
        <f t="shared" si="78"/>
        <v>4</v>
      </c>
      <c r="BM196" s="1"/>
      <c r="BN196" s="1"/>
    </row>
    <row r="197" spans="1:66" ht="13.15" customHeight="1" x14ac:dyDescent="0.4">
      <c r="A197" s="7"/>
      <c r="B197" s="52"/>
      <c r="C197" s="24" t="s">
        <v>210</v>
      </c>
      <c r="D197" s="5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5">
        <f t="shared" si="78"/>
        <v>0</v>
      </c>
      <c r="BM197" s="1"/>
      <c r="BN197" s="1"/>
    </row>
    <row r="198" spans="1:66" ht="13.15" customHeight="1" x14ac:dyDescent="0.4">
      <c r="A198" s="7"/>
      <c r="B198" s="52"/>
      <c r="C198" s="24" t="s">
        <v>211</v>
      </c>
      <c r="D198" s="5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>
        <v>1</v>
      </c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5">
        <f t="shared" si="78"/>
        <v>1</v>
      </c>
      <c r="BM198" s="1"/>
      <c r="BN198" s="1"/>
    </row>
    <row r="199" spans="1:66" x14ac:dyDescent="0.4">
      <c r="A199" s="6" t="s">
        <v>26</v>
      </c>
      <c r="B199" s="67" t="s">
        <v>51</v>
      </c>
      <c r="C199" s="68"/>
      <c r="D199" s="69"/>
      <c r="E199" s="5">
        <f t="shared" ref="E199:BL199" si="79">SUM(E189:E198)</f>
        <v>0</v>
      </c>
      <c r="F199" s="5">
        <f t="shared" si="79"/>
        <v>2</v>
      </c>
      <c r="G199" s="5">
        <f t="shared" si="79"/>
        <v>0</v>
      </c>
      <c r="H199" s="5">
        <f t="shared" si="79"/>
        <v>0</v>
      </c>
      <c r="I199" s="5">
        <f t="shared" si="79"/>
        <v>0</v>
      </c>
      <c r="J199" s="5">
        <f t="shared" si="79"/>
        <v>0</v>
      </c>
      <c r="K199" s="5">
        <f t="shared" si="79"/>
        <v>1</v>
      </c>
      <c r="L199" s="5">
        <f t="shared" si="79"/>
        <v>1</v>
      </c>
      <c r="M199" s="5">
        <f t="shared" si="79"/>
        <v>1</v>
      </c>
      <c r="N199" s="5">
        <f t="shared" si="79"/>
        <v>0</v>
      </c>
      <c r="O199" s="5">
        <f t="shared" si="79"/>
        <v>0</v>
      </c>
      <c r="P199" s="5">
        <f t="shared" si="79"/>
        <v>0</v>
      </c>
      <c r="Q199" s="5">
        <f t="shared" si="79"/>
        <v>0</v>
      </c>
      <c r="R199" s="5">
        <f t="shared" si="79"/>
        <v>0</v>
      </c>
      <c r="S199" s="5">
        <f t="shared" si="79"/>
        <v>0</v>
      </c>
      <c r="T199" s="5">
        <f t="shared" si="79"/>
        <v>1</v>
      </c>
      <c r="U199" s="5">
        <f t="shared" si="79"/>
        <v>1</v>
      </c>
      <c r="V199" s="5">
        <f t="shared" si="79"/>
        <v>1</v>
      </c>
      <c r="W199" s="5">
        <f t="shared" si="79"/>
        <v>0</v>
      </c>
      <c r="X199" s="5">
        <f t="shared" si="79"/>
        <v>0</v>
      </c>
      <c r="Y199" s="5">
        <f t="shared" si="79"/>
        <v>2</v>
      </c>
      <c r="Z199" s="5">
        <f t="shared" si="79"/>
        <v>0</v>
      </c>
      <c r="AA199" s="5">
        <f t="shared" si="79"/>
        <v>0</v>
      </c>
      <c r="AB199" s="5">
        <f t="shared" si="79"/>
        <v>0</v>
      </c>
      <c r="AC199" s="5">
        <f t="shared" si="79"/>
        <v>0</v>
      </c>
      <c r="AD199" s="5">
        <f t="shared" si="79"/>
        <v>0</v>
      </c>
      <c r="AE199" s="5">
        <f t="shared" si="79"/>
        <v>0</v>
      </c>
      <c r="AF199" s="5">
        <f t="shared" si="79"/>
        <v>0</v>
      </c>
      <c r="AG199" s="5">
        <f t="shared" si="79"/>
        <v>0</v>
      </c>
      <c r="AH199" s="5">
        <f t="shared" si="79"/>
        <v>0</v>
      </c>
      <c r="AI199" s="5">
        <f t="shared" si="79"/>
        <v>0</v>
      </c>
      <c r="AJ199" s="5">
        <f t="shared" si="79"/>
        <v>0</v>
      </c>
      <c r="AK199" s="5">
        <f t="shared" si="79"/>
        <v>0</v>
      </c>
      <c r="AL199" s="5">
        <f t="shared" si="79"/>
        <v>0</v>
      </c>
      <c r="AM199" s="5">
        <f t="shared" si="79"/>
        <v>0</v>
      </c>
      <c r="AN199" s="5">
        <f t="shared" si="79"/>
        <v>0</v>
      </c>
      <c r="AO199" s="5">
        <f t="shared" si="79"/>
        <v>1</v>
      </c>
      <c r="AP199" s="5">
        <f t="shared" si="79"/>
        <v>1</v>
      </c>
      <c r="AQ199" s="5">
        <f t="shared" si="79"/>
        <v>0</v>
      </c>
      <c r="AR199" s="5">
        <f t="shared" si="79"/>
        <v>0</v>
      </c>
      <c r="AS199" s="5">
        <f t="shared" si="79"/>
        <v>0</v>
      </c>
      <c r="AT199" s="5">
        <f t="shared" si="79"/>
        <v>0</v>
      </c>
      <c r="AU199" s="5">
        <f t="shared" si="79"/>
        <v>0</v>
      </c>
      <c r="AV199" s="5">
        <f t="shared" si="79"/>
        <v>0</v>
      </c>
      <c r="AW199" s="5">
        <f t="shared" si="79"/>
        <v>0</v>
      </c>
      <c r="AX199" s="5">
        <f t="shared" si="79"/>
        <v>0</v>
      </c>
      <c r="AY199" s="5">
        <f t="shared" si="79"/>
        <v>0</v>
      </c>
      <c r="AZ199" s="5">
        <f t="shared" si="79"/>
        <v>0</v>
      </c>
      <c r="BA199" s="5">
        <f t="shared" si="79"/>
        <v>0</v>
      </c>
      <c r="BB199" s="5">
        <f t="shared" si="79"/>
        <v>0</v>
      </c>
      <c r="BC199" s="5">
        <f t="shared" si="79"/>
        <v>0</v>
      </c>
      <c r="BD199" s="5">
        <f t="shared" si="79"/>
        <v>0</v>
      </c>
      <c r="BE199" s="5">
        <f t="shared" si="79"/>
        <v>1</v>
      </c>
      <c r="BF199" s="5">
        <f t="shared" si="79"/>
        <v>1</v>
      </c>
      <c r="BG199" s="5">
        <f t="shared" si="79"/>
        <v>0</v>
      </c>
      <c r="BH199" s="5">
        <f t="shared" si="79"/>
        <v>2</v>
      </c>
      <c r="BI199" s="5">
        <f t="shared" si="79"/>
        <v>0</v>
      </c>
      <c r="BJ199" s="5">
        <f t="shared" si="79"/>
        <v>1</v>
      </c>
      <c r="BK199" s="5">
        <f t="shared" si="79"/>
        <v>0</v>
      </c>
      <c r="BL199" s="5">
        <f t="shared" si="79"/>
        <v>17</v>
      </c>
      <c r="BM199" s="27"/>
      <c r="BN199" s="27"/>
    </row>
    <row r="200" spans="1:66" x14ac:dyDescent="0.4">
      <c r="A200" s="70"/>
      <c r="B200" s="71"/>
      <c r="C200" s="71"/>
      <c r="D200" s="71"/>
      <c r="E200" s="7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20"/>
      <c r="BN200" s="20"/>
    </row>
    <row r="201" spans="1:66" x14ac:dyDescent="0.4">
      <c r="A201" s="11" t="s">
        <v>48</v>
      </c>
      <c r="B201" s="17" t="s">
        <v>73</v>
      </c>
      <c r="C201" s="73" t="s">
        <v>74</v>
      </c>
      <c r="D201" s="74"/>
      <c r="E201" s="6">
        <v>3</v>
      </c>
      <c r="F201" s="6">
        <v>8</v>
      </c>
      <c r="G201" s="6">
        <v>2</v>
      </c>
      <c r="H201" s="6">
        <v>6</v>
      </c>
      <c r="I201" s="6">
        <v>1</v>
      </c>
      <c r="J201" s="6">
        <v>3</v>
      </c>
      <c r="K201" s="6">
        <v>7</v>
      </c>
      <c r="L201" s="6">
        <v>9</v>
      </c>
      <c r="M201" s="6">
        <v>2</v>
      </c>
      <c r="N201" s="6">
        <v>1</v>
      </c>
      <c r="O201" s="6">
        <v>2</v>
      </c>
      <c r="P201" s="6">
        <v>5</v>
      </c>
      <c r="Q201" s="6">
        <v>2</v>
      </c>
      <c r="R201" s="6">
        <v>4</v>
      </c>
      <c r="S201" s="6">
        <v>4</v>
      </c>
      <c r="T201" s="6">
        <v>3</v>
      </c>
      <c r="U201" s="6">
        <v>7</v>
      </c>
      <c r="V201" s="6">
        <v>9</v>
      </c>
      <c r="W201" s="6">
        <v>5</v>
      </c>
      <c r="X201" s="6">
        <v>5</v>
      </c>
      <c r="Y201" s="6">
        <v>3</v>
      </c>
      <c r="Z201" s="6">
        <v>3</v>
      </c>
      <c r="AA201" s="6">
        <v>0</v>
      </c>
      <c r="AB201" s="6">
        <v>5</v>
      </c>
      <c r="AC201" s="6">
        <v>8</v>
      </c>
      <c r="AD201" s="6">
        <v>1</v>
      </c>
      <c r="AE201" s="6">
        <v>3</v>
      </c>
      <c r="AF201" s="6">
        <v>2</v>
      </c>
      <c r="AG201" s="6">
        <v>8</v>
      </c>
      <c r="AH201" s="6">
        <v>6</v>
      </c>
      <c r="AI201" s="6">
        <v>0</v>
      </c>
      <c r="AJ201" s="6">
        <v>4</v>
      </c>
      <c r="AK201" s="6">
        <v>0</v>
      </c>
      <c r="AL201" s="6">
        <v>2</v>
      </c>
      <c r="AM201" s="6">
        <v>1</v>
      </c>
      <c r="AN201" s="6">
        <v>1</v>
      </c>
      <c r="AO201" s="6">
        <v>4</v>
      </c>
      <c r="AP201" s="6">
        <v>0</v>
      </c>
      <c r="AQ201" s="6">
        <v>2</v>
      </c>
      <c r="AR201" s="6">
        <v>8</v>
      </c>
      <c r="AS201" s="6">
        <v>6</v>
      </c>
      <c r="AT201" s="6">
        <v>1</v>
      </c>
      <c r="AU201" s="6">
        <v>0</v>
      </c>
      <c r="AV201" s="6">
        <v>1</v>
      </c>
      <c r="AW201" s="6">
        <v>1</v>
      </c>
      <c r="AX201" s="6">
        <v>0</v>
      </c>
      <c r="AY201" s="6">
        <v>1</v>
      </c>
      <c r="AZ201" s="6">
        <v>3</v>
      </c>
      <c r="BA201" s="6">
        <v>0</v>
      </c>
      <c r="BB201" s="6">
        <v>6</v>
      </c>
      <c r="BC201" s="6">
        <v>6</v>
      </c>
      <c r="BD201" s="6">
        <v>13</v>
      </c>
      <c r="BE201" s="6">
        <v>13</v>
      </c>
      <c r="BF201" s="6">
        <v>12</v>
      </c>
      <c r="BG201" s="6">
        <v>0</v>
      </c>
      <c r="BH201" s="6">
        <v>2</v>
      </c>
      <c r="BI201" s="6">
        <v>0</v>
      </c>
      <c r="BJ201" s="6">
        <v>8</v>
      </c>
      <c r="BK201" s="6">
        <v>4</v>
      </c>
      <c r="BL201" s="5">
        <f t="shared" ref="BL201:BL211" si="80">SUM(E201:BK201)</f>
        <v>226</v>
      </c>
      <c r="BM201" s="20"/>
      <c r="BN201" s="20"/>
    </row>
    <row r="202" spans="1:66" x14ac:dyDescent="0.4">
      <c r="A202" s="11" t="s">
        <v>50</v>
      </c>
      <c r="B202" s="52"/>
      <c r="C202" s="24" t="s">
        <v>212</v>
      </c>
      <c r="D202" s="50"/>
      <c r="E202" s="6">
        <v>3</v>
      </c>
      <c r="F202" s="6">
        <v>10</v>
      </c>
      <c r="G202" s="6">
        <v>6</v>
      </c>
      <c r="H202" s="6">
        <v>5</v>
      </c>
      <c r="I202" s="6">
        <v>4</v>
      </c>
      <c r="J202" s="6">
        <v>10</v>
      </c>
      <c r="K202" s="6">
        <v>7</v>
      </c>
      <c r="L202" s="6">
        <v>17</v>
      </c>
      <c r="M202" s="6">
        <v>10</v>
      </c>
      <c r="N202" s="6">
        <v>2</v>
      </c>
      <c r="O202" s="6">
        <v>3</v>
      </c>
      <c r="P202" s="6">
        <v>10</v>
      </c>
      <c r="Q202" s="6">
        <v>6</v>
      </c>
      <c r="R202" s="6">
        <v>6</v>
      </c>
      <c r="S202" s="6">
        <v>7</v>
      </c>
      <c r="T202" s="6">
        <v>9</v>
      </c>
      <c r="U202" s="6">
        <v>4</v>
      </c>
      <c r="V202" s="6">
        <v>5</v>
      </c>
      <c r="W202" s="6">
        <v>14</v>
      </c>
      <c r="X202" s="6">
        <v>9</v>
      </c>
      <c r="Y202" s="6">
        <v>10</v>
      </c>
      <c r="Z202" s="6">
        <v>2</v>
      </c>
      <c r="AA202" s="6">
        <v>0</v>
      </c>
      <c r="AB202" s="6">
        <v>12</v>
      </c>
      <c r="AC202" s="6">
        <v>4</v>
      </c>
      <c r="AD202" s="6">
        <v>4</v>
      </c>
      <c r="AE202" s="6">
        <v>2</v>
      </c>
      <c r="AF202" s="6">
        <v>1</v>
      </c>
      <c r="AG202" s="6">
        <v>7</v>
      </c>
      <c r="AH202" s="6">
        <v>7</v>
      </c>
      <c r="AI202" s="6">
        <v>0</v>
      </c>
      <c r="AJ202" s="6">
        <v>4</v>
      </c>
      <c r="AK202" s="6">
        <v>1</v>
      </c>
      <c r="AL202" s="6">
        <v>5</v>
      </c>
      <c r="AM202" s="6">
        <v>4</v>
      </c>
      <c r="AN202" s="6">
        <v>1</v>
      </c>
      <c r="AO202" s="6">
        <v>3</v>
      </c>
      <c r="AP202" s="6">
        <v>9</v>
      </c>
      <c r="AQ202" s="6">
        <v>2</v>
      </c>
      <c r="AR202" s="6">
        <v>4</v>
      </c>
      <c r="AS202" s="6">
        <v>8</v>
      </c>
      <c r="AT202" s="6">
        <v>1</v>
      </c>
      <c r="AU202" s="6">
        <v>2</v>
      </c>
      <c r="AV202" s="6">
        <v>0</v>
      </c>
      <c r="AW202" s="6">
        <v>77</v>
      </c>
      <c r="AX202" s="6">
        <v>1</v>
      </c>
      <c r="AY202" s="6">
        <v>6</v>
      </c>
      <c r="AZ202" s="6">
        <v>8</v>
      </c>
      <c r="BA202" s="6">
        <v>2</v>
      </c>
      <c r="BB202" s="6">
        <v>12</v>
      </c>
      <c r="BC202" s="6">
        <v>8</v>
      </c>
      <c r="BD202" s="6">
        <v>15</v>
      </c>
      <c r="BE202" s="6">
        <v>41</v>
      </c>
      <c r="BF202" s="6">
        <v>19</v>
      </c>
      <c r="BG202" s="6">
        <v>0</v>
      </c>
      <c r="BH202" s="6">
        <v>4</v>
      </c>
      <c r="BI202" s="6">
        <v>0</v>
      </c>
      <c r="BJ202" s="6">
        <v>6</v>
      </c>
      <c r="BK202" s="6">
        <v>6</v>
      </c>
      <c r="BL202" s="5">
        <f t="shared" si="80"/>
        <v>445</v>
      </c>
      <c r="BM202" s="20"/>
      <c r="BN202" s="20"/>
    </row>
    <row r="203" spans="1:66" x14ac:dyDescent="0.4">
      <c r="A203" s="7"/>
      <c r="B203" s="52"/>
      <c r="C203" s="24" t="s">
        <v>213</v>
      </c>
      <c r="D203" s="50"/>
      <c r="E203" s="6">
        <v>0</v>
      </c>
      <c r="F203" s="6">
        <v>2</v>
      </c>
      <c r="G203" s="6">
        <v>0</v>
      </c>
      <c r="H203" s="6">
        <v>2</v>
      </c>
      <c r="I203" s="6">
        <v>2</v>
      </c>
      <c r="J203" s="6">
        <v>3</v>
      </c>
      <c r="K203" s="6">
        <v>1</v>
      </c>
      <c r="L203" s="6">
        <v>3</v>
      </c>
      <c r="M203" s="6">
        <v>3</v>
      </c>
      <c r="N203" s="6">
        <v>0</v>
      </c>
      <c r="O203" s="6">
        <v>1</v>
      </c>
      <c r="P203" s="6">
        <v>3</v>
      </c>
      <c r="Q203" s="6">
        <v>0</v>
      </c>
      <c r="R203" s="6">
        <v>1</v>
      </c>
      <c r="S203" s="6">
        <v>1</v>
      </c>
      <c r="T203" s="6">
        <v>1</v>
      </c>
      <c r="U203" s="6">
        <v>2</v>
      </c>
      <c r="V203" s="6">
        <v>0</v>
      </c>
      <c r="W203" s="6">
        <v>2</v>
      </c>
      <c r="X203" s="6">
        <v>2</v>
      </c>
      <c r="Y203" s="6">
        <v>0</v>
      </c>
      <c r="Z203" s="6">
        <v>3</v>
      </c>
      <c r="AA203" s="6">
        <v>1</v>
      </c>
      <c r="AB203" s="6">
        <v>0</v>
      </c>
      <c r="AC203" s="6">
        <v>0</v>
      </c>
      <c r="AD203" s="6">
        <v>1</v>
      </c>
      <c r="AE203" s="6">
        <v>0</v>
      </c>
      <c r="AF203" s="6">
        <v>2</v>
      </c>
      <c r="AG203" s="6">
        <v>1</v>
      </c>
      <c r="AH203" s="6">
        <v>0</v>
      </c>
      <c r="AI203" s="6">
        <v>0</v>
      </c>
      <c r="AJ203" s="6">
        <v>0</v>
      </c>
      <c r="AK203" s="6">
        <v>1</v>
      </c>
      <c r="AL203" s="6">
        <v>1</v>
      </c>
      <c r="AM203" s="6">
        <v>1</v>
      </c>
      <c r="AN203" s="6">
        <v>0</v>
      </c>
      <c r="AO203" s="6">
        <v>0</v>
      </c>
      <c r="AP203" s="6">
        <v>1</v>
      </c>
      <c r="AQ203" s="6">
        <v>1</v>
      </c>
      <c r="AR203" s="6">
        <v>3</v>
      </c>
      <c r="AS203" s="6">
        <v>1</v>
      </c>
      <c r="AT203" s="6">
        <v>1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1</v>
      </c>
      <c r="BA203" s="6">
        <v>1</v>
      </c>
      <c r="BB203" s="6">
        <v>17</v>
      </c>
      <c r="BC203" s="6">
        <v>12</v>
      </c>
      <c r="BD203" s="6">
        <v>8</v>
      </c>
      <c r="BE203" s="6">
        <v>0</v>
      </c>
      <c r="BF203" s="6">
        <v>3</v>
      </c>
      <c r="BG203" s="6">
        <v>0</v>
      </c>
      <c r="BH203" s="6">
        <v>25</v>
      </c>
      <c r="BI203" s="6">
        <v>40</v>
      </c>
      <c r="BJ203" s="6">
        <v>1</v>
      </c>
      <c r="BK203" s="6">
        <v>3</v>
      </c>
      <c r="BL203" s="5">
        <f t="shared" si="80"/>
        <v>158</v>
      </c>
      <c r="BM203" s="20"/>
      <c r="BN203" s="20"/>
    </row>
    <row r="204" spans="1:66" x14ac:dyDescent="0.4">
      <c r="A204" s="7"/>
      <c r="B204" s="52"/>
      <c r="C204" s="24" t="s">
        <v>214</v>
      </c>
      <c r="D204" s="50"/>
      <c r="E204" s="6">
        <v>0</v>
      </c>
      <c r="F204" s="6">
        <v>0</v>
      </c>
      <c r="G204" s="6">
        <v>1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1</v>
      </c>
      <c r="AA204" s="6">
        <v>0</v>
      </c>
      <c r="AB204" s="6">
        <v>1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1</v>
      </c>
      <c r="AI204" s="6">
        <v>1</v>
      </c>
      <c r="AJ204" s="6">
        <v>0</v>
      </c>
      <c r="AK204" s="6">
        <v>1</v>
      </c>
      <c r="AL204" s="6">
        <v>1</v>
      </c>
      <c r="AM204" s="6">
        <v>0</v>
      </c>
      <c r="AN204" s="6">
        <v>0</v>
      </c>
      <c r="AO204" s="6">
        <v>1</v>
      </c>
      <c r="AP204" s="6">
        <v>0</v>
      </c>
      <c r="AQ204" s="6">
        <v>1</v>
      </c>
      <c r="AR204" s="6">
        <v>1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1</v>
      </c>
      <c r="BC204" s="6">
        <v>1</v>
      </c>
      <c r="BD204" s="6">
        <v>1</v>
      </c>
      <c r="BE204" s="6">
        <v>0</v>
      </c>
      <c r="BF204" s="6">
        <v>1</v>
      </c>
      <c r="BG204" s="6">
        <v>0</v>
      </c>
      <c r="BH204" s="6">
        <v>0</v>
      </c>
      <c r="BI204" s="6">
        <v>7</v>
      </c>
      <c r="BJ204" s="6">
        <v>0</v>
      </c>
      <c r="BK204" s="6">
        <v>1</v>
      </c>
      <c r="BL204" s="5">
        <f t="shared" si="80"/>
        <v>23</v>
      </c>
      <c r="BM204" s="20"/>
      <c r="BN204" s="20"/>
    </row>
    <row r="205" spans="1:66" x14ac:dyDescent="0.4">
      <c r="A205" s="7"/>
      <c r="B205" s="52"/>
      <c r="C205" s="24" t="s">
        <v>215</v>
      </c>
      <c r="D205" s="50"/>
      <c r="E205" s="6">
        <v>0</v>
      </c>
      <c r="F205" s="6">
        <v>0</v>
      </c>
      <c r="G205" s="6">
        <v>0</v>
      </c>
      <c r="H205" s="6">
        <v>1</v>
      </c>
      <c r="I205" s="6">
        <v>0</v>
      </c>
      <c r="J205" s="6">
        <v>0</v>
      </c>
      <c r="K205" s="6">
        <v>0</v>
      </c>
      <c r="L205" s="6">
        <v>0</v>
      </c>
      <c r="M205" s="6">
        <v>1</v>
      </c>
      <c r="N205" s="6">
        <v>1</v>
      </c>
      <c r="O205" s="6">
        <v>0</v>
      </c>
      <c r="P205" s="6">
        <v>0</v>
      </c>
      <c r="Q205" s="6">
        <v>1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1</v>
      </c>
      <c r="X205" s="6">
        <v>2</v>
      </c>
      <c r="Y205" s="6">
        <v>1</v>
      </c>
      <c r="Z205" s="6">
        <v>0</v>
      </c>
      <c r="AA205" s="6">
        <v>0</v>
      </c>
      <c r="AB205" s="6">
        <v>1</v>
      </c>
      <c r="AC205" s="6">
        <v>0</v>
      </c>
      <c r="AD205" s="6">
        <v>0</v>
      </c>
      <c r="AE205" s="6">
        <v>0</v>
      </c>
      <c r="AF205" s="6">
        <v>1</v>
      </c>
      <c r="AG205" s="6">
        <v>0</v>
      </c>
      <c r="AH205" s="6">
        <v>1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1</v>
      </c>
      <c r="AR205" s="6">
        <v>1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9</v>
      </c>
      <c r="BC205" s="6">
        <v>0</v>
      </c>
      <c r="BD205" s="6">
        <v>0</v>
      </c>
      <c r="BE205" s="6">
        <v>1</v>
      </c>
      <c r="BF205" s="6">
        <v>2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5">
        <f t="shared" si="80"/>
        <v>25</v>
      </c>
      <c r="BM205" s="20"/>
      <c r="BN205" s="20"/>
    </row>
    <row r="206" spans="1:66" x14ac:dyDescent="0.4">
      <c r="A206" s="7"/>
      <c r="B206" s="52"/>
      <c r="C206" s="24" t="s">
        <v>216</v>
      </c>
      <c r="D206" s="50"/>
      <c r="E206" s="6">
        <v>0</v>
      </c>
      <c r="F206" s="6">
        <v>0</v>
      </c>
      <c r="G206" s="6">
        <v>0</v>
      </c>
      <c r="H206" s="6">
        <v>1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2</v>
      </c>
      <c r="AC206" s="6">
        <v>0</v>
      </c>
      <c r="AD206" s="6">
        <v>0</v>
      </c>
      <c r="AE206" s="6">
        <v>0</v>
      </c>
      <c r="AF206" s="6">
        <v>0</v>
      </c>
      <c r="AG206" s="6">
        <v>1</v>
      </c>
      <c r="AH206" s="6">
        <v>0</v>
      </c>
      <c r="AI206" s="6">
        <v>0</v>
      </c>
      <c r="AJ206" s="6">
        <v>1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1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1</v>
      </c>
      <c r="BE206" s="6">
        <v>4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5">
        <f t="shared" si="80"/>
        <v>13</v>
      </c>
      <c r="BM206" s="20"/>
      <c r="BN206" s="20"/>
    </row>
    <row r="207" spans="1:66" ht="13.15" customHeight="1" x14ac:dyDescent="0.4">
      <c r="A207" s="7"/>
      <c r="B207" s="52"/>
      <c r="C207" s="24" t="s">
        <v>217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1</v>
      </c>
      <c r="Q207" s="6">
        <v>0</v>
      </c>
      <c r="R207" s="6">
        <v>0</v>
      </c>
      <c r="S207" s="6">
        <v>2</v>
      </c>
      <c r="T207" s="6">
        <v>0</v>
      </c>
      <c r="U207" s="6">
        <v>1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1</v>
      </c>
      <c r="AF207" s="6">
        <v>0</v>
      </c>
      <c r="AG207" s="6">
        <v>1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1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1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5">
        <f t="shared" si="80"/>
        <v>8</v>
      </c>
      <c r="BM207" s="1"/>
      <c r="BN207" s="1"/>
    </row>
    <row r="208" spans="1:66" x14ac:dyDescent="0.4">
      <c r="A208" s="7"/>
      <c r="B208" s="52"/>
      <c r="C208" s="24" t="s">
        <v>218</v>
      </c>
      <c r="D208" s="50"/>
      <c r="E208" s="6">
        <v>1</v>
      </c>
      <c r="F208" s="6">
        <v>1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1</v>
      </c>
      <c r="N208" s="6">
        <v>0</v>
      </c>
      <c r="O208" s="6">
        <v>0</v>
      </c>
      <c r="P208" s="6">
        <v>0</v>
      </c>
      <c r="Q208" s="6">
        <v>2</v>
      </c>
      <c r="R208" s="6">
        <v>0</v>
      </c>
      <c r="S208" s="6">
        <v>1</v>
      </c>
      <c r="T208" s="6">
        <v>0</v>
      </c>
      <c r="U208" s="6">
        <v>0</v>
      </c>
      <c r="V208" s="6">
        <v>0</v>
      </c>
      <c r="W208" s="6">
        <v>1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1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1</v>
      </c>
      <c r="BE208" s="6">
        <v>2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5">
        <f t="shared" si="80"/>
        <v>12</v>
      </c>
      <c r="BM208" s="27"/>
      <c r="BN208" s="27"/>
    </row>
    <row r="209" spans="1:66" x14ac:dyDescent="0.4">
      <c r="A209" s="7"/>
      <c r="B209" s="52"/>
      <c r="C209" s="24" t="s">
        <v>219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1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5">
        <f t="shared" si="80"/>
        <v>1</v>
      </c>
      <c r="BM209" s="27"/>
      <c r="BN209" s="27"/>
    </row>
    <row r="210" spans="1:66" x14ac:dyDescent="0.4">
      <c r="A210" s="7"/>
      <c r="B210" s="52"/>
      <c r="C210" s="24" t="s">
        <v>220</v>
      </c>
      <c r="D210" s="50"/>
      <c r="E210" s="6">
        <v>0</v>
      </c>
      <c r="F210" s="6">
        <v>0</v>
      </c>
      <c r="G210" s="6">
        <v>1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1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1</v>
      </c>
      <c r="BA210" s="6">
        <v>1</v>
      </c>
      <c r="BB210" s="6">
        <v>0</v>
      </c>
      <c r="BC210" s="6">
        <v>0</v>
      </c>
      <c r="BD210" s="6">
        <v>0</v>
      </c>
      <c r="BE210" s="6">
        <v>1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5">
        <f t="shared" si="80"/>
        <v>5</v>
      </c>
      <c r="BM210" s="27"/>
      <c r="BN210" s="27"/>
    </row>
    <row r="211" spans="1:66" x14ac:dyDescent="0.4">
      <c r="A211" s="6" t="s">
        <v>26</v>
      </c>
      <c r="B211" s="67" t="s">
        <v>51</v>
      </c>
      <c r="C211" s="68"/>
      <c r="D211" s="69"/>
      <c r="E211" s="5">
        <f t="shared" ref="E211:BL211" si="81">SUM(E201:E210)</f>
        <v>7</v>
      </c>
      <c r="F211" s="5">
        <f t="shared" si="81"/>
        <v>21</v>
      </c>
      <c r="G211" s="5">
        <f t="shared" si="81"/>
        <v>10</v>
      </c>
      <c r="H211" s="5">
        <f t="shared" si="81"/>
        <v>15</v>
      </c>
      <c r="I211" s="5">
        <f t="shared" si="81"/>
        <v>8</v>
      </c>
      <c r="J211" s="5">
        <f t="shared" si="81"/>
        <v>17</v>
      </c>
      <c r="K211" s="5">
        <f t="shared" si="81"/>
        <v>17</v>
      </c>
      <c r="L211" s="5">
        <f t="shared" si="81"/>
        <v>29</v>
      </c>
      <c r="M211" s="5">
        <f t="shared" si="81"/>
        <v>17</v>
      </c>
      <c r="N211" s="5">
        <f t="shared" si="81"/>
        <v>4</v>
      </c>
      <c r="O211" s="5">
        <f t="shared" si="81"/>
        <v>6</v>
      </c>
      <c r="P211" s="5">
        <f t="shared" si="81"/>
        <v>19</v>
      </c>
      <c r="Q211" s="5">
        <f t="shared" si="81"/>
        <v>11</v>
      </c>
      <c r="R211" s="5">
        <f t="shared" si="81"/>
        <v>11</v>
      </c>
      <c r="S211" s="5">
        <f t="shared" si="81"/>
        <v>15</v>
      </c>
      <c r="T211" s="5">
        <f t="shared" si="81"/>
        <v>14</v>
      </c>
      <c r="U211" s="5">
        <f t="shared" si="81"/>
        <v>14</v>
      </c>
      <c r="V211" s="5">
        <f t="shared" si="81"/>
        <v>14</v>
      </c>
      <c r="W211" s="5">
        <f t="shared" si="81"/>
        <v>23</v>
      </c>
      <c r="X211" s="5">
        <f t="shared" si="81"/>
        <v>18</v>
      </c>
      <c r="Y211" s="5">
        <f t="shared" si="81"/>
        <v>14</v>
      </c>
      <c r="Z211" s="5">
        <f t="shared" si="81"/>
        <v>9</v>
      </c>
      <c r="AA211" s="5">
        <f t="shared" si="81"/>
        <v>1</v>
      </c>
      <c r="AB211" s="5">
        <f t="shared" si="81"/>
        <v>21</v>
      </c>
      <c r="AC211" s="5">
        <f t="shared" si="81"/>
        <v>12</v>
      </c>
      <c r="AD211" s="5">
        <f t="shared" si="81"/>
        <v>6</v>
      </c>
      <c r="AE211" s="5">
        <f t="shared" si="81"/>
        <v>6</v>
      </c>
      <c r="AF211" s="5">
        <f t="shared" si="81"/>
        <v>7</v>
      </c>
      <c r="AG211" s="5">
        <f t="shared" si="81"/>
        <v>18</v>
      </c>
      <c r="AH211" s="5">
        <f t="shared" si="81"/>
        <v>15</v>
      </c>
      <c r="AI211" s="5">
        <f t="shared" si="81"/>
        <v>1</v>
      </c>
      <c r="AJ211" s="5">
        <f t="shared" si="81"/>
        <v>9</v>
      </c>
      <c r="AK211" s="5">
        <f t="shared" si="81"/>
        <v>3</v>
      </c>
      <c r="AL211" s="5">
        <f t="shared" si="81"/>
        <v>9</v>
      </c>
      <c r="AM211" s="5">
        <f t="shared" si="81"/>
        <v>6</v>
      </c>
      <c r="AN211" s="5">
        <f t="shared" si="81"/>
        <v>2</v>
      </c>
      <c r="AO211" s="5">
        <f t="shared" si="81"/>
        <v>9</v>
      </c>
      <c r="AP211" s="5">
        <f t="shared" si="81"/>
        <v>10</v>
      </c>
      <c r="AQ211" s="5">
        <f t="shared" si="81"/>
        <v>7</v>
      </c>
      <c r="AR211" s="5">
        <f t="shared" si="81"/>
        <v>17</v>
      </c>
      <c r="AS211" s="5">
        <f t="shared" si="81"/>
        <v>16</v>
      </c>
      <c r="AT211" s="5">
        <f t="shared" si="81"/>
        <v>4</v>
      </c>
      <c r="AU211" s="5">
        <f t="shared" si="81"/>
        <v>2</v>
      </c>
      <c r="AV211" s="5">
        <f t="shared" si="81"/>
        <v>1</v>
      </c>
      <c r="AW211" s="5">
        <f t="shared" si="81"/>
        <v>79</v>
      </c>
      <c r="AX211" s="5">
        <f t="shared" si="81"/>
        <v>1</v>
      </c>
      <c r="AY211" s="5">
        <f t="shared" si="81"/>
        <v>7</v>
      </c>
      <c r="AZ211" s="5">
        <f t="shared" si="81"/>
        <v>13</v>
      </c>
      <c r="BA211" s="5">
        <f t="shared" si="81"/>
        <v>4</v>
      </c>
      <c r="BB211" s="5">
        <f t="shared" si="81"/>
        <v>45</v>
      </c>
      <c r="BC211" s="5">
        <f t="shared" si="81"/>
        <v>27</v>
      </c>
      <c r="BD211" s="5">
        <f t="shared" si="81"/>
        <v>39</v>
      </c>
      <c r="BE211" s="5">
        <f t="shared" si="81"/>
        <v>62</v>
      </c>
      <c r="BF211" s="5">
        <f t="shared" si="81"/>
        <v>37</v>
      </c>
      <c r="BG211" s="5">
        <f t="shared" si="81"/>
        <v>0</v>
      </c>
      <c r="BH211" s="5">
        <f t="shared" si="81"/>
        <v>31</v>
      </c>
      <c r="BI211" s="5">
        <f t="shared" si="81"/>
        <v>47</v>
      </c>
      <c r="BJ211" s="5">
        <f t="shared" si="81"/>
        <v>15</v>
      </c>
      <c r="BK211" s="5">
        <f t="shared" si="81"/>
        <v>14</v>
      </c>
      <c r="BL211" s="5">
        <f t="shared" si="81"/>
        <v>916</v>
      </c>
      <c r="BM211" s="20"/>
      <c r="BN211" s="20"/>
    </row>
    <row r="212" spans="1:66" x14ac:dyDescent="0.4">
      <c r="A212" s="70"/>
      <c r="B212" s="71"/>
      <c r="C212" s="71"/>
      <c r="D212" s="71"/>
      <c r="E212" s="7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20"/>
      <c r="BN212" s="20"/>
    </row>
    <row r="213" spans="1:66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1</v>
      </c>
      <c r="G213" s="6">
        <v>1</v>
      </c>
      <c r="H213" s="6">
        <v>1</v>
      </c>
      <c r="I213" s="6">
        <v>0</v>
      </c>
      <c r="J213" s="6">
        <v>1</v>
      </c>
      <c r="K213" s="6">
        <v>3</v>
      </c>
      <c r="L213" s="6">
        <v>0</v>
      </c>
      <c r="M213" s="6">
        <v>2</v>
      </c>
      <c r="N213" s="6">
        <v>2</v>
      </c>
      <c r="O213" s="6">
        <v>0</v>
      </c>
      <c r="P213" s="6">
        <v>1</v>
      </c>
      <c r="Q213" s="6">
        <v>0</v>
      </c>
      <c r="R213" s="6">
        <v>0</v>
      </c>
      <c r="S213" s="6">
        <v>4</v>
      </c>
      <c r="T213" s="6">
        <v>1</v>
      </c>
      <c r="U213" s="6">
        <v>2</v>
      </c>
      <c r="V213" s="6">
        <v>1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1</v>
      </c>
      <c r="AE213" s="6">
        <v>0</v>
      </c>
      <c r="AF213" s="6">
        <v>4</v>
      </c>
      <c r="AG213" s="6">
        <v>0</v>
      </c>
      <c r="AH213" s="6">
        <v>1</v>
      </c>
      <c r="AI213" s="6">
        <v>0</v>
      </c>
      <c r="AJ213" s="6">
        <v>1</v>
      </c>
      <c r="AK213" s="6">
        <v>1</v>
      </c>
      <c r="AL213" s="6">
        <v>6</v>
      </c>
      <c r="AM213" s="6">
        <v>5</v>
      </c>
      <c r="AN213" s="6">
        <v>4</v>
      </c>
      <c r="AO213" s="6">
        <v>0</v>
      </c>
      <c r="AP213" s="6">
        <v>1</v>
      </c>
      <c r="AQ213" s="6">
        <v>0</v>
      </c>
      <c r="AR213" s="6">
        <v>1</v>
      </c>
      <c r="AS213" s="6">
        <v>0</v>
      </c>
      <c r="AT213" s="6">
        <v>0</v>
      </c>
      <c r="AU213" s="6">
        <v>1</v>
      </c>
      <c r="AV213" s="6">
        <v>0</v>
      </c>
      <c r="AW213" s="6">
        <v>0</v>
      </c>
      <c r="AX213" s="6">
        <v>1</v>
      </c>
      <c r="AY213" s="6">
        <v>1</v>
      </c>
      <c r="AZ213" s="6">
        <v>0</v>
      </c>
      <c r="BA213" s="6">
        <v>2</v>
      </c>
      <c r="BB213" s="6">
        <v>0</v>
      </c>
      <c r="BC213" s="6">
        <v>2</v>
      </c>
      <c r="BD213" s="6">
        <v>1</v>
      </c>
      <c r="BE213" s="6">
        <v>0</v>
      </c>
      <c r="BF213" s="6">
        <v>1</v>
      </c>
      <c r="BG213" s="6">
        <v>0</v>
      </c>
      <c r="BH213" s="6">
        <v>0</v>
      </c>
      <c r="BI213" s="6">
        <v>1</v>
      </c>
      <c r="BJ213" s="6">
        <v>2</v>
      </c>
      <c r="BK213" s="6">
        <v>1</v>
      </c>
      <c r="BL213" s="5">
        <f>SUM(E213:BK213)</f>
        <v>58</v>
      </c>
      <c r="BM213" s="20"/>
      <c r="BN213" s="20"/>
    </row>
    <row r="214" spans="1:66" x14ac:dyDescent="0.4">
      <c r="A214" s="11" t="s">
        <v>50</v>
      </c>
      <c r="B214" s="52"/>
      <c r="C214" s="24" t="s">
        <v>221</v>
      </c>
      <c r="D214" s="53"/>
      <c r="E214" s="6">
        <v>0</v>
      </c>
      <c r="F214" s="6">
        <v>3</v>
      </c>
      <c r="G214" s="6">
        <v>0</v>
      </c>
      <c r="H214" s="6">
        <v>5</v>
      </c>
      <c r="I214" s="6">
        <v>0</v>
      </c>
      <c r="J214" s="6">
        <v>1</v>
      </c>
      <c r="K214" s="6">
        <v>2</v>
      </c>
      <c r="L214" s="6">
        <v>2</v>
      </c>
      <c r="M214" s="6">
        <v>1</v>
      </c>
      <c r="N214" s="6">
        <v>3</v>
      </c>
      <c r="O214" s="6">
        <v>0</v>
      </c>
      <c r="P214" s="6">
        <v>2</v>
      </c>
      <c r="Q214" s="6">
        <v>3</v>
      </c>
      <c r="R214" s="6">
        <v>2</v>
      </c>
      <c r="S214" s="6">
        <v>0</v>
      </c>
      <c r="T214" s="6">
        <v>1</v>
      </c>
      <c r="U214" s="6">
        <v>0</v>
      </c>
      <c r="V214" s="6">
        <v>1</v>
      </c>
      <c r="W214" s="6">
        <v>1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1</v>
      </c>
      <c r="AE214" s="6">
        <v>0</v>
      </c>
      <c r="AF214" s="6">
        <v>0</v>
      </c>
      <c r="AG214" s="6">
        <v>1</v>
      </c>
      <c r="AH214" s="6">
        <v>1</v>
      </c>
      <c r="AI214" s="6">
        <v>0</v>
      </c>
      <c r="AJ214" s="6">
        <v>2</v>
      </c>
      <c r="AK214" s="6">
        <v>0</v>
      </c>
      <c r="AL214" s="6">
        <v>0</v>
      </c>
      <c r="AM214" s="6">
        <v>0</v>
      </c>
      <c r="AN214" s="6">
        <v>0</v>
      </c>
      <c r="AO214" s="6">
        <v>2</v>
      </c>
      <c r="AP214" s="6">
        <v>0</v>
      </c>
      <c r="AQ214" s="6">
        <v>1</v>
      </c>
      <c r="AR214" s="6">
        <v>0</v>
      </c>
      <c r="AS214" s="6">
        <v>2</v>
      </c>
      <c r="AT214" s="6">
        <v>0</v>
      </c>
      <c r="AU214" s="6">
        <v>0</v>
      </c>
      <c r="AV214" s="6">
        <v>1</v>
      </c>
      <c r="AW214" s="6">
        <v>0</v>
      </c>
      <c r="AX214" s="6">
        <v>2</v>
      </c>
      <c r="AY214" s="6">
        <v>0</v>
      </c>
      <c r="AZ214" s="6">
        <v>2</v>
      </c>
      <c r="BA214" s="6">
        <v>0</v>
      </c>
      <c r="BB214" s="6">
        <v>0</v>
      </c>
      <c r="BC214" s="6">
        <v>1</v>
      </c>
      <c r="BD214" s="6">
        <v>0</v>
      </c>
      <c r="BE214" s="6">
        <v>2</v>
      </c>
      <c r="BF214" s="6">
        <v>0</v>
      </c>
      <c r="BG214" s="6">
        <v>1</v>
      </c>
      <c r="BH214" s="6">
        <v>0</v>
      </c>
      <c r="BI214" s="6">
        <v>0</v>
      </c>
      <c r="BJ214" s="6">
        <v>2</v>
      </c>
      <c r="BK214" s="6">
        <v>2</v>
      </c>
      <c r="BL214" s="5">
        <f>SUM(E214:BK214)</f>
        <v>50</v>
      </c>
      <c r="BM214" s="20"/>
      <c r="BN214" s="20"/>
    </row>
    <row r="215" spans="1:66" x14ac:dyDescent="0.4">
      <c r="A215" s="7"/>
      <c r="B215" s="52"/>
      <c r="C215" s="24" t="s">
        <v>222</v>
      </c>
      <c r="D215" s="53"/>
      <c r="E215" s="6">
        <v>0</v>
      </c>
      <c r="F215" s="6">
        <v>2</v>
      </c>
      <c r="G215" s="6">
        <v>0</v>
      </c>
      <c r="H215" s="6">
        <v>0</v>
      </c>
      <c r="I215" s="6">
        <v>0</v>
      </c>
      <c r="J215" s="6">
        <v>1</v>
      </c>
      <c r="K215" s="6">
        <v>1</v>
      </c>
      <c r="L215" s="6">
        <v>0</v>
      </c>
      <c r="M215" s="6">
        <v>0</v>
      </c>
      <c r="N215" s="6">
        <v>2</v>
      </c>
      <c r="O215" s="6">
        <v>0</v>
      </c>
      <c r="P215" s="6">
        <v>1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1</v>
      </c>
      <c r="Y215" s="6">
        <v>0</v>
      </c>
      <c r="Z215" s="6">
        <v>1</v>
      </c>
      <c r="AA215" s="6">
        <v>0</v>
      </c>
      <c r="AB215" s="6">
        <v>0</v>
      </c>
      <c r="AC215" s="6">
        <v>0</v>
      </c>
      <c r="AD215" s="6">
        <v>0</v>
      </c>
      <c r="AE215" s="6">
        <v>1</v>
      </c>
      <c r="AF215" s="6">
        <v>1</v>
      </c>
      <c r="AG215" s="6">
        <v>0</v>
      </c>
      <c r="AH215" s="6">
        <v>2</v>
      </c>
      <c r="AI215" s="6">
        <v>0</v>
      </c>
      <c r="AJ215" s="6">
        <v>0</v>
      </c>
      <c r="AK215" s="6">
        <v>0</v>
      </c>
      <c r="AL215" s="6">
        <v>3</v>
      </c>
      <c r="AM215" s="6">
        <v>4</v>
      </c>
      <c r="AN215" s="6">
        <v>2</v>
      </c>
      <c r="AO215" s="6">
        <v>3</v>
      </c>
      <c r="AP215" s="6">
        <v>0</v>
      </c>
      <c r="AQ215" s="6">
        <v>0</v>
      </c>
      <c r="AR215" s="6">
        <v>1</v>
      </c>
      <c r="AS215" s="6">
        <v>0</v>
      </c>
      <c r="AT215" s="6">
        <v>1</v>
      </c>
      <c r="AU215" s="6">
        <v>1</v>
      </c>
      <c r="AV215" s="6">
        <v>0</v>
      </c>
      <c r="AW215" s="6">
        <v>0</v>
      </c>
      <c r="AX215" s="6">
        <v>0</v>
      </c>
      <c r="AY215" s="6">
        <v>0</v>
      </c>
      <c r="AZ215" s="6">
        <v>1</v>
      </c>
      <c r="BA215" s="6">
        <v>0</v>
      </c>
      <c r="BB215" s="6">
        <v>0</v>
      </c>
      <c r="BC215" s="6">
        <v>0</v>
      </c>
      <c r="BD215" s="6">
        <v>0</v>
      </c>
      <c r="BE215" s="6">
        <v>1</v>
      </c>
      <c r="BF215" s="6">
        <v>2</v>
      </c>
      <c r="BG215" s="6">
        <v>0</v>
      </c>
      <c r="BH215" s="6">
        <v>0</v>
      </c>
      <c r="BI215" s="6">
        <v>0</v>
      </c>
      <c r="BJ215" s="6">
        <v>1</v>
      </c>
      <c r="BK215" s="6">
        <v>0</v>
      </c>
      <c r="BL215" s="5">
        <f>SUM(E215:BK215)</f>
        <v>34</v>
      </c>
      <c r="BM215" s="20"/>
      <c r="BN215" s="20"/>
    </row>
    <row r="216" spans="1:66" x14ac:dyDescent="0.4">
      <c r="A216" s="7"/>
      <c r="B216" s="52"/>
      <c r="C216" s="24" t="s">
        <v>223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1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1</v>
      </c>
      <c r="AM216" s="6">
        <v>0</v>
      </c>
      <c r="AN216" s="6">
        <v>1</v>
      </c>
      <c r="AO216" s="6">
        <v>0</v>
      </c>
      <c r="AP216" s="6">
        <v>0</v>
      </c>
      <c r="AQ216" s="6">
        <v>0</v>
      </c>
      <c r="AR216" s="6">
        <v>1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1</v>
      </c>
      <c r="BG216" s="6">
        <v>0</v>
      </c>
      <c r="BH216" s="6">
        <v>0</v>
      </c>
      <c r="BI216" s="6">
        <v>0</v>
      </c>
      <c r="BJ216" s="6">
        <v>0</v>
      </c>
      <c r="BK216" s="6">
        <v>1</v>
      </c>
      <c r="BL216" s="5">
        <f>SUM(E216:BK216)</f>
        <v>7</v>
      </c>
      <c r="BM216" s="20"/>
      <c r="BN216" s="20"/>
    </row>
    <row r="217" spans="1:66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49"/>
      <c r="BM217" s="20"/>
      <c r="BN217" s="20"/>
    </row>
    <row r="218" spans="1:66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49"/>
      <c r="BM218" s="1"/>
      <c r="BN218" s="1"/>
    </row>
    <row r="219" spans="1:66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49"/>
      <c r="BM219" s="27"/>
      <c r="BN219" s="27"/>
    </row>
    <row r="220" spans="1:66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49"/>
      <c r="BM220" s="20"/>
      <c r="BN220" s="20"/>
    </row>
    <row r="221" spans="1:66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49"/>
      <c r="BM221" s="20"/>
      <c r="BN221" s="20"/>
    </row>
    <row r="222" spans="1:66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49"/>
      <c r="BM222" s="20"/>
      <c r="BN222" s="20"/>
    </row>
    <row r="223" spans="1:66" x14ac:dyDescent="0.4">
      <c r="A223" s="6" t="s">
        <v>26</v>
      </c>
      <c r="B223" s="67" t="s">
        <v>51</v>
      </c>
      <c r="C223" s="68"/>
      <c r="D223" s="69"/>
      <c r="E223" s="5">
        <f t="shared" ref="E223:BL223" si="82">SUM(E213:E222)</f>
        <v>0</v>
      </c>
      <c r="F223" s="5">
        <f t="shared" si="82"/>
        <v>6</v>
      </c>
      <c r="G223" s="5">
        <f t="shared" si="82"/>
        <v>1</v>
      </c>
      <c r="H223" s="5">
        <f t="shared" si="82"/>
        <v>6</v>
      </c>
      <c r="I223" s="5">
        <f t="shared" si="82"/>
        <v>0</v>
      </c>
      <c r="J223" s="5">
        <f t="shared" si="82"/>
        <v>4</v>
      </c>
      <c r="K223" s="5">
        <f t="shared" si="82"/>
        <v>6</v>
      </c>
      <c r="L223" s="5">
        <f t="shared" si="82"/>
        <v>2</v>
      </c>
      <c r="M223" s="5">
        <f t="shared" si="82"/>
        <v>3</v>
      </c>
      <c r="N223" s="5">
        <f t="shared" si="82"/>
        <v>7</v>
      </c>
      <c r="O223" s="5">
        <f t="shared" si="82"/>
        <v>0</v>
      </c>
      <c r="P223" s="5">
        <f t="shared" si="82"/>
        <v>4</v>
      </c>
      <c r="Q223" s="5">
        <f t="shared" si="82"/>
        <v>4</v>
      </c>
      <c r="R223" s="5">
        <f t="shared" si="82"/>
        <v>2</v>
      </c>
      <c r="S223" s="5">
        <f t="shared" si="82"/>
        <v>4</v>
      </c>
      <c r="T223" s="5">
        <f t="shared" si="82"/>
        <v>2</v>
      </c>
      <c r="U223" s="5">
        <f t="shared" si="82"/>
        <v>2</v>
      </c>
      <c r="V223" s="5">
        <f t="shared" si="82"/>
        <v>2</v>
      </c>
      <c r="W223" s="5">
        <f t="shared" si="82"/>
        <v>1</v>
      </c>
      <c r="X223" s="5">
        <f t="shared" si="82"/>
        <v>1</v>
      </c>
      <c r="Y223" s="5">
        <f t="shared" si="82"/>
        <v>0</v>
      </c>
      <c r="Z223" s="5">
        <f t="shared" si="82"/>
        <v>1</v>
      </c>
      <c r="AA223" s="5">
        <f t="shared" si="82"/>
        <v>0</v>
      </c>
      <c r="AB223" s="5">
        <f t="shared" si="82"/>
        <v>0</v>
      </c>
      <c r="AC223" s="5">
        <f t="shared" si="82"/>
        <v>0</v>
      </c>
      <c r="AD223" s="5">
        <f t="shared" si="82"/>
        <v>2</v>
      </c>
      <c r="AE223" s="5">
        <f t="shared" si="82"/>
        <v>2</v>
      </c>
      <c r="AF223" s="5">
        <f t="shared" si="82"/>
        <v>5</v>
      </c>
      <c r="AG223" s="5">
        <f t="shared" si="82"/>
        <v>1</v>
      </c>
      <c r="AH223" s="5">
        <f t="shared" si="82"/>
        <v>4</v>
      </c>
      <c r="AI223" s="5">
        <f t="shared" si="82"/>
        <v>0</v>
      </c>
      <c r="AJ223" s="5">
        <f t="shared" si="82"/>
        <v>3</v>
      </c>
      <c r="AK223" s="5">
        <f t="shared" si="82"/>
        <v>1</v>
      </c>
      <c r="AL223" s="5">
        <f t="shared" si="82"/>
        <v>10</v>
      </c>
      <c r="AM223" s="5">
        <f t="shared" si="82"/>
        <v>9</v>
      </c>
      <c r="AN223" s="5">
        <f t="shared" si="82"/>
        <v>7</v>
      </c>
      <c r="AO223" s="5">
        <f t="shared" si="82"/>
        <v>5</v>
      </c>
      <c r="AP223" s="5">
        <f t="shared" si="82"/>
        <v>1</v>
      </c>
      <c r="AQ223" s="5">
        <f t="shared" si="82"/>
        <v>1</v>
      </c>
      <c r="AR223" s="5">
        <f t="shared" si="82"/>
        <v>3</v>
      </c>
      <c r="AS223" s="5">
        <f t="shared" si="82"/>
        <v>2</v>
      </c>
      <c r="AT223" s="5">
        <f t="shared" si="82"/>
        <v>1</v>
      </c>
      <c r="AU223" s="5">
        <f t="shared" si="82"/>
        <v>2</v>
      </c>
      <c r="AV223" s="5">
        <f t="shared" si="82"/>
        <v>1</v>
      </c>
      <c r="AW223" s="5">
        <f t="shared" si="82"/>
        <v>0</v>
      </c>
      <c r="AX223" s="5">
        <f t="shared" si="82"/>
        <v>3</v>
      </c>
      <c r="AY223" s="5">
        <f t="shared" si="82"/>
        <v>1</v>
      </c>
      <c r="AZ223" s="5">
        <f t="shared" si="82"/>
        <v>3</v>
      </c>
      <c r="BA223" s="5">
        <f t="shared" si="82"/>
        <v>2</v>
      </c>
      <c r="BB223" s="5">
        <f t="shared" si="82"/>
        <v>0</v>
      </c>
      <c r="BC223" s="5">
        <f t="shared" si="82"/>
        <v>3</v>
      </c>
      <c r="BD223" s="5">
        <f t="shared" si="82"/>
        <v>1</v>
      </c>
      <c r="BE223" s="5">
        <f t="shared" si="82"/>
        <v>3</v>
      </c>
      <c r="BF223" s="5">
        <f t="shared" si="82"/>
        <v>4</v>
      </c>
      <c r="BG223" s="5">
        <f t="shared" si="82"/>
        <v>1</v>
      </c>
      <c r="BH223" s="5">
        <f t="shared" si="82"/>
        <v>0</v>
      </c>
      <c r="BI223" s="5">
        <f t="shared" si="82"/>
        <v>1</v>
      </c>
      <c r="BJ223" s="5">
        <f t="shared" si="82"/>
        <v>5</v>
      </c>
      <c r="BK223" s="5">
        <f t="shared" si="82"/>
        <v>4</v>
      </c>
      <c r="BL223" s="5">
        <f t="shared" si="82"/>
        <v>149</v>
      </c>
      <c r="BM223" s="20"/>
      <c r="BN223" s="20"/>
    </row>
    <row r="224" spans="1:66" x14ac:dyDescent="0.4">
      <c r="A224" s="70"/>
      <c r="B224" s="71"/>
      <c r="C224" s="71"/>
      <c r="D224" s="71"/>
      <c r="E224" s="7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20"/>
      <c r="BN224" s="20"/>
    </row>
    <row r="225" spans="1:66" x14ac:dyDescent="0.4">
      <c r="A225" s="11" t="s">
        <v>48</v>
      </c>
      <c r="B225" s="17" t="s">
        <v>77</v>
      </c>
      <c r="C225" s="73" t="s">
        <v>78</v>
      </c>
      <c r="D225" s="74"/>
      <c r="E225" s="6">
        <v>2</v>
      </c>
      <c r="F225" s="6">
        <v>0</v>
      </c>
      <c r="G225" s="6">
        <v>1</v>
      </c>
      <c r="H225" s="6">
        <v>0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1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1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1</v>
      </c>
      <c r="AT225" s="6">
        <v>0</v>
      </c>
      <c r="AU225" s="6">
        <v>0</v>
      </c>
      <c r="AV225" s="6">
        <v>1</v>
      </c>
      <c r="AW225" s="6">
        <v>1</v>
      </c>
      <c r="AX225" s="6">
        <v>0</v>
      </c>
      <c r="AY225" s="6">
        <v>2</v>
      </c>
      <c r="AZ225" s="6">
        <v>0</v>
      </c>
      <c r="BA225" s="6">
        <v>0</v>
      </c>
      <c r="BB225" s="6">
        <v>0</v>
      </c>
      <c r="BC225" s="6">
        <v>1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5">
        <f>SUM(E225:BK225)</f>
        <v>12</v>
      </c>
      <c r="BM225" s="20"/>
      <c r="BN225" s="20"/>
    </row>
    <row r="226" spans="1:66" x14ac:dyDescent="0.4">
      <c r="A226" s="11" t="s">
        <v>50</v>
      </c>
      <c r="B226" s="52"/>
      <c r="C226" s="24" t="s">
        <v>224</v>
      </c>
      <c r="D226" s="50"/>
      <c r="E226" s="6">
        <v>0</v>
      </c>
      <c r="F226" s="6">
        <v>0</v>
      </c>
      <c r="G226" s="6">
        <v>2</v>
      </c>
      <c r="H226" s="6">
        <v>2</v>
      </c>
      <c r="I226" s="6">
        <v>0</v>
      </c>
      <c r="J226" s="6">
        <v>0</v>
      </c>
      <c r="K226" s="6">
        <v>0</v>
      </c>
      <c r="L226" s="6">
        <v>0</v>
      </c>
      <c r="M226" s="6">
        <v>5</v>
      </c>
      <c r="N226" s="6">
        <v>1</v>
      </c>
      <c r="O226" s="6">
        <v>0</v>
      </c>
      <c r="P226" s="6">
        <v>1</v>
      </c>
      <c r="Q226" s="6">
        <v>1</v>
      </c>
      <c r="R226" s="6">
        <v>0</v>
      </c>
      <c r="S226" s="6">
        <v>0</v>
      </c>
      <c r="T226" s="6">
        <v>0</v>
      </c>
      <c r="U226" s="6">
        <v>1</v>
      </c>
      <c r="V226" s="6">
        <v>1</v>
      </c>
      <c r="W226" s="6">
        <v>0</v>
      </c>
      <c r="X226" s="6">
        <v>2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3</v>
      </c>
      <c r="AF226" s="6">
        <v>0</v>
      </c>
      <c r="AG226" s="6">
        <v>2</v>
      </c>
      <c r="AH226" s="6">
        <v>0</v>
      </c>
      <c r="AI226" s="6">
        <v>0</v>
      </c>
      <c r="AJ226" s="6">
        <v>1</v>
      </c>
      <c r="AK226" s="6">
        <v>0</v>
      </c>
      <c r="AL226" s="6">
        <v>0</v>
      </c>
      <c r="AM226" s="6">
        <v>1</v>
      </c>
      <c r="AN226" s="6">
        <v>0</v>
      </c>
      <c r="AO226" s="6">
        <v>0</v>
      </c>
      <c r="AP226" s="6">
        <v>0</v>
      </c>
      <c r="AQ226" s="6">
        <v>2</v>
      </c>
      <c r="AR226" s="6">
        <v>0</v>
      </c>
      <c r="AS226" s="6">
        <v>5</v>
      </c>
      <c r="AT226" s="6">
        <v>2</v>
      </c>
      <c r="AU226" s="6">
        <v>0</v>
      </c>
      <c r="AV226" s="6">
        <v>2</v>
      </c>
      <c r="AW226" s="6">
        <v>0</v>
      </c>
      <c r="AX226" s="6">
        <v>0</v>
      </c>
      <c r="AY226" s="6">
        <v>0</v>
      </c>
      <c r="AZ226" s="6">
        <v>1</v>
      </c>
      <c r="BA226" s="6">
        <v>0</v>
      </c>
      <c r="BB226" s="6">
        <v>0</v>
      </c>
      <c r="BC226" s="6">
        <v>0</v>
      </c>
      <c r="BD226" s="6">
        <v>1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5">
        <f>SUM(E226:BK226)</f>
        <v>36</v>
      </c>
      <c r="BM226" s="20"/>
      <c r="BN226" s="20"/>
    </row>
    <row r="227" spans="1:66" x14ac:dyDescent="0.4">
      <c r="A227" s="7"/>
      <c r="B227" s="52"/>
      <c r="C227" s="24" t="s">
        <v>225</v>
      </c>
      <c r="D227" s="50"/>
      <c r="E227" s="6">
        <v>0</v>
      </c>
      <c r="F227" s="6">
        <v>0</v>
      </c>
      <c r="G227" s="6">
        <v>0</v>
      </c>
      <c r="H227" s="6">
        <v>1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1</v>
      </c>
      <c r="BK227" s="6">
        <v>0</v>
      </c>
      <c r="BL227" s="5">
        <f>SUM(E227:BK227)</f>
        <v>3</v>
      </c>
      <c r="BM227" s="20"/>
      <c r="BN227" s="20"/>
    </row>
    <row r="228" spans="1:66" x14ac:dyDescent="0.4">
      <c r="A228" s="7"/>
      <c r="B228" s="52"/>
      <c r="C228" s="24" t="s">
        <v>226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5">
        <f>SUM(E228:BK228)</f>
        <v>0</v>
      </c>
      <c r="BM228" s="20"/>
      <c r="BN228" s="20"/>
    </row>
    <row r="229" spans="1:66" ht="13.15" customHeight="1" x14ac:dyDescent="0.4">
      <c r="A229" s="7"/>
      <c r="B229" s="52"/>
      <c r="C229" s="24" t="s">
        <v>227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5">
        <f>SUM(E229:BK229)</f>
        <v>0</v>
      </c>
      <c r="BM229" s="1"/>
      <c r="BN229" s="1"/>
    </row>
    <row r="230" spans="1:66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49"/>
      <c r="BM230" s="27"/>
      <c r="BN230" s="27"/>
    </row>
    <row r="231" spans="1:66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49"/>
      <c r="BM231" s="20"/>
      <c r="BN231" s="20"/>
    </row>
    <row r="232" spans="1:66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49"/>
      <c r="BM232" s="20"/>
      <c r="BN232" s="20"/>
    </row>
    <row r="233" spans="1:66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49"/>
      <c r="BM233" s="20"/>
      <c r="BN233" s="20"/>
    </row>
    <row r="234" spans="1:66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49"/>
      <c r="BM234" s="20"/>
      <c r="BN234" s="20"/>
    </row>
    <row r="235" spans="1:66" x14ac:dyDescent="0.4">
      <c r="A235" s="6" t="s">
        <v>26</v>
      </c>
      <c r="B235" s="67" t="s">
        <v>51</v>
      </c>
      <c r="C235" s="68"/>
      <c r="D235" s="69"/>
      <c r="E235" s="5">
        <f t="shared" ref="E235:BL235" si="83">SUM(E225:E234)</f>
        <v>2</v>
      </c>
      <c r="F235" s="5">
        <f t="shared" si="83"/>
        <v>0</v>
      </c>
      <c r="G235" s="5">
        <f t="shared" si="83"/>
        <v>3</v>
      </c>
      <c r="H235" s="5">
        <f t="shared" si="83"/>
        <v>3</v>
      </c>
      <c r="I235" s="5">
        <f t="shared" si="83"/>
        <v>1</v>
      </c>
      <c r="J235" s="5">
        <f t="shared" si="83"/>
        <v>0</v>
      </c>
      <c r="K235" s="5">
        <f t="shared" si="83"/>
        <v>0</v>
      </c>
      <c r="L235" s="5">
        <f t="shared" si="83"/>
        <v>0</v>
      </c>
      <c r="M235" s="5">
        <f t="shared" si="83"/>
        <v>5</v>
      </c>
      <c r="N235" s="5">
        <f t="shared" si="83"/>
        <v>1</v>
      </c>
      <c r="O235" s="5">
        <f t="shared" si="83"/>
        <v>1</v>
      </c>
      <c r="P235" s="5">
        <f t="shared" si="83"/>
        <v>1</v>
      </c>
      <c r="Q235" s="5">
        <f t="shared" si="83"/>
        <v>1</v>
      </c>
      <c r="R235" s="5">
        <f t="shared" si="83"/>
        <v>0</v>
      </c>
      <c r="S235" s="5">
        <f t="shared" si="83"/>
        <v>0</v>
      </c>
      <c r="T235" s="5">
        <f t="shared" si="83"/>
        <v>0</v>
      </c>
      <c r="U235" s="5">
        <f t="shared" si="83"/>
        <v>1</v>
      </c>
      <c r="V235" s="5">
        <f t="shared" si="83"/>
        <v>1</v>
      </c>
      <c r="W235" s="5">
        <f t="shared" si="83"/>
        <v>0</v>
      </c>
      <c r="X235" s="5">
        <f t="shared" si="83"/>
        <v>2</v>
      </c>
      <c r="Y235" s="5">
        <f t="shared" si="83"/>
        <v>0</v>
      </c>
      <c r="Z235" s="5">
        <f t="shared" si="83"/>
        <v>0</v>
      </c>
      <c r="AA235" s="5">
        <f t="shared" si="83"/>
        <v>0</v>
      </c>
      <c r="AB235" s="5">
        <f t="shared" si="83"/>
        <v>0</v>
      </c>
      <c r="AC235" s="5">
        <f t="shared" si="83"/>
        <v>0</v>
      </c>
      <c r="AD235" s="5">
        <f t="shared" si="83"/>
        <v>0</v>
      </c>
      <c r="AE235" s="5">
        <f t="shared" si="83"/>
        <v>3</v>
      </c>
      <c r="AF235" s="5">
        <f t="shared" si="83"/>
        <v>1</v>
      </c>
      <c r="AG235" s="5">
        <f t="shared" si="83"/>
        <v>2</v>
      </c>
      <c r="AH235" s="5">
        <f t="shared" si="83"/>
        <v>0</v>
      </c>
      <c r="AI235" s="5">
        <f t="shared" si="83"/>
        <v>0</v>
      </c>
      <c r="AJ235" s="5">
        <f t="shared" si="83"/>
        <v>1</v>
      </c>
      <c r="AK235" s="5">
        <f t="shared" si="83"/>
        <v>0</v>
      </c>
      <c r="AL235" s="5">
        <f t="shared" si="83"/>
        <v>1</v>
      </c>
      <c r="AM235" s="5">
        <f t="shared" si="83"/>
        <v>1</v>
      </c>
      <c r="AN235" s="5">
        <f t="shared" si="83"/>
        <v>0</v>
      </c>
      <c r="AO235" s="5">
        <f t="shared" si="83"/>
        <v>0</v>
      </c>
      <c r="AP235" s="5">
        <f t="shared" si="83"/>
        <v>0</v>
      </c>
      <c r="AQ235" s="5">
        <f t="shared" si="83"/>
        <v>2</v>
      </c>
      <c r="AR235" s="5">
        <f t="shared" si="83"/>
        <v>0</v>
      </c>
      <c r="AS235" s="5">
        <f t="shared" si="83"/>
        <v>6</v>
      </c>
      <c r="AT235" s="5">
        <f t="shared" si="83"/>
        <v>2</v>
      </c>
      <c r="AU235" s="5">
        <f t="shared" si="83"/>
        <v>0</v>
      </c>
      <c r="AV235" s="5">
        <f t="shared" si="83"/>
        <v>3</v>
      </c>
      <c r="AW235" s="5">
        <f t="shared" si="83"/>
        <v>1</v>
      </c>
      <c r="AX235" s="5">
        <f t="shared" si="83"/>
        <v>0</v>
      </c>
      <c r="AY235" s="5">
        <f t="shared" si="83"/>
        <v>2</v>
      </c>
      <c r="AZ235" s="5">
        <f t="shared" si="83"/>
        <v>1</v>
      </c>
      <c r="BA235" s="5">
        <f t="shared" si="83"/>
        <v>0</v>
      </c>
      <c r="BB235" s="5">
        <f t="shared" si="83"/>
        <v>0</v>
      </c>
      <c r="BC235" s="5">
        <f t="shared" si="83"/>
        <v>1</v>
      </c>
      <c r="BD235" s="5">
        <f t="shared" si="83"/>
        <v>1</v>
      </c>
      <c r="BE235" s="5">
        <f t="shared" si="83"/>
        <v>0</v>
      </c>
      <c r="BF235" s="5">
        <f t="shared" si="83"/>
        <v>0</v>
      </c>
      <c r="BG235" s="5">
        <f t="shared" si="83"/>
        <v>0</v>
      </c>
      <c r="BH235" s="5">
        <f t="shared" si="83"/>
        <v>0</v>
      </c>
      <c r="BI235" s="5">
        <f t="shared" si="83"/>
        <v>0</v>
      </c>
      <c r="BJ235" s="5">
        <f t="shared" si="83"/>
        <v>1</v>
      </c>
      <c r="BK235" s="5">
        <f t="shared" si="83"/>
        <v>0</v>
      </c>
      <c r="BL235" s="5">
        <f t="shared" si="83"/>
        <v>51</v>
      </c>
      <c r="BM235" s="20"/>
      <c r="BN235" s="20"/>
    </row>
    <row r="236" spans="1:66" x14ac:dyDescent="0.4">
      <c r="A236" s="70"/>
      <c r="B236" s="71"/>
      <c r="C236" s="71"/>
      <c r="D236" s="71"/>
      <c r="E236" s="7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20"/>
      <c r="BN236" s="20"/>
    </row>
    <row r="237" spans="1:66" x14ac:dyDescent="0.4">
      <c r="A237" s="11" t="s">
        <v>48</v>
      </c>
      <c r="B237" s="17" t="s">
        <v>79</v>
      </c>
      <c r="C237" s="73" t="s">
        <v>80</v>
      </c>
      <c r="D237" s="74"/>
      <c r="E237" s="6">
        <v>1</v>
      </c>
      <c r="F237" s="6">
        <v>2</v>
      </c>
      <c r="G237" s="6">
        <v>0</v>
      </c>
      <c r="H237" s="6">
        <v>0</v>
      </c>
      <c r="I237" s="6">
        <v>2</v>
      </c>
      <c r="J237" s="6">
        <v>1</v>
      </c>
      <c r="K237" s="6">
        <v>3</v>
      </c>
      <c r="L237" s="6">
        <v>1</v>
      </c>
      <c r="M237" s="6">
        <v>0</v>
      </c>
      <c r="N237" s="6">
        <v>0</v>
      </c>
      <c r="O237" s="6">
        <v>1</v>
      </c>
      <c r="P237" s="6">
        <v>1</v>
      </c>
      <c r="Q237" s="6">
        <v>0</v>
      </c>
      <c r="R237" s="6">
        <v>0</v>
      </c>
      <c r="S237" s="6">
        <v>3</v>
      </c>
      <c r="T237" s="6">
        <v>13</v>
      </c>
      <c r="U237" s="6">
        <v>2</v>
      </c>
      <c r="V237" s="6">
        <v>0</v>
      </c>
      <c r="W237" s="6">
        <v>0</v>
      </c>
      <c r="X237" s="6">
        <v>4</v>
      </c>
      <c r="Y237" s="6">
        <v>5</v>
      </c>
      <c r="Z237" s="6">
        <v>1</v>
      </c>
      <c r="AA237" s="6">
        <v>3</v>
      </c>
      <c r="AB237" s="6">
        <v>1</v>
      </c>
      <c r="AC237" s="6">
        <v>1</v>
      </c>
      <c r="AD237" s="6">
        <v>2</v>
      </c>
      <c r="AE237" s="6">
        <v>0</v>
      </c>
      <c r="AF237" s="6">
        <v>0</v>
      </c>
      <c r="AG237" s="6">
        <v>1</v>
      </c>
      <c r="AH237" s="6">
        <v>0</v>
      </c>
      <c r="AI237" s="6">
        <v>1</v>
      </c>
      <c r="AJ237" s="6">
        <v>2</v>
      </c>
      <c r="AK237" s="6">
        <v>6</v>
      </c>
      <c r="AL237" s="6">
        <v>3</v>
      </c>
      <c r="AM237" s="6">
        <v>1</v>
      </c>
      <c r="AN237" s="6">
        <v>2</v>
      </c>
      <c r="AO237" s="6">
        <v>1</v>
      </c>
      <c r="AP237" s="6">
        <v>0</v>
      </c>
      <c r="AQ237" s="6">
        <v>0</v>
      </c>
      <c r="AR237" s="6">
        <v>0</v>
      </c>
      <c r="AS237" s="6">
        <v>1</v>
      </c>
      <c r="AT237" s="6">
        <v>1</v>
      </c>
      <c r="AU237" s="6">
        <v>0</v>
      </c>
      <c r="AV237" s="6">
        <v>0</v>
      </c>
      <c r="AW237" s="6">
        <v>0</v>
      </c>
      <c r="AX237" s="6">
        <v>1</v>
      </c>
      <c r="AY237" s="6">
        <v>0</v>
      </c>
      <c r="AZ237" s="6">
        <v>2</v>
      </c>
      <c r="BA237" s="6">
        <v>0</v>
      </c>
      <c r="BB237" s="6">
        <v>1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3</v>
      </c>
      <c r="BL237" s="5">
        <f t="shared" ref="BL237:BL247" si="84">SUM(E237:BK237)</f>
        <v>73</v>
      </c>
      <c r="BM237" s="20"/>
      <c r="BN237" s="20"/>
    </row>
    <row r="238" spans="1:66" x14ac:dyDescent="0.4">
      <c r="A238" s="11" t="s">
        <v>50</v>
      </c>
      <c r="B238" s="52"/>
      <c r="C238" s="24" t="s">
        <v>228</v>
      </c>
      <c r="D238" s="50"/>
      <c r="E238" s="6">
        <v>0</v>
      </c>
      <c r="F238" s="6">
        <v>2</v>
      </c>
      <c r="G238" s="6">
        <v>1</v>
      </c>
      <c r="H238" s="6">
        <v>0</v>
      </c>
      <c r="I238" s="6">
        <v>1</v>
      </c>
      <c r="J238" s="6">
        <v>6</v>
      </c>
      <c r="K238" s="6">
        <v>8</v>
      </c>
      <c r="L238" s="6">
        <v>11</v>
      </c>
      <c r="M238" s="6">
        <v>2</v>
      </c>
      <c r="N238" s="6">
        <v>3</v>
      </c>
      <c r="O238" s="6">
        <v>1</v>
      </c>
      <c r="P238" s="6">
        <v>1</v>
      </c>
      <c r="Q238" s="6">
        <v>1</v>
      </c>
      <c r="R238" s="6">
        <v>15</v>
      </c>
      <c r="S238" s="6">
        <v>11</v>
      </c>
      <c r="T238" s="6">
        <v>28</v>
      </c>
      <c r="U238" s="6">
        <v>2</v>
      </c>
      <c r="V238" s="6">
        <v>0</v>
      </c>
      <c r="W238" s="6">
        <v>6</v>
      </c>
      <c r="X238" s="6">
        <v>3</v>
      </c>
      <c r="Y238" s="6">
        <v>7</v>
      </c>
      <c r="Z238" s="6">
        <v>5</v>
      </c>
      <c r="AA238" s="6">
        <v>1</v>
      </c>
      <c r="AB238" s="6">
        <v>6</v>
      </c>
      <c r="AC238" s="6">
        <v>2</v>
      </c>
      <c r="AD238" s="6">
        <v>2</v>
      </c>
      <c r="AE238" s="6">
        <v>1</v>
      </c>
      <c r="AF238" s="6">
        <v>0</v>
      </c>
      <c r="AG238" s="6">
        <v>0</v>
      </c>
      <c r="AH238" s="6">
        <v>0</v>
      </c>
      <c r="AI238" s="6">
        <v>1</v>
      </c>
      <c r="AJ238" s="6">
        <v>1</v>
      </c>
      <c r="AK238" s="6">
        <v>6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1</v>
      </c>
      <c r="AT238" s="6">
        <v>2</v>
      </c>
      <c r="AU238" s="6">
        <v>0</v>
      </c>
      <c r="AV238" s="6">
        <v>0</v>
      </c>
      <c r="AW238" s="6">
        <v>0</v>
      </c>
      <c r="AX238" s="6">
        <v>1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1</v>
      </c>
      <c r="BF238" s="6">
        <v>0</v>
      </c>
      <c r="BG238" s="6">
        <v>0</v>
      </c>
      <c r="BH238" s="6">
        <v>0</v>
      </c>
      <c r="BI238" s="6">
        <v>0</v>
      </c>
      <c r="BJ238" s="6">
        <v>3</v>
      </c>
      <c r="BK238" s="6">
        <v>5</v>
      </c>
      <c r="BL238" s="5">
        <f t="shared" si="84"/>
        <v>147</v>
      </c>
      <c r="BM238" s="20"/>
      <c r="BN238" s="20"/>
    </row>
    <row r="239" spans="1:66" x14ac:dyDescent="0.4">
      <c r="A239" s="7"/>
      <c r="B239" s="52"/>
      <c r="C239" s="24" t="s">
        <v>229</v>
      </c>
      <c r="D239" s="50"/>
      <c r="E239" s="6">
        <v>0</v>
      </c>
      <c r="F239" s="6">
        <v>1</v>
      </c>
      <c r="G239" s="6">
        <v>0</v>
      </c>
      <c r="H239" s="6">
        <v>0</v>
      </c>
      <c r="I239" s="6">
        <v>0</v>
      </c>
      <c r="J239" s="6">
        <v>1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4</v>
      </c>
      <c r="R239" s="6">
        <v>0</v>
      </c>
      <c r="S239" s="6">
        <v>2</v>
      </c>
      <c r="T239" s="6">
        <v>0</v>
      </c>
      <c r="U239" s="6">
        <v>1</v>
      </c>
      <c r="V239" s="6">
        <v>1</v>
      </c>
      <c r="W239" s="6">
        <v>2</v>
      </c>
      <c r="X239" s="6">
        <v>2</v>
      </c>
      <c r="Y239" s="6">
        <v>3</v>
      </c>
      <c r="Z239" s="6">
        <v>0</v>
      </c>
      <c r="AA239" s="6">
        <v>1</v>
      </c>
      <c r="AB239" s="6">
        <v>0</v>
      </c>
      <c r="AC239" s="6">
        <v>0</v>
      </c>
      <c r="AD239" s="6">
        <v>1</v>
      </c>
      <c r="AE239" s="6">
        <v>0</v>
      </c>
      <c r="AF239" s="6">
        <v>1</v>
      </c>
      <c r="AG239" s="6">
        <v>0</v>
      </c>
      <c r="AH239" s="6">
        <v>0</v>
      </c>
      <c r="AI239" s="6">
        <v>0</v>
      </c>
      <c r="AJ239" s="6">
        <v>1</v>
      </c>
      <c r="AK239" s="6">
        <v>2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2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1</v>
      </c>
      <c r="BK239" s="6">
        <v>0</v>
      </c>
      <c r="BL239" s="5">
        <f t="shared" si="84"/>
        <v>26</v>
      </c>
      <c r="BM239" s="20"/>
      <c r="BN239" s="20"/>
    </row>
    <row r="240" spans="1:66" ht="13.15" customHeight="1" x14ac:dyDescent="0.4">
      <c r="A240" s="7"/>
      <c r="B240" s="52"/>
      <c r="C240" s="24" t="s">
        <v>230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1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1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5">
        <f t="shared" si="84"/>
        <v>2</v>
      </c>
      <c r="BM240" s="1"/>
      <c r="BN240" s="1"/>
    </row>
    <row r="241" spans="1:64" x14ac:dyDescent="0.4">
      <c r="A241" s="7"/>
      <c r="B241" s="52"/>
      <c r="C241" s="24" t="s">
        <v>231</v>
      </c>
      <c r="D241" s="50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2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1</v>
      </c>
      <c r="Y241" s="6">
        <v>1</v>
      </c>
      <c r="Z241" s="6">
        <v>1</v>
      </c>
      <c r="AA241" s="6">
        <v>0</v>
      </c>
      <c r="AB241" s="6">
        <v>0</v>
      </c>
      <c r="AC241" s="6">
        <v>0</v>
      </c>
      <c r="AD241" s="6">
        <v>1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1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5">
        <f t="shared" si="84"/>
        <v>7</v>
      </c>
    </row>
    <row r="242" spans="1:64" ht="12.75" customHeight="1" x14ac:dyDescent="0.4">
      <c r="A242" s="7"/>
      <c r="B242" s="52"/>
      <c r="C242" s="24" t="s">
        <v>232</v>
      </c>
      <c r="D242" s="50"/>
      <c r="E242" s="6">
        <v>3</v>
      </c>
      <c r="F242" s="6">
        <v>0</v>
      </c>
      <c r="G242" s="6">
        <v>13</v>
      </c>
      <c r="H242" s="6">
        <v>1</v>
      </c>
      <c r="I242" s="6">
        <v>8</v>
      </c>
      <c r="J242" s="6">
        <v>5</v>
      </c>
      <c r="K242" s="6">
        <v>1</v>
      </c>
      <c r="L242" s="6">
        <v>1</v>
      </c>
      <c r="M242" s="6">
        <v>1</v>
      </c>
      <c r="N242" s="6">
        <v>1</v>
      </c>
      <c r="O242" s="6">
        <v>0</v>
      </c>
      <c r="P242" s="6">
        <v>1</v>
      </c>
      <c r="Q242" s="6">
        <v>4</v>
      </c>
      <c r="R242" s="6">
        <v>40</v>
      </c>
      <c r="S242" s="6">
        <v>5</v>
      </c>
      <c r="T242" s="6">
        <v>1</v>
      </c>
      <c r="U242" s="6">
        <v>2</v>
      </c>
      <c r="V242" s="6">
        <v>1</v>
      </c>
      <c r="W242" s="6">
        <v>8</v>
      </c>
      <c r="X242" s="6">
        <v>0</v>
      </c>
      <c r="Y242" s="6">
        <v>3</v>
      </c>
      <c r="Z242" s="6">
        <v>0</v>
      </c>
      <c r="AA242" s="6">
        <v>1</v>
      </c>
      <c r="AB242" s="6">
        <v>0</v>
      </c>
      <c r="AC242" s="6">
        <v>0</v>
      </c>
      <c r="AD242" s="6">
        <v>6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2</v>
      </c>
      <c r="AL242" s="6">
        <v>0</v>
      </c>
      <c r="AM242" s="6">
        <v>0</v>
      </c>
      <c r="AN242" s="6">
        <v>1</v>
      </c>
      <c r="AO242" s="6">
        <v>1</v>
      </c>
      <c r="AP242" s="6">
        <v>0</v>
      </c>
      <c r="AQ242" s="6">
        <v>1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2</v>
      </c>
      <c r="BC242" s="6">
        <v>0</v>
      </c>
      <c r="BD242" s="6">
        <v>0</v>
      </c>
      <c r="BE242" s="6">
        <v>0</v>
      </c>
      <c r="BF242" s="6">
        <v>1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5">
        <f t="shared" si="84"/>
        <v>114</v>
      </c>
    </row>
    <row r="243" spans="1:64" x14ac:dyDescent="0.4">
      <c r="A243" s="7"/>
      <c r="B243" s="52"/>
      <c r="C243" s="24" t="s">
        <v>233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1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5">
        <f t="shared" si="84"/>
        <v>1</v>
      </c>
    </row>
    <row r="244" spans="1:64" x14ac:dyDescent="0.4">
      <c r="A244" s="7"/>
      <c r="B244" s="52"/>
      <c r="C244" s="24" t="s">
        <v>234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1</v>
      </c>
      <c r="Q244" s="6">
        <v>0</v>
      </c>
      <c r="R244" s="6">
        <v>0</v>
      </c>
      <c r="S244" s="6">
        <v>1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1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1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5">
        <f t="shared" si="84"/>
        <v>4</v>
      </c>
    </row>
    <row r="245" spans="1:64" x14ac:dyDescent="0.4">
      <c r="A245" s="7"/>
      <c r="B245" s="52"/>
      <c r="C245" s="24" t="s">
        <v>235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1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1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1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5">
        <f t="shared" si="84"/>
        <v>3</v>
      </c>
    </row>
    <row r="246" spans="1:64" x14ac:dyDescent="0.4">
      <c r="A246" s="7"/>
      <c r="B246" s="52"/>
      <c r="C246" s="24" t="s">
        <v>236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1</v>
      </c>
      <c r="J246" s="6">
        <v>0</v>
      </c>
      <c r="K246" s="6">
        <v>0</v>
      </c>
      <c r="L246" s="6">
        <v>1</v>
      </c>
      <c r="M246" s="6">
        <v>1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1</v>
      </c>
      <c r="U246" s="6">
        <v>0</v>
      </c>
      <c r="V246" s="6">
        <v>0</v>
      </c>
      <c r="W246" s="6">
        <v>0</v>
      </c>
      <c r="X246" s="6">
        <v>1</v>
      </c>
      <c r="Y246" s="6">
        <v>0</v>
      </c>
      <c r="Z246" s="6">
        <v>0</v>
      </c>
      <c r="AA246" s="6">
        <v>0</v>
      </c>
      <c r="AB246" s="6">
        <v>0</v>
      </c>
      <c r="AC246" s="6">
        <v>1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1</v>
      </c>
      <c r="AL246" s="6">
        <v>0</v>
      </c>
      <c r="AM246" s="6">
        <v>0</v>
      </c>
      <c r="AN246" s="6">
        <v>1</v>
      </c>
      <c r="AO246" s="6">
        <v>0</v>
      </c>
      <c r="AP246" s="6">
        <v>2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5">
        <f t="shared" si="84"/>
        <v>10</v>
      </c>
    </row>
    <row r="247" spans="1:64" ht="12.75" customHeight="1" x14ac:dyDescent="0.4">
      <c r="A247" s="6" t="s">
        <v>26</v>
      </c>
      <c r="B247" s="67" t="s">
        <v>51</v>
      </c>
      <c r="C247" s="68"/>
      <c r="D247" s="69"/>
      <c r="E247" s="5">
        <f t="shared" ref="E247:BL247" si="85">SUM(E237:E246)</f>
        <v>4</v>
      </c>
      <c r="F247" s="5">
        <f t="shared" si="85"/>
        <v>5</v>
      </c>
      <c r="G247" s="5">
        <f t="shared" si="85"/>
        <v>14</v>
      </c>
      <c r="H247" s="5">
        <f t="shared" si="85"/>
        <v>1</v>
      </c>
      <c r="I247" s="5">
        <f t="shared" si="85"/>
        <v>13</v>
      </c>
      <c r="J247" s="5">
        <f t="shared" si="85"/>
        <v>13</v>
      </c>
      <c r="K247" s="5">
        <f t="shared" si="85"/>
        <v>12</v>
      </c>
      <c r="L247" s="5">
        <f t="shared" si="85"/>
        <v>16</v>
      </c>
      <c r="M247" s="5">
        <f t="shared" si="85"/>
        <v>4</v>
      </c>
      <c r="N247" s="5">
        <f t="shared" si="85"/>
        <v>4</v>
      </c>
      <c r="O247" s="5">
        <f t="shared" si="85"/>
        <v>2</v>
      </c>
      <c r="P247" s="5">
        <f t="shared" si="85"/>
        <v>4</v>
      </c>
      <c r="Q247" s="5">
        <f t="shared" si="85"/>
        <v>9</v>
      </c>
      <c r="R247" s="5">
        <f t="shared" si="85"/>
        <v>56</v>
      </c>
      <c r="S247" s="5">
        <f t="shared" si="85"/>
        <v>23</v>
      </c>
      <c r="T247" s="5">
        <f t="shared" si="85"/>
        <v>43</v>
      </c>
      <c r="U247" s="5">
        <f t="shared" si="85"/>
        <v>7</v>
      </c>
      <c r="V247" s="5">
        <f t="shared" si="85"/>
        <v>2</v>
      </c>
      <c r="W247" s="5">
        <f t="shared" si="85"/>
        <v>16</v>
      </c>
      <c r="X247" s="5">
        <f t="shared" si="85"/>
        <v>11</v>
      </c>
      <c r="Y247" s="5">
        <f t="shared" si="85"/>
        <v>19</v>
      </c>
      <c r="Z247" s="5">
        <f t="shared" si="85"/>
        <v>7</v>
      </c>
      <c r="AA247" s="5">
        <f t="shared" si="85"/>
        <v>6</v>
      </c>
      <c r="AB247" s="5">
        <f t="shared" si="85"/>
        <v>7</v>
      </c>
      <c r="AC247" s="5">
        <f t="shared" si="85"/>
        <v>4</v>
      </c>
      <c r="AD247" s="5">
        <f t="shared" si="85"/>
        <v>12</v>
      </c>
      <c r="AE247" s="5">
        <f t="shared" si="85"/>
        <v>1</v>
      </c>
      <c r="AF247" s="5">
        <f t="shared" si="85"/>
        <v>1</v>
      </c>
      <c r="AG247" s="5">
        <f t="shared" si="85"/>
        <v>1</v>
      </c>
      <c r="AH247" s="5">
        <f t="shared" si="85"/>
        <v>0</v>
      </c>
      <c r="AI247" s="5">
        <f t="shared" si="85"/>
        <v>2</v>
      </c>
      <c r="AJ247" s="5">
        <f t="shared" si="85"/>
        <v>5</v>
      </c>
      <c r="AK247" s="5">
        <f t="shared" si="85"/>
        <v>18</v>
      </c>
      <c r="AL247" s="5">
        <f t="shared" si="85"/>
        <v>3</v>
      </c>
      <c r="AM247" s="5">
        <f t="shared" si="85"/>
        <v>1</v>
      </c>
      <c r="AN247" s="5">
        <f t="shared" si="85"/>
        <v>4</v>
      </c>
      <c r="AO247" s="5">
        <f t="shared" si="85"/>
        <v>2</v>
      </c>
      <c r="AP247" s="5">
        <f t="shared" si="85"/>
        <v>2</v>
      </c>
      <c r="AQ247" s="5">
        <f t="shared" si="85"/>
        <v>3</v>
      </c>
      <c r="AR247" s="5">
        <f t="shared" si="85"/>
        <v>0</v>
      </c>
      <c r="AS247" s="5">
        <f t="shared" si="85"/>
        <v>2</v>
      </c>
      <c r="AT247" s="5">
        <f t="shared" si="85"/>
        <v>3</v>
      </c>
      <c r="AU247" s="5">
        <f t="shared" si="85"/>
        <v>1</v>
      </c>
      <c r="AV247" s="5">
        <f t="shared" si="85"/>
        <v>0</v>
      </c>
      <c r="AW247" s="5">
        <f t="shared" si="85"/>
        <v>1</v>
      </c>
      <c r="AX247" s="5">
        <f t="shared" si="85"/>
        <v>2</v>
      </c>
      <c r="AY247" s="5">
        <f t="shared" si="85"/>
        <v>0</v>
      </c>
      <c r="AZ247" s="5">
        <f t="shared" si="85"/>
        <v>2</v>
      </c>
      <c r="BA247" s="5">
        <f t="shared" si="85"/>
        <v>0</v>
      </c>
      <c r="BB247" s="5">
        <f t="shared" si="85"/>
        <v>3</v>
      </c>
      <c r="BC247" s="5">
        <f t="shared" si="85"/>
        <v>1</v>
      </c>
      <c r="BD247" s="5">
        <f t="shared" si="85"/>
        <v>1</v>
      </c>
      <c r="BE247" s="5">
        <f t="shared" si="85"/>
        <v>1</v>
      </c>
      <c r="BF247" s="5">
        <f t="shared" si="85"/>
        <v>1</v>
      </c>
      <c r="BG247" s="5">
        <f t="shared" si="85"/>
        <v>0</v>
      </c>
      <c r="BH247" s="5">
        <f t="shared" si="85"/>
        <v>0</v>
      </c>
      <c r="BI247" s="5">
        <f t="shared" si="85"/>
        <v>0</v>
      </c>
      <c r="BJ247" s="5">
        <f t="shared" si="85"/>
        <v>4</v>
      </c>
      <c r="BK247" s="5">
        <f t="shared" si="85"/>
        <v>8</v>
      </c>
      <c r="BL247" s="5">
        <f t="shared" si="85"/>
        <v>387</v>
      </c>
    </row>
    <row r="248" spans="1:64" x14ac:dyDescent="0.4">
      <c r="A248" s="70"/>
      <c r="B248" s="71"/>
      <c r="C248" s="71"/>
      <c r="D248" s="71"/>
      <c r="E248" s="72"/>
    </row>
    <row r="249" spans="1:64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2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6">
        <v>1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1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1</v>
      </c>
      <c r="AS249" s="6">
        <v>0</v>
      </c>
      <c r="AT249" s="6">
        <v>0</v>
      </c>
      <c r="AU249" s="6">
        <v>1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1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5">
        <f>SUM(E249:BK249)</f>
        <v>8</v>
      </c>
    </row>
    <row r="250" spans="1:64" x14ac:dyDescent="0.4">
      <c r="A250" s="11" t="s">
        <v>50</v>
      </c>
      <c r="B250" s="52"/>
      <c r="C250" s="24" t="s">
        <v>237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2</v>
      </c>
      <c r="T250" s="6">
        <v>0</v>
      </c>
      <c r="U250" s="6">
        <v>0</v>
      </c>
      <c r="V250" s="6">
        <v>0</v>
      </c>
      <c r="W250" s="6">
        <v>0</v>
      </c>
      <c r="X250" s="6">
        <v>1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1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1</v>
      </c>
      <c r="AP250" s="6">
        <v>5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1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5">
        <f>SUM(E250:BK250)</f>
        <v>11</v>
      </c>
    </row>
    <row r="251" spans="1:64" x14ac:dyDescent="0.4">
      <c r="A251" s="7"/>
      <c r="B251" s="52"/>
      <c r="C251" s="24" t="s">
        <v>238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2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5">
        <f>SUM(E251:BK251)</f>
        <v>2</v>
      </c>
    </row>
    <row r="252" spans="1:64" x14ac:dyDescent="0.4">
      <c r="A252" s="7"/>
      <c r="B252" s="52"/>
      <c r="C252" s="24" t="s">
        <v>239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1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1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1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5">
        <f>SUM(E252:BK252)</f>
        <v>3</v>
      </c>
    </row>
    <row r="253" spans="1:64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49"/>
    </row>
    <row r="254" spans="1:64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49"/>
    </row>
    <row r="255" spans="1:64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49"/>
    </row>
    <row r="256" spans="1:64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49"/>
    </row>
    <row r="257" spans="1:64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49"/>
    </row>
    <row r="258" spans="1:64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49"/>
    </row>
    <row r="259" spans="1:64" x14ac:dyDescent="0.4">
      <c r="A259" s="6" t="s">
        <v>26</v>
      </c>
      <c r="B259" s="67" t="s">
        <v>51</v>
      </c>
      <c r="C259" s="68"/>
      <c r="D259" s="69"/>
      <c r="E259" s="5">
        <f t="shared" ref="E259:BL259" si="86">SUM(E249:E258)</f>
        <v>0</v>
      </c>
      <c r="F259" s="5">
        <f t="shared" si="86"/>
        <v>0</v>
      </c>
      <c r="G259" s="5">
        <f t="shared" si="86"/>
        <v>0</v>
      </c>
      <c r="H259" s="5">
        <f t="shared" si="86"/>
        <v>0</v>
      </c>
      <c r="I259" s="5">
        <f t="shared" si="86"/>
        <v>2</v>
      </c>
      <c r="J259" s="5">
        <f t="shared" si="86"/>
        <v>0</v>
      </c>
      <c r="K259" s="5">
        <f t="shared" si="86"/>
        <v>0</v>
      </c>
      <c r="L259" s="5">
        <f t="shared" si="86"/>
        <v>0</v>
      </c>
      <c r="M259" s="5">
        <f t="shared" si="86"/>
        <v>0</v>
      </c>
      <c r="N259" s="5">
        <f t="shared" si="86"/>
        <v>0</v>
      </c>
      <c r="O259" s="5">
        <f t="shared" si="86"/>
        <v>0</v>
      </c>
      <c r="P259" s="5">
        <f t="shared" si="86"/>
        <v>0</v>
      </c>
      <c r="Q259" s="5">
        <f t="shared" si="86"/>
        <v>0</v>
      </c>
      <c r="R259" s="5">
        <f t="shared" si="86"/>
        <v>0</v>
      </c>
      <c r="S259" s="5">
        <f t="shared" si="86"/>
        <v>4</v>
      </c>
      <c r="T259" s="5">
        <f t="shared" si="86"/>
        <v>0</v>
      </c>
      <c r="U259" s="5">
        <f t="shared" si="86"/>
        <v>0</v>
      </c>
      <c r="V259" s="5">
        <f t="shared" si="86"/>
        <v>1</v>
      </c>
      <c r="W259" s="5">
        <f t="shared" si="86"/>
        <v>0</v>
      </c>
      <c r="X259" s="5">
        <f t="shared" si="86"/>
        <v>1</v>
      </c>
      <c r="Y259" s="5">
        <f t="shared" si="86"/>
        <v>0</v>
      </c>
      <c r="Z259" s="5">
        <f t="shared" si="86"/>
        <v>0</v>
      </c>
      <c r="AA259" s="5">
        <f t="shared" si="86"/>
        <v>0</v>
      </c>
      <c r="AB259" s="5">
        <f t="shared" si="86"/>
        <v>0</v>
      </c>
      <c r="AC259" s="5">
        <f t="shared" si="86"/>
        <v>0</v>
      </c>
      <c r="AD259" s="5">
        <f t="shared" si="86"/>
        <v>1</v>
      </c>
      <c r="AE259" s="5">
        <f t="shared" si="86"/>
        <v>0</v>
      </c>
      <c r="AF259" s="5">
        <f t="shared" si="86"/>
        <v>1</v>
      </c>
      <c r="AG259" s="5">
        <f t="shared" si="86"/>
        <v>0</v>
      </c>
      <c r="AH259" s="5">
        <f t="shared" si="86"/>
        <v>0</v>
      </c>
      <c r="AI259" s="5">
        <f t="shared" si="86"/>
        <v>0</v>
      </c>
      <c r="AJ259" s="5">
        <f t="shared" si="86"/>
        <v>0</v>
      </c>
      <c r="AK259" s="5">
        <f t="shared" si="86"/>
        <v>0</v>
      </c>
      <c r="AL259" s="5">
        <f t="shared" si="86"/>
        <v>0</v>
      </c>
      <c r="AM259" s="5">
        <f t="shared" si="86"/>
        <v>0</v>
      </c>
      <c r="AN259" s="5">
        <f t="shared" si="86"/>
        <v>0</v>
      </c>
      <c r="AO259" s="5">
        <f t="shared" si="86"/>
        <v>1</v>
      </c>
      <c r="AP259" s="5">
        <f t="shared" si="86"/>
        <v>8</v>
      </c>
      <c r="AQ259" s="5">
        <f t="shared" si="86"/>
        <v>0</v>
      </c>
      <c r="AR259" s="5">
        <f t="shared" si="86"/>
        <v>1</v>
      </c>
      <c r="AS259" s="5">
        <f t="shared" si="86"/>
        <v>0</v>
      </c>
      <c r="AT259" s="5">
        <f t="shared" si="86"/>
        <v>0</v>
      </c>
      <c r="AU259" s="5">
        <f t="shared" si="86"/>
        <v>1</v>
      </c>
      <c r="AV259" s="5">
        <f t="shared" si="86"/>
        <v>0</v>
      </c>
      <c r="AW259" s="5">
        <f t="shared" si="86"/>
        <v>0</v>
      </c>
      <c r="AX259" s="5">
        <f t="shared" si="86"/>
        <v>0</v>
      </c>
      <c r="AY259" s="5">
        <f t="shared" si="86"/>
        <v>0</v>
      </c>
      <c r="AZ259" s="5">
        <f t="shared" si="86"/>
        <v>0</v>
      </c>
      <c r="BA259" s="5">
        <f t="shared" si="86"/>
        <v>0</v>
      </c>
      <c r="BB259" s="5">
        <f t="shared" si="86"/>
        <v>0</v>
      </c>
      <c r="BC259" s="5">
        <f t="shared" si="86"/>
        <v>0</v>
      </c>
      <c r="BD259" s="5">
        <f t="shared" si="86"/>
        <v>0</v>
      </c>
      <c r="BE259" s="5">
        <f t="shared" si="86"/>
        <v>2</v>
      </c>
      <c r="BF259" s="5">
        <f t="shared" si="86"/>
        <v>1</v>
      </c>
      <c r="BG259" s="5">
        <f t="shared" si="86"/>
        <v>0</v>
      </c>
      <c r="BH259" s="5">
        <f t="shared" si="86"/>
        <v>0</v>
      </c>
      <c r="BI259" s="5">
        <f t="shared" si="86"/>
        <v>0</v>
      </c>
      <c r="BJ259" s="5">
        <f t="shared" si="86"/>
        <v>0</v>
      </c>
      <c r="BK259" s="5">
        <f t="shared" si="86"/>
        <v>0</v>
      </c>
      <c r="BL259" s="5">
        <f t="shared" si="86"/>
        <v>24</v>
      </c>
    </row>
    <row r="261" spans="1:64" x14ac:dyDescent="0.4">
      <c r="A261" s="16" t="s">
        <v>83</v>
      </c>
      <c r="B261" s="75" t="s">
        <v>84</v>
      </c>
      <c r="C261" s="76"/>
      <c r="D261" s="7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  <c r="AF261" s="5"/>
      <c r="AG261" s="5"/>
      <c r="AH261" s="15"/>
      <c r="AI261" s="5"/>
      <c r="AJ261" s="5"/>
      <c r="AK261" s="5"/>
      <c r="AL261" s="5"/>
      <c r="AM261" s="15"/>
      <c r="AN261" s="5"/>
      <c r="AO261" s="5"/>
      <c r="AP261" s="5"/>
      <c r="AQ261" s="5"/>
      <c r="AR261" s="15"/>
      <c r="AS261" s="5"/>
      <c r="AT261" s="5"/>
      <c r="AU261" s="5"/>
      <c r="AV261" s="5"/>
      <c r="AW261" s="15"/>
      <c r="AX261" s="5"/>
      <c r="AY261" s="5"/>
      <c r="AZ261" s="5"/>
      <c r="BA261" s="5"/>
      <c r="BB261" s="15"/>
      <c r="BC261" s="5"/>
      <c r="BD261" s="5"/>
      <c r="BE261" s="5"/>
      <c r="BF261" s="5"/>
      <c r="BG261" s="15"/>
      <c r="BH261" s="5"/>
      <c r="BI261" s="5"/>
      <c r="BJ261" s="5"/>
      <c r="BK261" s="5"/>
      <c r="BL261" s="5"/>
    </row>
    <row r="262" spans="1:64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167</v>
      </c>
      <c r="F262" s="6">
        <f t="shared" ref="F262:BK262" si="87">F55+F67+F79+F91+F103+F115+F127+F139+F151+F163+F175+F187+F199+F211+F223+F235+F247+F259</f>
        <v>169</v>
      </c>
      <c r="G262" s="6">
        <f t="shared" si="87"/>
        <v>160</v>
      </c>
      <c r="H262" s="6">
        <f t="shared" si="87"/>
        <v>144</v>
      </c>
      <c r="I262" s="6">
        <f t="shared" si="87"/>
        <v>197</v>
      </c>
      <c r="J262" s="6">
        <f t="shared" si="87"/>
        <v>177</v>
      </c>
      <c r="K262" s="6">
        <f t="shared" si="87"/>
        <v>172</v>
      </c>
      <c r="L262" s="6">
        <f t="shared" si="87"/>
        <v>193</v>
      </c>
      <c r="M262" s="6">
        <f t="shared" si="87"/>
        <v>220</v>
      </c>
      <c r="N262" s="6">
        <f t="shared" si="87"/>
        <v>109</v>
      </c>
      <c r="O262" s="6">
        <f t="shared" ref="O262:S262" si="88">O55+O67+O79+O91+O103+O115+O127+O139+O151+O163+O175+O187+O199+O211+O223+O235+O247+O259</f>
        <v>141</v>
      </c>
      <c r="P262" s="6">
        <f t="shared" si="88"/>
        <v>172</v>
      </c>
      <c r="Q262" s="6">
        <f t="shared" si="88"/>
        <v>201</v>
      </c>
      <c r="R262" s="6">
        <f t="shared" si="88"/>
        <v>229</v>
      </c>
      <c r="S262" s="6">
        <f t="shared" si="88"/>
        <v>205</v>
      </c>
      <c r="T262" s="6">
        <f t="shared" si="87"/>
        <v>107</v>
      </c>
      <c r="U262" s="6">
        <f t="shared" si="87"/>
        <v>184</v>
      </c>
      <c r="V262" s="6">
        <f t="shared" si="87"/>
        <v>143</v>
      </c>
      <c r="W262" s="6">
        <f t="shared" si="87"/>
        <v>178</v>
      </c>
      <c r="X262" s="6">
        <f t="shared" si="87"/>
        <v>143</v>
      </c>
      <c r="Y262" s="6">
        <f t="shared" ref="Y262:AC262" si="89">Y55+Y67+Y79+Y91+Y103+Y115+Y127+Y139+Y151+Y163+Y175+Y187+Y199+Y211+Y223+Y235+Y247+Y259</f>
        <v>179</v>
      </c>
      <c r="Z262" s="6">
        <f t="shared" si="89"/>
        <v>224</v>
      </c>
      <c r="AA262" s="6">
        <f t="shared" si="89"/>
        <v>125</v>
      </c>
      <c r="AB262" s="6">
        <f t="shared" si="89"/>
        <v>113</v>
      </c>
      <c r="AC262" s="6">
        <f t="shared" si="89"/>
        <v>111</v>
      </c>
      <c r="AD262" s="6">
        <f t="shared" si="87"/>
        <v>190</v>
      </c>
      <c r="AE262" s="6">
        <f t="shared" si="87"/>
        <v>174</v>
      </c>
      <c r="AF262" s="6">
        <f t="shared" si="87"/>
        <v>159</v>
      </c>
      <c r="AG262" s="6">
        <f t="shared" si="87"/>
        <v>161</v>
      </c>
      <c r="AH262" s="6">
        <f t="shared" si="87"/>
        <v>122</v>
      </c>
      <c r="AI262" s="6">
        <f t="shared" ref="AI262:AM262" si="90">AI55+AI67+AI79+AI91+AI103+AI115+AI127+AI139+AI151+AI163+AI175+AI187+AI199+AI211+AI223+AI235+AI247+AI259</f>
        <v>214</v>
      </c>
      <c r="AJ262" s="6">
        <f t="shared" si="90"/>
        <v>211</v>
      </c>
      <c r="AK262" s="6">
        <f t="shared" si="90"/>
        <v>204</v>
      </c>
      <c r="AL262" s="6">
        <f t="shared" si="90"/>
        <v>152</v>
      </c>
      <c r="AM262" s="6">
        <f t="shared" si="90"/>
        <v>153</v>
      </c>
      <c r="AN262" s="6">
        <f t="shared" si="87"/>
        <v>130</v>
      </c>
      <c r="AO262" s="6">
        <f t="shared" si="87"/>
        <v>161</v>
      </c>
      <c r="AP262" s="6">
        <f t="shared" si="87"/>
        <v>123</v>
      </c>
      <c r="AQ262" s="6">
        <f t="shared" si="87"/>
        <v>125</v>
      </c>
      <c r="AR262" s="6">
        <f t="shared" si="87"/>
        <v>233</v>
      </c>
      <c r="AS262" s="6">
        <f t="shared" ref="AS262:AW262" si="91">AS55+AS67+AS79+AS91+AS103+AS115+AS127+AS139+AS151+AS163+AS175+AS187+AS199+AS211+AS223+AS235+AS247+AS259</f>
        <v>217</v>
      </c>
      <c r="AT262" s="6">
        <f t="shared" si="91"/>
        <v>144</v>
      </c>
      <c r="AU262" s="6">
        <f t="shared" si="91"/>
        <v>117</v>
      </c>
      <c r="AV262" s="6">
        <f t="shared" si="91"/>
        <v>103</v>
      </c>
      <c r="AW262" s="6">
        <f t="shared" si="91"/>
        <v>204</v>
      </c>
      <c r="AX262" s="6">
        <f t="shared" si="87"/>
        <v>181</v>
      </c>
      <c r="AY262" s="6">
        <f t="shared" si="87"/>
        <v>167</v>
      </c>
      <c r="AZ262" s="6">
        <f t="shared" si="87"/>
        <v>165</v>
      </c>
      <c r="BA262" s="6">
        <f t="shared" si="87"/>
        <v>120</v>
      </c>
      <c r="BB262" s="6">
        <f t="shared" si="87"/>
        <v>141</v>
      </c>
      <c r="BC262" s="6">
        <f t="shared" ref="BC262:BG262" si="92">BC55+BC67+BC79+BC91+BC103+BC115+BC127+BC139+BC151+BC163+BC175+BC187+BC199+BC211+BC223+BC235+BC247+BC259</f>
        <v>185</v>
      </c>
      <c r="BD262" s="6">
        <f t="shared" si="92"/>
        <v>165</v>
      </c>
      <c r="BE262" s="6">
        <f t="shared" si="92"/>
        <v>189</v>
      </c>
      <c r="BF262" s="6">
        <f t="shared" si="92"/>
        <v>173</v>
      </c>
      <c r="BG262" s="6">
        <f t="shared" si="92"/>
        <v>110</v>
      </c>
      <c r="BH262" s="6">
        <f t="shared" si="87"/>
        <v>178</v>
      </c>
      <c r="BI262" s="6">
        <f t="shared" si="87"/>
        <v>176</v>
      </c>
      <c r="BJ262" s="6">
        <f t="shared" si="87"/>
        <v>113</v>
      </c>
      <c r="BK262" s="6">
        <f t="shared" si="87"/>
        <v>189</v>
      </c>
      <c r="BL262" s="5">
        <f>SUM(E262:BK262)</f>
        <v>9712</v>
      </c>
    </row>
    <row r="263" spans="1:64" x14ac:dyDescent="0.4">
      <c r="A263" s="13"/>
      <c r="B263" s="19" t="s">
        <v>87</v>
      </c>
      <c r="C263" s="65" t="s">
        <v>88</v>
      </c>
      <c r="D263" s="66"/>
      <c r="E263" s="6">
        <v>18</v>
      </c>
      <c r="F263" s="6">
        <v>28</v>
      </c>
      <c r="G263" s="6">
        <v>44</v>
      </c>
      <c r="H263" s="6">
        <v>11</v>
      </c>
      <c r="I263" s="6">
        <v>30</v>
      </c>
      <c r="J263" s="6">
        <v>31</v>
      </c>
      <c r="K263" s="6">
        <v>28</v>
      </c>
      <c r="L263" s="6">
        <v>30</v>
      </c>
      <c r="M263" s="6">
        <v>11</v>
      </c>
      <c r="N263" s="6">
        <v>21</v>
      </c>
      <c r="O263" s="6">
        <v>13</v>
      </c>
      <c r="P263" s="6">
        <v>32</v>
      </c>
      <c r="Q263" s="6">
        <v>19</v>
      </c>
      <c r="R263" s="6">
        <v>16</v>
      </c>
      <c r="S263" s="6">
        <v>25</v>
      </c>
      <c r="T263" s="6">
        <v>14</v>
      </c>
      <c r="U263" s="6">
        <v>29</v>
      </c>
      <c r="V263" s="6">
        <v>34</v>
      </c>
      <c r="W263" s="6">
        <v>19</v>
      </c>
      <c r="X263" s="6">
        <v>19</v>
      </c>
      <c r="Y263" s="6">
        <v>36</v>
      </c>
      <c r="Z263" s="6">
        <v>17</v>
      </c>
      <c r="AA263" s="6">
        <v>6</v>
      </c>
      <c r="AB263" s="6">
        <v>14</v>
      </c>
      <c r="AC263" s="6">
        <v>9</v>
      </c>
      <c r="AD263" s="6">
        <v>7</v>
      </c>
      <c r="AE263" s="6">
        <v>13</v>
      </c>
      <c r="AF263" s="6">
        <v>16</v>
      </c>
      <c r="AG263" s="6">
        <v>14</v>
      </c>
      <c r="AH263" s="6">
        <v>8</v>
      </c>
      <c r="AI263" s="6">
        <v>16</v>
      </c>
      <c r="AJ263" s="6">
        <v>17</v>
      </c>
      <c r="AK263" s="6">
        <v>22</v>
      </c>
      <c r="AL263" s="6">
        <v>29</v>
      </c>
      <c r="AM263" s="6">
        <v>31</v>
      </c>
      <c r="AN263" s="6">
        <v>16</v>
      </c>
      <c r="AO263" s="6">
        <v>32</v>
      </c>
      <c r="AP263" s="6">
        <v>11</v>
      </c>
      <c r="AQ263" s="6">
        <v>10</v>
      </c>
      <c r="AR263" s="6">
        <v>15</v>
      </c>
      <c r="AS263" s="6">
        <v>13</v>
      </c>
      <c r="AT263" s="6">
        <v>12</v>
      </c>
      <c r="AU263" s="6">
        <v>14</v>
      </c>
      <c r="AV263" s="6">
        <v>29</v>
      </c>
      <c r="AW263" s="6">
        <v>1</v>
      </c>
      <c r="AX263" s="6">
        <v>3</v>
      </c>
      <c r="AY263" s="6">
        <v>10</v>
      </c>
      <c r="AZ263" s="6">
        <v>26</v>
      </c>
      <c r="BA263" s="6">
        <v>3</v>
      </c>
      <c r="BB263" s="6">
        <v>2</v>
      </c>
      <c r="BC263" s="6">
        <v>9</v>
      </c>
      <c r="BD263" s="6">
        <v>12</v>
      </c>
      <c r="BE263" s="6">
        <v>21</v>
      </c>
      <c r="BF263" s="6">
        <v>13</v>
      </c>
      <c r="BG263" s="6">
        <v>2</v>
      </c>
      <c r="BH263" s="6">
        <v>5</v>
      </c>
      <c r="BI263" s="6">
        <v>1</v>
      </c>
      <c r="BJ263" s="6">
        <v>21</v>
      </c>
      <c r="BK263" s="6">
        <v>7</v>
      </c>
      <c r="BL263" s="5">
        <f>SUM(E263:BK263)</f>
        <v>1015</v>
      </c>
    </row>
    <row r="264" spans="1:64" x14ac:dyDescent="0.4">
      <c r="A264" s="14"/>
      <c r="B264" s="19" t="s">
        <v>89</v>
      </c>
      <c r="C264" s="65" t="s">
        <v>90</v>
      </c>
      <c r="D264" s="66"/>
      <c r="E264" s="5">
        <f>SUM(E262:E263)</f>
        <v>185</v>
      </c>
      <c r="F264" s="5">
        <f t="shared" ref="F264:BK264" si="93">SUM(F262:F263)</f>
        <v>197</v>
      </c>
      <c r="G264" s="5">
        <f t="shared" si="93"/>
        <v>204</v>
      </c>
      <c r="H264" s="5">
        <f t="shared" si="93"/>
        <v>155</v>
      </c>
      <c r="I264" s="5">
        <f t="shared" si="93"/>
        <v>227</v>
      </c>
      <c r="J264" s="5">
        <f t="shared" si="93"/>
        <v>208</v>
      </c>
      <c r="K264" s="5">
        <f t="shared" si="93"/>
        <v>200</v>
      </c>
      <c r="L264" s="5">
        <f t="shared" si="93"/>
        <v>223</v>
      </c>
      <c r="M264" s="5">
        <f t="shared" si="93"/>
        <v>231</v>
      </c>
      <c r="N264" s="5">
        <f t="shared" si="93"/>
        <v>130</v>
      </c>
      <c r="O264" s="5">
        <f t="shared" ref="O264:S264" si="94">SUM(O262:O263)</f>
        <v>154</v>
      </c>
      <c r="P264" s="5">
        <f t="shared" si="94"/>
        <v>204</v>
      </c>
      <c r="Q264" s="5">
        <f t="shared" si="94"/>
        <v>220</v>
      </c>
      <c r="R264" s="5">
        <f t="shared" si="94"/>
        <v>245</v>
      </c>
      <c r="S264" s="5">
        <f t="shared" si="94"/>
        <v>230</v>
      </c>
      <c r="T264" s="5">
        <f t="shared" si="93"/>
        <v>121</v>
      </c>
      <c r="U264" s="5">
        <f t="shared" si="93"/>
        <v>213</v>
      </c>
      <c r="V264" s="5">
        <f t="shared" si="93"/>
        <v>177</v>
      </c>
      <c r="W264" s="5">
        <f t="shared" si="93"/>
        <v>197</v>
      </c>
      <c r="X264" s="5">
        <f t="shared" si="93"/>
        <v>162</v>
      </c>
      <c r="Y264" s="5">
        <f t="shared" ref="Y264:AC264" si="95">SUM(Y262:Y263)</f>
        <v>215</v>
      </c>
      <c r="Z264" s="5">
        <f t="shared" si="95"/>
        <v>241</v>
      </c>
      <c r="AA264" s="5">
        <f t="shared" si="95"/>
        <v>131</v>
      </c>
      <c r="AB264" s="5">
        <f t="shared" si="95"/>
        <v>127</v>
      </c>
      <c r="AC264" s="5">
        <f t="shared" si="95"/>
        <v>120</v>
      </c>
      <c r="AD264" s="5">
        <f t="shared" si="93"/>
        <v>197</v>
      </c>
      <c r="AE264" s="5">
        <f t="shared" si="93"/>
        <v>187</v>
      </c>
      <c r="AF264" s="5">
        <f t="shared" si="93"/>
        <v>175</v>
      </c>
      <c r="AG264" s="5">
        <f t="shared" si="93"/>
        <v>175</v>
      </c>
      <c r="AH264" s="5">
        <f t="shared" si="93"/>
        <v>130</v>
      </c>
      <c r="AI264" s="5">
        <f t="shared" ref="AI264:AM264" si="96">SUM(AI262:AI263)</f>
        <v>230</v>
      </c>
      <c r="AJ264" s="5">
        <f t="shared" si="96"/>
        <v>228</v>
      </c>
      <c r="AK264" s="5">
        <f t="shared" si="96"/>
        <v>226</v>
      </c>
      <c r="AL264" s="5">
        <f t="shared" si="96"/>
        <v>181</v>
      </c>
      <c r="AM264" s="5">
        <f t="shared" si="96"/>
        <v>184</v>
      </c>
      <c r="AN264" s="5">
        <f t="shared" si="93"/>
        <v>146</v>
      </c>
      <c r="AO264" s="5">
        <f t="shared" si="93"/>
        <v>193</v>
      </c>
      <c r="AP264" s="5">
        <f t="shared" si="93"/>
        <v>134</v>
      </c>
      <c r="AQ264" s="5">
        <f t="shared" si="93"/>
        <v>135</v>
      </c>
      <c r="AR264" s="5">
        <f t="shared" si="93"/>
        <v>248</v>
      </c>
      <c r="AS264" s="5">
        <f t="shared" ref="AS264:AW264" si="97">SUM(AS262:AS263)</f>
        <v>230</v>
      </c>
      <c r="AT264" s="5">
        <f t="shared" si="97"/>
        <v>156</v>
      </c>
      <c r="AU264" s="5">
        <f t="shared" si="97"/>
        <v>131</v>
      </c>
      <c r="AV264" s="5">
        <f t="shared" si="97"/>
        <v>132</v>
      </c>
      <c r="AW264" s="5">
        <f t="shared" si="97"/>
        <v>205</v>
      </c>
      <c r="AX264" s="5">
        <f t="shared" si="93"/>
        <v>184</v>
      </c>
      <c r="AY264" s="5">
        <f t="shared" si="93"/>
        <v>177</v>
      </c>
      <c r="AZ264" s="5">
        <f t="shared" si="93"/>
        <v>191</v>
      </c>
      <c r="BA264" s="5">
        <f t="shared" si="93"/>
        <v>123</v>
      </c>
      <c r="BB264" s="5">
        <f t="shared" si="93"/>
        <v>143</v>
      </c>
      <c r="BC264" s="5">
        <f t="shared" ref="BC264:BG264" si="98">SUM(BC262:BC263)</f>
        <v>194</v>
      </c>
      <c r="BD264" s="5">
        <f t="shared" si="98"/>
        <v>177</v>
      </c>
      <c r="BE264" s="5">
        <f t="shared" si="98"/>
        <v>210</v>
      </c>
      <c r="BF264" s="5">
        <f t="shared" si="98"/>
        <v>186</v>
      </c>
      <c r="BG264" s="5">
        <f t="shared" si="98"/>
        <v>112</v>
      </c>
      <c r="BH264" s="5">
        <f t="shared" si="93"/>
        <v>183</v>
      </c>
      <c r="BI264" s="5">
        <f t="shared" si="93"/>
        <v>177</v>
      </c>
      <c r="BJ264" s="5">
        <f t="shared" si="93"/>
        <v>134</v>
      </c>
      <c r="BK264" s="5">
        <f t="shared" si="93"/>
        <v>196</v>
      </c>
      <c r="BL264" s="5">
        <f>SUM(E264:BK264)</f>
        <v>10727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BK12"/>
    <mergeCell ref="BL12:BL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A44:D44"/>
    <mergeCell ref="C45:D45"/>
    <mergeCell ref="B39:C41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14:BK15">
    <cfRule type="containsBlanks" dxfId="29" priority="21">
      <formula>LEN(TRIM(E14))=0</formula>
    </cfRule>
  </conditionalFormatting>
  <conditionalFormatting sqref="E19:BK20">
    <cfRule type="containsBlanks" dxfId="28" priority="24">
      <formula>LEN(TRIM(E19))=0</formula>
    </cfRule>
  </conditionalFormatting>
  <conditionalFormatting sqref="E22:BK23 E25:BK26 E33:BK33 E35:BK35 E39:BK40">
    <cfRule type="containsBlanks" dxfId="27" priority="25">
      <formula>LEN(TRIM(E22))=0</formula>
    </cfRule>
  </conditionalFormatting>
  <conditionalFormatting sqref="E30:BK30">
    <cfRule type="expression" dxfId="26" priority="26">
      <formula>E30&lt;&gt;E47</formula>
    </cfRule>
    <cfRule type="expression" dxfId="25" priority="27">
      <formula>E30&lt;&gt;E34</formula>
    </cfRule>
  </conditionalFormatting>
  <conditionalFormatting sqref="E34:BK34">
    <cfRule type="expression" dxfId="24" priority="22">
      <formula>E30&lt;&gt;E34</formula>
    </cfRule>
    <cfRule type="expression" dxfId="23" priority="23">
      <formula>E30=E34</formula>
    </cfRule>
    <cfRule type="expression" dxfId="22" priority="28">
      <formula>E34&lt;&gt;E30</formula>
    </cfRule>
    <cfRule type="expression" dxfId="21" priority="30">
      <formula>E34&lt;&gt;E64</formula>
    </cfRule>
  </conditionalFormatting>
  <conditionalFormatting sqref="E45:BK54">
    <cfRule type="containsBlanks" dxfId="20" priority="20">
      <formula>LEN(TRIM(E45))=0</formula>
    </cfRule>
  </conditionalFormatting>
  <conditionalFormatting sqref="E57:BK66">
    <cfRule type="containsBlanks" dxfId="19" priority="19">
      <formula>LEN(TRIM(E57))=0</formula>
    </cfRule>
  </conditionalFormatting>
  <conditionalFormatting sqref="E69:BK78">
    <cfRule type="containsBlanks" dxfId="18" priority="18">
      <formula>LEN(TRIM(E69))=0</formula>
    </cfRule>
  </conditionalFormatting>
  <conditionalFormatting sqref="E81:BK90">
    <cfRule type="containsBlanks" dxfId="17" priority="17">
      <formula>LEN(TRIM(E81))=0</formula>
    </cfRule>
  </conditionalFormatting>
  <conditionalFormatting sqref="E93:BK102">
    <cfRule type="containsBlanks" dxfId="16" priority="16">
      <formula>LEN(TRIM(E93))=0</formula>
    </cfRule>
  </conditionalFormatting>
  <conditionalFormatting sqref="E105:BK114">
    <cfRule type="containsBlanks" dxfId="15" priority="15">
      <formula>LEN(TRIM(E105))=0</formula>
    </cfRule>
  </conditionalFormatting>
  <conditionalFormatting sqref="E117:BK126">
    <cfRule type="containsBlanks" dxfId="14" priority="1">
      <formula>LEN(TRIM(E117))=0</formula>
    </cfRule>
  </conditionalFormatting>
  <conditionalFormatting sqref="E129:BK138">
    <cfRule type="containsBlanks" dxfId="13" priority="14">
      <formula>LEN(TRIM(E129))=0</formula>
    </cfRule>
  </conditionalFormatting>
  <conditionalFormatting sqref="E141:BK150">
    <cfRule type="containsBlanks" dxfId="12" priority="13">
      <formula>LEN(TRIM(E141))=0</formula>
    </cfRule>
  </conditionalFormatting>
  <conditionalFormatting sqref="E153:BK162">
    <cfRule type="containsBlanks" dxfId="11" priority="3">
      <formula>LEN(TRIM(E153))=0</formula>
    </cfRule>
  </conditionalFormatting>
  <conditionalFormatting sqref="E165:BK174">
    <cfRule type="containsBlanks" dxfId="10" priority="12">
      <formula>LEN(TRIM(E165))=0</formula>
    </cfRule>
  </conditionalFormatting>
  <conditionalFormatting sqref="E177:BK186">
    <cfRule type="containsBlanks" dxfId="9" priority="11">
      <formula>LEN(TRIM(E177))=0</formula>
    </cfRule>
  </conditionalFormatting>
  <conditionalFormatting sqref="E189:BK198">
    <cfRule type="containsBlanks" dxfId="8" priority="10">
      <formula>LEN(TRIM(E189))=0</formula>
    </cfRule>
  </conditionalFormatting>
  <conditionalFormatting sqref="E201:BK210">
    <cfRule type="containsBlanks" dxfId="7" priority="9">
      <formula>LEN(TRIM(E201))=0</formula>
    </cfRule>
  </conditionalFormatting>
  <conditionalFormatting sqref="E213:BK222">
    <cfRule type="containsBlanks" dxfId="6" priority="8">
      <formula>LEN(TRIM(E213))=0</formula>
    </cfRule>
  </conditionalFormatting>
  <conditionalFormatting sqref="E225:BK234">
    <cfRule type="containsBlanks" dxfId="5" priority="7">
      <formula>LEN(TRIM(E225))=0</formula>
    </cfRule>
  </conditionalFormatting>
  <conditionalFormatting sqref="E237:BK246">
    <cfRule type="containsBlanks" dxfId="4" priority="6">
      <formula>LEN(TRIM(E237))=0</formula>
    </cfRule>
  </conditionalFormatting>
  <conditionalFormatting sqref="E249:BK258">
    <cfRule type="containsBlanks" dxfId="3" priority="4">
      <formula>LEN(TRIM(E249))=0</formula>
    </cfRule>
  </conditionalFormatting>
  <conditionalFormatting sqref="E262:BK263">
    <cfRule type="containsBlanks" dxfId="2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DPRD PROVINSI</vt:lpstr>
      <vt:lpstr>BUMIHARJO</vt:lpstr>
      <vt:lpstr>KARANGHARJO</vt:lpstr>
      <vt:lpstr>MARGOMULYO</vt:lpstr>
      <vt:lpstr>SEPANJANG</vt:lpstr>
      <vt:lpstr>SUMBERGONDO</vt:lpstr>
      <vt:lpstr>TEGALHARJO</vt:lpstr>
      <vt:lpstr>TULUNGREJO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dokumentasi.kpubwi@gmail.com</cp:lastModifiedBy>
  <dcterms:created xsi:type="dcterms:W3CDTF">2026-01-14T02:26:01Z</dcterms:created>
  <dcterms:modified xsi:type="dcterms:W3CDTF">2026-01-23T09:18:06Z</dcterms:modified>
</cp:coreProperties>
</file>