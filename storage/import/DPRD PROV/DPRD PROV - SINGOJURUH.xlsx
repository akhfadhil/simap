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bag Hukum SDM\Downloads\SILIRAGUNG, SINGOJURUH, SONGGON NEW\SINGOJURUH\"/>
    </mc:Choice>
  </mc:AlternateContent>
  <xr:revisionPtr revIDLastSave="0" documentId="13_ncr:1_{5CA95D86-0235-4392-AB9F-246C8EBE7BCB}" xr6:coauthVersionLast="47" xr6:coauthVersionMax="47" xr10:uidLastSave="{00000000-0000-0000-0000-000000000000}"/>
  <bookViews>
    <workbookView xWindow="-110" yWindow="-110" windowWidth="19420" windowHeight="10420" tabRatio="810" firstSheet="4" activeTab="6" xr2:uid="{F263E089-6C93-4E6F-AA5B-BD89F8333161}"/>
  </bookViews>
  <sheets>
    <sheet name="DPRD PROVINSI" sheetId="1" r:id="rId1"/>
    <sheet name="ALASMALANG" sheetId="9" r:id="rId2"/>
    <sheet name="BENELAN KIDUL" sheetId="10" r:id="rId3"/>
    <sheet name="CANTUK" sheetId="11" r:id="rId4"/>
    <sheet name="GAMBOR" sheetId="15" r:id="rId5"/>
    <sheet name="GUMIRIH" sheetId="16" r:id="rId6"/>
    <sheet name="KEMIRI" sheetId="17" r:id="rId7"/>
    <sheet name="LEMAHBANGKULON" sheetId="3" r:id="rId8"/>
    <sheet name="PADANG" sheetId="18" r:id="rId9"/>
    <sheet name="SINGOJURUH" sheetId="19" r:id="rId10"/>
    <sheet name="SINGOLATREN" sheetId="20" r:id="rId11"/>
    <sheet name="SUMBERBARU" sheetId="2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54" i="20" l="1"/>
  <c r="T155" i="20"/>
  <c r="T156" i="20"/>
  <c r="T157" i="20"/>
  <c r="T158" i="20"/>
  <c r="T159" i="20"/>
  <c r="T160" i="20"/>
  <c r="T153" i="20"/>
  <c r="Q154" i="18"/>
  <c r="Q155" i="18"/>
  <c r="Q156" i="18"/>
  <c r="Q157" i="18"/>
  <c r="Q158" i="18"/>
  <c r="Q159" i="18"/>
  <c r="Q160" i="18"/>
  <c r="Q153" i="18"/>
  <c r="T154" i="11"/>
  <c r="T155" i="11"/>
  <c r="T156" i="11"/>
  <c r="T157" i="11"/>
  <c r="T158" i="11"/>
  <c r="T159" i="11"/>
  <c r="T160" i="11"/>
  <c r="T161" i="11"/>
  <c r="T162" i="11"/>
  <c r="T153" i="11"/>
  <c r="S154" i="16"/>
  <c r="S155" i="16"/>
  <c r="S156" i="16"/>
  <c r="S157" i="16"/>
  <c r="S158" i="16"/>
  <c r="S159" i="16"/>
  <c r="S160" i="16"/>
  <c r="S153" i="16"/>
  <c r="AC154" i="19"/>
  <c r="AC155" i="19"/>
  <c r="AC156" i="19"/>
  <c r="AC157" i="19"/>
  <c r="AC158" i="19"/>
  <c r="AC159" i="19"/>
  <c r="AC160" i="19"/>
  <c r="AC153" i="19"/>
  <c r="Q154" i="3"/>
  <c r="Q155" i="3"/>
  <c r="Q156" i="3"/>
  <c r="Q157" i="3"/>
  <c r="Q158" i="3"/>
  <c r="Q159" i="3"/>
  <c r="Q160" i="3"/>
  <c r="Q153" i="3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E199" i="10"/>
  <c r="L187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154" i="10"/>
  <c r="S155" i="10"/>
  <c r="S156" i="10"/>
  <c r="S157" i="10"/>
  <c r="S158" i="10"/>
  <c r="S159" i="10"/>
  <c r="S160" i="10"/>
  <c r="S161" i="10"/>
  <c r="S162" i="10"/>
  <c r="S153" i="10"/>
  <c r="S103" i="9"/>
  <c r="T103" i="9"/>
  <c r="U103" i="9"/>
  <c r="T139" i="9"/>
  <c r="U139" i="9"/>
  <c r="E247" i="9"/>
  <c r="F247" i="9"/>
  <c r="G247" i="9"/>
  <c r="H247" i="9"/>
  <c r="I247" i="9"/>
  <c r="J247" i="9"/>
  <c r="K247" i="9"/>
  <c r="L247" i="9"/>
  <c r="M247" i="9"/>
  <c r="N247" i="9"/>
  <c r="O247" i="9"/>
  <c r="P247" i="9"/>
  <c r="Q247" i="9"/>
  <c r="R247" i="9"/>
  <c r="S247" i="9"/>
  <c r="V154" i="9"/>
  <c r="V155" i="9"/>
  <c r="V156" i="9"/>
  <c r="V157" i="9"/>
  <c r="V158" i="9"/>
  <c r="V159" i="9"/>
  <c r="V160" i="9"/>
  <c r="V161" i="9"/>
  <c r="V153" i="9"/>
  <c r="N154" i="15"/>
  <c r="N155" i="15"/>
  <c r="N156" i="15"/>
  <c r="N157" i="15"/>
  <c r="N158" i="15"/>
  <c r="N159" i="15"/>
  <c r="N160" i="15"/>
  <c r="N153" i="15"/>
  <c r="E160" i="1"/>
  <c r="Z259" i="19" l="1"/>
  <c r="Z247" i="19"/>
  <c r="Z235" i="19"/>
  <c r="Z223" i="19"/>
  <c r="Z211" i="19"/>
  <c r="Z199" i="19"/>
  <c r="Z187" i="19"/>
  <c r="Z175" i="19"/>
  <c r="Z163" i="19"/>
  <c r="Z151" i="19"/>
  <c r="Z139" i="19"/>
  <c r="Z127" i="19"/>
  <c r="Z115" i="19"/>
  <c r="Z103" i="19"/>
  <c r="Z91" i="19"/>
  <c r="Z79" i="19"/>
  <c r="Z67" i="19"/>
  <c r="Z55" i="19"/>
  <c r="Z41" i="19"/>
  <c r="Z36" i="19"/>
  <c r="Z29" i="19"/>
  <c r="Z28" i="19"/>
  <c r="Z27" i="19"/>
  <c r="Z24" i="19"/>
  <c r="Z21" i="19"/>
  <c r="Z16" i="19"/>
  <c r="L259" i="19"/>
  <c r="K259" i="19"/>
  <c r="J259" i="19"/>
  <c r="I259" i="19"/>
  <c r="H259" i="19"/>
  <c r="G259" i="19"/>
  <c r="F259" i="19"/>
  <c r="L247" i="19"/>
  <c r="K247" i="19"/>
  <c r="J247" i="19"/>
  <c r="I247" i="19"/>
  <c r="H247" i="19"/>
  <c r="G247" i="19"/>
  <c r="F247" i="19"/>
  <c r="L235" i="19"/>
  <c r="K235" i="19"/>
  <c r="J235" i="19"/>
  <c r="I235" i="19"/>
  <c r="H235" i="19"/>
  <c r="G235" i="19"/>
  <c r="F235" i="19"/>
  <c r="L223" i="19"/>
  <c r="K223" i="19"/>
  <c r="J223" i="19"/>
  <c r="I223" i="19"/>
  <c r="H223" i="19"/>
  <c r="G223" i="19"/>
  <c r="F223" i="19"/>
  <c r="L211" i="19"/>
  <c r="K211" i="19"/>
  <c r="J211" i="19"/>
  <c r="I211" i="19"/>
  <c r="H211" i="19"/>
  <c r="G211" i="19"/>
  <c r="F211" i="19"/>
  <c r="L199" i="19"/>
  <c r="K199" i="19"/>
  <c r="J199" i="19"/>
  <c r="I199" i="19"/>
  <c r="H199" i="19"/>
  <c r="G199" i="19"/>
  <c r="F199" i="19"/>
  <c r="L187" i="19"/>
  <c r="K187" i="19"/>
  <c r="J187" i="19"/>
  <c r="I187" i="19"/>
  <c r="H187" i="19"/>
  <c r="G187" i="19"/>
  <c r="F187" i="19"/>
  <c r="L175" i="19"/>
  <c r="K175" i="19"/>
  <c r="J175" i="19"/>
  <c r="I175" i="19"/>
  <c r="H175" i="19"/>
  <c r="G175" i="19"/>
  <c r="F175" i="19"/>
  <c r="L163" i="19"/>
  <c r="K163" i="19"/>
  <c r="J163" i="19"/>
  <c r="I163" i="19"/>
  <c r="H163" i="19"/>
  <c r="G163" i="19"/>
  <c r="F163" i="19"/>
  <c r="L151" i="19"/>
  <c r="K151" i="19"/>
  <c r="J151" i="19"/>
  <c r="I151" i="19"/>
  <c r="H151" i="19"/>
  <c r="G151" i="19"/>
  <c r="F151" i="19"/>
  <c r="L139" i="19"/>
  <c r="K139" i="19"/>
  <c r="J139" i="19"/>
  <c r="I139" i="19"/>
  <c r="H139" i="19"/>
  <c r="G139" i="19"/>
  <c r="F139" i="19"/>
  <c r="L127" i="19"/>
  <c r="K127" i="19"/>
  <c r="J127" i="19"/>
  <c r="I127" i="19"/>
  <c r="H127" i="19"/>
  <c r="G127" i="19"/>
  <c r="F127" i="19"/>
  <c r="L115" i="19"/>
  <c r="K115" i="19"/>
  <c r="J115" i="19"/>
  <c r="I115" i="19"/>
  <c r="H115" i="19"/>
  <c r="G115" i="19"/>
  <c r="F115" i="19"/>
  <c r="L103" i="19"/>
  <c r="K103" i="19"/>
  <c r="J103" i="19"/>
  <c r="I103" i="19"/>
  <c r="H103" i="19"/>
  <c r="G103" i="19"/>
  <c r="F103" i="19"/>
  <c r="L91" i="19"/>
  <c r="K91" i="19"/>
  <c r="J91" i="19"/>
  <c r="I91" i="19"/>
  <c r="H91" i="19"/>
  <c r="G91" i="19"/>
  <c r="F91" i="19"/>
  <c r="L79" i="19"/>
  <c r="K79" i="19"/>
  <c r="J79" i="19"/>
  <c r="I79" i="19"/>
  <c r="H79" i="19"/>
  <c r="G79" i="19"/>
  <c r="F79" i="19"/>
  <c r="L67" i="19"/>
  <c r="K67" i="19"/>
  <c r="J67" i="19"/>
  <c r="I67" i="19"/>
  <c r="H67" i="19"/>
  <c r="G67" i="19"/>
  <c r="F67" i="19"/>
  <c r="L55" i="19"/>
  <c r="K55" i="19"/>
  <c r="J55" i="19"/>
  <c r="I55" i="19"/>
  <c r="H55" i="19"/>
  <c r="G55" i="19"/>
  <c r="F55" i="19"/>
  <c r="L41" i="19"/>
  <c r="K41" i="19"/>
  <c r="J41" i="19"/>
  <c r="I41" i="19"/>
  <c r="H41" i="19"/>
  <c r="G41" i="19"/>
  <c r="F41" i="19"/>
  <c r="L36" i="19"/>
  <c r="K36" i="19"/>
  <c r="J36" i="19"/>
  <c r="I36" i="19"/>
  <c r="H36" i="19"/>
  <c r="G36" i="19"/>
  <c r="F36" i="19"/>
  <c r="L29" i="19"/>
  <c r="K29" i="19"/>
  <c r="J29" i="19"/>
  <c r="I29" i="19"/>
  <c r="H29" i="19"/>
  <c r="G29" i="19"/>
  <c r="F29" i="19"/>
  <c r="L28" i="19"/>
  <c r="K28" i="19"/>
  <c r="J28" i="19"/>
  <c r="I28" i="19"/>
  <c r="H28" i="19"/>
  <c r="G28" i="19"/>
  <c r="F28" i="19"/>
  <c r="L27" i="19"/>
  <c r="K27" i="19"/>
  <c r="J27" i="19"/>
  <c r="I27" i="19"/>
  <c r="H27" i="19"/>
  <c r="G27" i="19"/>
  <c r="F27" i="19"/>
  <c r="L24" i="19"/>
  <c r="K24" i="19"/>
  <c r="J24" i="19"/>
  <c r="I24" i="19"/>
  <c r="H24" i="19"/>
  <c r="G24" i="19"/>
  <c r="F24" i="19"/>
  <c r="L21" i="19"/>
  <c r="K21" i="19"/>
  <c r="J21" i="19"/>
  <c r="I21" i="19"/>
  <c r="H21" i="19"/>
  <c r="G21" i="19"/>
  <c r="F21" i="19"/>
  <c r="L16" i="19"/>
  <c r="K16" i="19"/>
  <c r="J16" i="19"/>
  <c r="I16" i="19"/>
  <c r="H16" i="19"/>
  <c r="G16" i="19"/>
  <c r="F16" i="19"/>
  <c r="S259" i="19"/>
  <c r="R259" i="19"/>
  <c r="Q259" i="19"/>
  <c r="P259" i="19"/>
  <c r="O259" i="19"/>
  <c r="N259" i="19"/>
  <c r="M259" i="19"/>
  <c r="S247" i="19"/>
  <c r="R247" i="19"/>
  <c r="Q247" i="19"/>
  <c r="P247" i="19"/>
  <c r="O247" i="19"/>
  <c r="N247" i="19"/>
  <c r="M247" i="19"/>
  <c r="S235" i="19"/>
  <c r="R235" i="19"/>
  <c r="Q235" i="19"/>
  <c r="P235" i="19"/>
  <c r="O235" i="19"/>
  <c r="N235" i="19"/>
  <c r="M235" i="19"/>
  <c r="S223" i="19"/>
  <c r="R223" i="19"/>
  <c r="Q223" i="19"/>
  <c r="P223" i="19"/>
  <c r="O223" i="19"/>
  <c r="N223" i="19"/>
  <c r="M223" i="19"/>
  <c r="S211" i="19"/>
  <c r="R211" i="19"/>
  <c r="Q211" i="19"/>
  <c r="P211" i="19"/>
  <c r="O211" i="19"/>
  <c r="N211" i="19"/>
  <c r="M211" i="19"/>
  <c r="S199" i="19"/>
  <c r="R199" i="19"/>
  <c r="Q199" i="19"/>
  <c r="P199" i="19"/>
  <c r="O199" i="19"/>
  <c r="N199" i="19"/>
  <c r="M199" i="19"/>
  <c r="S187" i="19"/>
  <c r="R187" i="19"/>
  <c r="Q187" i="19"/>
  <c r="P187" i="19"/>
  <c r="O187" i="19"/>
  <c r="N187" i="19"/>
  <c r="M187" i="19"/>
  <c r="S175" i="19"/>
  <c r="R175" i="19"/>
  <c r="Q175" i="19"/>
  <c r="P175" i="19"/>
  <c r="O175" i="19"/>
  <c r="N175" i="19"/>
  <c r="M175" i="19"/>
  <c r="S163" i="19"/>
  <c r="R163" i="19"/>
  <c r="Q163" i="19"/>
  <c r="P163" i="19"/>
  <c r="O163" i="19"/>
  <c r="N163" i="19"/>
  <c r="M163" i="19"/>
  <c r="S151" i="19"/>
  <c r="R151" i="19"/>
  <c r="Q151" i="19"/>
  <c r="P151" i="19"/>
  <c r="O151" i="19"/>
  <c r="N151" i="19"/>
  <c r="M151" i="19"/>
  <c r="S139" i="19"/>
  <c r="R139" i="19"/>
  <c r="Q139" i="19"/>
  <c r="P139" i="19"/>
  <c r="O139" i="19"/>
  <c r="N139" i="19"/>
  <c r="M139" i="19"/>
  <c r="S127" i="19"/>
  <c r="R127" i="19"/>
  <c r="Q127" i="19"/>
  <c r="P127" i="19"/>
  <c r="O127" i="19"/>
  <c r="N127" i="19"/>
  <c r="M127" i="19"/>
  <c r="S115" i="19"/>
  <c r="R115" i="19"/>
  <c r="Q115" i="19"/>
  <c r="P115" i="19"/>
  <c r="O115" i="19"/>
  <c r="N115" i="19"/>
  <c r="M115" i="19"/>
  <c r="S103" i="19"/>
  <c r="R103" i="19"/>
  <c r="Q103" i="19"/>
  <c r="P103" i="19"/>
  <c r="O103" i="19"/>
  <c r="N103" i="19"/>
  <c r="M103" i="19"/>
  <c r="S91" i="19"/>
  <c r="R91" i="19"/>
  <c r="Q91" i="19"/>
  <c r="P91" i="19"/>
  <c r="O91" i="19"/>
  <c r="N91" i="19"/>
  <c r="M91" i="19"/>
  <c r="S79" i="19"/>
  <c r="R79" i="19"/>
  <c r="Q79" i="19"/>
  <c r="P79" i="19"/>
  <c r="O79" i="19"/>
  <c r="N79" i="19"/>
  <c r="M79" i="19"/>
  <c r="S67" i="19"/>
  <c r="R67" i="19"/>
  <c r="Q67" i="19"/>
  <c r="P67" i="19"/>
  <c r="O67" i="19"/>
  <c r="N67" i="19"/>
  <c r="M67" i="19"/>
  <c r="S55" i="19"/>
  <c r="R55" i="19"/>
  <c r="Q55" i="19"/>
  <c r="P55" i="19"/>
  <c r="O55" i="19"/>
  <c r="N55" i="19"/>
  <c r="M55" i="19"/>
  <c r="S41" i="19"/>
  <c r="R41" i="19"/>
  <c r="Q41" i="19"/>
  <c r="P41" i="19"/>
  <c r="O41" i="19"/>
  <c r="N41" i="19"/>
  <c r="M41" i="19"/>
  <c r="S36" i="19"/>
  <c r="R36" i="19"/>
  <c r="Q36" i="19"/>
  <c r="P36" i="19"/>
  <c r="O36" i="19"/>
  <c r="N36" i="19"/>
  <c r="M36" i="19"/>
  <c r="S29" i="19"/>
  <c r="R29" i="19"/>
  <c r="Q29" i="19"/>
  <c r="P29" i="19"/>
  <c r="O29" i="19"/>
  <c r="N29" i="19"/>
  <c r="M29" i="19"/>
  <c r="S28" i="19"/>
  <c r="R28" i="19"/>
  <c r="Q28" i="19"/>
  <c r="P28" i="19"/>
  <c r="O28" i="19"/>
  <c r="N28" i="19"/>
  <c r="M28" i="19"/>
  <c r="S27" i="19"/>
  <c r="R27" i="19"/>
  <c r="Q27" i="19"/>
  <c r="P27" i="19"/>
  <c r="O27" i="19"/>
  <c r="N27" i="19"/>
  <c r="M27" i="19"/>
  <c r="S24" i="19"/>
  <c r="R24" i="19"/>
  <c r="Q24" i="19"/>
  <c r="P24" i="19"/>
  <c r="O24" i="19"/>
  <c r="N24" i="19"/>
  <c r="M24" i="19"/>
  <c r="S21" i="19"/>
  <c r="R21" i="19"/>
  <c r="Q21" i="19"/>
  <c r="P21" i="19"/>
  <c r="O21" i="19"/>
  <c r="N21" i="19"/>
  <c r="M21" i="19"/>
  <c r="S16" i="19"/>
  <c r="R16" i="19"/>
  <c r="Q16" i="19"/>
  <c r="P16" i="19"/>
  <c r="O16" i="19"/>
  <c r="N16" i="19"/>
  <c r="M16" i="19"/>
  <c r="N259" i="18"/>
  <c r="N247" i="18"/>
  <c r="N235" i="18"/>
  <c r="N223" i="18"/>
  <c r="N211" i="18"/>
  <c r="N199" i="18"/>
  <c r="N187" i="18"/>
  <c r="N175" i="18"/>
  <c r="N163" i="18"/>
  <c r="N151" i="18"/>
  <c r="N139" i="18"/>
  <c r="N127" i="18"/>
  <c r="N115" i="18"/>
  <c r="N103" i="18"/>
  <c r="N91" i="18"/>
  <c r="N79" i="18"/>
  <c r="N67" i="18"/>
  <c r="N55" i="18"/>
  <c r="N41" i="18"/>
  <c r="N36" i="18"/>
  <c r="N29" i="18"/>
  <c r="N28" i="18"/>
  <c r="N27" i="18"/>
  <c r="N24" i="18"/>
  <c r="N21" i="18"/>
  <c r="N16" i="18"/>
  <c r="P259" i="17"/>
  <c r="O259" i="17"/>
  <c r="N259" i="17"/>
  <c r="P247" i="17"/>
  <c r="O247" i="17"/>
  <c r="N247" i="17"/>
  <c r="P235" i="17"/>
  <c r="O235" i="17"/>
  <c r="N235" i="17"/>
  <c r="P223" i="17"/>
  <c r="O223" i="17"/>
  <c r="N223" i="17"/>
  <c r="P211" i="17"/>
  <c r="O211" i="17"/>
  <c r="N211" i="17"/>
  <c r="P199" i="17"/>
  <c r="O199" i="17"/>
  <c r="N199" i="17"/>
  <c r="P187" i="17"/>
  <c r="O187" i="17"/>
  <c r="N187" i="17"/>
  <c r="P175" i="17"/>
  <c r="O175" i="17"/>
  <c r="N175" i="17"/>
  <c r="P163" i="17"/>
  <c r="O163" i="17"/>
  <c r="N163" i="17"/>
  <c r="P151" i="17"/>
  <c r="O151" i="17"/>
  <c r="N151" i="17"/>
  <c r="P139" i="17"/>
  <c r="O139" i="17"/>
  <c r="N139" i="17"/>
  <c r="P127" i="17"/>
  <c r="O127" i="17"/>
  <c r="N127" i="17"/>
  <c r="P115" i="17"/>
  <c r="O115" i="17"/>
  <c r="N115" i="17"/>
  <c r="P103" i="17"/>
  <c r="O103" i="17"/>
  <c r="N103" i="17"/>
  <c r="P91" i="17"/>
  <c r="O91" i="17"/>
  <c r="N91" i="17"/>
  <c r="P79" i="17"/>
  <c r="O79" i="17"/>
  <c r="N79" i="17"/>
  <c r="P67" i="17"/>
  <c r="O67" i="17"/>
  <c r="N67" i="17"/>
  <c r="P55" i="17"/>
  <c r="P262" i="17" s="1"/>
  <c r="P264" i="17" s="1"/>
  <c r="O55" i="17"/>
  <c r="O262" i="17" s="1"/>
  <c r="O264" i="17" s="1"/>
  <c r="N55" i="17"/>
  <c r="N262" i="17" s="1"/>
  <c r="N264" i="17" s="1"/>
  <c r="P41" i="17"/>
  <c r="O41" i="17"/>
  <c r="N41" i="17"/>
  <c r="P36" i="17"/>
  <c r="O36" i="17"/>
  <c r="N36" i="17"/>
  <c r="P29" i="17"/>
  <c r="O29" i="17"/>
  <c r="N29" i="17"/>
  <c r="P28" i="17"/>
  <c r="P30" i="17" s="1"/>
  <c r="O28" i="17"/>
  <c r="O30" i="17" s="1"/>
  <c r="N28" i="17"/>
  <c r="N30" i="17" s="1"/>
  <c r="P27" i="17"/>
  <c r="O27" i="17"/>
  <c r="N27" i="17"/>
  <c r="P24" i="17"/>
  <c r="O24" i="17"/>
  <c r="N24" i="17"/>
  <c r="P21" i="17"/>
  <c r="O21" i="17"/>
  <c r="N21" i="17"/>
  <c r="P16" i="17"/>
  <c r="O16" i="17"/>
  <c r="N16" i="17"/>
  <c r="N262" i="18" l="1"/>
  <c r="N264" i="18" s="1"/>
  <c r="N30" i="18"/>
  <c r="Z262" i="19"/>
  <c r="Z264" i="19" s="1"/>
  <c r="Z30" i="19"/>
  <c r="R30" i="19"/>
  <c r="S30" i="19"/>
  <c r="F30" i="19"/>
  <c r="K262" i="19"/>
  <c r="K264" i="19" s="1"/>
  <c r="F262" i="19"/>
  <c r="F264" i="19" s="1"/>
  <c r="G30" i="19"/>
  <c r="H262" i="19"/>
  <c r="H264" i="19" s="1"/>
  <c r="H30" i="19"/>
  <c r="L262" i="19"/>
  <c r="L264" i="19" s="1"/>
  <c r="J30" i="19"/>
  <c r="K30" i="19"/>
  <c r="G262" i="19"/>
  <c r="G264" i="19" s="1"/>
  <c r="I262" i="19"/>
  <c r="I264" i="19" s="1"/>
  <c r="J262" i="19"/>
  <c r="J264" i="19" s="1"/>
  <c r="I30" i="19"/>
  <c r="L30" i="19"/>
  <c r="N262" i="19"/>
  <c r="N264" i="19" s="1"/>
  <c r="O262" i="19"/>
  <c r="O264" i="19" s="1"/>
  <c r="P262" i="19"/>
  <c r="P264" i="19" s="1"/>
  <c r="Q262" i="19"/>
  <c r="Q264" i="19" s="1"/>
  <c r="O30" i="19"/>
  <c r="R262" i="19"/>
  <c r="R264" i="19" s="1"/>
  <c r="M262" i="19"/>
  <c r="M264" i="19" s="1"/>
  <c r="M30" i="19"/>
  <c r="P30" i="19"/>
  <c r="S262" i="19"/>
  <c r="S264" i="19" s="1"/>
  <c r="N30" i="19"/>
  <c r="Q30" i="19"/>
  <c r="U259" i="9"/>
  <c r="T259" i="9"/>
  <c r="S259" i="9"/>
  <c r="R259" i="9"/>
  <c r="Q259" i="9"/>
  <c r="P259" i="9"/>
  <c r="O259" i="9"/>
  <c r="N259" i="9"/>
  <c r="M259" i="9"/>
  <c r="L259" i="9"/>
  <c r="K259" i="9"/>
  <c r="J259" i="9"/>
  <c r="I259" i="9"/>
  <c r="H259" i="9"/>
  <c r="G259" i="9"/>
  <c r="F259" i="9"/>
  <c r="E259" i="9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M259" i="15"/>
  <c r="L259" i="15"/>
  <c r="K259" i="15"/>
  <c r="J259" i="15"/>
  <c r="I259" i="15"/>
  <c r="H259" i="15"/>
  <c r="G259" i="15"/>
  <c r="F259" i="15"/>
  <c r="E259" i="15"/>
  <c r="R259" i="16"/>
  <c r="Q259" i="16"/>
  <c r="P259" i="16"/>
  <c r="O259" i="16"/>
  <c r="N259" i="16"/>
  <c r="M259" i="16"/>
  <c r="L259" i="16"/>
  <c r="K259" i="16"/>
  <c r="J259" i="16"/>
  <c r="I259" i="16"/>
  <c r="H259" i="16"/>
  <c r="G259" i="16"/>
  <c r="F259" i="16"/>
  <c r="E259" i="16"/>
  <c r="T259" i="17"/>
  <c r="S259" i="17"/>
  <c r="R259" i="17"/>
  <c r="Q259" i="17"/>
  <c r="M259" i="17"/>
  <c r="L259" i="17"/>
  <c r="K259" i="17"/>
  <c r="J259" i="17"/>
  <c r="I259" i="17"/>
  <c r="H259" i="17"/>
  <c r="G259" i="17"/>
  <c r="F259" i="17"/>
  <c r="E259" i="17"/>
  <c r="P259" i="3"/>
  <c r="O259" i="3"/>
  <c r="N259" i="3"/>
  <c r="M259" i="3"/>
  <c r="L259" i="3"/>
  <c r="K259" i="3"/>
  <c r="J259" i="3"/>
  <c r="I259" i="3"/>
  <c r="H259" i="3"/>
  <c r="G259" i="3"/>
  <c r="F259" i="3"/>
  <c r="E259" i="3"/>
  <c r="P259" i="18"/>
  <c r="O259" i="18"/>
  <c r="M259" i="18"/>
  <c r="L259" i="18"/>
  <c r="K259" i="18"/>
  <c r="J259" i="18"/>
  <c r="I259" i="18"/>
  <c r="H259" i="18"/>
  <c r="G259" i="18"/>
  <c r="F259" i="18"/>
  <c r="E259" i="18"/>
  <c r="AB259" i="19"/>
  <c r="AA259" i="19"/>
  <c r="Y259" i="19"/>
  <c r="X259" i="19"/>
  <c r="W259" i="19"/>
  <c r="V259" i="19"/>
  <c r="U259" i="19"/>
  <c r="T259" i="19"/>
  <c r="E259" i="19"/>
  <c r="S259" i="20"/>
  <c r="R259" i="20"/>
  <c r="Q259" i="20"/>
  <c r="P259" i="20"/>
  <c r="O259" i="20"/>
  <c r="N259" i="20"/>
  <c r="M259" i="20"/>
  <c r="L259" i="20"/>
  <c r="K259" i="20"/>
  <c r="J259" i="20"/>
  <c r="I259" i="20"/>
  <c r="H259" i="20"/>
  <c r="G259" i="20"/>
  <c r="F259" i="20"/>
  <c r="E259" i="20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U247" i="9"/>
  <c r="T247" i="9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M247" i="15"/>
  <c r="L247" i="15"/>
  <c r="K247" i="15"/>
  <c r="J247" i="15"/>
  <c r="I247" i="15"/>
  <c r="H247" i="15"/>
  <c r="G247" i="15"/>
  <c r="F247" i="15"/>
  <c r="E247" i="15"/>
  <c r="R247" i="16"/>
  <c r="Q247" i="16"/>
  <c r="P247" i="16"/>
  <c r="O247" i="16"/>
  <c r="N247" i="16"/>
  <c r="M247" i="16"/>
  <c r="L247" i="16"/>
  <c r="K247" i="16"/>
  <c r="J247" i="16"/>
  <c r="I247" i="16"/>
  <c r="H247" i="16"/>
  <c r="G247" i="16"/>
  <c r="F247" i="16"/>
  <c r="E247" i="16"/>
  <c r="T247" i="17"/>
  <c r="S247" i="17"/>
  <c r="R247" i="17"/>
  <c r="Q247" i="17"/>
  <c r="M247" i="17"/>
  <c r="L247" i="17"/>
  <c r="K247" i="17"/>
  <c r="J247" i="17"/>
  <c r="I247" i="17"/>
  <c r="H247" i="17"/>
  <c r="G247" i="17"/>
  <c r="F247" i="17"/>
  <c r="E247" i="17"/>
  <c r="P247" i="3"/>
  <c r="O247" i="3"/>
  <c r="N247" i="3"/>
  <c r="M247" i="3"/>
  <c r="L247" i="3"/>
  <c r="K247" i="3"/>
  <c r="J247" i="3"/>
  <c r="I247" i="3"/>
  <c r="H247" i="3"/>
  <c r="G247" i="3"/>
  <c r="F247" i="3"/>
  <c r="E247" i="3"/>
  <c r="P247" i="18"/>
  <c r="O247" i="18"/>
  <c r="M247" i="18"/>
  <c r="L247" i="18"/>
  <c r="K247" i="18"/>
  <c r="J247" i="18"/>
  <c r="I247" i="18"/>
  <c r="H247" i="18"/>
  <c r="G247" i="18"/>
  <c r="F247" i="18"/>
  <c r="E247" i="18"/>
  <c r="AB247" i="19"/>
  <c r="AA247" i="19"/>
  <c r="Y247" i="19"/>
  <c r="X247" i="19"/>
  <c r="W247" i="19"/>
  <c r="V247" i="19"/>
  <c r="U247" i="19"/>
  <c r="T247" i="19"/>
  <c r="E247" i="19"/>
  <c r="S247" i="20"/>
  <c r="R247" i="20"/>
  <c r="Q247" i="20"/>
  <c r="P247" i="20"/>
  <c r="O247" i="20"/>
  <c r="N247" i="20"/>
  <c r="M247" i="20"/>
  <c r="L247" i="20"/>
  <c r="K247" i="20"/>
  <c r="J247" i="20"/>
  <c r="I247" i="20"/>
  <c r="H247" i="20"/>
  <c r="G247" i="20"/>
  <c r="F247" i="20"/>
  <c r="E247" i="20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U235" i="9"/>
  <c r="T235" i="9"/>
  <c r="S235" i="9"/>
  <c r="R235" i="9"/>
  <c r="Q235" i="9"/>
  <c r="P235" i="9"/>
  <c r="O235" i="9"/>
  <c r="N235" i="9"/>
  <c r="M235" i="9"/>
  <c r="L235" i="9"/>
  <c r="K235" i="9"/>
  <c r="J235" i="9"/>
  <c r="I235" i="9"/>
  <c r="H235" i="9"/>
  <c r="G235" i="9"/>
  <c r="F235" i="9"/>
  <c r="E235" i="9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M235" i="15"/>
  <c r="L235" i="15"/>
  <c r="K235" i="15"/>
  <c r="J235" i="15"/>
  <c r="I235" i="15"/>
  <c r="H235" i="15"/>
  <c r="G235" i="15"/>
  <c r="F235" i="15"/>
  <c r="E235" i="15"/>
  <c r="R235" i="16"/>
  <c r="Q235" i="16"/>
  <c r="P235" i="16"/>
  <c r="O235" i="16"/>
  <c r="N235" i="16"/>
  <c r="M235" i="16"/>
  <c r="L235" i="16"/>
  <c r="K235" i="16"/>
  <c r="J235" i="16"/>
  <c r="I235" i="16"/>
  <c r="H235" i="16"/>
  <c r="G235" i="16"/>
  <c r="F235" i="16"/>
  <c r="E235" i="16"/>
  <c r="T235" i="17"/>
  <c r="S235" i="17"/>
  <c r="R235" i="17"/>
  <c r="Q235" i="17"/>
  <c r="M235" i="17"/>
  <c r="L235" i="17"/>
  <c r="K235" i="17"/>
  <c r="J235" i="17"/>
  <c r="I235" i="17"/>
  <c r="H235" i="17"/>
  <c r="G235" i="17"/>
  <c r="F235" i="17"/>
  <c r="E235" i="17"/>
  <c r="P235" i="3"/>
  <c r="O235" i="3"/>
  <c r="N235" i="3"/>
  <c r="M235" i="3"/>
  <c r="L235" i="3"/>
  <c r="K235" i="3"/>
  <c r="J235" i="3"/>
  <c r="I235" i="3"/>
  <c r="H235" i="3"/>
  <c r="G235" i="3"/>
  <c r="F235" i="3"/>
  <c r="E235" i="3"/>
  <c r="P235" i="18"/>
  <c r="O235" i="18"/>
  <c r="M235" i="18"/>
  <c r="L235" i="18"/>
  <c r="K235" i="18"/>
  <c r="J235" i="18"/>
  <c r="I235" i="18"/>
  <c r="H235" i="18"/>
  <c r="G235" i="18"/>
  <c r="F235" i="18"/>
  <c r="E235" i="18"/>
  <c r="AB235" i="19"/>
  <c r="AA235" i="19"/>
  <c r="Y235" i="19"/>
  <c r="X235" i="19"/>
  <c r="W235" i="19"/>
  <c r="V235" i="19"/>
  <c r="U235" i="19"/>
  <c r="T235" i="19"/>
  <c r="E235" i="19"/>
  <c r="S235" i="20"/>
  <c r="R235" i="20"/>
  <c r="Q235" i="20"/>
  <c r="P235" i="20"/>
  <c r="O235" i="20"/>
  <c r="N235" i="20"/>
  <c r="M235" i="20"/>
  <c r="L235" i="20"/>
  <c r="K235" i="20"/>
  <c r="J235" i="20"/>
  <c r="I235" i="20"/>
  <c r="H235" i="20"/>
  <c r="G235" i="20"/>
  <c r="F235" i="20"/>
  <c r="E235" i="20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U223" i="9"/>
  <c r="T223" i="9"/>
  <c r="S223" i="9"/>
  <c r="R223" i="9"/>
  <c r="Q223" i="9"/>
  <c r="P223" i="9"/>
  <c r="O223" i="9"/>
  <c r="N223" i="9"/>
  <c r="M223" i="9"/>
  <c r="L223" i="9"/>
  <c r="K223" i="9"/>
  <c r="J223" i="9"/>
  <c r="I223" i="9"/>
  <c r="H223" i="9"/>
  <c r="G223" i="9"/>
  <c r="F223" i="9"/>
  <c r="E223" i="9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M223" i="15"/>
  <c r="L223" i="15"/>
  <c r="K223" i="15"/>
  <c r="J223" i="15"/>
  <c r="I223" i="15"/>
  <c r="H223" i="15"/>
  <c r="G223" i="15"/>
  <c r="F223" i="15"/>
  <c r="E223" i="15"/>
  <c r="R223" i="16"/>
  <c r="Q223" i="16"/>
  <c r="P223" i="16"/>
  <c r="O223" i="16"/>
  <c r="N223" i="16"/>
  <c r="M223" i="16"/>
  <c r="L223" i="16"/>
  <c r="K223" i="16"/>
  <c r="J223" i="16"/>
  <c r="I223" i="16"/>
  <c r="H223" i="16"/>
  <c r="G223" i="16"/>
  <c r="F223" i="16"/>
  <c r="E223" i="16"/>
  <c r="T223" i="17"/>
  <c r="S223" i="17"/>
  <c r="R223" i="17"/>
  <c r="Q223" i="17"/>
  <c r="M223" i="17"/>
  <c r="L223" i="17"/>
  <c r="K223" i="17"/>
  <c r="J223" i="17"/>
  <c r="I223" i="17"/>
  <c r="H223" i="17"/>
  <c r="G223" i="17"/>
  <c r="F223" i="17"/>
  <c r="E223" i="17"/>
  <c r="P223" i="3"/>
  <c r="O223" i="3"/>
  <c r="N223" i="3"/>
  <c r="M223" i="3"/>
  <c r="L223" i="3"/>
  <c r="K223" i="3"/>
  <c r="J223" i="3"/>
  <c r="I223" i="3"/>
  <c r="H223" i="3"/>
  <c r="G223" i="3"/>
  <c r="F223" i="3"/>
  <c r="E223" i="3"/>
  <c r="P223" i="18"/>
  <c r="O223" i="18"/>
  <c r="M223" i="18"/>
  <c r="L223" i="18"/>
  <c r="K223" i="18"/>
  <c r="J223" i="18"/>
  <c r="I223" i="18"/>
  <c r="H223" i="18"/>
  <c r="G223" i="18"/>
  <c r="F223" i="18"/>
  <c r="E223" i="18"/>
  <c r="AB223" i="19"/>
  <c r="AA223" i="19"/>
  <c r="Y223" i="19"/>
  <c r="X223" i="19"/>
  <c r="W223" i="19"/>
  <c r="V223" i="19"/>
  <c r="U223" i="19"/>
  <c r="T223" i="19"/>
  <c r="E223" i="19"/>
  <c r="S223" i="20"/>
  <c r="R223" i="20"/>
  <c r="Q223" i="20"/>
  <c r="P223" i="20"/>
  <c r="O223" i="20"/>
  <c r="N223" i="20"/>
  <c r="M223" i="20"/>
  <c r="L223" i="20"/>
  <c r="K223" i="20"/>
  <c r="J223" i="20"/>
  <c r="I223" i="20"/>
  <c r="H223" i="20"/>
  <c r="G223" i="20"/>
  <c r="F223" i="20"/>
  <c r="E223" i="20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U211" i="9"/>
  <c r="T211" i="9"/>
  <c r="S211" i="9"/>
  <c r="R211" i="9"/>
  <c r="Q211" i="9"/>
  <c r="P211" i="9"/>
  <c r="O211" i="9"/>
  <c r="N211" i="9"/>
  <c r="M211" i="9"/>
  <c r="L211" i="9"/>
  <c r="K211" i="9"/>
  <c r="J211" i="9"/>
  <c r="I211" i="9"/>
  <c r="H211" i="9"/>
  <c r="G211" i="9"/>
  <c r="F211" i="9"/>
  <c r="E211" i="9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M211" i="15"/>
  <c r="L211" i="15"/>
  <c r="K211" i="15"/>
  <c r="J211" i="15"/>
  <c r="I211" i="15"/>
  <c r="H211" i="15"/>
  <c r="G211" i="15"/>
  <c r="F211" i="15"/>
  <c r="E211" i="15"/>
  <c r="R211" i="16"/>
  <c r="Q211" i="16"/>
  <c r="P211" i="16"/>
  <c r="O211" i="16"/>
  <c r="N211" i="16"/>
  <c r="M211" i="16"/>
  <c r="L211" i="16"/>
  <c r="K211" i="16"/>
  <c r="J211" i="16"/>
  <c r="I211" i="16"/>
  <c r="H211" i="16"/>
  <c r="G211" i="16"/>
  <c r="F211" i="16"/>
  <c r="E211" i="16"/>
  <c r="T211" i="17"/>
  <c r="S211" i="17"/>
  <c r="R211" i="17"/>
  <c r="Q211" i="17"/>
  <c r="M211" i="17"/>
  <c r="L211" i="17"/>
  <c r="K211" i="17"/>
  <c r="J211" i="17"/>
  <c r="I211" i="17"/>
  <c r="H211" i="17"/>
  <c r="G211" i="17"/>
  <c r="F211" i="17"/>
  <c r="E211" i="17"/>
  <c r="P211" i="3"/>
  <c r="O211" i="3"/>
  <c r="N211" i="3"/>
  <c r="M211" i="3"/>
  <c r="L211" i="3"/>
  <c r="K211" i="3"/>
  <c r="J211" i="3"/>
  <c r="I211" i="3"/>
  <c r="H211" i="3"/>
  <c r="G211" i="3"/>
  <c r="F211" i="3"/>
  <c r="E211" i="3"/>
  <c r="P211" i="18"/>
  <c r="O211" i="18"/>
  <c r="M211" i="18"/>
  <c r="L211" i="18"/>
  <c r="K211" i="18"/>
  <c r="J211" i="18"/>
  <c r="I211" i="18"/>
  <c r="H211" i="18"/>
  <c r="G211" i="18"/>
  <c r="F211" i="18"/>
  <c r="E211" i="18"/>
  <c r="AB211" i="19"/>
  <c r="AA211" i="19"/>
  <c r="Y211" i="19"/>
  <c r="X211" i="19"/>
  <c r="W211" i="19"/>
  <c r="V211" i="19"/>
  <c r="U211" i="19"/>
  <c r="T211" i="19"/>
  <c r="E211" i="19"/>
  <c r="S211" i="20"/>
  <c r="R211" i="20"/>
  <c r="Q211" i="20"/>
  <c r="P211" i="20"/>
  <c r="O211" i="20"/>
  <c r="N211" i="20"/>
  <c r="M211" i="20"/>
  <c r="L211" i="20"/>
  <c r="K211" i="20"/>
  <c r="J211" i="20"/>
  <c r="I211" i="20"/>
  <c r="H211" i="20"/>
  <c r="G211" i="20"/>
  <c r="F211" i="20"/>
  <c r="E211" i="20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U199" i="9"/>
  <c r="T199" i="9"/>
  <c r="S199" i="9"/>
  <c r="R199" i="9"/>
  <c r="Q199" i="9"/>
  <c r="P199" i="9"/>
  <c r="O199" i="9"/>
  <c r="N199" i="9"/>
  <c r="M199" i="9"/>
  <c r="L199" i="9"/>
  <c r="K199" i="9"/>
  <c r="J199" i="9"/>
  <c r="I199" i="9"/>
  <c r="H199" i="9"/>
  <c r="G199" i="9"/>
  <c r="F199" i="9"/>
  <c r="E199" i="9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M199" i="15"/>
  <c r="L199" i="15"/>
  <c r="K199" i="15"/>
  <c r="J199" i="15"/>
  <c r="I199" i="15"/>
  <c r="H199" i="15"/>
  <c r="G199" i="15"/>
  <c r="F199" i="15"/>
  <c r="E199" i="15"/>
  <c r="R199" i="16"/>
  <c r="Q199" i="16"/>
  <c r="P199" i="16"/>
  <c r="O199" i="16"/>
  <c r="N199" i="16"/>
  <c r="M199" i="16"/>
  <c r="L199" i="16"/>
  <c r="K199" i="16"/>
  <c r="J199" i="16"/>
  <c r="I199" i="16"/>
  <c r="H199" i="16"/>
  <c r="G199" i="16"/>
  <c r="F199" i="16"/>
  <c r="E199" i="16"/>
  <c r="T199" i="17"/>
  <c r="S199" i="17"/>
  <c r="R199" i="17"/>
  <c r="Q199" i="17"/>
  <c r="M199" i="17"/>
  <c r="L199" i="17"/>
  <c r="K199" i="17"/>
  <c r="J199" i="17"/>
  <c r="I199" i="17"/>
  <c r="H199" i="17"/>
  <c r="G199" i="17"/>
  <c r="F199" i="17"/>
  <c r="E199" i="17"/>
  <c r="P199" i="3"/>
  <c r="O199" i="3"/>
  <c r="N199" i="3"/>
  <c r="M199" i="3"/>
  <c r="L199" i="3"/>
  <c r="K199" i="3"/>
  <c r="J199" i="3"/>
  <c r="I199" i="3"/>
  <c r="H199" i="3"/>
  <c r="G199" i="3"/>
  <c r="F199" i="3"/>
  <c r="E199" i="3"/>
  <c r="P199" i="18"/>
  <c r="O199" i="18"/>
  <c r="M199" i="18"/>
  <c r="L199" i="18"/>
  <c r="K199" i="18"/>
  <c r="J199" i="18"/>
  <c r="I199" i="18"/>
  <c r="H199" i="18"/>
  <c r="G199" i="18"/>
  <c r="F199" i="18"/>
  <c r="E199" i="18"/>
  <c r="AB199" i="19"/>
  <c r="AA199" i="19"/>
  <c r="Y199" i="19"/>
  <c r="X199" i="19"/>
  <c r="W199" i="19"/>
  <c r="V199" i="19"/>
  <c r="U199" i="19"/>
  <c r="T199" i="19"/>
  <c r="E199" i="19"/>
  <c r="S199" i="20"/>
  <c r="R199" i="20"/>
  <c r="Q199" i="20"/>
  <c r="P199" i="20"/>
  <c r="O199" i="20"/>
  <c r="N199" i="20"/>
  <c r="M199" i="20"/>
  <c r="L199" i="20"/>
  <c r="K199" i="20"/>
  <c r="J199" i="20"/>
  <c r="I199" i="20"/>
  <c r="H199" i="20"/>
  <c r="G199" i="20"/>
  <c r="F199" i="20"/>
  <c r="E199" i="20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U187" i="9"/>
  <c r="T187" i="9"/>
  <c r="S187" i="9"/>
  <c r="R187" i="9"/>
  <c r="Q187" i="9"/>
  <c r="P187" i="9"/>
  <c r="O187" i="9"/>
  <c r="N187" i="9"/>
  <c r="M187" i="9"/>
  <c r="L187" i="9"/>
  <c r="K187" i="9"/>
  <c r="J187" i="9"/>
  <c r="I187" i="9"/>
  <c r="H187" i="9"/>
  <c r="G187" i="9"/>
  <c r="F187" i="9"/>
  <c r="E187" i="9"/>
  <c r="R187" i="10"/>
  <c r="Q187" i="10"/>
  <c r="P187" i="10"/>
  <c r="O187" i="10"/>
  <c r="N187" i="10"/>
  <c r="M187" i="10"/>
  <c r="K187" i="10"/>
  <c r="J187" i="10"/>
  <c r="I187" i="10"/>
  <c r="H187" i="10"/>
  <c r="G187" i="10"/>
  <c r="F187" i="10"/>
  <c r="E187" i="10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M187" i="15"/>
  <c r="L187" i="15"/>
  <c r="K187" i="15"/>
  <c r="J187" i="15"/>
  <c r="I187" i="15"/>
  <c r="H187" i="15"/>
  <c r="G187" i="15"/>
  <c r="F187" i="15"/>
  <c r="E187" i="15"/>
  <c r="R187" i="16"/>
  <c r="Q187" i="16"/>
  <c r="P187" i="16"/>
  <c r="O187" i="16"/>
  <c r="N187" i="16"/>
  <c r="M187" i="16"/>
  <c r="L187" i="16"/>
  <c r="K187" i="16"/>
  <c r="J187" i="16"/>
  <c r="I187" i="16"/>
  <c r="H187" i="16"/>
  <c r="G187" i="16"/>
  <c r="F187" i="16"/>
  <c r="E187" i="16"/>
  <c r="T187" i="17"/>
  <c r="S187" i="17"/>
  <c r="R187" i="17"/>
  <c r="Q187" i="17"/>
  <c r="M187" i="17"/>
  <c r="L187" i="17"/>
  <c r="K187" i="17"/>
  <c r="J187" i="17"/>
  <c r="I187" i="17"/>
  <c r="H187" i="17"/>
  <c r="G187" i="17"/>
  <c r="F187" i="17"/>
  <c r="E187" i="17"/>
  <c r="P187" i="3"/>
  <c r="O187" i="3"/>
  <c r="N187" i="3"/>
  <c r="M187" i="3"/>
  <c r="L187" i="3"/>
  <c r="K187" i="3"/>
  <c r="J187" i="3"/>
  <c r="I187" i="3"/>
  <c r="H187" i="3"/>
  <c r="G187" i="3"/>
  <c r="F187" i="3"/>
  <c r="E187" i="3"/>
  <c r="P187" i="18"/>
  <c r="O187" i="18"/>
  <c r="M187" i="18"/>
  <c r="L187" i="18"/>
  <c r="K187" i="18"/>
  <c r="J187" i="18"/>
  <c r="I187" i="18"/>
  <c r="H187" i="18"/>
  <c r="G187" i="18"/>
  <c r="F187" i="18"/>
  <c r="E187" i="18"/>
  <c r="AB187" i="19"/>
  <c r="AA187" i="19"/>
  <c r="Y187" i="19"/>
  <c r="X187" i="19"/>
  <c r="W187" i="19"/>
  <c r="V187" i="19"/>
  <c r="U187" i="19"/>
  <c r="T187" i="19"/>
  <c r="E187" i="19"/>
  <c r="S187" i="20"/>
  <c r="R187" i="20"/>
  <c r="Q187" i="20"/>
  <c r="P187" i="20"/>
  <c r="O187" i="20"/>
  <c r="N187" i="20"/>
  <c r="M187" i="20"/>
  <c r="L187" i="20"/>
  <c r="K187" i="20"/>
  <c r="J187" i="20"/>
  <c r="I187" i="20"/>
  <c r="H187" i="20"/>
  <c r="G187" i="20"/>
  <c r="F187" i="20"/>
  <c r="E187" i="20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U175" i="9"/>
  <c r="T175" i="9"/>
  <c r="S175" i="9"/>
  <c r="R175" i="9"/>
  <c r="Q175" i="9"/>
  <c r="P175" i="9"/>
  <c r="O175" i="9"/>
  <c r="N175" i="9"/>
  <c r="M175" i="9"/>
  <c r="L175" i="9"/>
  <c r="K175" i="9"/>
  <c r="J175" i="9"/>
  <c r="I175" i="9"/>
  <c r="H175" i="9"/>
  <c r="G175" i="9"/>
  <c r="F175" i="9"/>
  <c r="E175" i="9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M175" i="15"/>
  <c r="L175" i="15"/>
  <c r="K175" i="15"/>
  <c r="J175" i="15"/>
  <c r="I175" i="15"/>
  <c r="H175" i="15"/>
  <c r="G175" i="15"/>
  <c r="F175" i="15"/>
  <c r="E175" i="15"/>
  <c r="R175" i="16"/>
  <c r="Q175" i="16"/>
  <c r="P175" i="16"/>
  <c r="O175" i="16"/>
  <c r="N175" i="16"/>
  <c r="M175" i="16"/>
  <c r="L175" i="16"/>
  <c r="K175" i="16"/>
  <c r="J175" i="16"/>
  <c r="I175" i="16"/>
  <c r="H175" i="16"/>
  <c r="G175" i="16"/>
  <c r="F175" i="16"/>
  <c r="E175" i="16"/>
  <c r="T175" i="17"/>
  <c r="S175" i="17"/>
  <c r="R175" i="17"/>
  <c r="Q175" i="17"/>
  <c r="M175" i="17"/>
  <c r="L175" i="17"/>
  <c r="K175" i="17"/>
  <c r="J175" i="17"/>
  <c r="I175" i="17"/>
  <c r="H175" i="17"/>
  <c r="G175" i="17"/>
  <c r="F175" i="17"/>
  <c r="E175" i="17"/>
  <c r="P175" i="3"/>
  <c r="O175" i="3"/>
  <c r="N175" i="3"/>
  <c r="M175" i="3"/>
  <c r="L175" i="3"/>
  <c r="K175" i="3"/>
  <c r="J175" i="3"/>
  <c r="I175" i="3"/>
  <c r="H175" i="3"/>
  <c r="G175" i="3"/>
  <c r="F175" i="3"/>
  <c r="E175" i="3"/>
  <c r="P175" i="18"/>
  <c r="O175" i="18"/>
  <c r="M175" i="18"/>
  <c r="L175" i="18"/>
  <c r="K175" i="18"/>
  <c r="J175" i="18"/>
  <c r="I175" i="18"/>
  <c r="H175" i="18"/>
  <c r="G175" i="18"/>
  <c r="F175" i="18"/>
  <c r="E175" i="18"/>
  <c r="AB175" i="19"/>
  <c r="AA175" i="19"/>
  <c r="Y175" i="19"/>
  <c r="X175" i="19"/>
  <c r="W175" i="19"/>
  <c r="V175" i="19"/>
  <c r="U175" i="19"/>
  <c r="T175" i="19"/>
  <c r="E175" i="19"/>
  <c r="S175" i="20"/>
  <c r="R175" i="20"/>
  <c r="Q175" i="20"/>
  <c r="P175" i="20"/>
  <c r="O175" i="20"/>
  <c r="N175" i="20"/>
  <c r="M175" i="20"/>
  <c r="L175" i="20"/>
  <c r="K175" i="20"/>
  <c r="J175" i="20"/>
  <c r="I175" i="20"/>
  <c r="H175" i="20"/>
  <c r="G175" i="20"/>
  <c r="F175" i="20"/>
  <c r="E175" i="20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U163" i="9"/>
  <c r="T163" i="9"/>
  <c r="S163" i="9"/>
  <c r="R163" i="9"/>
  <c r="Q163" i="9"/>
  <c r="P163" i="9"/>
  <c r="O163" i="9"/>
  <c r="N163" i="9"/>
  <c r="M163" i="9"/>
  <c r="L163" i="9"/>
  <c r="K163" i="9"/>
  <c r="J163" i="9"/>
  <c r="I163" i="9"/>
  <c r="H163" i="9"/>
  <c r="G163" i="9"/>
  <c r="F163" i="9"/>
  <c r="E163" i="9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M163" i="15"/>
  <c r="L163" i="15"/>
  <c r="K163" i="15"/>
  <c r="J163" i="15"/>
  <c r="I163" i="15"/>
  <c r="H163" i="15"/>
  <c r="G163" i="15"/>
  <c r="F163" i="15"/>
  <c r="E163" i="15"/>
  <c r="R163" i="16"/>
  <c r="Q163" i="16"/>
  <c r="P163" i="16"/>
  <c r="O163" i="16"/>
  <c r="N163" i="16"/>
  <c r="M163" i="16"/>
  <c r="L163" i="16"/>
  <c r="K163" i="16"/>
  <c r="J163" i="16"/>
  <c r="I163" i="16"/>
  <c r="H163" i="16"/>
  <c r="G163" i="16"/>
  <c r="F163" i="16"/>
  <c r="E163" i="16"/>
  <c r="T163" i="17"/>
  <c r="S163" i="17"/>
  <c r="R163" i="17"/>
  <c r="Q163" i="17"/>
  <c r="M163" i="17"/>
  <c r="L163" i="17"/>
  <c r="K163" i="17"/>
  <c r="J163" i="17"/>
  <c r="I163" i="17"/>
  <c r="H163" i="17"/>
  <c r="G163" i="17"/>
  <c r="F163" i="17"/>
  <c r="E163" i="17"/>
  <c r="P163" i="3"/>
  <c r="O163" i="3"/>
  <c r="N163" i="3"/>
  <c r="M163" i="3"/>
  <c r="L163" i="3"/>
  <c r="K163" i="3"/>
  <c r="J163" i="3"/>
  <c r="I163" i="3"/>
  <c r="H163" i="3"/>
  <c r="G163" i="3"/>
  <c r="F163" i="3"/>
  <c r="E163" i="3"/>
  <c r="P163" i="18"/>
  <c r="O163" i="18"/>
  <c r="M163" i="18"/>
  <c r="L163" i="18"/>
  <c r="K163" i="18"/>
  <c r="J163" i="18"/>
  <c r="I163" i="18"/>
  <c r="H163" i="18"/>
  <c r="G163" i="18"/>
  <c r="F163" i="18"/>
  <c r="E163" i="18"/>
  <c r="AB163" i="19"/>
  <c r="AA163" i="19"/>
  <c r="Y163" i="19"/>
  <c r="X163" i="19"/>
  <c r="W163" i="19"/>
  <c r="V163" i="19"/>
  <c r="U163" i="19"/>
  <c r="T163" i="19"/>
  <c r="E163" i="19"/>
  <c r="S163" i="20"/>
  <c r="R163" i="20"/>
  <c r="Q163" i="20"/>
  <c r="P163" i="20"/>
  <c r="O163" i="20"/>
  <c r="N163" i="20"/>
  <c r="M163" i="20"/>
  <c r="L163" i="20"/>
  <c r="K163" i="20"/>
  <c r="J163" i="20"/>
  <c r="I163" i="20"/>
  <c r="H163" i="20"/>
  <c r="G163" i="20"/>
  <c r="F163" i="20"/>
  <c r="E163" i="20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M151" i="15"/>
  <c r="L151" i="15"/>
  <c r="K151" i="15"/>
  <c r="J151" i="15"/>
  <c r="I151" i="15"/>
  <c r="H151" i="15"/>
  <c r="G151" i="15"/>
  <c r="F151" i="15"/>
  <c r="E151" i="15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T151" i="17"/>
  <c r="S151" i="17"/>
  <c r="R151" i="17"/>
  <c r="Q151" i="17"/>
  <c r="M151" i="17"/>
  <c r="L151" i="17"/>
  <c r="K151" i="17"/>
  <c r="J151" i="17"/>
  <c r="I151" i="17"/>
  <c r="H151" i="17"/>
  <c r="G151" i="17"/>
  <c r="F151" i="17"/>
  <c r="E151" i="17"/>
  <c r="P151" i="3"/>
  <c r="O151" i="3"/>
  <c r="N151" i="3"/>
  <c r="M151" i="3"/>
  <c r="L151" i="3"/>
  <c r="K151" i="3"/>
  <c r="J151" i="3"/>
  <c r="I151" i="3"/>
  <c r="H151" i="3"/>
  <c r="G151" i="3"/>
  <c r="F151" i="3"/>
  <c r="E151" i="3"/>
  <c r="P151" i="18"/>
  <c r="O151" i="18"/>
  <c r="M151" i="18"/>
  <c r="L151" i="18"/>
  <c r="K151" i="18"/>
  <c r="J151" i="18"/>
  <c r="I151" i="18"/>
  <c r="H151" i="18"/>
  <c r="G151" i="18"/>
  <c r="F151" i="18"/>
  <c r="E151" i="18"/>
  <c r="AB151" i="19"/>
  <c r="AA151" i="19"/>
  <c r="Y151" i="19"/>
  <c r="X151" i="19"/>
  <c r="W151" i="19"/>
  <c r="V151" i="19"/>
  <c r="U151" i="19"/>
  <c r="T151" i="19"/>
  <c r="E151" i="19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M139" i="15"/>
  <c r="L139" i="15"/>
  <c r="K139" i="15"/>
  <c r="J139" i="15"/>
  <c r="I139" i="15"/>
  <c r="H139" i="15"/>
  <c r="G139" i="15"/>
  <c r="F139" i="15"/>
  <c r="E139" i="15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T139" i="17"/>
  <c r="S139" i="17"/>
  <c r="R139" i="17"/>
  <c r="Q139" i="17"/>
  <c r="M139" i="17"/>
  <c r="L139" i="17"/>
  <c r="K139" i="17"/>
  <c r="J139" i="17"/>
  <c r="I139" i="17"/>
  <c r="H139" i="17"/>
  <c r="G139" i="17"/>
  <c r="F139" i="17"/>
  <c r="E139" i="17"/>
  <c r="P139" i="3"/>
  <c r="O139" i="3"/>
  <c r="N139" i="3"/>
  <c r="M139" i="3"/>
  <c r="L139" i="3"/>
  <c r="K139" i="3"/>
  <c r="J139" i="3"/>
  <c r="I139" i="3"/>
  <c r="H139" i="3"/>
  <c r="G139" i="3"/>
  <c r="F139" i="3"/>
  <c r="E139" i="3"/>
  <c r="P139" i="18"/>
  <c r="O139" i="18"/>
  <c r="M139" i="18"/>
  <c r="L139" i="18"/>
  <c r="K139" i="18"/>
  <c r="J139" i="18"/>
  <c r="I139" i="18"/>
  <c r="H139" i="18"/>
  <c r="G139" i="18"/>
  <c r="F139" i="18"/>
  <c r="E139" i="18"/>
  <c r="AB139" i="19"/>
  <c r="AA139" i="19"/>
  <c r="Y139" i="19"/>
  <c r="X139" i="19"/>
  <c r="W139" i="19"/>
  <c r="V139" i="19"/>
  <c r="U139" i="19"/>
  <c r="T139" i="19"/>
  <c r="E139" i="19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M127" i="15"/>
  <c r="L127" i="15"/>
  <c r="K127" i="15"/>
  <c r="J127" i="15"/>
  <c r="I127" i="15"/>
  <c r="H127" i="15"/>
  <c r="G127" i="15"/>
  <c r="F127" i="15"/>
  <c r="E127" i="15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T127" i="17"/>
  <c r="S127" i="17"/>
  <c r="R127" i="17"/>
  <c r="Q127" i="17"/>
  <c r="M127" i="17"/>
  <c r="L127" i="17"/>
  <c r="K127" i="17"/>
  <c r="J127" i="17"/>
  <c r="I127" i="17"/>
  <c r="H127" i="17"/>
  <c r="G127" i="17"/>
  <c r="F127" i="17"/>
  <c r="E127" i="17"/>
  <c r="P127" i="3"/>
  <c r="O127" i="3"/>
  <c r="N127" i="3"/>
  <c r="M127" i="3"/>
  <c r="L127" i="3"/>
  <c r="K127" i="3"/>
  <c r="J127" i="3"/>
  <c r="I127" i="3"/>
  <c r="H127" i="3"/>
  <c r="G127" i="3"/>
  <c r="F127" i="3"/>
  <c r="E127" i="3"/>
  <c r="P127" i="18"/>
  <c r="O127" i="18"/>
  <c r="M127" i="18"/>
  <c r="L127" i="18"/>
  <c r="K127" i="18"/>
  <c r="J127" i="18"/>
  <c r="I127" i="18"/>
  <c r="H127" i="18"/>
  <c r="G127" i="18"/>
  <c r="F127" i="18"/>
  <c r="E127" i="18"/>
  <c r="AB127" i="19"/>
  <c r="AA127" i="19"/>
  <c r="Y127" i="19"/>
  <c r="X127" i="19"/>
  <c r="W127" i="19"/>
  <c r="V127" i="19"/>
  <c r="U127" i="19"/>
  <c r="T127" i="19"/>
  <c r="E127" i="19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U115" i="9"/>
  <c r="T115" i="9"/>
  <c r="S115" i="9"/>
  <c r="R115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M115" i="15"/>
  <c r="L115" i="15"/>
  <c r="K115" i="15"/>
  <c r="J115" i="15"/>
  <c r="I115" i="15"/>
  <c r="H115" i="15"/>
  <c r="G115" i="15"/>
  <c r="F115" i="15"/>
  <c r="E115" i="15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T115" i="17"/>
  <c r="S115" i="17"/>
  <c r="R115" i="17"/>
  <c r="Q115" i="17"/>
  <c r="M115" i="17"/>
  <c r="L115" i="17"/>
  <c r="K115" i="17"/>
  <c r="J115" i="17"/>
  <c r="I115" i="17"/>
  <c r="H115" i="17"/>
  <c r="G115" i="17"/>
  <c r="F115" i="17"/>
  <c r="E115" i="17"/>
  <c r="P115" i="3"/>
  <c r="O115" i="3"/>
  <c r="N115" i="3"/>
  <c r="M115" i="3"/>
  <c r="L115" i="3"/>
  <c r="K115" i="3"/>
  <c r="J115" i="3"/>
  <c r="I115" i="3"/>
  <c r="H115" i="3"/>
  <c r="G115" i="3"/>
  <c r="F115" i="3"/>
  <c r="E115" i="3"/>
  <c r="P115" i="18"/>
  <c r="O115" i="18"/>
  <c r="M115" i="18"/>
  <c r="L115" i="18"/>
  <c r="K115" i="18"/>
  <c r="J115" i="18"/>
  <c r="I115" i="18"/>
  <c r="H115" i="18"/>
  <c r="G115" i="18"/>
  <c r="F115" i="18"/>
  <c r="E115" i="18"/>
  <c r="AB115" i="19"/>
  <c r="AA115" i="19"/>
  <c r="Y115" i="19"/>
  <c r="X115" i="19"/>
  <c r="W115" i="19"/>
  <c r="V115" i="19"/>
  <c r="U115" i="19"/>
  <c r="T115" i="19"/>
  <c r="E115" i="19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M103" i="15"/>
  <c r="L103" i="15"/>
  <c r="K103" i="15"/>
  <c r="J103" i="15"/>
  <c r="I103" i="15"/>
  <c r="H103" i="15"/>
  <c r="G103" i="15"/>
  <c r="F103" i="15"/>
  <c r="E103" i="15"/>
  <c r="R103" i="16"/>
  <c r="Q103" i="16"/>
  <c r="P103" i="16"/>
  <c r="O103" i="16"/>
  <c r="N103" i="16"/>
  <c r="M103" i="16"/>
  <c r="L103" i="16"/>
  <c r="K103" i="16"/>
  <c r="J103" i="16"/>
  <c r="I103" i="16"/>
  <c r="H103" i="16"/>
  <c r="G103" i="16"/>
  <c r="F103" i="16"/>
  <c r="E103" i="16"/>
  <c r="T103" i="17"/>
  <c r="S103" i="17"/>
  <c r="R103" i="17"/>
  <c r="Q103" i="17"/>
  <c r="M103" i="17"/>
  <c r="L103" i="17"/>
  <c r="K103" i="17"/>
  <c r="J103" i="17"/>
  <c r="I103" i="17"/>
  <c r="H103" i="17"/>
  <c r="G103" i="17"/>
  <c r="F103" i="17"/>
  <c r="E103" i="17"/>
  <c r="P103" i="3"/>
  <c r="O103" i="3"/>
  <c r="N103" i="3"/>
  <c r="M103" i="3"/>
  <c r="L103" i="3"/>
  <c r="K103" i="3"/>
  <c r="J103" i="3"/>
  <c r="I103" i="3"/>
  <c r="H103" i="3"/>
  <c r="G103" i="3"/>
  <c r="F103" i="3"/>
  <c r="E103" i="3"/>
  <c r="P103" i="18"/>
  <c r="O103" i="18"/>
  <c r="M103" i="18"/>
  <c r="L103" i="18"/>
  <c r="K103" i="18"/>
  <c r="J103" i="18"/>
  <c r="I103" i="18"/>
  <c r="H103" i="18"/>
  <c r="G103" i="18"/>
  <c r="F103" i="18"/>
  <c r="E103" i="18"/>
  <c r="AB103" i="19"/>
  <c r="AA103" i="19"/>
  <c r="Y103" i="19"/>
  <c r="X103" i="19"/>
  <c r="W103" i="19"/>
  <c r="V103" i="19"/>
  <c r="U103" i="19"/>
  <c r="T103" i="19"/>
  <c r="E103" i="19"/>
  <c r="S103" i="20"/>
  <c r="R103" i="20"/>
  <c r="Q103" i="20"/>
  <c r="P103" i="20"/>
  <c r="O103" i="20"/>
  <c r="N103" i="20"/>
  <c r="M103" i="20"/>
  <c r="L103" i="20"/>
  <c r="K103" i="20"/>
  <c r="J103" i="20"/>
  <c r="I103" i="20"/>
  <c r="H103" i="20"/>
  <c r="G103" i="20"/>
  <c r="F103" i="20"/>
  <c r="E103" i="20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M91" i="15"/>
  <c r="L91" i="15"/>
  <c r="K91" i="15"/>
  <c r="J91" i="15"/>
  <c r="I91" i="15"/>
  <c r="H91" i="15"/>
  <c r="G91" i="15"/>
  <c r="F91" i="15"/>
  <c r="E91" i="15"/>
  <c r="R91" i="16"/>
  <c r="Q91" i="16"/>
  <c r="P91" i="16"/>
  <c r="O91" i="16"/>
  <c r="N91" i="16"/>
  <c r="M91" i="16"/>
  <c r="L91" i="16"/>
  <c r="K91" i="16"/>
  <c r="J91" i="16"/>
  <c r="I91" i="16"/>
  <c r="H91" i="16"/>
  <c r="G91" i="16"/>
  <c r="F91" i="16"/>
  <c r="E91" i="16"/>
  <c r="T91" i="17"/>
  <c r="S91" i="17"/>
  <c r="R91" i="17"/>
  <c r="Q91" i="17"/>
  <c r="M91" i="17"/>
  <c r="L91" i="17"/>
  <c r="K91" i="17"/>
  <c r="J91" i="17"/>
  <c r="I91" i="17"/>
  <c r="H91" i="17"/>
  <c r="G91" i="17"/>
  <c r="F91" i="17"/>
  <c r="E91" i="17"/>
  <c r="P91" i="3"/>
  <c r="O91" i="3"/>
  <c r="N91" i="3"/>
  <c r="M91" i="3"/>
  <c r="L91" i="3"/>
  <c r="K91" i="3"/>
  <c r="J91" i="3"/>
  <c r="I91" i="3"/>
  <c r="H91" i="3"/>
  <c r="G91" i="3"/>
  <c r="F91" i="3"/>
  <c r="E91" i="3"/>
  <c r="P91" i="18"/>
  <c r="O91" i="18"/>
  <c r="M91" i="18"/>
  <c r="L91" i="18"/>
  <c r="K91" i="18"/>
  <c r="J91" i="18"/>
  <c r="I91" i="18"/>
  <c r="H91" i="18"/>
  <c r="G91" i="18"/>
  <c r="F91" i="18"/>
  <c r="E91" i="18"/>
  <c r="AB91" i="19"/>
  <c r="AA91" i="19"/>
  <c r="Y91" i="19"/>
  <c r="X91" i="19"/>
  <c r="W91" i="19"/>
  <c r="V91" i="19"/>
  <c r="U91" i="19"/>
  <c r="T91" i="19"/>
  <c r="E91" i="19"/>
  <c r="S91" i="20"/>
  <c r="R91" i="20"/>
  <c r="Q91" i="20"/>
  <c r="P91" i="20"/>
  <c r="O91" i="20"/>
  <c r="N91" i="20"/>
  <c r="M91" i="20"/>
  <c r="L91" i="20"/>
  <c r="K91" i="20"/>
  <c r="J91" i="20"/>
  <c r="I91" i="20"/>
  <c r="H91" i="20"/>
  <c r="G91" i="20"/>
  <c r="F91" i="20"/>
  <c r="E91" i="20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M79" i="15"/>
  <c r="L79" i="15"/>
  <c r="K79" i="15"/>
  <c r="J79" i="15"/>
  <c r="I79" i="15"/>
  <c r="H79" i="15"/>
  <c r="G79" i="15"/>
  <c r="F79" i="15"/>
  <c r="E79" i="15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T79" i="17"/>
  <c r="S79" i="17"/>
  <c r="R79" i="17"/>
  <c r="Q79" i="17"/>
  <c r="M79" i="17"/>
  <c r="L79" i="17"/>
  <c r="K79" i="17"/>
  <c r="J79" i="17"/>
  <c r="I79" i="17"/>
  <c r="H79" i="17"/>
  <c r="G79" i="17"/>
  <c r="F79" i="17"/>
  <c r="E79" i="17"/>
  <c r="P79" i="3"/>
  <c r="O79" i="3"/>
  <c r="N79" i="3"/>
  <c r="M79" i="3"/>
  <c r="L79" i="3"/>
  <c r="K79" i="3"/>
  <c r="J79" i="3"/>
  <c r="I79" i="3"/>
  <c r="H79" i="3"/>
  <c r="G79" i="3"/>
  <c r="F79" i="3"/>
  <c r="E79" i="3"/>
  <c r="P79" i="18"/>
  <c r="O79" i="18"/>
  <c r="M79" i="18"/>
  <c r="L79" i="18"/>
  <c r="K79" i="18"/>
  <c r="J79" i="18"/>
  <c r="I79" i="18"/>
  <c r="H79" i="18"/>
  <c r="G79" i="18"/>
  <c r="F79" i="18"/>
  <c r="E79" i="18"/>
  <c r="AB79" i="19"/>
  <c r="AA79" i="19"/>
  <c r="Y79" i="19"/>
  <c r="X79" i="19"/>
  <c r="W79" i="19"/>
  <c r="V79" i="19"/>
  <c r="U79" i="19"/>
  <c r="T79" i="19"/>
  <c r="E79" i="19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E79" i="20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M67" i="15"/>
  <c r="L67" i="15"/>
  <c r="K67" i="15"/>
  <c r="J67" i="15"/>
  <c r="I67" i="15"/>
  <c r="H67" i="15"/>
  <c r="G67" i="15"/>
  <c r="F67" i="15"/>
  <c r="E67" i="15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T67" i="17"/>
  <c r="S67" i="17"/>
  <c r="R67" i="17"/>
  <c r="Q67" i="17"/>
  <c r="M67" i="17"/>
  <c r="L67" i="17"/>
  <c r="K67" i="17"/>
  <c r="J67" i="17"/>
  <c r="I67" i="17"/>
  <c r="H67" i="17"/>
  <c r="G67" i="17"/>
  <c r="F67" i="17"/>
  <c r="E67" i="17"/>
  <c r="P67" i="3"/>
  <c r="O67" i="3"/>
  <c r="N67" i="3"/>
  <c r="M67" i="3"/>
  <c r="L67" i="3"/>
  <c r="K67" i="3"/>
  <c r="J67" i="3"/>
  <c r="I67" i="3"/>
  <c r="H67" i="3"/>
  <c r="G67" i="3"/>
  <c r="F67" i="3"/>
  <c r="E67" i="3"/>
  <c r="P67" i="18"/>
  <c r="O67" i="18"/>
  <c r="M67" i="18"/>
  <c r="L67" i="18"/>
  <c r="K67" i="18"/>
  <c r="J67" i="18"/>
  <c r="I67" i="18"/>
  <c r="H67" i="18"/>
  <c r="G67" i="18"/>
  <c r="F67" i="18"/>
  <c r="E67" i="18"/>
  <c r="AB67" i="19"/>
  <c r="AA67" i="19"/>
  <c r="Y67" i="19"/>
  <c r="X67" i="19"/>
  <c r="W67" i="19"/>
  <c r="V67" i="19"/>
  <c r="U67" i="19"/>
  <c r="T67" i="19"/>
  <c r="E67" i="19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M55" i="15"/>
  <c r="L55" i="15"/>
  <c r="K55" i="15"/>
  <c r="J55" i="15"/>
  <c r="I55" i="15"/>
  <c r="H55" i="15"/>
  <c r="G55" i="15"/>
  <c r="F55" i="15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T55" i="17"/>
  <c r="S55" i="17"/>
  <c r="R55" i="17"/>
  <c r="Q55" i="17"/>
  <c r="M55" i="17"/>
  <c r="L55" i="17"/>
  <c r="K55" i="17"/>
  <c r="J55" i="17"/>
  <c r="I55" i="17"/>
  <c r="H55" i="17"/>
  <c r="G55" i="17"/>
  <c r="F55" i="17"/>
  <c r="P55" i="3"/>
  <c r="O55" i="3"/>
  <c r="N55" i="3"/>
  <c r="M55" i="3"/>
  <c r="L55" i="3"/>
  <c r="K55" i="3"/>
  <c r="J55" i="3"/>
  <c r="I55" i="3"/>
  <c r="H55" i="3"/>
  <c r="G55" i="3"/>
  <c r="F55" i="3"/>
  <c r="P55" i="18"/>
  <c r="O55" i="18"/>
  <c r="M55" i="18"/>
  <c r="L55" i="18"/>
  <c r="K55" i="18"/>
  <c r="J55" i="18"/>
  <c r="I55" i="18"/>
  <c r="H55" i="18"/>
  <c r="G55" i="18"/>
  <c r="F55" i="18"/>
  <c r="AB55" i="19"/>
  <c r="AA55" i="19"/>
  <c r="Y55" i="19"/>
  <c r="X55" i="19"/>
  <c r="W55" i="19"/>
  <c r="V55" i="19"/>
  <c r="U55" i="19"/>
  <c r="T55" i="19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9"/>
  <c r="E55" i="10"/>
  <c r="E55" i="11"/>
  <c r="E55" i="15"/>
  <c r="E55" i="16"/>
  <c r="E55" i="17"/>
  <c r="E55" i="3"/>
  <c r="E55" i="18"/>
  <c r="E55" i="19"/>
  <c r="E55" i="20"/>
  <c r="E55" i="21"/>
  <c r="S252" i="21" l="1"/>
  <c r="S253" i="21"/>
  <c r="S254" i="21"/>
  <c r="S255" i="21"/>
  <c r="S256" i="21"/>
  <c r="S257" i="21"/>
  <c r="S258" i="21"/>
  <c r="S227" i="21"/>
  <c r="S228" i="21"/>
  <c r="S229" i="21"/>
  <c r="S230" i="21"/>
  <c r="S231" i="21"/>
  <c r="S232" i="21"/>
  <c r="S233" i="21"/>
  <c r="S234" i="21"/>
  <c r="S215" i="21"/>
  <c r="S216" i="21"/>
  <c r="S217" i="21"/>
  <c r="S218" i="21"/>
  <c r="S219" i="21"/>
  <c r="S220" i="21"/>
  <c r="S221" i="21"/>
  <c r="S222" i="21"/>
  <c r="S167" i="21"/>
  <c r="S168" i="21"/>
  <c r="S169" i="21"/>
  <c r="S170" i="21"/>
  <c r="S171" i="21"/>
  <c r="S172" i="21"/>
  <c r="S173" i="21"/>
  <c r="S174" i="21"/>
  <c r="S160" i="21"/>
  <c r="S161" i="21"/>
  <c r="S162" i="21"/>
  <c r="S143" i="21"/>
  <c r="S144" i="21"/>
  <c r="S145" i="21"/>
  <c r="S146" i="21"/>
  <c r="S147" i="21"/>
  <c r="S148" i="21"/>
  <c r="S149" i="21"/>
  <c r="S150" i="21"/>
  <c r="S120" i="21"/>
  <c r="S121" i="21"/>
  <c r="S122" i="21"/>
  <c r="S123" i="21"/>
  <c r="S124" i="21"/>
  <c r="S125" i="21"/>
  <c r="S126" i="21"/>
  <c r="S107" i="21"/>
  <c r="S108" i="21"/>
  <c r="S109" i="21"/>
  <c r="S110" i="21"/>
  <c r="S111" i="21"/>
  <c r="S112" i="21"/>
  <c r="S113" i="21"/>
  <c r="S114" i="21"/>
  <c r="T252" i="20"/>
  <c r="T253" i="20"/>
  <c r="T254" i="20"/>
  <c r="T255" i="20"/>
  <c r="T256" i="20"/>
  <c r="T257" i="20"/>
  <c r="T258" i="20"/>
  <c r="T228" i="20"/>
  <c r="T229" i="20"/>
  <c r="T230" i="20"/>
  <c r="T231" i="20"/>
  <c r="T232" i="20"/>
  <c r="T233" i="20"/>
  <c r="T234" i="20"/>
  <c r="T215" i="20"/>
  <c r="T216" i="20"/>
  <c r="T217" i="20"/>
  <c r="T218" i="20"/>
  <c r="T219" i="20"/>
  <c r="T220" i="20"/>
  <c r="T221" i="20"/>
  <c r="T222" i="20"/>
  <c r="T167" i="20"/>
  <c r="T168" i="20"/>
  <c r="T169" i="20"/>
  <c r="T170" i="20"/>
  <c r="T171" i="20"/>
  <c r="T172" i="20"/>
  <c r="T173" i="20"/>
  <c r="T174" i="20"/>
  <c r="T161" i="20"/>
  <c r="T162" i="20"/>
  <c r="T144" i="20"/>
  <c r="T145" i="20"/>
  <c r="T146" i="20"/>
  <c r="T147" i="20"/>
  <c r="T148" i="20"/>
  <c r="T149" i="20"/>
  <c r="T150" i="20"/>
  <c r="T120" i="20"/>
  <c r="T121" i="20"/>
  <c r="T122" i="20"/>
  <c r="T123" i="20"/>
  <c r="T124" i="20"/>
  <c r="T125" i="20"/>
  <c r="T126" i="20"/>
  <c r="T107" i="20"/>
  <c r="T108" i="20"/>
  <c r="T109" i="20"/>
  <c r="T110" i="20"/>
  <c r="T111" i="20"/>
  <c r="T112" i="20"/>
  <c r="T113" i="20"/>
  <c r="T114" i="20"/>
  <c r="AC251" i="19"/>
  <c r="AC252" i="19"/>
  <c r="AC253" i="19"/>
  <c r="AC254" i="19"/>
  <c r="AC255" i="19"/>
  <c r="AC256" i="19"/>
  <c r="AC257" i="19"/>
  <c r="AC258" i="19"/>
  <c r="AC228" i="19"/>
  <c r="AC229" i="19"/>
  <c r="AC230" i="19"/>
  <c r="AC231" i="19"/>
  <c r="AC232" i="19"/>
  <c r="AC233" i="19"/>
  <c r="AC234" i="19"/>
  <c r="AC216" i="19"/>
  <c r="AC217" i="19"/>
  <c r="AC218" i="19"/>
  <c r="AC219" i="19"/>
  <c r="AC220" i="19"/>
  <c r="AC221" i="19"/>
  <c r="AC222" i="19"/>
  <c r="AC167" i="19"/>
  <c r="AC168" i="19"/>
  <c r="AC169" i="19"/>
  <c r="AC170" i="19"/>
  <c r="AC171" i="19"/>
  <c r="AC172" i="19"/>
  <c r="AC173" i="19"/>
  <c r="AC174" i="19"/>
  <c r="AC161" i="19"/>
  <c r="AC162" i="19"/>
  <c r="AC144" i="19"/>
  <c r="AC145" i="19"/>
  <c r="AC146" i="19"/>
  <c r="AC147" i="19"/>
  <c r="AC148" i="19"/>
  <c r="AC149" i="19"/>
  <c r="AC150" i="19"/>
  <c r="AC120" i="19"/>
  <c r="AC121" i="19"/>
  <c r="AC122" i="19"/>
  <c r="AC123" i="19"/>
  <c r="AC124" i="19"/>
  <c r="AC125" i="19"/>
  <c r="AC126" i="19"/>
  <c r="AC107" i="19"/>
  <c r="AC108" i="19"/>
  <c r="AC109" i="19"/>
  <c r="AC110" i="19"/>
  <c r="AC111" i="19"/>
  <c r="AC112" i="19"/>
  <c r="AC113" i="19"/>
  <c r="AC114" i="19"/>
  <c r="Q252" i="18"/>
  <c r="Q253" i="18"/>
  <c r="Q254" i="18"/>
  <c r="Q255" i="18"/>
  <c r="Q256" i="18"/>
  <c r="Q257" i="18"/>
  <c r="Q258" i="18"/>
  <c r="Q229" i="18"/>
  <c r="Q230" i="18"/>
  <c r="Q231" i="18"/>
  <c r="Q232" i="18"/>
  <c r="Q233" i="18"/>
  <c r="Q234" i="18"/>
  <c r="Q217" i="18"/>
  <c r="Q218" i="18"/>
  <c r="Q219" i="18"/>
  <c r="Q220" i="18"/>
  <c r="Q221" i="18"/>
  <c r="Q222" i="18"/>
  <c r="Q167" i="18"/>
  <c r="Q168" i="18"/>
  <c r="Q169" i="18"/>
  <c r="Q170" i="18"/>
  <c r="Q171" i="18"/>
  <c r="Q172" i="18"/>
  <c r="Q173" i="18"/>
  <c r="Q174" i="18"/>
  <c r="Q161" i="18"/>
  <c r="Q162" i="18"/>
  <c r="Q143" i="18"/>
  <c r="Q144" i="18"/>
  <c r="Q145" i="18"/>
  <c r="Q146" i="18"/>
  <c r="Q147" i="18"/>
  <c r="Q148" i="18"/>
  <c r="Q149" i="18"/>
  <c r="Q150" i="18"/>
  <c r="Q122" i="18"/>
  <c r="Q123" i="18"/>
  <c r="Q124" i="18"/>
  <c r="Q125" i="18"/>
  <c r="Q126" i="18"/>
  <c r="Q107" i="18"/>
  <c r="Q108" i="18"/>
  <c r="Q109" i="18"/>
  <c r="Q110" i="18"/>
  <c r="Q111" i="18"/>
  <c r="Q112" i="18"/>
  <c r="Q113" i="18"/>
  <c r="Q114" i="18"/>
  <c r="Q252" i="3"/>
  <c r="Q253" i="3"/>
  <c r="Q254" i="3"/>
  <c r="Q255" i="3"/>
  <c r="Q256" i="3"/>
  <c r="Q257" i="3"/>
  <c r="Q258" i="3"/>
  <c r="Q228" i="3"/>
  <c r="Q229" i="3"/>
  <c r="Q230" i="3"/>
  <c r="Q231" i="3"/>
  <c r="Q232" i="3"/>
  <c r="Q233" i="3"/>
  <c r="Q234" i="3"/>
  <c r="Q216" i="3"/>
  <c r="Q217" i="3"/>
  <c r="Q218" i="3"/>
  <c r="Q219" i="3"/>
  <c r="Q220" i="3"/>
  <c r="Q221" i="3"/>
  <c r="Q222" i="3"/>
  <c r="Q167" i="3"/>
  <c r="Q168" i="3"/>
  <c r="Q169" i="3"/>
  <c r="Q170" i="3"/>
  <c r="Q171" i="3"/>
  <c r="Q172" i="3"/>
  <c r="Q173" i="3"/>
  <c r="Q174" i="3"/>
  <c r="Q161" i="3"/>
  <c r="Q162" i="3"/>
  <c r="Q143" i="3"/>
  <c r="Q144" i="3"/>
  <c r="Q145" i="3"/>
  <c r="Q146" i="3"/>
  <c r="Q147" i="3"/>
  <c r="Q148" i="3"/>
  <c r="Q149" i="3"/>
  <c r="Q150" i="3"/>
  <c r="Q121" i="3"/>
  <c r="Q122" i="3"/>
  <c r="Q123" i="3"/>
  <c r="Q124" i="3"/>
  <c r="Q125" i="3"/>
  <c r="Q126" i="3"/>
  <c r="Q107" i="3"/>
  <c r="Q108" i="3"/>
  <c r="Q109" i="3"/>
  <c r="Q110" i="3"/>
  <c r="Q111" i="3"/>
  <c r="Q112" i="3"/>
  <c r="Q113" i="3"/>
  <c r="Q114" i="3"/>
  <c r="U252" i="17"/>
  <c r="U253" i="17"/>
  <c r="U254" i="17"/>
  <c r="U255" i="17"/>
  <c r="U256" i="17"/>
  <c r="U257" i="17"/>
  <c r="U258" i="17"/>
  <c r="U229" i="17"/>
  <c r="U230" i="17"/>
  <c r="U231" i="17"/>
  <c r="U232" i="17"/>
  <c r="U233" i="17"/>
  <c r="U234" i="17"/>
  <c r="U216" i="17"/>
  <c r="U217" i="17"/>
  <c r="U218" i="17"/>
  <c r="U219" i="17"/>
  <c r="U220" i="17"/>
  <c r="U221" i="17"/>
  <c r="U222" i="17"/>
  <c r="U167" i="17"/>
  <c r="U168" i="17"/>
  <c r="U169" i="17"/>
  <c r="U170" i="17"/>
  <c r="U171" i="17"/>
  <c r="U172" i="17"/>
  <c r="U173" i="17"/>
  <c r="U174" i="17"/>
  <c r="U159" i="17"/>
  <c r="U160" i="17"/>
  <c r="U161" i="17"/>
  <c r="U162" i="17"/>
  <c r="U144" i="17"/>
  <c r="U145" i="17"/>
  <c r="U146" i="17"/>
  <c r="U147" i="17"/>
  <c r="U148" i="17"/>
  <c r="U149" i="17"/>
  <c r="U150" i="17"/>
  <c r="U122" i="17"/>
  <c r="U123" i="17"/>
  <c r="U124" i="17"/>
  <c r="U125" i="17"/>
  <c r="U126" i="17"/>
  <c r="U107" i="17"/>
  <c r="U108" i="17"/>
  <c r="U109" i="17"/>
  <c r="U110" i="17"/>
  <c r="U111" i="17"/>
  <c r="U112" i="17"/>
  <c r="U113" i="17"/>
  <c r="U114" i="17"/>
  <c r="S251" i="16"/>
  <c r="S252" i="16"/>
  <c r="S253" i="16"/>
  <c r="S254" i="16"/>
  <c r="S255" i="16"/>
  <c r="S256" i="16"/>
  <c r="S257" i="16"/>
  <c r="S258" i="16"/>
  <c r="S229" i="16"/>
  <c r="S230" i="16"/>
  <c r="S231" i="16"/>
  <c r="S232" i="16"/>
  <c r="S233" i="16"/>
  <c r="S234" i="16"/>
  <c r="S216" i="16"/>
  <c r="S217" i="16"/>
  <c r="S218" i="16"/>
  <c r="S219" i="16"/>
  <c r="S220" i="16"/>
  <c r="S221" i="16"/>
  <c r="S222" i="16"/>
  <c r="S167" i="16"/>
  <c r="S168" i="16"/>
  <c r="S169" i="16"/>
  <c r="S170" i="16"/>
  <c r="S171" i="16"/>
  <c r="S172" i="16"/>
  <c r="S173" i="16"/>
  <c r="S174" i="16"/>
  <c r="S161" i="16"/>
  <c r="S162" i="16"/>
  <c r="S144" i="16"/>
  <c r="S145" i="16"/>
  <c r="S146" i="16"/>
  <c r="S147" i="16"/>
  <c r="S148" i="16"/>
  <c r="S149" i="16"/>
  <c r="S150" i="16"/>
  <c r="S121" i="16"/>
  <c r="S122" i="16"/>
  <c r="S123" i="16"/>
  <c r="S124" i="16"/>
  <c r="S125" i="16"/>
  <c r="S126" i="16"/>
  <c r="S107" i="16"/>
  <c r="S108" i="16"/>
  <c r="S109" i="16"/>
  <c r="S110" i="16"/>
  <c r="S111" i="16"/>
  <c r="S112" i="16"/>
  <c r="S113" i="16"/>
  <c r="S114" i="16"/>
  <c r="N252" i="15"/>
  <c r="E252" i="1" s="1"/>
  <c r="N253" i="15"/>
  <c r="N254" i="15"/>
  <c r="N255" i="15"/>
  <c r="N256" i="15"/>
  <c r="N257" i="15"/>
  <c r="N258" i="15"/>
  <c r="N229" i="15"/>
  <c r="N230" i="15"/>
  <c r="N231" i="15"/>
  <c r="N232" i="15"/>
  <c r="N233" i="15"/>
  <c r="N234" i="15"/>
  <c r="N216" i="15"/>
  <c r="N217" i="15"/>
  <c r="N218" i="15"/>
  <c r="N219" i="15"/>
  <c r="N220" i="15"/>
  <c r="N221" i="15"/>
  <c r="N222" i="15"/>
  <c r="N167" i="15"/>
  <c r="N168" i="15"/>
  <c r="N169" i="15"/>
  <c r="N170" i="15"/>
  <c r="N171" i="15"/>
  <c r="N172" i="15"/>
  <c r="N173" i="15"/>
  <c r="N174" i="15"/>
  <c r="N161" i="15"/>
  <c r="N162" i="15"/>
  <c r="N144" i="15"/>
  <c r="N145" i="15"/>
  <c r="N146" i="15"/>
  <c r="N147" i="15"/>
  <c r="N148" i="15"/>
  <c r="N149" i="15"/>
  <c r="N150" i="15"/>
  <c r="N123" i="15"/>
  <c r="N124" i="15"/>
  <c r="N125" i="15"/>
  <c r="N126" i="15"/>
  <c r="N108" i="15"/>
  <c r="N109" i="15"/>
  <c r="N110" i="15"/>
  <c r="N111" i="15"/>
  <c r="N112" i="15"/>
  <c r="N113" i="15"/>
  <c r="N114" i="15"/>
  <c r="T252" i="11"/>
  <c r="T253" i="11"/>
  <c r="T254" i="11"/>
  <c r="T255" i="11"/>
  <c r="T256" i="11"/>
  <c r="T257" i="11"/>
  <c r="T258" i="11"/>
  <c r="T230" i="11"/>
  <c r="T231" i="11"/>
  <c r="T232" i="11"/>
  <c r="T233" i="11"/>
  <c r="T234" i="11"/>
  <c r="T217" i="11"/>
  <c r="T218" i="11"/>
  <c r="T219" i="11"/>
  <c r="T220" i="11"/>
  <c r="T221" i="11"/>
  <c r="T222" i="11"/>
  <c r="T167" i="11"/>
  <c r="T168" i="11"/>
  <c r="T169" i="11"/>
  <c r="T170" i="11"/>
  <c r="T171" i="11"/>
  <c r="T172" i="11"/>
  <c r="T173" i="11"/>
  <c r="T174" i="11"/>
  <c r="T145" i="11"/>
  <c r="T146" i="11"/>
  <c r="T147" i="11"/>
  <c r="T148" i="11"/>
  <c r="T149" i="11"/>
  <c r="T150" i="11"/>
  <c r="T123" i="11"/>
  <c r="T124" i="11"/>
  <c r="T125" i="11"/>
  <c r="T126" i="11"/>
  <c r="T108" i="11"/>
  <c r="T109" i="11"/>
  <c r="T110" i="11"/>
  <c r="T111" i="11"/>
  <c r="T112" i="11"/>
  <c r="T113" i="11"/>
  <c r="T114" i="11"/>
  <c r="S253" i="10"/>
  <c r="S254" i="10"/>
  <c r="S255" i="10"/>
  <c r="S256" i="10"/>
  <c r="S257" i="10"/>
  <c r="S258" i="10"/>
  <c r="S229" i="10"/>
  <c r="S230" i="10"/>
  <c r="S231" i="10"/>
  <c r="S232" i="10"/>
  <c r="S233" i="10"/>
  <c r="S234" i="10"/>
  <c r="S217" i="10"/>
  <c r="S218" i="10"/>
  <c r="S219" i="10"/>
  <c r="S220" i="10"/>
  <c r="S221" i="10"/>
  <c r="S222" i="10"/>
  <c r="S167" i="10"/>
  <c r="S168" i="10"/>
  <c r="S169" i="10"/>
  <c r="S170" i="10"/>
  <c r="S171" i="10"/>
  <c r="S172" i="10"/>
  <c r="S173" i="10"/>
  <c r="S174" i="10"/>
  <c r="S145" i="10"/>
  <c r="S146" i="10"/>
  <c r="S147" i="10"/>
  <c r="S148" i="10"/>
  <c r="S149" i="10"/>
  <c r="S150" i="10"/>
  <c r="S126" i="10"/>
  <c r="S123" i="10"/>
  <c r="S124" i="10"/>
  <c r="S125" i="10"/>
  <c r="S114" i="10"/>
  <c r="S108" i="10"/>
  <c r="S109" i="10"/>
  <c r="S110" i="10"/>
  <c r="S111" i="10"/>
  <c r="S112" i="10"/>
  <c r="S113" i="10"/>
  <c r="V253" i="9"/>
  <c r="V254" i="9"/>
  <c r="V255" i="9"/>
  <c r="V256" i="9"/>
  <c r="V257" i="9"/>
  <c r="V258" i="9"/>
  <c r="V230" i="9"/>
  <c r="V231" i="9"/>
  <c r="V232" i="9"/>
  <c r="V233" i="9"/>
  <c r="V234" i="9"/>
  <c r="V217" i="9"/>
  <c r="V218" i="9"/>
  <c r="V219" i="9"/>
  <c r="V220" i="9"/>
  <c r="V221" i="9"/>
  <c r="V222" i="9"/>
  <c r="V167" i="9"/>
  <c r="V168" i="9"/>
  <c r="V169" i="9"/>
  <c r="V170" i="9"/>
  <c r="V171" i="9"/>
  <c r="V172" i="9"/>
  <c r="V173" i="9"/>
  <c r="V174" i="9"/>
  <c r="V162" i="9"/>
  <c r="V145" i="9"/>
  <c r="V146" i="9"/>
  <c r="V147" i="9"/>
  <c r="V148" i="9"/>
  <c r="V149" i="9"/>
  <c r="V150" i="9"/>
  <c r="V126" i="9"/>
  <c r="V114" i="9"/>
  <c r="V123" i="9"/>
  <c r="V124" i="9"/>
  <c r="V125" i="9"/>
  <c r="V108" i="9"/>
  <c r="V109" i="9"/>
  <c r="V110" i="9"/>
  <c r="V111" i="9"/>
  <c r="V112" i="9"/>
  <c r="V113" i="9"/>
  <c r="O262" i="16" l="1"/>
  <c r="O264" i="16" s="1"/>
  <c r="N262" i="16"/>
  <c r="N264" i="16" s="1"/>
  <c r="Q262" i="16"/>
  <c r="Q264" i="16" s="1"/>
  <c r="P262" i="16"/>
  <c r="P264" i="16" s="1"/>
  <c r="M262" i="16"/>
  <c r="M264" i="16" s="1"/>
  <c r="L262" i="16"/>
  <c r="L264" i="16" s="1"/>
  <c r="Q41" i="16"/>
  <c r="P41" i="16"/>
  <c r="O41" i="16"/>
  <c r="N41" i="16"/>
  <c r="M41" i="16"/>
  <c r="L41" i="16"/>
  <c r="Q36" i="16"/>
  <c r="P36" i="16"/>
  <c r="O36" i="16"/>
  <c r="N36" i="16"/>
  <c r="M36" i="16"/>
  <c r="L36" i="16"/>
  <c r="Q29" i="16"/>
  <c r="P29" i="16"/>
  <c r="O29" i="16"/>
  <c r="N29" i="16"/>
  <c r="M29" i="16"/>
  <c r="L29" i="16"/>
  <c r="Q28" i="16"/>
  <c r="P28" i="16"/>
  <c r="O28" i="16"/>
  <c r="O30" i="16" s="1"/>
  <c r="N28" i="16"/>
  <c r="N30" i="16" s="1"/>
  <c r="M28" i="16"/>
  <c r="L28" i="16"/>
  <c r="Q27" i="16"/>
  <c r="P27" i="16"/>
  <c r="O27" i="16"/>
  <c r="N27" i="16"/>
  <c r="M27" i="16"/>
  <c r="L27" i="16"/>
  <c r="Q24" i="16"/>
  <c r="P24" i="16"/>
  <c r="O24" i="16"/>
  <c r="N24" i="16"/>
  <c r="M24" i="16"/>
  <c r="L24" i="16"/>
  <c r="Q21" i="16"/>
  <c r="P21" i="16"/>
  <c r="O21" i="16"/>
  <c r="N21" i="16"/>
  <c r="M21" i="16"/>
  <c r="L21" i="16"/>
  <c r="Q16" i="16"/>
  <c r="P16" i="16"/>
  <c r="O16" i="16"/>
  <c r="N16" i="16"/>
  <c r="M16" i="16"/>
  <c r="L16" i="16"/>
  <c r="Q262" i="10"/>
  <c r="Q264" i="10" s="1"/>
  <c r="P262" i="10"/>
  <c r="P264" i="10" s="1"/>
  <c r="Q41" i="10"/>
  <c r="P41" i="10"/>
  <c r="Q36" i="10"/>
  <c r="P36" i="10"/>
  <c r="Q29" i="10"/>
  <c r="P29" i="10"/>
  <c r="Q28" i="10"/>
  <c r="P28" i="10"/>
  <c r="Q27" i="10"/>
  <c r="P27" i="10"/>
  <c r="Q24" i="10"/>
  <c r="P24" i="10"/>
  <c r="Q21" i="10"/>
  <c r="P21" i="10"/>
  <c r="Q16" i="10"/>
  <c r="P16" i="10"/>
  <c r="K41" i="10"/>
  <c r="J41" i="10"/>
  <c r="I41" i="10"/>
  <c r="H41" i="10"/>
  <c r="G41" i="10"/>
  <c r="F41" i="10"/>
  <c r="K36" i="10"/>
  <c r="J36" i="10"/>
  <c r="I36" i="10"/>
  <c r="H36" i="10"/>
  <c r="G36" i="10"/>
  <c r="F36" i="10"/>
  <c r="K29" i="10"/>
  <c r="J29" i="10"/>
  <c r="I29" i="10"/>
  <c r="H29" i="10"/>
  <c r="G29" i="10"/>
  <c r="F29" i="10"/>
  <c r="K28" i="10"/>
  <c r="J28" i="10"/>
  <c r="I28" i="10"/>
  <c r="H28" i="10"/>
  <c r="G28" i="10"/>
  <c r="F28" i="10"/>
  <c r="K27" i="10"/>
  <c r="J27" i="10"/>
  <c r="I27" i="10"/>
  <c r="H27" i="10"/>
  <c r="G27" i="10"/>
  <c r="F27" i="10"/>
  <c r="K24" i="10"/>
  <c r="J24" i="10"/>
  <c r="I24" i="10"/>
  <c r="H24" i="10"/>
  <c r="G24" i="10"/>
  <c r="F24" i="10"/>
  <c r="K21" i="10"/>
  <c r="J21" i="10"/>
  <c r="I21" i="10"/>
  <c r="H21" i="10"/>
  <c r="G21" i="10"/>
  <c r="F21" i="10"/>
  <c r="K16" i="10"/>
  <c r="J16" i="10"/>
  <c r="I16" i="10"/>
  <c r="H16" i="10"/>
  <c r="G16" i="10"/>
  <c r="F16" i="10"/>
  <c r="P262" i="9"/>
  <c r="P264" i="9" s="1"/>
  <c r="U262" i="9"/>
  <c r="U264" i="9" s="1"/>
  <c r="T262" i="9"/>
  <c r="T264" i="9" s="1"/>
  <c r="U41" i="9"/>
  <c r="T41" i="9"/>
  <c r="S41" i="9"/>
  <c r="R41" i="9"/>
  <c r="Q41" i="9"/>
  <c r="P41" i="9"/>
  <c r="U36" i="9"/>
  <c r="T36" i="9"/>
  <c r="S36" i="9"/>
  <c r="R36" i="9"/>
  <c r="Q36" i="9"/>
  <c r="P36" i="9"/>
  <c r="U29" i="9"/>
  <c r="T29" i="9"/>
  <c r="S29" i="9"/>
  <c r="R29" i="9"/>
  <c r="Q29" i="9"/>
  <c r="P29" i="9"/>
  <c r="U28" i="9"/>
  <c r="T28" i="9"/>
  <c r="S28" i="9"/>
  <c r="R28" i="9"/>
  <c r="Q28" i="9"/>
  <c r="P28" i="9"/>
  <c r="U27" i="9"/>
  <c r="T27" i="9"/>
  <c r="S27" i="9"/>
  <c r="R27" i="9"/>
  <c r="Q27" i="9"/>
  <c r="P27" i="9"/>
  <c r="U24" i="9"/>
  <c r="T24" i="9"/>
  <c r="S24" i="9"/>
  <c r="R24" i="9"/>
  <c r="Q24" i="9"/>
  <c r="P24" i="9"/>
  <c r="U21" i="9"/>
  <c r="T21" i="9"/>
  <c r="S21" i="9"/>
  <c r="R21" i="9"/>
  <c r="Q21" i="9"/>
  <c r="P21" i="9"/>
  <c r="U16" i="9"/>
  <c r="T16" i="9"/>
  <c r="S16" i="9"/>
  <c r="R16" i="9"/>
  <c r="Q16" i="9"/>
  <c r="P16" i="9"/>
  <c r="N41" i="9"/>
  <c r="M41" i="9"/>
  <c r="L41" i="9"/>
  <c r="K41" i="9"/>
  <c r="J41" i="9"/>
  <c r="I41" i="9"/>
  <c r="H41" i="9"/>
  <c r="G41" i="9"/>
  <c r="F41" i="9"/>
  <c r="N36" i="9"/>
  <c r="M36" i="9"/>
  <c r="L36" i="9"/>
  <c r="K36" i="9"/>
  <c r="J36" i="9"/>
  <c r="I36" i="9"/>
  <c r="H36" i="9"/>
  <c r="G36" i="9"/>
  <c r="F36" i="9"/>
  <c r="N29" i="9"/>
  <c r="M29" i="9"/>
  <c r="L29" i="9"/>
  <c r="K29" i="9"/>
  <c r="J29" i="9"/>
  <c r="I29" i="9"/>
  <c r="H29" i="9"/>
  <c r="G29" i="9"/>
  <c r="F29" i="9"/>
  <c r="N28" i="9"/>
  <c r="N30" i="9" s="1"/>
  <c r="M28" i="9"/>
  <c r="M30" i="9" s="1"/>
  <c r="L28" i="9"/>
  <c r="K28" i="9"/>
  <c r="K30" i="9" s="1"/>
  <c r="J28" i="9"/>
  <c r="I28" i="9"/>
  <c r="H28" i="9"/>
  <c r="G28" i="9"/>
  <c r="F28" i="9"/>
  <c r="N27" i="9"/>
  <c r="M27" i="9"/>
  <c r="L27" i="9"/>
  <c r="K27" i="9"/>
  <c r="J27" i="9"/>
  <c r="I27" i="9"/>
  <c r="H27" i="9"/>
  <c r="G27" i="9"/>
  <c r="F27" i="9"/>
  <c r="N24" i="9"/>
  <c r="M24" i="9"/>
  <c r="L24" i="9"/>
  <c r="K24" i="9"/>
  <c r="J24" i="9"/>
  <c r="I24" i="9"/>
  <c r="H24" i="9"/>
  <c r="G24" i="9"/>
  <c r="F24" i="9"/>
  <c r="N21" i="9"/>
  <c r="M21" i="9"/>
  <c r="L21" i="9"/>
  <c r="K21" i="9"/>
  <c r="J21" i="9"/>
  <c r="I21" i="9"/>
  <c r="H21" i="9"/>
  <c r="G21" i="9"/>
  <c r="F21" i="9"/>
  <c r="N16" i="9"/>
  <c r="M16" i="9"/>
  <c r="L16" i="9"/>
  <c r="K16" i="9"/>
  <c r="J16" i="9"/>
  <c r="I16" i="9"/>
  <c r="H16" i="9"/>
  <c r="G16" i="9"/>
  <c r="F16" i="9"/>
  <c r="P30" i="16" l="1"/>
  <c r="L30" i="16"/>
  <c r="M30" i="16"/>
  <c r="Q30" i="16"/>
  <c r="H30" i="10"/>
  <c r="I30" i="10"/>
  <c r="F30" i="10"/>
  <c r="J30" i="10"/>
  <c r="G30" i="10"/>
  <c r="K30" i="10"/>
  <c r="L30" i="9"/>
  <c r="P30" i="10"/>
  <c r="Q30" i="10"/>
  <c r="F262" i="10"/>
  <c r="F264" i="10" s="1"/>
  <c r="G262" i="10"/>
  <c r="G264" i="10" s="1"/>
  <c r="I262" i="10"/>
  <c r="I264" i="10" s="1"/>
  <c r="J262" i="10"/>
  <c r="J264" i="10" s="1"/>
  <c r="H262" i="10"/>
  <c r="H264" i="10" s="1"/>
  <c r="K262" i="10"/>
  <c r="K264" i="10" s="1"/>
  <c r="P30" i="9"/>
  <c r="T30" i="9"/>
  <c r="R30" i="9"/>
  <c r="S30" i="9"/>
  <c r="G30" i="9"/>
  <c r="U30" i="9"/>
  <c r="I30" i="9"/>
  <c r="R262" i="9"/>
  <c r="R264" i="9" s="1"/>
  <c r="Q30" i="9"/>
  <c r="F30" i="9"/>
  <c r="H30" i="9"/>
  <c r="S262" i="9"/>
  <c r="S264" i="9" s="1"/>
  <c r="Q262" i="9"/>
  <c r="Q264" i="9" s="1"/>
  <c r="F262" i="9"/>
  <c r="F264" i="9" s="1"/>
  <c r="G262" i="9"/>
  <c r="G264" i="9" s="1"/>
  <c r="H262" i="9"/>
  <c r="H264" i="9" s="1"/>
  <c r="J262" i="9"/>
  <c r="J264" i="9" s="1"/>
  <c r="J30" i="9"/>
  <c r="K262" i="9"/>
  <c r="K264" i="9" s="1"/>
  <c r="L262" i="9"/>
  <c r="L264" i="9" s="1"/>
  <c r="N262" i="9"/>
  <c r="N264" i="9" s="1"/>
  <c r="M262" i="9"/>
  <c r="M264" i="9" s="1"/>
  <c r="I262" i="9"/>
  <c r="I264" i="9" s="1"/>
  <c r="O262" i="21"/>
  <c r="O264" i="21" s="1"/>
  <c r="R41" i="21"/>
  <c r="Q41" i="21"/>
  <c r="P41" i="21"/>
  <c r="O41" i="21"/>
  <c r="R36" i="21"/>
  <c r="Q36" i="21"/>
  <c r="P36" i="21"/>
  <c r="O36" i="21"/>
  <c r="R29" i="21"/>
  <c r="Q29" i="21"/>
  <c r="P29" i="21"/>
  <c r="O29" i="21"/>
  <c r="R28" i="21"/>
  <c r="Q28" i="21"/>
  <c r="P28" i="21"/>
  <c r="O28" i="21"/>
  <c r="R27" i="21"/>
  <c r="Q27" i="21"/>
  <c r="P27" i="21"/>
  <c r="O27" i="21"/>
  <c r="R24" i="21"/>
  <c r="Q24" i="21"/>
  <c r="P24" i="21"/>
  <c r="O24" i="21"/>
  <c r="R21" i="21"/>
  <c r="Q21" i="21"/>
  <c r="P21" i="21"/>
  <c r="O21" i="21"/>
  <c r="R16" i="21"/>
  <c r="Q16" i="21"/>
  <c r="P16" i="21"/>
  <c r="O16" i="21"/>
  <c r="S263" i="21"/>
  <c r="S251" i="21"/>
  <c r="S250" i="21"/>
  <c r="S249" i="21"/>
  <c r="S246" i="21"/>
  <c r="S245" i="21"/>
  <c r="S244" i="21"/>
  <c r="S243" i="21"/>
  <c r="S242" i="21"/>
  <c r="S241" i="21"/>
  <c r="S240" i="21"/>
  <c r="S239" i="21"/>
  <c r="S238" i="21"/>
  <c r="S237" i="21"/>
  <c r="S226" i="21"/>
  <c r="S225" i="21"/>
  <c r="S214" i="21"/>
  <c r="S213" i="21"/>
  <c r="S210" i="21"/>
  <c r="S209" i="21"/>
  <c r="S208" i="21"/>
  <c r="S207" i="21"/>
  <c r="S206" i="21"/>
  <c r="S205" i="21"/>
  <c r="S204" i="21"/>
  <c r="S203" i="21"/>
  <c r="S202" i="21"/>
  <c r="S201" i="21"/>
  <c r="S198" i="21"/>
  <c r="S197" i="21"/>
  <c r="S196" i="21"/>
  <c r="S195" i="21"/>
  <c r="S194" i="21"/>
  <c r="S193" i="21"/>
  <c r="S192" i="21"/>
  <c r="S191" i="21"/>
  <c r="S190" i="21"/>
  <c r="S189" i="21"/>
  <c r="S186" i="21"/>
  <c r="S185" i="21"/>
  <c r="S184" i="21"/>
  <c r="S183" i="21"/>
  <c r="S182" i="21"/>
  <c r="S181" i="21"/>
  <c r="S180" i="21"/>
  <c r="S179" i="21"/>
  <c r="S178" i="21"/>
  <c r="S177" i="21"/>
  <c r="S166" i="21"/>
  <c r="S165" i="21"/>
  <c r="S159" i="21"/>
  <c r="S158" i="21"/>
  <c r="S156" i="21"/>
  <c r="S155" i="21"/>
  <c r="S154" i="21"/>
  <c r="S153" i="21"/>
  <c r="S142" i="21"/>
  <c r="S141" i="21"/>
  <c r="S138" i="21"/>
  <c r="S137" i="21"/>
  <c r="S136" i="21"/>
  <c r="S135" i="21"/>
  <c r="S134" i="21"/>
  <c r="S133" i="21"/>
  <c r="S132" i="21"/>
  <c r="S131" i="21"/>
  <c r="S130" i="21"/>
  <c r="S129" i="21"/>
  <c r="S119" i="21"/>
  <c r="S118" i="21"/>
  <c r="S117" i="21"/>
  <c r="S106" i="21"/>
  <c r="S105" i="21"/>
  <c r="S102" i="21"/>
  <c r="S101" i="21"/>
  <c r="S100" i="21"/>
  <c r="S99" i="21"/>
  <c r="S98" i="21"/>
  <c r="S97" i="21"/>
  <c r="S96" i="21"/>
  <c r="S95" i="21"/>
  <c r="S94" i="21"/>
  <c r="S93" i="21"/>
  <c r="S90" i="21"/>
  <c r="S89" i="21"/>
  <c r="S88" i="21"/>
  <c r="S87" i="21"/>
  <c r="S86" i="21"/>
  <c r="S85" i="21"/>
  <c r="S84" i="21"/>
  <c r="S83" i="21"/>
  <c r="S82" i="21"/>
  <c r="S81" i="21"/>
  <c r="S78" i="21"/>
  <c r="S77" i="21"/>
  <c r="S76" i="21"/>
  <c r="S75" i="21"/>
  <c r="S74" i="21"/>
  <c r="S73" i="21"/>
  <c r="S72" i="21"/>
  <c r="S71" i="21"/>
  <c r="S70" i="21"/>
  <c r="S69" i="21"/>
  <c r="S66" i="21"/>
  <c r="S65" i="21"/>
  <c r="S64" i="21"/>
  <c r="S63" i="21"/>
  <c r="S62" i="21"/>
  <c r="S61" i="21"/>
  <c r="S60" i="21"/>
  <c r="S59" i="21"/>
  <c r="S58" i="21"/>
  <c r="S57" i="21"/>
  <c r="N262" i="21"/>
  <c r="N264" i="21" s="1"/>
  <c r="S54" i="21"/>
  <c r="S53" i="21"/>
  <c r="S52" i="21"/>
  <c r="S51" i="21"/>
  <c r="S50" i="21"/>
  <c r="S49" i="21"/>
  <c r="S48" i="21"/>
  <c r="S47" i="21"/>
  <c r="S46" i="21"/>
  <c r="S45" i="21"/>
  <c r="N41" i="21"/>
  <c r="M41" i="21"/>
  <c r="L41" i="21"/>
  <c r="K41" i="21"/>
  <c r="J41" i="21"/>
  <c r="I41" i="21"/>
  <c r="H41" i="21"/>
  <c r="G41" i="21"/>
  <c r="F41" i="21"/>
  <c r="E41" i="21"/>
  <c r="S40" i="21"/>
  <c r="S39" i="21"/>
  <c r="N36" i="21"/>
  <c r="M36" i="21"/>
  <c r="L36" i="21"/>
  <c r="K36" i="21"/>
  <c r="J36" i="21"/>
  <c r="I36" i="21"/>
  <c r="H36" i="21"/>
  <c r="G36" i="21"/>
  <c r="F36" i="21"/>
  <c r="E36" i="21"/>
  <c r="S35" i="21"/>
  <c r="S34" i="21"/>
  <c r="S33" i="21"/>
  <c r="N29" i="21"/>
  <c r="M29" i="21"/>
  <c r="L29" i="21"/>
  <c r="K29" i="21"/>
  <c r="J29" i="21"/>
  <c r="I29" i="21"/>
  <c r="H29" i="21"/>
  <c r="G29" i="21"/>
  <c r="F29" i="21"/>
  <c r="E29" i="21"/>
  <c r="N28" i="21"/>
  <c r="M28" i="21"/>
  <c r="L28" i="21"/>
  <c r="K28" i="21"/>
  <c r="J28" i="21"/>
  <c r="I28" i="21"/>
  <c r="H28" i="21"/>
  <c r="G28" i="21"/>
  <c r="F28" i="21"/>
  <c r="E28" i="21"/>
  <c r="N27" i="21"/>
  <c r="M27" i="21"/>
  <c r="L27" i="21"/>
  <c r="K27" i="21"/>
  <c r="J27" i="21"/>
  <c r="I27" i="21"/>
  <c r="H27" i="21"/>
  <c r="G27" i="21"/>
  <c r="F27" i="21"/>
  <c r="E27" i="21"/>
  <c r="S26" i="21"/>
  <c r="S25" i="21"/>
  <c r="N24" i="21"/>
  <c r="M24" i="21"/>
  <c r="L24" i="21"/>
  <c r="K24" i="21"/>
  <c r="J24" i="21"/>
  <c r="I24" i="21"/>
  <c r="H24" i="21"/>
  <c r="G24" i="21"/>
  <c r="F24" i="21"/>
  <c r="E24" i="21"/>
  <c r="S23" i="21"/>
  <c r="S22" i="21"/>
  <c r="N21" i="21"/>
  <c r="M21" i="21"/>
  <c r="L21" i="21"/>
  <c r="K21" i="21"/>
  <c r="J21" i="21"/>
  <c r="I21" i="21"/>
  <c r="H21" i="21"/>
  <c r="G21" i="21"/>
  <c r="F21" i="21"/>
  <c r="E21" i="21"/>
  <c r="S20" i="21"/>
  <c r="S19" i="21"/>
  <c r="N16" i="21"/>
  <c r="M16" i="21"/>
  <c r="L16" i="21"/>
  <c r="K16" i="21"/>
  <c r="J16" i="21"/>
  <c r="I16" i="21"/>
  <c r="H16" i="21"/>
  <c r="G16" i="21"/>
  <c r="F16" i="21"/>
  <c r="E16" i="21"/>
  <c r="S15" i="21"/>
  <c r="S14" i="21"/>
  <c r="P262" i="20"/>
  <c r="P264" i="20" s="1"/>
  <c r="O262" i="20"/>
  <c r="O264" i="20" s="1"/>
  <c r="P41" i="20"/>
  <c r="O41" i="20"/>
  <c r="P36" i="20"/>
  <c r="O36" i="20"/>
  <c r="P29" i="20"/>
  <c r="O29" i="20"/>
  <c r="P28" i="20"/>
  <c r="P30" i="20" s="1"/>
  <c r="O28" i="20"/>
  <c r="P27" i="20"/>
  <c r="O27" i="20"/>
  <c r="P24" i="20"/>
  <c r="O24" i="20"/>
  <c r="P21" i="20"/>
  <c r="O21" i="20"/>
  <c r="P16" i="20"/>
  <c r="O16" i="20"/>
  <c r="T263" i="20"/>
  <c r="T251" i="20"/>
  <c r="T250" i="20"/>
  <c r="T249" i="20"/>
  <c r="T259" i="20" s="1"/>
  <c r="T246" i="20"/>
  <c r="T245" i="20"/>
  <c r="T244" i="20"/>
  <c r="T243" i="20"/>
  <c r="T242" i="20"/>
  <c r="T241" i="20"/>
  <c r="T240" i="20"/>
  <c r="T239" i="20"/>
  <c r="T238" i="20"/>
  <c r="T237" i="20"/>
  <c r="T227" i="20"/>
  <c r="T226" i="20"/>
  <c r="T225" i="20"/>
  <c r="T235" i="20" s="1"/>
  <c r="T214" i="20"/>
  <c r="T213" i="20"/>
  <c r="T210" i="20"/>
  <c r="T209" i="20"/>
  <c r="T208" i="20"/>
  <c r="T207" i="20"/>
  <c r="T206" i="20"/>
  <c r="T205" i="20"/>
  <c r="T204" i="20"/>
  <c r="T203" i="20"/>
  <c r="T202" i="20"/>
  <c r="T201" i="20"/>
  <c r="T198" i="20"/>
  <c r="T197" i="20"/>
  <c r="T196" i="20"/>
  <c r="T195" i="20"/>
  <c r="T194" i="20"/>
  <c r="T193" i="20"/>
  <c r="T192" i="20"/>
  <c r="T191" i="20"/>
  <c r="T190" i="20"/>
  <c r="T189" i="20"/>
  <c r="T186" i="20"/>
  <c r="T185" i="20"/>
  <c r="T184" i="20"/>
  <c r="T183" i="20"/>
  <c r="T182" i="20"/>
  <c r="T181" i="20"/>
  <c r="T180" i="20"/>
  <c r="T179" i="20"/>
  <c r="T178" i="20"/>
  <c r="T177" i="20"/>
  <c r="T166" i="20"/>
  <c r="T165" i="20"/>
  <c r="T143" i="20"/>
  <c r="T142" i="20"/>
  <c r="T141" i="20"/>
  <c r="T151" i="20" s="1"/>
  <c r="T138" i="20"/>
  <c r="T137" i="20"/>
  <c r="T136" i="20"/>
  <c r="T135" i="20"/>
  <c r="T134" i="20"/>
  <c r="T133" i="20"/>
  <c r="T132" i="20"/>
  <c r="T131" i="20"/>
  <c r="T130" i="20"/>
  <c r="T129" i="20"/>
  <c r="T119" i="20"/>
  <c r="T118" i="20"/>
  <c r="T117" i="20"/>
  <c r="T106" i="20"/>
  <c r="T105" i="20"/>
  <c r="T102" i="20"/>
  <c r="T101" i="20"/>
  <c r="T100" i="20"/>
  <c r="T99" i="20"/>
  <c r="T98" i="20"/>
  <c r="T97" i="20"/>
  <c r="T96" i="20"/>
  <c r="T95" i="20"/>
  <c r="T94" i="20"/>
  <c r="T93" i="20"/>
  <c r="T90" i="20"/>
  <c r="T89" i="20"/>
  <c r="T88" i="20"/>
  <c r="T87" i="20"/>
  <c r="T86" i="20"/>
  <c r="T85" i="20"/>
  <c r="T84" i="20"/>
  <c r="T83" i="20"/>
  <c r="T82" i="20"/>
  <c r="T81" i="20"/>
  <c r="T78" i="20"/>
  <c r="T77" i="20"/>
  <c r="T76" i="20"/>
  <c r="T75" i="20"/>
  <c r="T74" i="20"/>
  <c r="T73" i="20"/>
  <c r="T72" i="20"/>
  <c r="T71" i="20"/>
  <c r="T70" i="20"/>
  <c r="T69" i="20"/>
  <c r="T66" i="20"/>
  <c r="T65" i="20"/>
  <c r="T64" i="20"/>
  <c r="T63" i="20"/>
  <c r="T62" i="20"/>
  <c r="T61" i="20"/>
  <c r="T60" i="20"/>
  <c r="T59" i="20"/>
  <c r="T58" i="20"/>
  <c r="T57" i="20"/>
  <c r="L262" i="20"/>
  <c r="L264" i="20" s="1"/>
  <c r="T54" i="20"/>
  <c r="T53" i="20"/>
  <c r="T52" i="20"/>
  <c r="T51" i="20"/>
  <c r="T50" i="20"/>
  <c r="T49" i="20"/>
  <c r="T48" i="20"/>
  <c r="T47" i="20"/>
  <c r="T46" i="20"/>
  <c r="T45" i="20"/>
  <c r="S41" i="20"/>
  <c r="R41" i="20"/>
  <c r="Q41" i="20"/>
  <c r="N41" i="20"/>
  <c r="M41" i="20"/>
  <c r="L41" i="20"/>
  <c r="K41" i="20"/>
  <c r="J41" i="20"/>
  <c r="I41" i="20"/>
  <c r="H41" i="20"/>
  <c r="G41" i="20"/>
  <c r="F41" i="20"/>
  <c r="E41" i="20"/>
  <c r="T40" i="20"/>
  <c r="T39" i="20"/>
  <c r="S36" i="20"/>
  <c r="R36" i="20"/>
  <c r="Q36" i="20"/>
  <c r="N36" i="20"/>
  <c r="M36" i="20"/>
  <c r="L36" i="20"/>
  <c r="K36" i="20"/>
  <c r="J36" i="20"/>
  <c r="I36" i="20"/>
  <c r="H36" i="20"/>
  <c r="G36" i="20"/>
  <c r="F36" i="20"/>
  <c r="E36" i="20"/>
  <c r="T35" i="20"/>
  <c r="T34" i="20"/>
  <c r="T33" i="20"/>
  <c r="S29" i="20"/>
  <c r="R29" i="20"/>
  <c r="Q29" i="20"/>
  <c r="N29" i="20"/>
  <c r="M29" i="20"/>
  <c r="L29" i="20"/>
  <c r="K29" i="20"/>
  <c r="J29" i="20"/>
  <c r="I29" i="20"/>
  <c r="H29" i="20"/>
  <c r="G29" i="20"/>
  <c r="F29" i="20"/>
  <c r="E29" i="20"/>
  <c r="S28" i="20"/>
  <c r="R28" i="20"/>
  <c r="Q28" i="20"/>
  <c r="N28" i="20"/>
  <c r="M28" i="20"/>
  <c r="L28" i="20"/>
  <c r="K28" i="20"/>
  <c r="J28" i="20"/>
  <c r="J30" i="20" s="1"/>
  <c r="I28" i="20"/>
  <c r="H28" i="20"/>
  <c r="H30" i="20" s="1"/>
  <c r="G28" i="20"/>
  <c r="F28" i="20"/>
  <c r="E28" i="20"/>
  <c r="S27" i="20"/>
  <c r="R27" i="20"/>
  <c r="Q27" i="20"/>
  <c r="N27" i="20"/>
  <c r="M27" i="20"/>
  <c r="L27" i="20"/>
  <c r="K27" i="20"/>
  <c r="J27" i="20"/>
  <c r="I27" i="20"/>
  <c r="H27" i="20"/>
  <c r="G27" i="20"/>
  <c r="F27" i="20"/>
  <c r="E27" i="20"/>
  <c r="T26" i="20"/>
  <c r="T25" i="20"/>
  <c r="S24" i="20"/>
  <c r="R24" i="20"/>
  <c r="Q24" i="20"/>
  <c r="N24" i="20"/>
  <c r="M24" i="20"/>
  <c r="L24" i="20"/>
  <c r="K24" i="20"/>
  <c r="J24" i="20"/>
  <c r="I24" i="20"/>
  <c r="H24" i="20"/>
  <c r="G24" i="20"/>
  <c r="F24" i="20"/>
  <c r="E24" i="20"/>
  <c r="T23" i="20"/>
  <c r="T22" i="20"/>
  <c r="S21" i="20"/>
  <c r="R21" i="20"/>
  <c r="Q21" i="20"/>
  <c r="N21" i="20"/>
  <c r="M21" i="20"/>
  <c r="L21" i="20"/>
  <c r="K21" i="20"/>
  <c r="J21" i="20"/>
  <c r="I21" i="20"/>
  <c r="H21" i="20"/>
  <c r="G21" i="20"/>
  <c r="F21" i="20"/>
  <c r="E21" i="20"/>
  <c r="T20" i="20"/>
  <c r="T19" i="20"/>
  <c r="S16" i="20"/>
  <c r="R16" i="20"/>
  <c r="Q16" i="20"/>
  <c r="N16" i="20"/>
  <c r="M16" i="20"/>
  <c r="L16" i="20"/>
  <c r="K16" i="20"/>
  <c r="J16" i="20"/>
  <c r="I16" i="20"/>
  <c r="H16" i="20"/>
  <c r="G16" i="20"/>
  <c r="F16" i="20"/>
  <c r="E16" i="20"/>
  <c r="T15" i="20"/>
  <c r="T14" i="20"/>
  <c r="AC263" i="19"/>
  <c r="AC250" i="19"/>
  <c r="AC249" i="19"/>
  <c r="AC246" i="19"/>
  <c r="AC245" i="19"/>
  <c r="AC244" i="19"/>
  <c r="AC243" i="19"/>
  <c r="AC242" i="19"/>
  <c r="AC241" i="19"/>
  <c r="AC240" i="19"/>
  <c r="AC239" i="19"/>
  <c r="AC238" i="19"/>
  <c r="AC237" i="19"/>
  <c r="AC227" i="19"/>
  <c r="AC226" i="19"/>
  <c r="AC225" i="19"/>
  <c r="AC215" i="19"/>
  <c r="AC214" i="19"/>
  <c r="AC213" i="19"/>
  <c r="AC210" i="19"/>
  <c r="AC209" i="19"/>
  <c r="AC208" i="19"/>
  <c r="AC207" i="19"/>
  <c r="AC206" i="19"/>
  <c r="AC205" i="19"/>
  <c r="AC204" i="19"/>
  <c r="AC203" i="19"/>
  <c r="AC202" i="19"/>
  <c r="AC201" i="19"/>
  <c r="AC198" i="19"/>
  <c r="AC197" i="19"/>
  <c r="AC196" i="19"/>
  <c r="AC195" i="19"/>
  <c r="AC194" i="19"/>
  <c r="AC193" i="19"/>
  <c r="AC192" i="19"/>
  <c r="AC191" i="19"/>
  <c r="AC190" i="19"/>
  <c r="AC189" i="19"/>
  <c r="AC186" i="19"/>
  <c r="AC185" i="19"/>
  <c r="AC184" i="19"/>
  <c r="AC183" i="19"/>
  <c r="AC182" i="19"/>
  <c r="AC181" i="19"/>
  <c r="AC180" i="19"/>
  <c r="AC179" i="19"/>
  <c r="AC178" i="19"/>
  <c r="AC177" i="19"/>
  <c r="AC166" i="19"/>
  <c r="AC165" i="19"/>
  <c r="AC143" i="19"/>
  <c r="AC142" i="19"/>
  <c r="AC141" i="19"/>
  <c r="AC138" i="19"/>
  <c r="AC137" i="19"/>
  <c r="AC136" i="19"/>
  <c r="AC135" i="19"/>
  <c r="AC134" i="19"/>
  <c r="AC133" i="19"/>
  <c r="AC132" i="19"/>
  <c r="AC131" i="19"/>
  <c r="AC130" i="19"/>
  <c r="AC129" i="19"/>
  <c r="AC119" i="19"/>
  <c r="AC118" i="19"/>
  <c r="AC117" i="19"/>
  <c r="AC127" i="19" s="1"/>
  <c r="AC106" i="19"/>
  <c r="AC105" i="19"/>
  <c r="AC102" i="19"/>
  <c r="AC101" i="19"/>
  <c r="AC100" i="19"/>
  <c r="AC99" i="19"/>
  <c r="AC98" i="19"/>
  <c r="AC97" i="19"/>
  <c r="AC96" i="19"/>
  <c r="AC95" i="19"/>
  <c r="AC94" i="19"/>
  <c r="AC93" i="19"/>
  <c r="AC90" i="19"/>
  <c r="AC89" i="19"/>
  <c r="AC88" i="19"/>
  <c r="AC87" i="19"/>
  <c r="AC86" i="19"/>
  <c r="AC85" i="19"/>
  <c r="AC84" i="19"/>
  <c r="AC83" i="19"/>
  <c r="AC82" i="19"/>
  <c r="AC81" i="19"/>
  <c r="AC78" i="19"/>
  <c r="AC77" i="19"/>
  <c r="AC76" i="19"/>
  <c r="AC75" i="19"/>
  <c r="AC74" i="19"/>
  <c r="AC73" i="19"/>
  <c r="AC72" i="19"/>
  <c r="AC71" i="19"/>
  <c r="AC70" i="19"/>
  <c r="AC69" i="19"/>
  <c r="AC66" i="19"/>
  <c r="AC65" i="19"/>
  <c r="AC64" i="19"/>
  <c r="AC63" i="19"/>
  <c r="AC62" i="19"/>
  <c r="AC61" i="19"/>
  <c r="AC60" i="19"/>
  <c r="AC59" i="19"/>
  <c r="AC58" i="19"/>
  <c r="AC57" i="19"/>
  <c r="AC54" i="19"/>
  <c r="AC53" i="19"/>
  <c r="AC52" i="19"/>
  <c r="AC51" i="19"/>
  <c r="AC50" i="19"/>
  <c r="AC49" i="19"/>
  <c r="AC48" i="19"/>
  <c r="AC47" i="19"/>
  <c r="AC46" i="19"/>
  <c r="AC45" i="19"/>
  <c r="AB41" i="19"/>
  <c r="AA41" i="19"/>
  <c r="Y41" i="19"/>
  <c r="X41" i="19"/>
  <c r="W41" i="19"/>
  <c r="V41" i="19"/>
  <c r="U41" i="19"/>
  <c r="T41" i="19"/>
  <c r="E41" i="19"/>
  <c r="AC40" i="19"/>
  <c r="AC39" i="19"/>
  <c r="AB36" i="19"/>
  <c r="AA36" i="19"/>
  <c r="Y36" i="19"/>
  <c r="X36" i="19"/>
  <c r="W36" i="19"/>
  <c r="V36" i="19"/>
  <c r="U36" i="19"/>
  <c r="T36" i="19"/>
  <c r="E36" i="19"/>
  <c r="AC35" i="19"/>
  <c r="AC34" i="19"/>
  <c r="AC33" i="19"/>
  <c r="AB29" i="19"/>
  <c r="AA29" i="19"/>
  <c r="Y29" i="19"/>
  <c r="X29" i="19"/>
  <c r="W29" i="19"/>
  <c r="V29" i="19"/>
  <c r="U29" i="19"/>
  <c r="T29" i="19"/>
  <c r="E29" i="19"/>
  <c r="AB28" i="19"/>
  <c r="AA28" i="19"/>
  <c r="Y28" i="19"/>
  <c r="X28" i="19"/>
  <c r="W28" i="19"/>
  <c r="V28" i="19"/>
  <c r="U28" i="19"/>
  <c r="T28" i="19"/>
  <c r="E28" i="19"/>
  <c r="AB27" i="19"/>
  <c r="AA27" i="19"/>
  <c r="Y27" i="19"/>
  <c r="X27" i="19"/>
  <c r="W27" i="19"/>
  <c r="V27" i="19"/>
  <c r="U27" i="19"/>
  <c r="T27" i="19"/>
  <c r="E27" i="19"/>
  <c r="AC26" i="19"/>
  <c r="AC25" i="19"/>
  <c r="AB24" i="19"/>
  <c r="AA24" i="19"/>
  <c r="Y24" i="19"/>
  <c r="X24" i="19"/>
  <c r="W24" i="19"/>
  <c r="V24" i="19"/>
  <c r="U24" i="19"/>
  <c r="T24" i="19"/>
  <c r="E24" i="19"/>
  <c r="AC23" i="19"/>
  <c r="AC22" i="19"/>
  <c r="AB21" i="19"/>
  <c r="AA21" i="19"/>
  <c r="Y21" i="19"/>
  <c r="X21" i="19"/>
  <c r="W21" i="19"/>
  <c r="V21" i="19"/>
  <c r="U21" i="19"/>
  <c r="T21" i="19"/>
  <c r="E21" i="19"/>
  <c r="AC20" i="19"/>
  <c r="AC19" i="19"/>
  <c r="AB16" i="19"/>
  <c r="AA16" i="19"/>
  <c r="Y16" i="19"/>
  <c r="X16" i="19"/>
  <c r="W16" i="19"/>
  <c r="V16" i="19"/>
  <c r="U16" i="19"/>
  <c r="T16" i="19"/>
  <c r="E16" i="19"/>
  <c r="AC15" i="19"/>
  <c r="AC14" i="19"/>
  <c r="Q263" i="18"/>
  <c r="Q251" i="18"/>
  <c r="Q250" i="18"/>
  <c r="Q249" i="18"/>
  <c r="Q246" i="18"/>
  <c r="Q245" i="18"/>
  <c r="Q244" i="18"/>
  <c r="Q243" i="18"/>
  <c r="Q242" i="18"/>
  <c r="Q241" i="18"/>
  <c r="Q240" i="18"/>
  <c r="Q239" i="18"/>
  <c r="Q238" i="18"/>
  <c r="Q237" i="18"/>
  <c r="Q228" i="18"/>
  <c r="Q227" i="18"/>
  <c r="Q226" i="18"/>
  <c r="Q225" i="18"/>
  <c r="Q216" i="18"/>
  <c r="Q215" i="18"/>
  <c r="Q214" i="18"/>
  <c r="Q213" i="18"/>
  <c r="Q210" i="18"/>
  <c r="Q209" i="18"/>
  <c r="Q208" i="18"/>
  <c r="Q207" i="18"/>
  <c r="Q206" i="18"/>
  <c r="Q205" i="18"/>
  <c r="Q204" i="18"/>
  <c r="Q203" i="18"/>
  <c r="Q202" i="18"/>
  <c r="Q201" i="18"/>
  <c r="Q198" i="18"/>
  <c r="Q197" i="18"/>
  <c r="Q196" i="18"/>
  <c r="Q195" i="18"/>
  <c r="Q194" i="18"/>
  <c r="Q193" i="18"/>
  <c r="Q192" i="18"/>
  <c r="Q191" i="18"/>
  <c r="Q190" i="18"/>
  <c r="Q189" i="18"/>
  <c r="Q186" i="18"/>
  <c r="Q185" i="18"/>
  <c r="Q184" i="18"/>
  <c r="Q183" i="18"/>
  <c r="Q182" i="18"/>
  <c r="Q181" i="18"/>
  <c r="Q180" i="18"/>
  <c r="Q179" i="18"/>
  <c r="Q178" i="18"/>
  <c r="Q177" i="18"/>
  <c r="Q166" i="18"/>
  <c r="Q165" i="18"/>
  <c r="Q142" i="18"/>
  <c r="Q141" i="18"/>
  <c r="Q138" i="18"/>
  <c r="Q137" i="18"/>
  <c r="Q136" i="18"/>
  <c r="Q135" i="18"/>
  <c r="Q134" i="18"/>
  <c r="Q133" i="18"/>
  <c r="Q132" i="18"/>
  <c r="Q131" i="18"/>
  <c r="Q130" i="18"/>
  <c r="Q129" i="18"/>
  <c r="Q121" i="18"/>
  <c r="Q120" i="18"/>
  <c r="Q119" i="18"/>
  <c r="Q118" i="18"/>
  <c r="Q117" i="18"/>
  <c r="Q106" i="18"/>
  <c r="Q105" i="18"/>
  <c r="Q102" i="18"/>
  <c r="Q101" i="18"/>
  <c r="Q100" i="18"/>
  <c r="Q99" i="18"/>
  <c r="Q98" i="18"/>
  <c r="Q97" i="18"/>
  <c r="Q96" i="18"/>
  <c r="Q95" i="18"/>
  <c r="Q94" i="18"/>
  <c r="Q93" i="18"/>
  <c r="Q90" i="18"/>
  <c r="Q89" i="18"/>
  <c r="Q88" i="18"/>
  <c r="Q87" i="18"/>
  <c r="Q86" i="18"/>
  <c r="Q85" i="18"/>
  <c r="Q84" i="18"/>
  <c r="Q83" i="18"/>
  <c r="Q82" i="18"/>
  <c r="Q81" i="18"/>
  <c r="Q78" i="18"/>
  <c r="Q77" i="18"/>
  <c r="Q76" i="18"/>
  <c r="Q75" i="18"/>
  <c r="Q74" i="18"/>
  <c r="Q73" i="18"/>
  <c r="Q72" i="18"/>
  <c r="Q71" i="18"/>
  <c r="Q70" i="18"/>
  <c r="Q69" i="18"/>
  <c r="Q66" i="18"/>
  <c r="Q65" i="18"/>
  <c r="Q64" i="18"/>
  <c r="Q63" i="18"/>
  <c r="Q62" i="18"/>
  <c r="Q61" i="18"/>
  <c r="Q60" i="18"/>
  <c r="Q59" i="18"/>
  <c r="Q58" i="18"/>
  <c r="Q57" i="18"/>
  <c r="Q54" i="18"/>
  <c r="Q53" i="18"/>
  <c r="Q52" i="18"/>
  <c r="Q51" i="18"/>
  <c r="Q50" i="18"/>
  <c r="Q49" i="18"/>
  <c r="Q48" i="18"/>
  <c r="Q47" i="18"/>
  <c r="Q46" i="18"/>
  <c r="Q45" i="18"/>
  <c r="P41" i="18"/>
  <c r="O41" i="18"/>
  <c r="M41" i="18"/>
  <c r="L41" i="18"/>
  <c r="K41" i="18"/>
  <c r="J41" i="18"/>
  <c r="I41" i="18"/>
  <c r="H41" i="18"/>
  <c r="G41" i="18"/>
  <c r="F41" i="18"/>
  <c r="E41" i="18"/>
  <c r="Q40" i="18"/>
  <c r="Q39" i="18"/>
  <c r="P36" i="18"/>
  <c r="O36" i="18"/>
  <c r="M36" i="18"/>
  <c r="L36" i="18"/>
  <c r="K36" i="18"/>
  <c r="J36" i="18"/>
  <c r="I36" i="18"/>
  <c r="H36" i="18"/>
  <c r="G36" i="18"/>
  <c r="F36" i="18"/>
  <c r="E36" i="18"/>
  <c r="Q35" i="18"/>
  <c r="Q34" i="18"/>
  <c r="Q33" i="18"/>
  <c r="P29" i="18"/>
  <c r="O29" i="18"/>
  <c r="M29" i="18"/>
  <c r="L29" i="18"/>
  <c r="K29" i="18"/>
  <c r="J29" i="18"/>
  <c r="I29" i="18"/>
  <c r="H29" i="18"/>
  <c r="G29" i="18"/>
  <c r="F29" i="18"/>
  <c r="E29" i="18"/>
  <c r="P28" i="18"/>
  <c r="O28" i="18"/>
  <c r="M28" i="18"/>
  <c r="L28" i="18"/>
  <c r="K28" i="18"/>
  <c r="J28" i="18"/>
  <c r="I28" i="18"/>
  <c r="H28" i="18"/>
  <c r="G28" i="18"/>
  <c r="F28" i="18"/>
  <c r="E28" i="18"/>
  <c r="P27" i="18"/>
  <c r="O27" i="18"/>
  <c r="M27" i="18"/>
  <c r="L27" i="18"/>
  <c r="K27" i="18"/>
  <c r="J27" i="18"/>
  <c r="I27" i="18"/>
  <c r="H27" i="18"/>
  <c r="G27" i="18"/>
  <c r="F27" i="18"/>
  <c r="E27" i="18"/>
  <c r="Q26" i="18"/>
  <c r="Q25" i="18"/>
  <c r="P24" i="18"/>
  <c r="O24" i="18"/>
  <c r="M24" i="18"/>
  <c r="L24" i="18"/>
  <c r="K24" i="18"/>
  <c r="J24" i="18"/>
  <c r="I24" i="18"/>
  <c r="H24" i="18"/>
  <c r="G24" i="18"/>
  <c r="F24" i="18"/>
  <c r="E24" i="18"/>
  <c r="Q23" i="18"/>
  <c r="Q22" i="18"/>
  <c r="P21" i="18"/>
  <c r="O21" i="18"/>
  <c r="M21" i="18"/>
  <c r="L21" i="18"/>
  <c r="K21" i="18"/>
  <c r="J21" i="18"/>
  <c r="I21" i="18"/>
  <c r="H21" i="18"/>
  <c r="G21" i="18"/>
  <c r="F21" i="18"/>
  <c r="E21" i="18"/>
  <c r="Q20" i="18"/>
  <c r="Q19" i="18"/>
  <c r="P16" i="18"/>
  <c r="O16" i="18"/>
  <c r="M16" i="18"/>
  <c r="L16" i="18"/>
  <c r="K16" i="18"/>
  <c r="J16" i="18"/>
  <c r="I16" i="18"/>
  <c r="H16" i="18"/>
  <c r="G16" i="18"/>
  <c r="F16" i="18"/>
  <c r="E16" i="18"/>
  <c r="Q15" i="18"/>
  <c r="Q14" i="18"/>
  <c r="S41" i="11"/>
  <c r="R41" i="11"/>
  <c r="Q41" i="11"/>
  <c r="P41" i="11"/>
  <c r="S36" i="11"/>
  <c r="R36" i="11"/>
  <c r="Q36" i="11"/>
  <c r="P36" i="11"/>
  <c r="S29" i="11"/>
  <c r="R29" i="11"/>
  <c r="Q29" i="11"/>
  <c r="P29" i="11"/>
  <c r="S28" i="11"/>
  <c r="R28" i="11"/>
  <c r="Q28" i="11"/>
  <c r="P28" i="11"/>
  <c r="S27" i="11"/>
  <c r="R27" i="11"/>
  <c r="Q27" i="11"/>
  <c r="P27" i="11"/>
  <c r="S24" i="11"/>
  <c r="R24" i="11"/>
  <c r="Q24" i="11"/>
  <c r="P24" i="11"/>
  <c r="S21" i="11"/>
  <c r="R21" i="11"/>
  <c r="Q21" i="11"/>
  <c r="P21" i="11"/>
  <c r="S16" i="11"/>
  <c r="R16" i="11"/>
  <c r="Q16" i="11"/>
  <c r="P16" i="11"/>
  <c r="U263" i="17"/>
  <c r="U251" i="17"/>
  <c r="U250" i="17"/>
  <c r="U249" i="17"/>
  <c r="U246" i="17"/>
  <c r="U245" i="17"/>
  <c r="U244" i="17"/>
  <c r="U243" i="17"/>
  <c r="U242" i="17"/>
  <c r="U241" i="17"/>
  <c r="U240" i="17"/>
  <c r="U239" i="17"/>
  <c r="U238" i="17"/>
  <c r="U237" i="17"/>
  <c r="U228" i="17"/>
  <c r="U227" i="17"/>
  <c r="U226" i="17"/>
  <c r="U225" i="17"/>
  <c r="U235" i="17" s="1"/>
  <c r="U215" i="17"/>
  <c r="U214" i="17"/>
  <c r="U213" i="17"/>
  <c r="U223" i="17" s="1"/>
  <c r="U210" i="17"/>
  <c r="U209" i="17"/>
  <c r="U208" i="17"/>
  <c r="U207" i="17"/>
  <c r="U206" i="17"/>
  <c r="U205" i="17"/>
  <c r="U204" i="17"/>
  <c r="U203" i="17"/>
  <c r="U202" i="17"/>
  <c r="U201" i="17"/>
  <c r="U198" i="17"/>
  <c r="U197" i="17"/>
  <c r="U196" i="17"/>
  <c r="U195" i="17"/>
  <c r="U194" i="17"/>
  <c r="U193" i="17"/>
  <c r="U192" i="17"/>
  <c r="U191" i="17"/>
  <c r="U190" i="17"/>
  <c r="U189" i="17"/>
  <c r="U199" i="17" s="1"/>
  <c r="U186" i="17"/>
  <c r="U185" i="17"/>
  <c r="U184" i="17"/>
  <c r="U183" i="17"/>
  <c r="U182" i="17"/>
  <c r="U181" i="17"/>
  <c r="U180" i="17"/>
  <c r="U179" i="17"/>
  <c r="U178" i="17"/>
  <c r="U177" i="17"/>
  <c r="U166" i="17"/>
  <c r="U165" i="17"/>
  <c r="U175" i="17" s="1"/>
  <c r="U158" i="17"/>
  <c r="U156" i="17"/>
  <c r="U155" i="17"/>
  <c r="U154" i="17"/>
  <c r="U153" i="17"/>
  <c r="U143" i="17"/>
  <c r="U142" i="17"/>
  <c r="U141" i="17"/>
  <c r="U151" i="17" s="1"/>
  <c r="U138" i="17"/>
  <c r="U137" i="17"/>
  <c r="U136" i="17"/>
  <c r="U135" i="17"/>
  <c r="U134" i="17"/>
  <c r="U133" i="17"/>
  <c r="U132" i="17"/>
  <c r="U131" i="17"/>
  <c r="U130" i="17"/>
  <c r="U129" i="17"/>
  <c r="U121" i="17"/>
  <c r="U120" i="17"/>
  <c r="U119" i="17"/>
  <c r="U118" i="17"/>
  <c r="U117" i="17"/>
  <c r="U106" i="17"/>
  <c r="U105" i="17"/>
  <c r="U115" i="17" s="1"/>
  <c r="U102" i="17"/>
  <c r="U101" i="17"/>
  <c r="U100" i="17"/>
  <c r="U99" i="17"/>
  <c r="U98" i="17"/>
  <c r="U97" i="17"/>
  <c r="U96" i="17"/>
  <c r="U95" i="17"/>
  <c r="U94" i="17"/>
  <c r="U93" i="17"/>
  <c r="U90" i="17"/>
  <c r="U89" i="17"/>
  <c r="U88" i="17"/>
  <c r="U87" i="17"/>
  <c r="U86" i="17"/>
  <c r="U85" i="17"/>
  <c r="U84" i="17"/>
  <c r="U83" i="17"/>
  <c r="U82" i="17"/>
  <c r="U81" i="17"/>
  <c r="U78" i="17"/>
  <c r="U77" i="17"/>
  <c r="U76" i="17"/>
  <c r="U75" i="17"/>
  <c r="U74" i="17"/>
  <c r="U73" i="17"/>
  <c r="U72" i="17"/>
  <c r="U71" i="17"/>
  <c r="U70" i="17"/>
  <c r="U69" i="17"/>
  <c r="U66" i="17"/>
  <c r="U65" i="17"/>
  <c r="U64" i="17"/>
  <c r="U63" i="17"/>
  <c r="U62" i="17"/>
  <c r="U61" i="17"/>
  <c r="U60" i="17"/>
  <c r="U59" i="17"/>
  <c r="U58" i="17"/>
  <c r="U57" i="17"/>
  <c r="U54" i="17"/>
  <c r="U53" i="17"/>
  <c r="U52" i="17"/>
  <c r="U51" i="17"/>
  <c r="U50" i="17"/>
  <c r="U49" i="17"/>
  <c r="U48" i="17"/>
  <c r="U47" i="17"/>
  <c r="U46" i="17"/>
  <c r="U45" i="17"/>
  <c r="U55" i="17" s="1"/>
  <c r="T41" i="17"/>
  <c r="S41" i="17"/>
  <c r="R41" i="17"/>
  <c r="Q41" i="17"/>
  <c r="M41" i="17"/>
  <c r="L41" i="17"/>
  <c r="K41" i="17"/>
  <c r="J41" i="17"/>
  <c r="I41" i="17"/>
  <c r="H41" i="17"/>
  <c r="G41" i="17"/>
  <c r="F41" i="17"/>
  <c r="E41" i="17"/>
  <c r="U40" i="17"/>
  <c r="U39" i="17"/>
  <c r="T36" i="17"/>
  <c r="S36" i="17"/>
  <c r="R36" i="17"/>
  <c r="Q36" i="17"/>
  <c r="M36" i="17"/>
  <c r="L36" i="17"/>
  <c r="K36" i="17"/>
  <c r="J36" i="17"/>
  <c r="I36" i="17"/>
  <c r="H36" i="17"/>
  <c r="G36" i="17"/>
  <c r="F36" i="17"/>
  <c r="E36" i="17"/>
  <c r="U35" i="17"/>
  <c r="U34" i="17"/>
  <c r="U33" i="17"/>
  <c r="T29" i="17"/>
  <c r="S29" i="17"/>
  <c r="R29" i="17"/>
  <c r="Q29" i="17"/>
  <c r="M29" i="17"/>
  <c r="L29" i="17"/>
  <c r="K29" i="17"/>
  <c r="J29" i="17"/>
  <c r="I29" i="17"/>
  <c r="H29" i="17"/>
  <c r="G29" i="17"/>
  <c r="F29" i="17"/>
  <c r="E29" i="17"/>
  <c r="T28" i="17"/>
  <c r="T30" i="17" s="1"/>
  <c r="S28" i="17"/>
  <c r="S30" i="17" s="1"/>
  <c r="R28" i="17"/>
  <c r="R30" i="17" s="1"/>
  <c r="Q28" i="17"/>
  <c r="M28" i="17"/>
  <c r="M30" i="17" s="1"/>
  <c r="L28" i="17"/>
  <c r="L30" i="17" s="1"/>
  <c r="K28" i="17"/>
  <c r="J28" i="17"/>
  <c r="I28" i="17"/>
  <c r="H28" i="17"/>
  <c r="G28" i="17"/>
  <c r="F28" i="17"/>
  <c r="E28" i="17"/>
  <c r="T27" i="17"/>
  <c r="S27" i="17"/>
  <c r="R27" i="17"/>
  <c r="Q27" i="17"/>
  <c r="M27" i="17"/>
  <c r="L27" i="17"/>
  <c r="K27" i="17"/>
  <c r="J27" i="17"/>
  <c r="I27" i="17"/>
  <c r="H27" i="17"/>
  <c r="G27" i="17"/>
  <c r="F27" i="17"/>
  <c r="E27" i="17"/>
  <c r="U26" i="17"/>
  <c r="U25" i="17"/>
  <c r="T24" i="17"/>
  <c r="S24" i="17"/>
  <c r="R24" i="17"/>
  <c r="Q24" i="17"/>
  <c r="M24" i="17"/>
  <c r="L24" i="17"/>
  <c r="K24" i="17"/>
  <c r="J24" i="17"/>
  <c r="I24" i="17"/>
  <c r="H24" i="17"/>
  <c r="G24" i="17"/>
  <c r="F24" i="17"/>
  <c r="E24" i="17"/>
  <c r="U23" i="17"/>
  <c r="U22" i="17"/>
  <c r="T21" i="17"/>
  <c r="S21" i="17"/>
  <c r="R21" i="17"/>
  <c r="Q21" i="17"/>
  <c r="M21" i="17"/>
  <c r="L21" i="17"/>
  <c r="K21" i="17"/>
  <c r="J21" i="17"/>
  <c r="I21" i="17"/>
  <c r="H21" i="17"/>
  <c r="G21" i="17"/>
  <c r="F21" i="17"/>
  <c r="E21" i="17"/>
  <c r="U20" i="17"/>
  <c r="U19" i="17"/>
  <c r="T16" i="17"/>
  <c r="S16" i="17"/>
  <c r="R16" i="17"/>
  <c r="Q16" i="17"/>
  <c r="M16" i="17"/>
  <c r="L16" i="17"/>
  <c r="K16" i="17"/>
  <c r="J16" i="17"/>
  <c r="I16" i="17"/>
  <c r="H16" i="17"/>
  <c r="G16" i="17"/>
  <c r="F16" i="17"/>
  <c r="E16" i="17"/>
  <c r="U15" i="17"/>
  <c r="U14" i="17"/>
  <c r="S263" i="16"/>
  <c r="S250" i="16"/>
  <c r="S249" i="16"/>
  <c r="S246" i="16"/>
  <c r="S245" i="16"/>
  <c r="S244" i="16"/>
  <c r="S243" i="16"/>
  <c r="S242" i="16"/>
  <c r="S241" i="16"/>
  <c r="S240" i="16"/>
  <c r="S239" i="16"/>
  <c r="S238" i="16"/>
  <c r="S237" i="16"/>
  <c r="S228" i="16"/>
  <c r="S227" i="16"/>
  <c r="S226" i="16"/>
  <c r="S225" i="16"/>
  <c r="S215" i="16"/>
  <c r="S214" i="16"/>
  <c r="S213" i="16"/>
  <c r="S210" i="16"/>
  <c r="S209" i="16"/>
  <c r="S208" i="16"/>
  <c r="S207" i="16"/>
  <c r="S206" i="16"/>
  <c r="S205" i="16"/>
  <c r="S204" i="16"/>
  <c r="S203" i="16"/>
  <c r="S202" i="16"/>
  <c r="S201" i="16"/>
  <c r="S198" i="16"/>
  <c r="S197" i="16"/>
  <c r="S196" i="16"/>
  <c r="S195" i="16"/>
  <c r="S194" i="16"/>
  <c r="S193" i="16"/>
  <c r="S192" i="16"/>
  <c r="S191" i="16"/>
  <c r="S190" i="16"/>
  <c r="S189" i="16"/>
  <c r="S186" i="16"/>
  <c r="S185" i="16"/>
  <c r="S184" i="16"/>
  <c r="S183" i="16"/>
  <c r="S182" i="16"/>
  <c r="S181" i="16"/>
  <c r="S180" i="16"/>
  <c r="S179" i="16"/>
  <c r="S178" i="16"/>
  <c r="S177" i="16"/>
  <c r="S166" i="16"/>
  <c r="S165" i="16"/>
  <c r="S175" i="16" s="1"/>
  <c r="S143" i="16"/>
  <c r="S142" i="16"/>
  <c r="S141" i="16"/>
  <c r="S138" i="16"/>
  <c r="S137" i="16"/>
  <c r="S136" i="16"/>
  <c r="S135" i="16"/>
  <c r="S134" i="16"/>
  <c r="S133" i="16"/>
  <c r="S132" i="16"/>
  <c r="S131" i="16"/>
  <c r="S130" i="16"/>
  <c r="S129" i="16"/>
  <c r="S120" i="16"/>
  <c r="S119" i="16"/>
  <c r="S118" i="16"/>
  <c r="S117" i="16"/>
  <c r="S106" i="16"/>
  <c r="S105" i="16"/>
  <c r="S102" i="16"/>
  <c r="S101" i="16"/>
  <c r="S100" i="16"/>
  <c r="S99" i="16"/>
  <c r="S98" i="16"/>
  <c r="S97" i="16"/>
  <c r="S96" i="16"/>
  <c r="S95" i="16"/>
  <c r="S94" i="16"/>
  <c r="S93" i="16"/>
  <c r="S90" i="16"/>
  <c r="S89" i="16"/>
  <c r="S88" i="16"/>
  <c r="S87" i="16"/>
  <c r="S86" i="16"/>
  <c r="S85" i="16"/>
  <c r="S84" i="16"/>
  <c r="S83" i="16"/>
  <c r="S82" i="16"/>
  <c r="S81" i="16"/>
  <c r="S78" i="16"/>
  <c r="S77" i="16"/>
  <c r="S76" i="16"/>
  <c r="S75" i="16"/>
  <c r="S74" i="16"/>
  <c r="S73" i="16"/>
  <c r="S72" i="16"/>
  <c r="S71" i="16"/>
  <c r="S70" i="16"/>
  <c r="S69" i="16"/>
  <c r="S66" i="16"/>
  <c r="S65" i="16"/>
  <c r="S64" i="16"/>
  <c r="S63" i="16"/>
  <c r="S62" i="16"/>
  <c r="S61" i="16"/>
  <c r="S60" i="16"/>
  <c r="S59" i="16"/>
  <c r="S58" i="16"/>
  <c r="S57" i="16"/>
  <c r="S54" i="16"/>
  <c r="S53" i="16"/>
  <c r="S52" i="16"/>
  <c r="S51" i="16"/>
  <c r="S50" i="16"/>
  <c r="S49" i="16"/>
  <c r="S48" i="16"/>
  <c r="S47" i="16"/>
  <c r="S46" i="16"/>
  <c r="S45" i="16"/>
  <c r="R41" i="16"/>
  <c r="K41" i="16"/>
  <c r="J41" i="16"/>
  <c r="I41" i="16"/>
  <c r="H41" i="16"/>
  <c r="G41" i="16"/>
  <c r="F41" i="16"/>
  <c r="E41" i="16"/>
  <c r="S40" i="16"/>
  <c r="S39" i="16"/>
  <c r="R36" i="16"/>
  <c r="K36" i="16"/>
  <c r="J36" i="16"/>
  <c r="I36" i="16"/>
  <c r="H36" i="16"/>
  <c r="G36" i="16"/>
  <c r="F36" i="16"/>
  <c r="E36" i="16"/>
  <c r="S35" i="16"/>
  <c r="S34" i="16"/>
  <c r="S33" i="16"/>
  <c r="R29" i="16"/>
  <c r="K29" i="16"/>
  <c r="J29" i="16"/>
  <c r="I29" i="16"/>
  <c r="H29" i="16"/>
  <c r="G29" i="16"/>
  <c r="F29" i="16"/>
  <c r="E29" i="16"/>
  <c r="R28" i="16"/>
  <c r="K28" i="16"/>
  <c r="J28" i="16"/>
  <c r="I28" i="16"/>
  <c r="H28" i="16"/>
  <c r="G28" i="16"/>
  <c r="F28" i="16"/>
  <c r="E28" i="16"/>
  <c r="R27" i="16"/>
  <c r="K27" i="16"/>
  <c r="J27" i="16"/>
  <c r="I27" i="16"/>
  <c r="H27" i="16"/>
  <c r="G27" i="16"/>
  <c r="F27" i="16"/>
  <c r="E27" i="16"/>
  <c r="S26" i="16"/>
  <c r="S25" i="16"/>
  <c r="R24" i="16"/>
  <c r="K24" i="16"/>
  <c r="J24" i="16"/>
  <c r="I24" i="16"/>
  <c r="H24" i="16"/>
  <c r="G24" i="16"/>
  <c r="F24" i="16"/>
  <c r="E24" i="16"/>
  <c r="S23" i="16"/>
  <c r="S22" i="16"/>
  <c r="R21" i="16"/>
  <c r="K21" i="16"/>
  <c r="J21" i="16"/>
  <c r="I21" i="16"/>
  <c r="H21" i="16"/>
  <c r="G21" i="16"/>
  <c r="F21" i="16"/>
  <c r="E21" i="16"/>
  <c r="S20" i="16"/>
  <c r="S19" i="16"/>
  <c r="R16" i="16"/>
  <c r="K16" i="16"/>
  <c r="J16" i="16"/>
  <c r="I16" i="16"/>
  <c r="H16" i="16"/>
  <c r="G16" i="16"/>
  <c r="F16" i="16"/>
  <c r="E16" i="16"/>
  <c r="S15" i="16"/>
  <c r="S14" i="16"/>
  <c r="N263" i="15"/>
  <c r="N251" i="15"/>
  <c r="N250" i="15"/>
  <c r="N249" i="15"/>
  <c r="N246" i="15"/>
  <c r="N245" i="15"/>
  <c r="N244" i="15"/>
  <c r="N243" i="15"/>
  <c r="N242" i="15"/>
  <c r="N241" i="15"/>
  <c r="N240" i="15"/>
  <c r="N239" i="15"/>
  <c r="N238" i="15"/>
  <c r="N237" i="15"/>
  <c r="N228" i="15"/>
  <c r="N227" i="15"/>
  <c r="N226" i="15"/>
  <c r="N225" i="15"/>
  <c r="N215" i="15"/>
  <c r="N214" i="15"/>
  <c r="N213" i="15"/>
  <c r="N210" i="15"/>
  <c r="N209" i="15"/>
  <c r="N208" i="15"/>
  <c r="N207" i="15"/>
  <c r="N206" i="15"/>
  <c r="N205" i="15"/>
  <c r="N204" i="15"/>
  <c r="N203" i="15"/>
  <c r="N202" i="15"/>
  <c r="N201" i="15"/>
  <c r="N198" i="15"/>
  <c r="N197" i="15"/>
  <c r="N196" i="15"/>
  <c r="N195" i="15"/>
  <c r="N194" i="15"/>
  <c r="N193" i="15"/>
  <c r="N192" i="15"/>
  <c r="N191" i="15"/>
  <c r="N190" i="15"/>
  <c r="N189" i="15"/>
  <c r="N186" i="15"/>
  <c r="E186" i="1" s="1"/>
  <c r="N185" i="15"/>
  <c r="N184" i="15"/>
  <c r="N183" i="15"/>
  <c r="N182" i="15"/>
  <c r="N181" i="15"/>
  <c r="N180" i="15"/>
  <c r="N179" i="15"/>
  <c r="N178" i="15"/>
  <c r="N177" i="15"/>
  <c r="N166" i="15"/>
  <c r="N165" i="15"/>
  <c r="N143" i="15"/>
  <c r="N142" i="15"/>
  <c r="N141" i="15"/>
  <c r="N151" i="15" s="1"/>
  <c r="N138" i="15"/>
  <c r="N137" i="15"/>
  <c r="N136" i="15"/>
  <c r="N135" i="15"/>
  <c r="N134" i="15"/>
  <c r="N133" i="15"/>
  <c r="N132" i="15"/>
  <c r="N131" i="15"/>
  <c r="N130" i="15"/>
  <c r="N129" i="15"/>
  <c r="N139" i="15" s="1"/>
  <c r="N122" i="15"/>
  <c r="N121" i="15"/>
  <c r="N120" i="15"/>
  <c r="N119" i="15"/>
  <c r="N118" i="15"/>
  <c r="N117" i="15"/>
  <c r="N107" i="15"/>
  <c r="N106" i="15"/>
  <c r="N105" i="15"/>
  <c r="N102" i="15"/>
  <c r="N101" i="15"/>
  <c r="N100" i="15"/>
  <c r="N99" i="15"/>
  <c r="N98" i="15"/>
  <c r="N97" i="15"/>
  <c r="N96" i="15"/>
  <c r="N95" i="15"/>
  <c r="N94" i="15"/>
  <c r="N93" i="15"/>
  <c r="N90" i="15"/>
  <c r="N89" i="15"/>
  <c r="N88" i="15"/>
  <c r="N87" i="15"/>
  <c r="N86" i="15"/>
  <c r="N85" i="15"/>
  <c r="N84" i="15"/>
  <c r="N83" i="15"/>
  <c r="N82" i="15"/>
  <c r="N81" i="15"/>
  <c r="N78" i="15"/>
  <c r="N77" i="15"/>
  <c r="N76" i="15"/>
  <c r="N75" i="15"/>
  <c r="N74" i="15"/>
  <c r="N73" i="15"/>
  <c r="N72" i="15"/>
  <c r="N71" i="15"/>
  <c r="N70" i="15"/>
  <c r="N69" i="15"/>
  <c r="N66" i="15"/>
  <c r="N65" i="15"/>
  <c r="N64" i="15"/>
  <c r="N63" i="15"/>
  <c r="N62" i="15"/>
  <c r="N61" i="15"/>
  <c r="N60" i="15"/>
  <c r="N59" i="15"/>
  <c r="N58" i="15"/>
  <c r="N57" i="15"/>
  <c r="N54" i="15"/>
  <c r="N53" i="15"/>
  <c r="N52" i="15"/>
  <c r="N51" i="15"/>
  <c r="N50" i="15"/>
  <c r="N49" i="15"/>
  <c r="N48" i="15"/>
  <c r="N47" i="15"/>
  <c r="N46" i="15"/>
  <c r="N45" i="15"/>
  <c r="M41" i="15"/>
  <c r="L41" i="15"/>
  <c r="K41" i="15"/>
  <c r="J41" i="15"/>
  <c r="I41" i="15"/>
  <c r="H41" i="15"/>
  <c r="G41" i="15"/>
  <c r="F41" i="15"/>
  <c r="E41" i="15"/>
  <c r="N40" i="15"/>
  <c r="N39" i="15"/>
  <c r="M36" i="15"/>
  <c r="L36" i="15"/>
  <c r="K36" i="15"/>
  <c r="J36" i="15"/>
  <c r="I36" i="15"/>
  <c r="H36" i="15"/>
  <c r="G36" i="15"/>
  <c r="F36" i="15"/>
  <c r="E36" i="15"/>
  <c r="N35" i="15"/>
  <c r="N34" i="15"/>
  <c r="N33" i="15"/>
  <c r="M29" i="15"/>
  <c r="L29" i="15"/>
  <c r="K29" i="15"/>
  <c r="J29" i="15"/>
  <c r="I29" i="15"/>
  <c r="H29" i="15"/>
  <c r="G29" i="15"/>
  <c r="F29" i="15"/>
  <c r="E29" i="15"/>
  <c r="M28" i="15"/>
  <c r="L28" i="15"/>
  <c r="K28" i="15"/>
  <c r="J28" i="15"/>
  <c r="I28" i="15"/>
  <c r="H28" i="15"/>
  <c r="G28" i="15"/>
  <c r="F28" i="15"/>
  <c r="E28" i="15"/>
  <c r="M27" i="15"/>
  <c r="L27" i="15"/>
  <c r="K27" i="15"/>
  <c r="J27" i="15"/>
  <c r="I27" i="15"/>
  <c r="H27" i="15"/>
  <c r="G27" i="15"/>
  <c r="F27" i="15"/>
  <c r="E27" i="15"/>
  <c r="N26" i="15"/>
  <c r="N25" i="15"/>
  <c r="M24" i="15"/>
  <c r="L24" i="15"/>
  <c r="K24" i="15"/>
  <c r="J24" i="15"/>
  <c r="I24" i="15"/>
  <c r="H24" i="15"/>
  <c r="G24" i="15"/>
  <c r="F24" i="15"/>
  <c r="E24" i="15"/>
  <c r="N23" i="15"/>
  <c r="N22" i="15"/>
  <c r="M21" i="15"/>
  <c r="L21" i="15"/>
  <c r="K21" i="15"/>
  <c r="J21" i="15"/>
  <c r="I21" i="15"/>
  <c r="H21" i="15"/>
  <c r="G21" i="15"/>
  <c r="F21" i="15"/>
  <c r="E21" i="15"/>
  <c r="N20" i="15"/>
  <c r="N19" i="15"/>
  <c r="M16" i="15"/>
  <c r="L16" i="15"/>
  <c r="K16" i="15"/>
  <c r="J16" i="15"/>
  <c r="I16" i="15"/>
  <c r="H16" i="15"/>
  <c r="G16" i="15"/>
  <c r="F16" i="15"/>
  <c r="E16" i="15"/>
  <c r="N15" i="15"/>
  <c r="N14" i="15"/>
  <c r="Q244" i="3"/>
  <c r="Q245" i="3"/>
  <c r="Q246" i="3"/>
  <c r="Q208" i="3"/>
  <c r="Q209" i="3"/>
  <c r="Q210" i="3"/>
  <c r="Q196" i="3"/>
  <c r="Q197" i="3"/>
  <c r="Q198" i="3"/>
  <c r="Q184" i="3"/>
  <c r="Q185" i="3"/>
  <c r="Q186" i="3"/>
  <c r="Q137" i="3"/>
  <c r="Q138" i="3"/>
  <c r="Q101" i="3"/>
  <c r="Q102" i="3"/>
  <c r="Q89" i="3"/>
  <c r="Q90" i="3"/>
  <c r="Q77" i="3"/>
  <c r="Q78" i="3"/>
  <c r="Q65" i="3"/>
  <c r="Q66" i="3"/>
  <c r="Q53" i="3"/>
  <c r="Q54" i="3"/>
  <c r="T245" i="11"/>
  <c r="T246" i="11"/>
  <c r="T208" i="11"/>
  <c r="T209" i="11"/>
  <c r="T210" i="11"/>
  <c r="T196" i="11"/>
  <c r="T197" i="11"/>
  <c r="T198" i="11"/>
  <c r="T185" i="11"/>
  <c r="T186" i="11"/>
  <c r="T137" i="11"/>
  <c r="T138" i="11"/>
  <c r="T121" i="11"/>
  <c r="T122" i="11"/>
  <c r="T101" i="11"/>
  <c r="T102" i="11"/>
  <c r="T89" i="11"/>
  <c r="T90" i="11"/>
  <c r="T77" i="11"/>
  <c r="T78" i="11"/>
  <c r="T64" i="11"/>
  <c r="T65" i="11"/>
  <c r="T66" i="11"/>
  <c r="T53" i="11"/>
  <c r="T54" i="11"/>
  <c r="S245" i="10"/>
  <c r="S246" i="10"/>
  <c r="S210" i="10"/>
  <c r="S209" i="10"/>
  <c r="S197" i="10"/>
  <c r="S198" i="10"/>
  <c r="S186" i="10"/>
  <c r="S185" i="10"/>
  <c r="S138" i="10"/>
  <c r="S137" i="10"/>
  <c r="S121" i="10"/>
  <c r="S122" i="10"/>
  <c r="S102" i="10"/>
  <c r="S101" i="10"/>
  <c r="S90" i="10"/>
  <c r="S89" i="10"/>
  <c r="S78" i="10"/>
  <c r="S77" i="10"/>
  <c r="S66" i="10"/>
  <c r="S65" i="10"/>
  <c r="S54" i="10"/>
  <c r="S53" i="10"/>
  <c r="V245" i="9"/>
  <c r="V246" i="9"/>
  <c r="V209" i="9"/>
  <c r="V210" i="9"/>
  <c r="V197" i="9"/>
  <c r="V198" i="9"/>
  <c r="V185" i="9"/>
  <c r="V186" i="9"/>
  <c r="V137" i="9"/>
  <c r="V138" i="9"/>
  <c r="V121" i="9"/>
  <c r="V122" i="9"/>
  <c r="V102" i="9"/>
  <c r="V90" i="9"/>
  <c r="V101" i="9"/>
  <c r="V89" i="9"/>
  <c r="V77" i="9"/>
  <c r="V78" i="9"/>
  <c r="V65" i="9"/>
  <c r="V66" i="9"/>
  <c r="V53" i="9"/>
  <c r="V54" i="9"/>
  <c r="T211" i="20" l="1"/>
  <c r="T187" i="20"/>
  <c r="T175" i="20"/>
  <c r="T127" i="20"/>
  <c r="T115" i="20"/>
  <c r="T91" i="20"/>
  <c r="O30" i="20"/>
  <c r="G30" i="20"/>
  <c r="Q199" i="18"/>
  <c r="Q151" i="18"/>
  <c r="Q115" i="18"/>
  <c r="Q55" i="18"/>
  <c r="J30" i="18"/>
  <c r="R30" i="11"/>
  <c r="S223" i="16"/>
  <c r="S127" i="16"/>
  <c r="S103" i="16"/>
  <c r="E78" i="1"/>
  <c r="G30" i="16"/>
  <c r="H30" i="16"/>
  <c r="I30" i="16"/>
  <c r="J30" i="16"/>
  <c r="AC211" i="19"/>
  <c r="AC175" i="19"/>
  <c r="X30" i="19"/>
  <c r="W30" i="19"/>
  <c r="AB30" i="19"/>
  <c r="Y30" i="19"/>
  <c r="E209" i="1"/>
  <c r="E198" i="1"/>
  <c r="E197" i="1"/>
  <c r="E122" i="1"/>
  <c r="E245" i="1"/>
  <c r="E246" i="1"/>
  <c r="E210" i="1"/>
  <c r="E185" i="1"/>
  <c r="E137" i="1"/>
  <c r="E138" i="1"/>
  <c r="E121" i="1"/>
  <c r="E101" i="1"/>
  <c r="E102" i="1"/>
  <c r="E89" i="1"/>
  <c r="E90" i="1"/>
  <c r="E77" i="1"/>
  <c r="E65" i="1"/>
  <c r="E66" i="1"/>
  <c r="E53" i="1"/>
  <c r="E54" i="1"/>
  <c r="N259" i="15"/>
  <c r="N211" i="15"/>
  <c r="N187" i="15"/>
  <c r="N175" i="15"/>
  <c r="N79" i="15"/>
  <c r="N67" i="15"/>
  <c r="O30" i="21"/>
  <c r="P30" i="21"/>
  <c r="Q30" i="21"/>
  <c r="AC151" i="19"/>
  <c r="AC235" i="19"/>
  <c r="AC115" i="19"/>
  <c r="AC91" i="19"/>
  <c r="AC187" i="19"/>
  <c r="AC67" i="19"/>
  <c r="AC139" i="19"/>
  <c r="AC259" i="19"/>
  <c r="AC223" i="19"/>
  <c r="Q235" i="18"/>
  <c r="Q247" i="18"/>
  <c r="Q175" i="18"/>
  <c r="U103" i="17"/>
  <c r="U79" i="17"/>
  <c r="U139" i="17"/>
  <c r="U259" i="17"/>
  <c r="S199" i="16"/>
  <c r="S79" i="16"/>
  <c r="S151" i="16"/>
  <c r="S235" i="16"/>
  <c r="S115" i="16"/>
  <c r="E30" i="16"/>
  <c r="N103" i="15"/>
  <c r="N223" i="15"/>
  <c r="N235" i="15"/>
  <c r="E158" i="1"/>
  <c r="N91" i="15"/>
  <c r="N127" i="15"/>
  <c r="E159" i="1"/>
  <c r="N55" i="15"/>
  <c r="N199" i="15"/>
  <c r="N115" i="15"/>
  <c r="N247" i="15"/>
  <c r="S55" i="16"/>
  <c r="S247" i="16"/>
  <c r="S91" i="16"/>
  <c r="S211" i="16"/>
  <c r="S67" i="16"/>
  <c r="S187" i="16"/>
  <c r="S139" i="16"/>
  <c r="S259" i="16"/>
  <c r="U91" i="17"/>
  <c r="U127" i="17"/>
  <c r="I30" i="17"/>
  <c r="U247" i="17"/>
  <c r="U211" i="17"/>
  <c r="U67" i="17"/>
  <c r="U187" i="17"/>
  <c r="Q127" i="18"/>
  <c r="Q91" i="18"/>
  <c r="Q211" i="18"/>
  <c r="Q67" i="18"/>
  <c r="Q187" i="18"/>
  <c r="Q139" i="18"/>
  <c r="Q259" i="18"/>
  <c r="Q103" i="18"/>
  <c r="Q223" i="18"/>
  <c r="Q36" i="18"/>
  <c r="Q79" i="18"/>
  <c r="AC103" i="19"/>
  <c r="AC199" i="19"/>
  <c r="AC79" i="19"/>
  <c r="AC55" i="19"/>
  <c r="E30" i="19"/>
  <c r="AC247" i="19"/>
  <c r="T30" i="19"/>
  <c r="U30" i="19"/>
  <c r="V30" i="19"/>
  <c r="T67" i="20"/>
  <c r="T139" i="20"/>
  <c r="T41" i="20"/>
  <c r="K30" i="20"/>
  <c r="L30" i="20"/>
  <c r="T223" i="20"/>
  <c r="Q30" i="20"/>
  <c r="T103" i="20"/>
  <c r="T199" i="20"/>
  <c r="R30" i="20"/>
  <c r="S30" i="20"/>
  <c r="T79" i="20"/>
  <c r="T29" i="20"/>
  <c r="T55" i="20"/>
  <c r="T247" i="20"/>
  <c r="T24" i="20"/>
  <c r="I30" i="20"/>
  <c r="S103" i="21"/>
  <c r="S55" i="21"/>
  <c r="S235" i="21"/>
  <c r="S79" i="21"/>
  <c r="S247" i="21"/>
  <c r="S115" i="21"/>
  <c r="S91" i="21"/>
  <c r="S127" i="21"/>
  <c r="S187" i="21"/>
  <c r="S259" i="21"/>
  <c r="S67" i="21"/>
  <c r="R30" i="21"/>
  <c r="I30" i="21"/>
  <c r="J30" i="21"/>
  <c r="S211" i="21"/>
  <c r="S223" i="21"/>
  <c r="S199" i="21"/>
  <c r="S151" i="21"/>
  <c r="S175" i="21"/>
  <c r="S139" i="21"/>
  <c r="R262" i="21"/>
  <c r="R264" i="21" s="1"/>
  <c r="K262" i="21"/>
  <c r="K264" i="21" s="1"/>
  <c r="P262" i="21"/>
  <c r="P264" i="21" s="1"/>
  <c r="K30" i="21"/>
  <c r="Q262" i="21"/>
  <c r="Q264" i="21" s="1"/>
  <c r="L30" i="21"/>
  <c r="M30" i="21"/>
  <c r="F30" i="21"/>
  <c r="N30" i="21"/>
  <c r="AC24" i="19"/>
  <c r="AA30" i="19"/>
  <c r="Q21" i="18"/>
  <c r="Q29" i="18"/>
  <c r="F262" i="18"/>
  <c r="F264" i="18" s="1"/>
  <c r="G262" i="18"/>
  <c r="G264" i="18" s="1"/>
  <c r="O30" i="18"/>
  <c r="J262" i="18"/>
  <c r="J264" i="18" s="1"/>
  <c r="K262" i="18"/>
  <c r="K264" i="18" s="1"/>
  <c r="L262" i="18"/>
  <c r="L264" i="18" s="1"/>
  <c r="M262" i="18"/>
  <c r="M264" i="18" s="1"/>
  <c r="H262" i="17"/>
  <c r="H264" i="17" s="1"/>
  <c r="F30" i="17"/>
  <c r="G30" i="17"/>
  <c r="S24" i="16"/>
  <c r="F30" i="16"/>
  <c r="G30" i="15"/>
  <c r="H30" i="15"/>
  <c r="K30" i="15"/>
  <c r="I30" i="15"/>
  <c r="J30" i="15"/>
  <c r="P262" i="11"/>
  <c r="P264" i="11" s="1"/>
  <c r="Q262" i="11"/>
  <c r="Q264" i="11" s="1"/>
  <c r="R262" i="11"/>
  <c r="R264" i="11" s="1"/>
  <c r="S262" i="11"/>
  <c r="S264" i="11" s="1"/>
  <c r="S30" i="11"/>
  <c r="P30" i="11"/>
  <c r="Q30" i="11"/>
  <c r="S24" i="21"/>
  <c r="S27" i="21"/>
  <c r="S29" i="21"/>
  <c r="S21" i="21"/>
  <c r="S157" i="21"/>
  <c r="S163" i="21" s="1"/>
  <c r="S36" i="21"/>
  <c r="G30" i="21"/>
  <c r="S16" i="21"/>
  <c r="E30" i="21"/>
  <c r="H30" i="21"/>
  <c r="F262" i="21"/>
  <c r="F264" i="21" s="1"/>
  <c r="H262" i="21"/>
  <c r="H264" i="21" s="1"/>
  <c r="L262" i="21"/>
  <c r="L264" i="21" s="1"/>
  <c r="I262" i="21"/>
  <c r="I264" i="21" s="1"/>
  <c r="S41" i="21"/>
  <c r="M262" i="21"/>
  <c r="M264" i="21" s="1"/>
  <c r="J262" i="21"/>
  <c r="J264" i="21" s="1"/>
  <c r="G262" i="21"/>
  <c r="G264" i="21" s="1"/>
  <c r="S28" i="21"/>
  <c r="E262" i="21"/>
  <c r="T21" i="20"/>
  <c r="H262" i="20"/>
  <c r="H264" i="20" s="1"/>
  <c r="T36" i="20"/>
  <c r="Q262" i="20"/>
  <c r="Q264" i="20" s="1"/>
  <c r="G262" i="20"/>
  <c r="G264" i="20" s="1"/>
  <c r="J262" i="20"/>
  <c r="J264" i="20" s="1"/>
  <c r="K262" i="20"/>
  <c r="K264" i="20" s="1"/>
  <c r="M262" i="20"/>
  <c r="M264" i="20" s="1"/>
  <c r="S262" i="20"/>
  <c r="S264" i="20" s="1"/>
  <c r="E30" i="20"/>
  <c r="T16" i="20"/>
  <c r="I262" i="20"/>
  <c r="I264" i="20" s="1"/>
  <c r="F30" i="20"/>
  <c r="T28" i="20"/>
  <c r="E262" i="20"/>
  <c r="E264" i="20" s="1"/>
  <c r="T27" i="20"/>
  <c r="N30" i="20"/>
  <c r="F262" i="20"/>
  <c r="F264" i="20" s="1"/>
  <c r="T163" i="20"/>
  <c r="N262" i="20"/>
  <c r="N264" i="20" s="1"/>
  <c r="R262" i="20"/>
  <c r="R264" i="20" s="1"/>
  <c r="M30" i="20"/>
  <c r="AC21" i="19"/>
  <c r="AC163" i="19"/>
  <c r="AC16" i="19"/>
  <c r="E262" i="19"/>
  <c r="E264" i="19" s="1"/>
  <c r="AC29" i="19"/>
  <c r="W262" i="19"/>
  <c r="W264" i="19" s="1"/>
  <c r="V262" i="19"/>
  <c r="V264" i="19" s="1"/>
  <c r="T262" i="19"/>
  <c r="T264" i="19" s="1"/>
  <c r="X262" i="19"/>
  <c r="X264" i="19" s="1"/>
  <c r="AC36" i="19"/>
  <c r="AA262" i="19"/>
  <c r="AA264" i="19" s="1"/>
  <c r="Y262" i="19"/>
  <c r="Y264" i="19" s="1"/>
  <c r="AC27" i="19"/>
  <c r="AB262" i="19"/>
  <c r="AB264" i="19" s="1"/>
  <c r="AC28" i="19"/>
  <c r="U262" i="19"/>
  <c r="U264" i="19" s="1"/>
  <c r="AC41" i="19"/>
  <c r="O262" i="18"/>
  <c r="O264" i="18" s="1"/>
  <c r="P262" i="18"/>
  <c r="P264" i="18" s="1"/>
  <c r="I262" i="18"/>
  <c r="I264" i="18" s="1"/>
  <c r="H262" i="18"/>
  <c r="H264" i="18" s="1"/>
  <c r="H30" i="18"/>
  <c r="Q24" i="18"/>
  <c r="Q16" i="18"/>
  <c r="F30" i="18"/>
  <c r="I30" i="18"/>
  <c r="K30" i="18"/>
  <c r="G30" i="18"/>
  <c r="Q27" i="18"/>
  <c r="L30" i="18"/>
  <c r="Q163" i="18"/>
  <c r="M30" i="18"/>
  <c r="Q41" i="18"/>
  <c r="E30" i="18"/>
  <c r="P30" i="18"/>
  <c r="Q28" i="18"/>
  <c r="E262" i="18"/>
  <c r="S41" i="16"/>
  <c r="S163" i="16"/>
  <c r="S21" i="16"/>
  <c r="S28" i="16"/>
  <c r="S16" i="16"/>
  <c r="R30" i="16"/>
  <c r="S36" i="16"/>
  <c r="J262" i="16"/>
  <c r="J264" i="16" s="1"/>
  <c r="E262" i="16"/>
  <c r="E264" i="16" s="1"/>
  <c r="S27" i="16"/>
  <c r="R262" i="16"/>
  <c r="R264" i="16" s="1"/>
  <c r="I262" i="16"/>
  <c r="I264" i="16" s="1"/>
  <c r="G262" i="16"/>
  <c r="G264" i="16" s="1"/>
  <c r="K30" i="16"/>
  <c r="K262" i="16"/>
  <c r="K264" i="16" s="1"/>
  <c r="F262" i="16"/>
  <c r="F264" i="16" s="1"/>
  <c r="H262" i="16"/>
  <c r="H264" i="16" s="1"/>
  <c r="F30" i="15"/>
  <c r="E30" i="15"/>
  <c r="U24" i="17"/>
  <c r="I262" i="17"/>
  <c r="I264" i="17" s="1"/>
  <c r="E262" i="17"/>
  <c r="E264" i="17" s="1"/>
  <c r="H30" i="17"/>
  <c r="F262" i="17"/>
  <c r="F264" i="17" s="1"/>
  <c r="U28" i="17"/>
  <c r="U157" i="17"/>
  <c r="U163" i="17" s="1"/>
  <c r="U27" i="17"/>
  <c r="E30" i="17"/>
  <c r="K30" i="17"/>
  <c r="J30" i="17"/>
  <c r="J262" i="17"/>
  <c r="J264" i="17" s="1"/>
  <c r="Q30" i="17"/>
  <c r="K262" i="17"/>
  <c r="K264" i="17" s="1"/>
  <c r="L262" i="17"/>
  <c r="L264" i="17" s="1"/>
  <c r="U36" i="17"/>
  <c r="M262" i="17"/>
  <c r="M264" i="17" s="1"/>
  <c r="Q262" i="17"/>
  <c r="Q264" i="17" s="1"/>
  <c r="R262" i="17"/>
  <c r="R264" i="17" s="1"/>
  <c r="U41" i="17"/>
  <c r="S262" i="17"/>
  <c r="S264" i="17" s="1"/>
  <c r="U21" i="17"/>
  <c r="T262" i="17"/>
  <c r="T264" i="17" s="1"/>
  <c r="U16" i="17"/>
  <c r="G262" i="17"/>
  <c r="G264" i="17" s="1"/>
  <c r="U29" i="17"/>
  <c r="S29" i="16"/>
  <c r="F262" i="15"/>
  <c r="F264" i="15" s="1"/>
  <c r="G262" i="15"/>
  <c r="G264" i="15" s="1"/>
  <c r="L30" i="15"/>
  <c r="H262" i="15"/>
  <c r="H264" i="15" s="1"/>
  <c r="I262" i="15"/>
  <c r="I264" i="15" s="1"/>
  <c r="N36" i="15"/>
  <c r="N163" i="15"/>
  <c r="L262" i="15"/>
  <c r="L264" i="15" s="1"/>
  <c r="K262" i="15"/>
  <c r="K264" i="15" s="1"/>
  <c r="M30" i="15"/>
  <c r="N21" i="15"/>
  <c r="M262" i="15"/>
  <c r="M264" i="15" s="1"/>
  <c r="N41" i="15"/>
  <c r="N24" i="15"/>
  <c r="N29" i="15"/>
  <c r="J262" i="15"/>
  <c r="J264" i="15" s="1"/>
  <c r="N16" i="15"/>
  <c r="N27" i="15"/>
  <c r="E262" i="15"/>
  <c r="N28" i="15"/>
  <c r="AC30" i="19" l="1"/>
  <c r="Q30" i="18"/>
  <c r="S30" i="21"/>
  <c r="U30" i="17"/>
  <c r="U264" i="17"/>
  <c r="S30" i="16"/>
  <c r="S264" i="16"/>
  <c r="N30" i="15"/>
  <c r="E264" i="21"/>
  <c r="S264" i="21" s="1"/>
  <c r="S262" i="21"/>
  <c r="T30" i="20"/>
  <c r="T264" i="20"/>
  <c r="T262" i="20"/>
  <c r="AC262" i="19"/>
  <c r="AC264" i="19"/>
  <c r="Q262" i="18"/>
  <c r="E264" i="18"/>
  <c r="Q264" i="18" s="1"/>
  <c r="S262" i="16"/>
  <c r="U262" i="17"/>
  <c r="N262" i="15"/>
  <c r="E264" i="15"/>
  <c r="N264" i="15" s="1"/>
  <c r="T263" i="11" l="1"/>
  <c r="T251" i="11"/>
  <c r="T250" i="11"/>
  <c r="T249" i="11"/>
  <c r="T259" i="11" s="1"/>
  <c r="T244" i="11"/>
  <c r="T243" i="11"/>
  <c r="T242" i="11"/>
  <c r="T241" i="11"/>
  <c r="T240" i="11"/>
  <c r="T239" i="11"/>
  <c r="T238" i="11"/>
  <c r="T237" i="11"/>
  <c r="T229" i="11"/>
  <c r="T228" i="11"/>
  <c r="T227" i="11"/>
  <c r="T226" i="11"/>
  <c r="T225" i="11"/>
  <c r="T216" i="11"/>
  <c r="T215" i="11"/>
  <c r="T214" i="11"/>
  <c r="T213" i="11"/>
  <c r="T207" i="11"/>
  <c r="T206" i="11"/>
  <c r="T205" i="11"/>
  <c r="T204" i="11"/>
  <c r="T203" i="11"/>
  <c r="T202" i="11"/>
  <c r="T201" i="11"/>
  <c r="T195" i="11"/>
  <c r="T194" i="11"/>
  <c r="T193" i="11"/>
  <c r="T192" i="11"/>
  <c r="T191" i="11"/>
  <c r="T190" i="11"/>
  <c r="T189" i="11"/>
  <c r="T184" i="11"/>
  <c r="T183" i="11"/>
  <c r="T182" i="11"/>
  <c r="T181" i="11"/>
  <c r="T180" i="11"/>
  <c r="T179" i="11"/>
  <c r="T178" i="11"/>
  <c r="T177" i="11"/>
  <c r="T166" i="11"/>
  <c r="T165" i="11"/>
  <c r="T144" i="11"/>
  <c r="T143" i="11"/>
  <c r="T142" i="11"/>
  <c r="T141" i="11"/>
  <c r="T136" i="11"/>
  <c r="T135" i="11"/>
  <c r="T134" i="11"/>
  <c r="T133" i="11"/>
  <c r="T132" i="11"/>
  <c r="T131" i="11"/>
  <c r="T130" i="11"/>
  <c r="T129" i="11"/>
  <c r="T120" i="11"/>
  <c r="T119" i="11"/>
  <c r="T118" i="11"/>
  <c r="T117" i="11"/>
  <c r="T107" i="11"/>
  <c r="T106" i="11"/>
  <c r="T105" i="11"/>
  <c r="T100" i="11"/>
  <c r="T99" i="11"/>
  <c r="T98" i="11"/>
  <c r="T97" i="11"/>
  <c r="T96" i="11"/>
  <c r="T95" i="11"/>
  <c r="T94" i="11"/>
  <c r="T93" i="11"/>
  <c r="T103" i="11" s="1"/>
  <c r="T88" i="11"/>
  <c r="T87" i="11"/>
  <c r="T86" i="11"/>
  <c r="T85" i="11"/>
  <c r="T84" i="11"/>
  <c r="T83" i="11"/>
  <c r="T82" i="11"/>
  <c r="T81" i="11"/>
  <c r="T76" i="11"/>
  <c r="T75" i="11"/>
  <c r="T74" i="11"/>
  <c r="T73" i="11"/>
  <c r="T72" i="11"/>
  <c r="T71" i="11"/>
  <c r="T70" i="11"/>
  <c r="T69" i="11"/>
  <c r="T63" i="11"/>
  <c r="T62" i="11"/>
  <c r="T61" i="11"/>
  <c r="T60" i="11"/>
  <c r="T59" i="11"/>
  <c r="T58" i="11"/>
  <c r="T57" i="11"/>
  <c r="T52" i="11"/>
  <c r="T51" i="11"/>
  <c r="T50" i="11"/>
  <c r="T49" i="11"/>
  <c r="T48" i="11"/>
  <c r="T47" i="11"/>
  <c r="T46" i="11"/>
  <c r="T45" i="11"/>
  <c r="O41" i="11"/>
  <c r="N41" i="11"/>
  <c r="M41" i="11"/>
  <c r="L41" i="11"/>
  <c r="K41" i="11"/>
  <c r="J41" i="11"/>
  <c r="I41" i="11"/>
  <c r="H41" i="11"/>
  <c r="G41" i="11"/>
  <c r="F41" i="11"/>
  <c r="E41" i="11"/>
  <c r="T40" i="11"/>
  <c r="T39" i="11"/>
  <c r="O36" i="11"/>
  <c r="N36" i="11"/>
  <c r="M36" i="11"/>
  <c r="L36" i="11"/>
  <c r="K36" i="11"/>
  <c r="J36" i="11"/>
  <c r="I36" i="11"/>
  <c r="H36" i="11"/>
  <c r="G36" i="11"/>
  <c r="F36" i="11"/>
  <c r="E36" i="11"/>
  <c r="T35" i="11"/>
  <c r="T34" i="11"/>
  <c r="T33" i="11"/>
  <c r="O29" i="11"/>
  <c r="N29" i="11"/>
  <c r="M29" i="11"/>
  <c r="L29" i="11"/>
  <c r="K29" i="11"/>
  <c r="J29" i="11"/>
  <c r="I29" i="11"/>
  <c r="H29" i="11"/>
  <c r="G29" i="11"/>
  <c r="F29" i="11"/>
  <c r="E29" i="11"/>
  <c r="O28" i="11"/>
  <c r="N28" i="11"/>
  <c r="M28" i="11"/>
  <c r="L28" i="11"/>
  <c r="K28" i="11"/>
  <c r="J28" i="11"/>
  <c r="I28" i="11"/>
  <c r="H28" i="11"/>
  <c r="G28" i="11"/>
  <c r="F28" i="11"/>
  <c r="E28" i="11"/>
  <c r="O27" i="11"/>
  <c r="N27" i="11"/>
  <c r="M27" i="11"/>
  <c r="L27" i="11"/>
  <c r="K27" i="11"/>
  <c r="J27" i="11"/>
  <c r="I27" i="11"/>
  <c r="H27" i="11"/>
  <c r="G27" i="11"/>
  <c r="F27" i="11"/>
  <c r="E27" i="11"/>
  <c r="T26" i="11"/>
  <c r="T25" i="11"/>
  <c r="O24" i="11"/>
  <c r="N24" i="11"/>
  <c r="M24" i="11"/>
  <c r="L24" i="11"/>
  <c r="K24" i="11"/>
  <c r="J24" i="11"/>
  <c r="I24" i="11"/>
  <c r="H24" i="11"/>
  <c r="G24" i="11"/>
  <c r="F24" i="11"/>
  <c r="E24" i="11"/>
  <c r="T23" i="11"/>
  <c r="T22" i="11"/>
  <c r="O21" i="11"/>
  <c r="N21" i="11"/>
  <c r="M21" i="11"/>
  <c r="L21" i="11"/>
  <c r="K21" i="11"/>
  <c r="J21" i="11"/>
  <c r="I21" i="11"/>
  <c r="H21" i="11"/>
  <c r="G21" i="11"/>
  <c r="F21" i="11"/>
  <c r="E21" i="11"/>
  <c r="T20" i="11"/>
  <c r="T19" i="11"/>
  <c r="O16" i="11"/>
  <c r="N16" i="11"/>
  <c r="M16" i="11"/>
  <c r="L16" i="11"/>
  <c r="K16" i="11"/>
  <c r="J16" i="11"/>
  <c r="I16" i="11"/>
  <c r="H16" i="11"/>
  <c r="G16" i="11"/>
  <c r="F16" i="11"/>
  <c r="E16" i="11"/>
  <c r="T15" i="11"/>
  <c r="T14" i="11"/>
  <c r="S263" i="10"/>
  <c r="S252" i="10"/>
  <c r="S251" i="10"/>
  <c r="S250" i="10"/>
  <c r="S249" i="10"/>
  <c r="S244" i="10"/>
  <c r="S243" i="10"/>
  <c r="S242" i="10"/>
  <c r="S241" i="10"/>
  <c r="S240" i="10"/>
  <c r="S239" i="10"/>
  <c r="S238" i="10"/>
  <c r="S237" i="10"/>
  <c r="S228" i="10"/>
  <c r="S227" i="10"/>
  <c r="S226" i="10"/>
  <c r="S225" i="10"/>
  <c r="S216" i="10"/>
  <c r="S215" i="10"/>
  <c r="S214" i="10"/>
  <c r="S213" i="10"/>
  <c r="S208" i="10"/>
  <c r="S207" i="10"/>
  <c r="S206" i="10"/>
  <c r="S205" i="10"/>
  <c r="S204" i="10"/>
  <c r="S203" i="10"/>
  <c r="S202" i="10"/>
  <c r="S201" i="10"/>
  <c r="S196" i="10"/>
  <c r="E196" i="1" s="1"/>
  <c r="S195" i="10"/>
  <c r="S194" i="10"/>
  <c r="S193" i="10"/>
  <c r="S192" i="10"/>
  <c r="S191" i="10"/>
  <c r="S190" i="10"/>
  <c r="S189" i="10"/>
  <c r="S184" i="10"/>
  <c r="S183" i="10"/>
  <c r="S182" i="10"/>
  <c r="S181" i="10"/>
  <c r="S180" i="10"/>
  <c r="S179" i="10"/>
  <c r="S178" i="10"/>
  <c r="S177" i="10"/>
  <c r="S166" i="10"/>
  <c r="S165" i="10"/>
  <c r="S144" i="10"/>
  <c r="S143" i="10"/>
  <c r="S142" i="10"/>
  <c r="S141" i="10"/>
  <c r="S136" i="10"/>
  <c r="S135" i="10"/>
  <c r="S134" i="10"/>
  <c r="S133" i="10"/>
  <c r="S132" i="10"/>
  <c r="S131" i="10"/>
  <c r="S130" i="10"/>
  <c r="S129" i="10"/>
  <c r="S120" i="10"/>
  <c r="S119" i="10"/>
  <c r="S118" i="10"/>
  <c r="S117" i="10"/>
  <c r="S107" i="10"/>
  <c r="S106" i="10"/>
  <c r="S105" i="10"/>
  <c r="S100" i="10"/>
  <c r="S99" i="10"/>
  <c r="S98" i="10"/>
  <c r="S97" i="10"/>
  <c r="S96" i="10"/>
  <c r="S95" i="10"/>
  <c r="S94" i="10"/>
  <c r="S93" i="10"/>
  <c r="S88" i="10"/>
  <c r="S87" i="10"/>
  <c r="S86" i="10"/>
  <c r="S85" i="10"/>
  <c r="S84" i="10"/>
  <c r="S83" i="10"/>
  <c r="S82" i="10"/>
  <c r="S81" i="10"/>
  <c r="S76" i="10"/>
  <c r="S75" i="10"/>
  <c r="S74" i="10"/>
  <c r="S73" i="10"/>
  <c r="S72" i="10"/>
  <c r="S71" i="10"/>
  <c r="S70" i="10"/>
  <c r="S69" i="10"/>
  <c r="S64" i="10"/>
  <c r="S63" i="10"/>
  <c r="S62" i="10"/>
  <c r="S61" i="10"/>
  <c r="S60" i="10"/>
  <c r="S59" i="10"/>
  <c r="S58" i="10"/>
  <c r="S57" i="10"/>
  <c r="S52" i="10"/>
  <c r="S51" i="10"/>
  <c r="S50" i="10"/>
  <c r="S49" i="10"/>
  <c r="S48" i="10"/>
  <c r="S47" i="10"/>
  <c r="S46" i="10"/>
  <c r="S45" i="10"/>
  <c r="R41" i="10"/>
  <c r="O41" i="10"/>
  <c r="N41" i="10"/>
  <c r="M41" i="10"/>
  <c r="L41" i="10"/>
  <c r="E41" i="10"/>
  <c r="S40" i="10"/>
  <c r="S39" i="10"/>
  <c r="R36" i="10"/>
  <c r="O36" i="10"/>
  <c r="N36" i="10"/>
  <c r="M36" i="10"/>
  <c r="L36" i="10"/>
  <c r="E36" i="10"/>
  <c r="S35" i="10"/>
  <c r="S34" i="10"/>
  <c r="S33" i="10"/>
  <c r="R29" i="10"/>
  <c r="O29" i="10"/>
  <c r="N29" i="10"/>
  <c r="M29" i="10"/>
  <c r="L29" i="10"/>
  <c r="E29" i="10"/>
  <c r="R28" i="10"/>
  <c r="O28" i="10"/>
  <c r="N28" i="10"/>
  <c r="M28" i="10"/>
  <c r="L28" i="10"/>
  <c r="E28" i="10"/>
  <c r="R27" i="10"/>
  <c r="O27" i="10"/>
  <c r="N27" i="10"/>
  <c r="M27" i="10"/>
  <c r="L27" i="10"/>
  <c r="E27" i="10"/>
  <c r="S26" i="10"/>
  <c r="S25" i="10"/>
  <c r="R24" i="10"/>
  <c r="O24" i="10"/>
  <c r="N24" i="10"/>
  <c r="M24" i="10"/>
  <c r="L24" i="10"/>
  <c r="E24" i="10"/>
  <c r="S23" i="10"/>
  <c r="S22" i="10"/>
  <c r="R21" i="10"/>
  <c r="O21" i="10"/>
  <c r="N21" i="10"/>
  <c r="M21" i="10"/>
  <c r="L21" i="10"/>
  <c r="E21" i="10"/>
  <c r="S20" i="10"/>
  <c r="S19" i="10"/>
  <c r="R16" i="10"/>
  <c r="O16" i="10"/>
  <c r="N16" i="10"/>
  <c r="M16" i="10"/>
  <c r="L16" i="10"/>
  <c r="E16" i="10"/>
  <c r="S15" i="10"/>
  <c r="S14" i="10"/>
  <c r="V263" i="9"/>
  <c r="V252" i="9"/>
  <c r="V251" i="9"/>
  <c r="V250" i="9"/>
  <c r="V249" i="9"/>
  <c r="V244" i="9"/>
  <c r="E244" i="1" s="1"/>
  <c r="V243" i="9"/>
  <c r="V242" i="9"/>
  <c r="V241" i="9"/>
  <c r="V240" i="9"/>
  <c r="V239" i="9"/>
  <c r="V238" i="9"/>
  <c r="V237" i="9"/>
  <c r="V229" i="9"/>
  <c r="E229" i="1" s="1"/>
  <c r="V228" i="9"/>
  <c r="E228" i="1" s="1"/>
  <c r="V227" i="9"/>
  <c r="V226" i="9"/>
  <c r="V225" i="9"/>
  <c r="V216" i="9"/>
  <c r="E216" i="1" s="1"/>
  <c r="V215" i="9"/>
  <c r="V214" i="9"/>
  <c r="V213" i="9"/>
  <c r="V208" i="9"/>
  <c r="E208" i="1" s="1"/>
  <c r="V207" i="9"/>
  <c r="V206" i="9"/>
  <c r="V205" i="9"/>
  <c r="V204" i="9"/>
  <c r="V203" i="9"/>
  <c r="V202" i="9"/>
  <c r="V201" i="9"/>
  <c r="V196" i="9"/>
  <c r="V195" i="9"/>
  <c r="V194" i="9"/>
  <c r="V193" i="9"/>
  <c r="V192" i="9"/>
  <c r="V191" i="9"/>
  <c r="V190" i="9"/>
  <c r="V189" i="9"/>
  <c r="V184" i="9"/>
  <c r="V183" i="9"/>
  <c r="E183" i="1" s="1"/>
  <c r="V182" i="9"/>
  <c r="V181" i="9"/>
  <c r="V180" i="9"/>
  <c r="V179" i="9"/>
  <c r="V178" i="9"/>
  <c r="V177" i="9"/>
  <c r="V166" i="9"/>
  <c r="E166" i="1" s="1"/>
  <c r="V165" i="9"/>
  <c r="V144" i="9"/>
  <c r="E144" i="1" s="1"/>
  <c r="V143" i="9"/>
  <c r="E143" i="1" s="1"/>
  <c r="V142" i="9"/>
  <c r="V141" i="9"/>
  <c r="V136" i="9"/>
  <c r="V135" i="9"/>
  <c r="V134" i="9"/>
  <c r="V133" i="9"/>
  <c r="V132" i="9"/>
  <c r="V131" i="9"/>
  <c r="V130" i="9"/>
  <c r="V129" i="9"/>
  <c r="V120" i="9"/>
  <c r="V119" i="9"/>
  <c r="V118" i="9"/>
  <c r="V117" i="9"/>
  <c r="V107" i="9"/>
  <c r="E107" i="1" s="1"/>
  <c r="V106" i="9"/>
  <c r="E106" i="1" s="1"/>
  <c r="V105" i="9"/>
  <c r="V100" i="9"/>
  <c r="V99" i="9"/>
  <c r="V98" i="9"/>
  <c r="V97" i="9"/>
  <c r="V96" i="9"/>
  <c r="V95" i="9"/>
  <c r="V94" i="9"/>
  <c r="V93" i="9"/>
  <c r="V88" i="9"/>
  <c r="V87" i="9"/>
  <c r="V86" i="9"/>
  <c r="V85" i="9"/>
  <c r="V84" i="9"/>
  <c r="V83" i="9"/>
  <c r="V82" i="9"/>
  <c r="V81" i="9"/>
  <c r="V76" i="9"/>
  <c r="V75" i="9"/>
  <c r="V74" i="9"/>
  <c r="V73" i="9"/>
  <c r="V72" i="9"/>
  <c r="V71" i="9"/>
  <c r="V70" i="9"/>
  <c r="V69" i="9"/>
  <c r="V64" i="9"/>
  <c r="V63" i="9"/>
  <c r="V62" i="9"/>
  <c r="V61" i="9"/>
  <c r="V60" i="9"/>
  <c r="V59" i="9"/>
  <c r="V58" i="9"/>
  <c r="V57" i="9"/>
  <c r="V52" i="9"/>
  <c r="V51" i="9"/>
  <c r="V50" i="9"/>
  <c r="V49" i="9"/>
  <c r="V48" i="9"/>
  <c r="V47" i="9"/>
  <c r="V46" i="9"/>
  <c r="V45" i="9"/>
  <c r="O41" i="9"/>
  <c r="E41" i="9"/>
  <c r="V40" i="9"/>
  <c r="V39" i="9"/>
  <c r="O36" i="9"/>
  <c r="E36" i="9"/>
  <c r="V35" i="9"/>
  <c r="V34" i="9"/>
  <c r="V33" i="9"/>
  <c r="O29" i="9"/>
  <c r="E29" i="9"/>
  <c r="O28" i="9"/>
  <c r="E28" i="9"/>
  <c r="E30" i="9" s="1"/>
  <c r="O27" i="9"/>
  <c r="E27" i="9"/>
  <c r="V26" i="9"/>
  <c r="V25" i="9"/>
  <c r="O24" i="9"/>
  <c r="E24" i="9"/>
  <c r="V23" i="9"/>
  <c r="V22" i="9"/>
  <c r="O21" i="9"/>
  <c r="E21" i="9"/>
  <c r="V20" i="9"/>
  <c r="V19" i="9"/>
  <c r="O16" i="9"/>
  <c r="E16" i="9"/>
  <c r="V15" i="9"/>
  <c r="V14" i="9"/>
  <c r="H262" i="3"/>
  <c r="H264" i="3" s="1"/>
  <c r="F41" i="3"/>
  <c r="G41" i="3"/>
  <c r="H41" i="3"/>
  <c r="I41" i="3"/>
  <c r="J41" i="3"/>
  <c r="K41" i="3"/>
  <c r="L41" i="3"/>
  <c r="M41" i="3"/>
  <c r="N41" i="3"/>
  <c r="O41" i="3"/>
  <c r="P41" i="3"/>
  <c r="F36" i="3"/>
  <c r="G36" i="3"/>
  <c r="H36" i="3"/>
  <c r="I36" i="3"/>
  <c r="J36" i="3"/>
  <c r="K36" i="3"/>
  <c r="L36" i="3"/>
  <c r="M36" i="3"/>
  <c r="N36" i="3"/>
  <c r="O36" i="3"/>
  <c r="P36" i="3"/>
  <c r="F27" i="3"/>
  <c r="G27" i="3"/>
  <c r="H27" i="3"/>
  <c r="I27" i="3"/>
  <c r="J27" i="3"/>
  <c r="K27" i="3"/>
  <c r="L27" i="3"/>
  <c r="M27" i="3"/>
  <c r="N27" i="3"/>
  <c r="O27" i="3"/>
  <c r="P27" i="3"/>
  <c r="F28" i="3"/>
  <c r="G28" i="3"/>
  <c r="H28" i="3"/>
  <c r="I28" i="3"/>
  <c r="J28" i="3"/>
  <c r="K28" i="3"/>
  <c r="L28" i="3"/>
  <c r="M28" i="3"/>
  <c r="N28" i="3"/>
  <c r="O28" i="3"/>
  <c r="P28" i="3"/>
  <c r="F29" i="3"/>
  <c r="G29" i="3"/>
  <c r="H29" i="3"/>
  <c r="I29" i="3"/>
  <c r="J29" i="3"/>
  <c r="K29" i="3"/>
  <c r="L29" i="3"/>
  <c r="M29" i="3"/>
  <c r="N29" i="3"/>
  <c r="O29" i="3"/>
  <c r="P29" i="3"/>
  <c r="F24" i="3"/>
  <c r="G24" i="3"/>
  <c r="H24" i="3"/>
  <c r="I24" i="3"/>
  <c r="J24" i="3"/>
  <c r="K24" i="3"/>
  <c r="L24" i="3"/>
  <c r="M24" i="3"/>
  <c r="N24" i="3"/>
  <c r="O24" i="3"/>
  <c r="P24" i="3"/>
  <c r="F21" i="3"/>
  <c r="G21" i="3"/>
  <c r="H21" i="3"/>
  <c r="I21" i="3"/>
  <c r="J21" i="3"/>
  <c r="K21" i="3"/>
  <c r="L21" i="3"/>
  <c r="M21" i="3"/>
  <c r="N21" i="3"/>
  <c r="O21" i="3"/>
  <c r="P21" i="3"/>
  <c r="F16" i="3"/>
  <c r="G16" i="3"/>
  <c r="H16" i="3"/>
  <c r="I16" i="3"/>
  <c r="J16" i="3"/>
  <c r="K16" i="3"/>
  <c r="L16" i="3"/>
  <c r="M16" i="3"/>
  <c r="N16" i="3"/>
  <c r="O16" i="3"/>
  <c r="P16" i="3"/>
  <c r="Q263" i="3"/>
  <c r="Q251" i="3"/>
  <c r="E251" i="1" s="1"/>
  <c r="Q250" i="3"/>
  <c r="Q249" i="3"/>
  <c r="Q243" i="3"/>
  <c r="Q242" i="3"/>
  <c r="Q241" i="3"/>
  <c r="Q240" i="3"/>
  <c r="Q239" i="3"/>
  <c r="Q238" i="3"/>
  <c r="Q237" i="3"/>
  <c r="Q227" i="3"/>
  <c r="Q226" i="3"/>
  <c r="Q225" i="3"/>
  <c r="Q215" i="3"/>
  <c r="Q214" i="3"/>
  <c r="Q213" i="3"/>
  <c r="Q207" i="3"/>
  <c r="Q206" i="3"/>
  <c r="Q205" i="3"/>
  <c r="Q204" i="3"/>
  <c r="Q203" i="3"/>
  <c r="Q202" i="3"/>
  <c r="Q201" i="3"/>
  <c r="Q195" i="3"/>
  <c r="Q194" i="3"/>
  <c r="Q193" i="3"/>
  <c r="Q192" i="3"/>
  <c r="Q191" i="3"/>
  <c r="Q190" i="3"/>
  <c r="Q189" i="3"/>
  <c r="Q183" i="3"/>
  <c r="Q182" i="3"/>
  <c r="Q181" i="3"/>
  <c r="Q180" i="3"/>
  <c r="Q179" i="3"/>
  <c r="Q178" i="3"/>
  <c r="Q177" i="3"/>
  <c r="Q166" i="3"/>
  <c r="Q165" i="3"/>
  <c r="Q142" i="3"/>
  <c r="Q141" i="3"/>
  <c r="Q136" i="3"/>
  <c r="Q135" i="3"/>
  <c r="Q134" i="3"/>
  <c r="Q133" i="3"/>
  <c r="Q132" i="3"/>
  <c r="Q131" i="3"/>
  <c r="Q130" i="3"/>
  <c r="Q129" i="3"/>
  <c r="Q120" i="3"/>
  <c r="Q119" i="3"/>
  <c r="Q118" i="3"/>
  <c r="Q117" i="3"/>
  <c r="Q106" i="3"/>
  <c r="Q105" i="3"/>
  <c r="Q100" i="3"/>
  <c r="Q99" i="3"/>
  <c r="Q98" i="3"/>
  <c r="Q97" i="3"/>
  <c r="Q96" i="3"/>
  <c r="Q95" i="3"/>
  <c r="Q94" i="3"/>
  <c r="Q93" i="3"/>
  <c r="Q88" i="3"/>
  <c r="Q87" i="3"/>
  <c r="Q86" i="3"/>
  <c r="Q85" i="3"/>
  <c r="Q84" i="3"/>
  <c r="Q83" i="3"/>
  <c r="Q82" i="3"/>
  <c r="Q81" i="3"/>
  <c r="Q76" i="3"/>
  <c r="Q75" i="3"/>
  <c r="Q74" i="3"/>
  <c r="Q73" i="3"/>
  <c r="Q72" i="3"/>
  <c r="Q71" i="3"/>
  <c r="Q70" i="3"/>
  <c r="Q69" i="3"/>
  <c r="Q64" i="3"/>
  <c r="Q63" i="3"/>
  <c r="Q62" i="3"/>
  <c r="Q61" i="3"/>
  <c r="Q60" i="3"/>
  <c r="Q59" i="3"/>
  <c r="Q58" i="3"/>
  <c r="Q57" i="3"/>
  <c r="Q52" i="3"/>
  <c r="Q51" i="3"/>
  <c r="Q50" i="3"/>
  <c r="Q49" i="3"/>
  <c r="Q48" i="3"/>
  <c r="Q47" i="3"/>
  <c r="Q46" i="3"/>
  <c r="Q45" i="3"/>
  <c r="E41" i="3"/>
  <c r="Q40" i="3"/>
  <c r="Q39" i="3"/>
  <c r="E36" i="3"/>
  <c r="Q35" i="3"/>
  <c r="Q34" i="3"/>
  <c r="Q33" i="3"/>
  <c r="E29" i="3"/>
  <c r="E28" i="3"/>
  <c r="E27" i="3"/>
  <c r="Q26" i="3"/>
  <c r="Q25" i="3"/>
  <c r="E24" i="3"/>
  <c r="Q23" i="3"/>
  <c r="Q22" i="3"/>
  <c r="E21" i="3"/>
  <c r="Q20" i="3"/>
  <c r="Q19" i="3"/>
  <c r="E16" i="3"/>
  <c r="Q15" i="3"/>
  <c r="Q14" i="3"/>
  <c r="T235" i="11" l="1"/>
  <c r="E184" i="1"/>
  <c r="T151" i="11"/>
  <c r="E136" i="1"/>
  <c r="T139" i="11"/>
  <c r="E59" i="1"/>
  <c r="T55" i="11"/>
  <c r="I30" i="11"/>
  <c r="J30" i="11"/>
  <c r="E215" i="1"/>
  <c r="E182" i="1"/>
  <c r="E134" i="1"/>
  <c r="E135" i="1"/>
  <c r="E99" i="1"/>
  <c r="E100" i="1"/>
  <c r="E87" i="1"/>
  <c r="E88" i="1"/>
  <c r="E76" i="1"/>
  <c r="E64" i="1"/>
  <c r="E58" i="1"/>
  <c r="E52" i="1"/>
  <c r="E33" i="1"/>
  <c r="E26" i="1"/>
  <c r="E14" i="1"/>
  <c r="E238" i="1"/>
  <c r="R30" i="10"/>
  <c r="E94" i="1"/>
  <c r="E193" i="1"/>
  <c r="E60" i="1"/>
  <c r="E239" i="1"/>
  <c r="E192" i="1"/>
  <c r="E191" i="1"/>
  <c r="E204" i="1"/>
  <c r="E190" i="1"/>
  <c r="E71" i="1"/>
  <c r="E156" i="1"/>
  <c r="E72" i="1"/>
  <c r="E205" i="1"/>
  <c r="E23" i="1"/>
  <c r="T127" i="11"/>
  <c r="T187" i="11"/>
  <c r="T223" i="11"/>
  <c r="T91" i="11"/>
  <c r="T67" i="11"/>
  <c r="E47" i="1"/>
  <c r="E120" i="1"/>
  <c r="E48" i="1"/>
  <c r="E129" i="1"/>
  <c r="E181" i="1"/>
  <c r="E180" i="1"/>
  <c r="E82" i="1"/>
  <c r="E49" i="1"/>
  <c r="E83" i="1"/>
  <c r="E130" i="1"/>
  <c r="E214" i="1"/>
  <c r="E25" i="1"/>
  <c r="E50" i="1"/>
  <c r="E84" i="1"/>
  <c r="E131" i="1"/>
  <c r="E225" i="1"/>
  <c r="S199" i="10"/>
  <c r="S67" i="10"/>
  <c r="S247" i="10"/>
  <c r="E51" i="1"/>
  <c r="E85" i="1"/>
  <c r="E132" i="1"/>
  <c r="E226" i="1"/>
  <c r="S103" i="10"/>
  <c r="E86" i="1"/>
  <c r="E133" i="1"/>
  <c r="E227" i="1"/>
  <c r="S151" i="10"/>
  <c r="E62" i="1"/>
  <c r="E96" i="1"/>
  <c r="E195" i="1"/>
  <c r="E240" i="1"/>
  <c r="S259" i="10"/>
  <c r="E34" i="1"/>
  <c r="E63" i="1"/>
  <c r="E97" i="1"/>
  <c r="E241" i="1"/>
  <c r="S115" i="10"/>
  <c r="E35" i="1"/>
  <c r="E98" i="1"/>
  <c r="E153" i="1"/>
  <c r="E201" i="1"/>
  <c r="E242" i="1"/>
  <c r="S175" i="10"/>
  <c r="E155" i="1"/>
  <c r="E203" i="1"/>
  <c r="S127" i="10"/>
  <c r="E61" i="1"/>
  <c r="E194" i="1"/>
  <c r="E202" i="1"/>
  <c r="E95" i="1"/>
  <c r="E15" i="1"/>
  <c r="E154" i="1"/>
  <c r="E39" i="1"/>
  <c r="E40" i="1"/>
  <c r="E250" i="1"/>
  <c r="E20" i="1"/>
  <c r="E73" i="1"/>
  <c r="E206" i="1"/>
  <c r="E142" i="1"/>
  <c r="E69" i="1"/>
  <c r="E243" i="1"/>
  <c r="E70" i="1"/>
  <c r="E19" i="1"/>
  <c r="E74" i="1"/>
  <c r="E207" i="1"/>
  <c r="E75" i="1"/>
  <c r="E118" i="1"/>
  <c r="E178" i="1"/>
  <c r="E263" i="1"/>
  <c r="E22" i="1"/>
  <c r="E46" i="1"/>
  <c r="E119" i="1"/>
  <c r="E179" i="1"/>
  <c r="V127" i="9"/>
  <c r="E117" i="1"/>
  <c r="V259" i="9"/>
  <c r="E249" i="1"/>
  <c r="V67" i="9"/>
  <c r="E57" i="1"/>
  <c r="V199" i="9"/>
  <c r="E189" i="1"/>
  <c r="V103" i="9"/>
  <c r="E93" i="1"/>
  <c r="V151" i="9"/>
  <c r="E141" i="1"/>
  <c r="V175" i="9"/>
  <c r="E165" i="1"/>
  <c r="E175" i="1" s="1"/>
  <c r="V223" i="9"/>
  <c r="E213" i="1"/>
  <c r="V247" i="9"/>
  <c r="E237" i="1"/>
  <c r="V115" i="9"/>
  <c r="E105" i="1"/>
  <c r="E115" i="1" s="1"/>
  <c r="V187" i="9"/>
  <c r="E177" i="1"/>
  <c r="V55" i="9"/>
  <c r="E45" i="1"/>
  <c r="V91" i="9"/>
  <c r="E81" i="1"/>
  <c r="V139" i="9"/>
  <c r="V235" i="9"/>
  <c r="V211" i="9"/>
  <c r="V79" i="9"/>
  <c r="S211" i="10"/>
  <c r="S79" i="10"/>
  <c r="S223" i="10"/>
  <c r="S55" i="10"/>
  <c r="S139" i="10"/>
  <c r="S187" i="10"/>
  <c r="S91" i="10"/>
  <c r="S235" i="10"/>
  <c r="T199" i="11"/>
  <c r="T247" i="11"/>
  <c r="T79" i="11"/>
  <c r="T115" i="11"/>
  <c r="T211" i="11"/>
  <c r="E30" i="11"/>
  <c r="T175" i="11"/>
  <c r="Q247" i="3"/>
  <c r="Q139" i="3"/>
  <c r="Q187" i="3"/>
  <c r="Q91" i="3"/>
  <c r="Q199" i="3"/>
  <c r="Q223" i="3"/>
  <c r="Q127" i="3"/>
  <c r="Q235" i="3"/>
  <c r="Q55" i="3"/>
  <c r="Q67" i="3"/>
  <c r="Q259" i="3"/>
  <c r="Q103" i="3"/>
  <c r="Q151" i="3"/>
  <c r="Q211" i="3"/>
  <c r="P30" i="3"/>
  <c r="Q115" i="3"/>
  <c r="M30" i="3"/>
  <c r="L30" i="3"/>
  <c r="Q79" i="3"/>
  <c r="Q175" i="3"/>
  <c r="L262" i="3"/>
  <c r="L264" i="3" s="1"/>
  <c r="K262" i="3"/>
  <c r="K264" i="3" s="1"/>
  <c r="O262" i="3"/>
  <c r="O264" i="3" s="1"/>
  <c r="N30" i="3"/>
  <c r="F262" i="3"/>
  <c r="F264" i="3" s="1"/>
  <c r="P262" i="3"/>
  <c r="P264" i="3" s="1"/>
  <c r="E262" i="3"/>
  <c r="E264" i="3" s="1"/>
  <c r="M262" i="3"/>
  <c r="M264" i="3" s="1"/>
  <c r="J262" i="3"/>
  <c r="J264" i="3" s="1"/>
  <c r="N262" i="3"/>
  <c r="N264" i="3" s="1"/>
  <c r="I30" i="3"/>
  <c r="G262" i="3"/>
  <c r="G264" i="3" s="1"/>
  <c r="K30" i="3"/>
  <c r="J30" i="3"/>
  <c r="I262" i="3"/>
  <c r="I264" i="3" s="1"/>
  <c r="M30" i="11"/>
  <c r="O30" i="11"/>
  <c r="O30" i="9"/>
  <c r="G30" i="3"/>
  <c r="O30" i="3"/>
  <c r="H30" i="3"/>
  <c r="F30" i="3"/>
  <c r="I262" i="11"/>
  <c r="I264" i="11" s="1"/>
  <c r="G30" i="11"/>
  <c r="H30" i="11"/>
  <c r="F30" i="11"/>
  <c r="E30" i="10"/>
  <c r="L30" i="10"/>
  <c r="O30" i="10"/>
  <c r="L262" i="10"/>
  <c r="L264" i="10" s="1"/>
  <c r="O262" i="9"/>
  <c r="O264" i="9" s="1"/>
  <c r="V21" i="9"/>
  <c r="H262" i="11"/>
  <c r="H264" i="11" s="1"/>
  <c r="T21" i="11"/>
  <c r="K262" i="11"/>
  <c r="K264" i="11" s="1"/>
  <c r="T24" i="11"/>
  <c r="T28" i="11"/>
  <c r="L262" i="11"/>
  <c r="L264" i="11" s="1"/>
  <c r="O262" i="11"/>
  <c r="O264" i="11" s="1"/>
  <c r="E262" i="11"/>
  <c r="E264" i="11" s="1"/>
  <c r="T16" i="11"/>
  <c r="T29" i="11"/>
  <c r="L30" i="11"/>
  <c r="T36" i="11"/>
  <c r="N30" i="11"/>
  <c r="T41" i="11"/>
  <c r="T27" i="11"/>
  <c r="N262" i="11"/>
  <c r="N264" i="11" s="1"/>
  <c r="M262" i="11"/>
  <c r="M264" i="11" s="1"/>
  <c r="G262" i="11"/>
  <c r="G264" i="11" s="1"/>
  <c r="T163" i="11"/>
  <c r="K30" i="11"/>
  <c r="J262" i="11"/>
  <c r="J264" i="11" s="1"/>
  <c r="F262" i="11"/>
  <c r="F264" i="11" s="1"/>
  <c r="O262" i="10"/>
  <c r="O264" i="10" s="1"/>
  <c r="N262" i="10"/>
  <c r="N264" i="10" s="1"/>
  <c r="S28" i="10"/>
  <c r="M262" i="10"/>
  <c r="M264" i="10" s="1"/>
  <c r="S27" i="10"/>
  <c r="S29" i="10"/>
  <c r="R262" i="10"/>
  <c r="R264" i="10" s="1"/>
  <c r="S163" i="10"/>
  <c r="S36" i="10"/>
  <c r="S16" i="10"/>
  <c r="M30" i="10"/>
  <c r="S21" i="10"/>
  <c r="S24" i="10"/>
  <c r="S41" i="10"/>
  <c r="N30" i="10"/>
  <c r="E262" i="10"/>
  <c r="V36" i="9"/>
  <c r="V29" i="9"/>
  <c r="V24" i="9"/>
  <c r="V41" i="9"/>
  <c r="V27" i="9"/>
  <c r="V16" i="9"/>
  <c r="E262" i="9"/>
  <c r="V28" i="9"/>
  <c r="E30" i="3"/>
  <c r="Q21" i="3"/>
  <c r="Q27" i="3"/>
  <c r="Q24" i="3"/>
  <c r="Q41" i="3"/>
  <c r="Q16" i="3"/>
  <c r="Q36" i="3"/>
  <c r="Q29" i="3"/>
  <c r="Q163" i="3"/>
  <c r="Q28" i="3"/>
  <c r="E139" i="1" l="1"/>
  <c r="E211" i="1"/>
  <c r="E79" i="1"/>
  <c r="E127" i="1"/>
  <c r="E91" i="1"/>
  <c r="E67" i="1"/>
  <c r="E187" i="1"/>
  <c r="E55" i="1"/>
  <c r="E199" i="1"/>
  <c r="E223" i="1"/>
  <c r="E235" i="1"/>
  <c r="E259" i="1"/>
  <c r="E151" i="1"/>
  <c r="E247" i="1"/>
  <c r="E103" i="1"/>
  <c r="E157" i="1"/>
  <c r="E163" i="1" s="1"/>
  <c r="V163" i="9"/>
  <c r="Q264" i="3"/>
  <c r="Q262" i="3"/>
  <c r="V30" i="9"/>
  <c r="T30" i="11"/>
  <c r="T262" i="11"/>
  <c r="T264" i="11"/>
  <c r="S30" i="10"/>
  <c r="S262" i="10"/>
  <c r="E264" i="10"/>
  <c r="S264" i="10" s="1"/>
  <c r="V262" i="9"/>
  <c r="E264" i="9"/>
  <c r="V264" i="9" s="1"/>
  <c r="Q30" i="3"/>
  <c r="E262" i="1" l="1"/>
  <c r="E264" i="1" s="1"/>
  <c r="E28" i="1"/>
  <c r="E41" i="1" l="1"/>
  <c r="E29" i="1"/>
  <c r="E27" i="1"/>
  <c r="E24" i="1"/>
  <c r="E21" i="1"/>
  <c r="E16" i="1"/>
  <c r="E30" i="1" l="1"/>
  <c r="E36" i="1" s="1"/>
</calcChain>
</file>

<file path=xl/sharedStrings.xml><?xml version="1.0" encoding="utf-8"?>
<sst xmlns="http://schemas.openxmlformats.org/spreadsheetml/2006/main" count="3616" uniqueCount="233">
  <si>
    <t>I</t>
  </si>
  <si>
    <t>DATA PEMILIH DAN PENGGUNAAN HAK PILIH</t>
  </si>
  <si>
    <t>A</t>
  </si>
  <si>
    <t xml:space="preserve">DATA PEMILIH  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</si>
  <si>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</si>
  <si>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</si>
  <si>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</si>
  <si>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</si>
  <si>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</si>
  <si>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</si>
  <si>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</si>
  <si>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</si>
  <si>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</si>
  <si>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</si>
  <si>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</si>
  <si>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</si>
  <si>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</si>
  <si>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</si>
  <si>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</si>
  <si>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</si>
  <si>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</si>
  <si>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</si>
  <si>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</si>
  <si>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</si>
  <si>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</si>
  <si>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</si>
  <si>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</si>
  <si>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</si>
  <si>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</si>
  <si>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</si>
  <si>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</si>
  <si>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</si>
  <si>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</si>
  <si>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</si>
  <si>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</si>
  <si>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</si>
  <si>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</si>
  <si>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</si>
  <si>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</si>
  <si>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</si>
  <si>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</si>
  <si>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</si>
  <si>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</si>
  <si>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</si>
  <si>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</si>
  <si>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</si>
  <si>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</si>
  <si>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</si>
  <si>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</si>
  <si>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</si>
  <si>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</si>
  <si>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JUMLAH SUARA SAH PARTAI POLITIK DAN CALON (A1 + A2)</t>
  </si>
  <si>
    <t>Partai Gerakan Indonesia Raya</t>
  </si>
  <si>
    <t>Partai Demokrasi Indonesia Perjuangan</t>
  </si>
  <si>
    <t>Partai Golongan Karya</t>
  </si>
  <si>
    <t>5.</t>
  </si>
  <si>
    <t>Partai NasDem</t>
  </si>
  <si>
    <t>6.</t>
  </si>
  <si>
    <t>Partai Buruh</t>
  </si>
  <si>
    <t>7.</t>
  </si>
  <si>
    <t>Partai Gelombang Rakyat Indonesia</t>
  </si>
  <si>
    <t>8.</t>
  </si>
  <si>
    <t>Partai Keadilan Sejahtera</t>
  </si>
  <si>
    <t>9.</t>
  </si>
  <si>
    <t>Partai Kebangkitan Nusantara</t>
  </si>
  <si>
    <t>10.</t>
  </si>
  <si>
    <t>Partai Hati Nurani Rakyat</t>
  </si>
  <si>
    <t>11.</t>
  </si>
  <si>
    <t>Partai Garda Republik Indonesia</t>
  </si>
  <si>
    <t>12.</t>
  </si>
  <si>
    <t>Partai Amanat Nasional</t>
  </si>
  <si>
    <t>13.</t>
  </si>
  <si>
    <t>Partai Bulan Bintang</t>
  </si>
  <si>
    <t>14.</t>
  </si>
  <si>
    <t>Partai Demokrat</t>
  </si>
  <si>
    <t>15.</t>
  </si>
  <si>
    <t>Partai Solidaritas Indonesia</t>
  </si>
  <si>
    <t>16.</t>
  </si>
  <si>
    <t>PARTAI PERINDO</t>
  </si>
  <si>
    <t>17.</t>
  </si>
  <si>
    <t>Partai Persatuan Pembangunan</t>
  </si>
  <si>
    <t>18.</t>
  </si>
  <si>
    <t>Partai Ummat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</si>
  <si>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</si>
  <si>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</si>
  <si>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</si>
  <si>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</si>
  <si>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</si>
  <si>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</si>
  <si>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</si>
  <si>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</si>
  <si>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TPS 019</t>
  </si>
  <si>
    <t>TPS 020</t>
  </si>
  <si>
    <t>TPS 021</t>
  </si>
  <si>
    <t>TPS 022</t>
  </si>
  <si>
    <t>TPS 023</t>
  </si>
  <si>
    <t>TPS 024</t>
  </si>
  <si>
    <t>JUMLAH AKHIR</t>
  </si>
  <si>
    <t>Kecamatan</t>
  </si>
  <si>
    <t>Kabupaten</t>
  </si>
  <si>
    <t>BANYUWANGI</t>
  </si>
  <si>
    <t>Provinsi</t>
  </si>
  <si>
    <t>JAWA TIMUR</t>
  </si>
  <si>
    <t>Kelurahan</t>
  </si>
  <si>
    <t>SINGOJURUH</t>
  </si>
  <si>
    <t>ALASMALANG</t>
  </si>
  <si>
    <t>BENELAN KIDUL</t>
  </si>
  <si>
    <t>CANTUK</t>
  </si>
  <si>
    <t>GAMBOR</t>
  </si>
  <si>
    <t>GUMIRIH</t>
  </si>
  <si>
    <t>KEMIRI</t>
  </si>
  <si>
    <t>LEMAHBANGKULON</t>
  </si>
  <si>
    <t>PADANG</t>
  </si>
  <si>
    <t>SINGOLATREN</t>
  </si>
  <si>
    <t>SUMBERBARU</t>
  </si>
  <si>
    <t>1. Dra. Hj. MA`MULAH HARUN, M.Pd.I.</t>
  </si>
  <si>
    <t>2. UBAIDILLAH, S.Fil.I.</t>
  </si>
  <si>
    <t>3. Ir. H. YOYOK MULYADI, M.Si.</t>
  </si>
  <si>
    <t>4. KHOIRUL ANWAR, S.Fil.I.</t>
  </si>
  <si>
    <t>5. ARIF WIJAKSANA</t>
  </si>
  <si>
    <t>6. Dr. SITI YUMNAH</t>
  </si>
  <si>
    <t>7. MOHAMMAD ZAINI, M.Pd.I.</t>
  </si>
  <si>
    <t>8. FAWAIDUL MAKKIYAH</t>
  </si>
  <si>
    <t>9. IFFAH HIDAYATUR ROHMAH, S.Sos.</t>
  </si>
  <si>
    <t>1. AHMAD HADINUDDIN, S.Pd.I.</t>
  </si>
  <si>
    <t>2. BIMA RAFSANJANI RAFID</t>
  </si>
  <si>
    <t>3. IRA DAMAYANTI</t>
  </si>
  <si>
    <t>4. MAULANA MALIK IBRAHIM, S.H.</t>
  </si>
  <si>
    <t>5. LULUK ALFIATI</t>
  </si>
  <si>
    <t>6. ILHAM WAHYUDI, S.H.</t>
  </si>
  <si>
    <t>7. HAERUL ANWAR, S.Pd.I.</t>
  </si>
  <si>
    <t>8. YOVI ADHITYA WARDANI</t>
  </si>
  <si>
    <t>9. RITA AMELIA</t>
  </si>
  <si>
    <t>1. MARTIN H., S.H., M.H.</t>
  </si>
  <si>
    <t>2. HERMANTO, S.E.</t>
  </si>
  <si>
    <t>3. EVY SUSILAWATI, S.E., M.M.</t>
  </si>
  <si>
    <t>4. M. SIROTTUDIN</t>
  </si>
  <si>
    <t>5. ABDUL HAFID, S.H.</t>
  </si>
  <si>
    <t>6. NIKITA FORTUNA SURYANINGATI, A.Md.Keb.</t>
  </si>
  <si>
    <t>7. YUDHO ILHAM WIJAYA, S.E.</t>
  </si>
  <si>
    <t>8. SETIAWATI, S.H.</t>
  </si>
  <si>
    <t>9. EKO BUDI SANTOSO, S.H.</t>
  </si>
  <si>
    <t>1. PRANAYA YUDHA MAHARDHIKA</t>
  </si>
  <si>
    <t>2. Dra. Ec. ENDANG SULASTUTY, M.I.P.</t>
  </si>
  <si>
    <t>3. AGUS REJEKI WARTONO</t>
  </si>
  <si>
    <t>4. Hj. TUTUK ASMA'A ZUCHROH, S.T., M.T.</t>
  </si>
  <si>
    <t>5. ADE M. RIZKI, S.E.</t>
  </si>
  <si>
    <t>6. ABDURAKHMAN, Bc.Kn.</t>
  </si>
  <si>
    <t>7. CENDY RHIYAN ADI PUTRI</t>
  </si>
  <si>
    <t>8. BAKTI WIJAYANTO, S.E.</t>
  </si>
  <si>
    <t>9. AHMAD UBAIDILLAH</t>
  </si>
  <si>
    <t>1. ALI MUSTOFA, A.Md.</t>
  </si>
  <si>
    <t>2. Hj. BUAMI, S.H.</t>
  </si>
  <si>
    <t>3. SUGIONO, S.H.</t>
  </si>
  <si>
    <t>4. LULUK SUNARMIATININGSIH</t>
  </si>
  <si>
    <t>5. ANTON DJULIANTO ADI</t>
  </si>
  <si>
    <t>6. MOKHAMAD ROFI'I KHUSNAN</t>
  </si>
  <si>
    <t>7. Rr SETYO WATI</t>
  </si>
  <si>
    <t>8. ABD. KADIR ASSEGAFF</t>
  </si>
  <si>
    <t>9. FATHOR ZAINULLAH</t>
  </si>
  <si>
    <t>1. AGUS SUPRIYADI</t>
  </si>
  <si>
    <t>2. ENI HARIATI</t>
  </si>
  <si>
    <t>1. MIRZA MUHROSNI AROMA</t>
  </si>
  <si>
    <t>2. ACHMAD BAGUS SUGIARTO</t>
  </si>
  <si>
    <t>3. ELOK FITRIYA NINGSIH</t>
  </si>
  <si>
    <t>4. MADI</t>
  </si>
  <si>
    <t>5. LUKY PERMANASARI</t>
  </si>
  <si>
    <t>1. H. IRWAN SETIAWAN</t>
  </si>
  <si>
    <t>2. USMAN SAHIB RAFIK, S.S.</t>
  </si>
  <si>
    <t>3. YULIUS AGUSTINA, S.Pd.I.</t>
  </si>
  <si>
    <t>4. JUGI TRISTIANTO, S.Sos., M.M.</t>
  </si>
  <si>
    <t>5. USAMAH ABDAT, S.E.</t>
  </si>
  <si>
    <t>6. Hj. ENDANG WIRETNI</t>
  </si>
  <si>
    <t>7. ANANG PURWIDIANTO</t>
  </si>
  <si>
    <t>8. HERU KURNIAWAN</t>
  </si>
  <si>
    <t>9. DYAH ROSYIDAH, S.Si.</t>
  </si>
  <si>
    <t>1. AHMAD WAHYUDI</t>
  </si>
  <si>
    <t>2. TONY ARIF SETIAWAN</t>
  </si>
  <si>
    <t>3. HENI DUWI PUSPITASARI</t>
  </si>
  <si>
    <t>1. BUDIYANTO EKO SISILA</t>
  </si>
  <si>
    <t>2. LAYLI HASAN, S.H.I.</t>
  </si>
  <si>
    <t>3. NUR HAYATI, ST.</t>
  </si>
  <si>
    <t>4. A. YUDI PRASETYO</t>
  </si>
  <si>
    <t>5. ESA TEDJA MAHANANIE, S.H.</t>
  </si>
  <si>
    <t>6. SANDI SANTOSO</t>
  </si>
  <si>
    <t>7. AGUS SUKMONO WATI</t>
  </si>
  <si>
    <t>1. LISTA ARIYANI, S.H.</t>
  </si>
  <si>
    <t>1. DANU BUDIYONO</t>
  </si>
  <si>
    <t>2. MASRURO, S.Ag.</t>
  </si>
  <si>
    <t>3. MOH. IMRON FAUZI, S.Sos.I., M.M.</t>
  </si>
  <si>
    <t>4. FIRMANSYAH</t>
  </si>
  <si>
    <t>5. HANA HANDINI, S.Pd.</t>
  </si>
  <si>
    <t>6. IRAWAN, S.M.</t>
  </si>
  <si>
    <t>7. MAHYUDI</t>
  </si>
  <si>
    <t>8. NOVI NAHARI SYAFITRI</t>
  </si>
  <si>
    <t>9. SOFYAN MEDINA</t>
  </si>
  <si>
    <t>1. Dra. WORO WANDANSARI</t>
  </si>
  <si>
    <t>2. MOH. RAMLI</t>
  </si>
  <si>
    <t>3. DIANA DEWI, S.Psi.</t>
  </si>
  <si>
    <t>4. RATIH PERBAWATI</t>
  </si>
  <si>
    <t>5. AINUL YAQIN, S.Pd., M.A.P.</t>
  </si>
  <si>
    <t>6. EKA FEBRY SULISTIYONO</t>
  </si>
  <si>
    <t>7. MOH. NURUL HUDA</t>
  </si>
  <si>
    <t>8. RAHMAWATI</t>
  </si>
  <si>
    <t>9. MUHAMMAD NUR RAHMATULLAH</t>
  </si>
  <si>
    <t>1. dr. AGUNG MULYONO</t>
  </si>
  <si>
    <t>2. ISYROFAH AMALIYAH ACHMAD, S.H., M.H.</t>
  </si>
  <si>
    <t>3. GIGIH ANDI WIJAYA, S.H.</t>
  </si>
  <si>
    <t>4. NAQSYABANDI</t>
  </si>
  <si>
    <t>5. NIYADI</t>
  </si>
  <si>
    <t>6. MEI VIDIA UTAMI</t>
  </si>
  <si>
    <t>7. LUKMAN HAKIM</t>
  </si>
  <si>
    <t>8. ZAIRI</t>
  </si>
  <si>
    <t>9. NURUL HIDAYAH</t>
  </si>
  <si>
    <t>1. Zainul Musabbikhin</t>
  </si>
  <si>
    <t>2. Veni Putri Nurfazila</t>
  </si>
  <si>
    <t>3. DWI WAHYULIANTO</t>
  </si>
  <si>
    <t>1. ADIBAH HAKAM, S.H.</t>
  </si>
  <si>
    <t>2. BUDI TEGUH SARTONO</t>
  </si>
  <si>
    <t>3. ILHAM AKBAR, S.E.</t>
  </si>
  <si>
    <t>4. FERA DWI HELMINA</t>
  </si>
  <si>
    <t>1. Hj. ZEINIYE, S.Ag.</t>
  </si>
  <si>
    <t>2. H. LUQMAN YANI</t>
  </si>
  <si>
    <t>3. MIRZA</t>
  </si>
  <si>
    <t>4. FADIL, S.Pd.I.</t>
  </si>
  <si>
    <t>5. SYAMSUL ARIFIN, S.H.</t>
  </si>
  <si>
    <t>6. SITA AMILATUZZAHRO</t>
  </si>
  <si>
    <t>7. ZEIROSI, S.H.I.</t>
  </si>
  <si>
    <t>8. MASYUDIK HARTONO</t>
  </si>
  <si>
    <t>9. NARITA NURIL FAJRIYAH</t>
  </si>
  <si>
    <t>1. SAIFUL HADI</t>
  </si>
  <si>
    <t>2. Drs. WITONO, M.Pd.</t>
  </si>
  <si>
    <t>3. KHOLIKAH, S.T.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</si>
</sst>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Calibri"/>
      <family val="2"/>
      <scheme val="minor"/>
    </font>
    <font>
      <b/>
      <sz val="10"/>
      <color theme="1"/>
      <name val="Bookman Old Style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color rgb="FF000000"/>
      <name val="Bookman Old Style"/>
      <family val="1"/>
    </font>
    <font>
      <b/>
      <sz val="10"/>
      <color rgb="FF000000"/>
      <name val="Bookman Old Style"/>
      <family val="1"/>
    </font>
    <font>
      <sz val="10"/>
      <name val="Cambria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16" xfId="0" applyBorder="1"/>
    <xf numFmtId="0" fontId="4" fillId="0" borderId="3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2" borderId="0" xfId="0" applyFont="1" applyFill="1"/>
    <xf numFmtId="3" fontId="2" fillId="3" borderId="0" xfId="0" applyNumberFormat="1" applyFont="1" applyFill="1"/>
    <xf numFmtId="0" fontId="2" fillId="3" borderId="0" xfId="0" applyFont="1" applyFill="1"/>
    <xf numFmtId="0" fontId="4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3" borderId="19" xfId="0" applyFont="1" applyFill="1" applyBorder="1" applyAlignment="1">
      <alignment horizontal="center" vertical="center"/>
    </xf>
    <xf numFmtId="0" fontId="6" fillId="0" borderId="0" xfId="0" applyFont="1"/>
    <xf numFmtId="0" fontId="1" fillId="0" borderId="8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3" fillId="4" borderId="4" xfId="0" applyFont="1" applyFill="1" applyBorder="1"/>
    <xf numFmtId="0" fontId="3" fillId="0" borderId="4" xfId="0" applyFont="1" applyBorder="1"/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left" vertical="top" wrapText="1"/>
    </xf>
    <xf numFmtId="0" fontId="3" fillId="4" borderId="23" xfId="0" applyFont="1" applyFill="1" applyBorder="1"/>
    <xf numFmtId="0" fontId="8" fillId="4" borderId="3" xfId="0" applyFont="1" applyFill="1" applyBorder="1" applyAlignment="1">
      <alignment horizontal="left" vertical="top" wrapText="1"/>
    </xf>
    <xf numFmtId="0" fontId="8" fillId="4" borderId="24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1" fillId="0" borderId="2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10" xfId="0" applyFont="1" applyBorder="1"/>
    <xf numFmtId="0" fontId="3" fillId="0" borderId="12" xfId="0" applyFont="1" applyBorder="1"/>
    <xf numFmtId="0" fontId="4" fillId="0" borderId="5" xfId="0" applyFont="1" applyBorder="1" applyAlignment="1">
      <alignment vertical="center" wrapText="1"/>
    </xf>
    <xf numFmtId="0" fontId="3" fillId="0" borderId="13" xfId="0" applyFont="1" applyBorder="1"/>
    <xf numFmtId="0" fontId="3" fillId="0" borderId="6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11" xfId="0" applyFont="1" applyBorder="1"/>
    <xf numFmtId="0" fontId="4" fillId="0" borderId="2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3" fillId="0" borderId="9" xfId="0" applyFont="1" applyBorder="1"/>
    <xf numFmtId="0" fontId="3" fillId="0" borderId="7" xfId="0" applyFont="1" applyBorder="1"/>
    <xf numFmtId="0" fontId="4" fillId="0" borderId="14" xfId="0" applyFont="1" applyBorder="1" applyAlignment="1">
      <alignment horizontal="left" vertical="center" wrapText="1"/>
    </xf>
    <xf numFmtId="0" fontId="0" fillId="0" borderId="0" xfId="0"/>
    <xf numFmtId="0" fontId="3" fillId="0" borderId="15" xfId="0" applyFont="1" applyBorder="1"/>
    <xf numFmtId="0" fontId="4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14" xfId="0" applyFont="1" applyBorder="1"/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0" borderId="14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5" fillId="0" borderId="3" xfId="0" applyFont="1" applyBorder="1"/>
    <xf numFmtId="0" fontId="5" fillId="0" borderId="4" xfId="0" applyFont="1" applyBorder="1"/>
  </cellXfs>
  <cellStyles count="1">
    <cellStyle name="Normal" xfId="0" builtinId="0"/>
  </cellStyles>
  <dxfs count="309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B9F4-43D1-4EFD-BC42-FAAF0D7FB350}">
  <sheetPr>
    <outlinePr summaryBelow="0" summaryRight="0"/>
  </sheetPr>
  <dimension ref="A1:HH1224"/>
  <sheetViews>
    <sheetView topLeftCell="A61" zoomScaleNormal="100" workbookViewId="0">
      <selection activeCell="E53" sqref="E53"/>
    </sheetView>
  </sheetViews>
  <sheetFormatPr defaultColWidth="0" defaultRowHeight="15" customHeight="1" zeroHeight="1" x14ac:dyDescent="0.3"/>
  <cols>
    <col min="1" max="1" width="3.59765625" customWidth="1"/>
    <col min="2" max="2" width="4" customWidth="1"/>
    <col min="3" max="3" width="64.59765625" customWidth="1"/>
    <col min="4" max="4" width="6.59765625" customWidth="1"/>
    <col min="5" max="5" width="18.8984375" customWidth="1"/>
    <col min="6" max="7" width="10.09765625" customWidth="1"/>
    <col min="8" max="16" width="10.09765625" hidden="1" customWidth="1"/>
    <col min="17" max="216" width="0" hidden="1" customWidth="1"/>
    <col min="217" max="16384" width="12.59765625" hidden="1"/>
  </cols>
  <sheetData>
    <row r="1" spans="1:216" ht="15" customHeight="1" x14ac:dyDescent="0.3"/>
    <row r="2" spans="1:216" ht="15" customHeight="1" x14ac:dyDescent="0.3"/>
    <row r="3" spans="1:216" ht="15" customHeight="1" x14ac:dyDescent="0.3"/>
    <row r="4" spans="1:216" ht="15" customHeight="1" x14ac:dyDescent="0.3"/>
    <row r="5" spans="1:216" ht="15.75" customHeight="1" x14ac:dyDescent="0.3">
      <c r="F5" s="1"/>
      <c r="G5" s="1"/>
      <c r="H5" s="1"/>
      <c r="I5" s="1"/>
      <c r="J5" s="1"/>
      <c r="K5" s="1"/>
      <c r="L5" s="1"/>
      <c r="M5" s="1"/>
      <c r="N5" s="1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</row>
    <row r="6" spans="1:216" ht="15.75" customHeight="1" x14ac:dyDescent="0.3">
      <c r="F6" s="1"/>
      <c r="G6" s="1"/>
      <c r="H6" s="1"/>
      <c r="I6" s="1"/>
      <c r="J6" s="1"/>
      <c r="K6" s="1"/>
      <c r="L6" s="1"/>
      <c r="M6" s="1"/>
      <c r="N6" s="1"/>
      <c r="O6" s="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</row>
    <row r="7" spans="1:216" ht="15.75" customHeight="1" x14ac:dyDescent="0.3">
      <c r="F7" s="20"/>
      <c r="G7" s="20"/>
      <c r="H7" s="20"/>
      <c r="I7" s="20"/>
      <c r="J7" s="20"/>
      <c r="K7" s="20"/>
      <c r="L7" s="20"/>
      <c r="M7" s="20"/>
      <c r="N7" s="20"/>
      <c r="O7" s="20"/>
      <c r="P7" s="32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</row>
    <row r="8" spans="1:216" ht="15.75" customHeight="1" x14ac:dyDescent="0.3">
      <c r="C8" s="43" t="s">
        <v>98</v>
      </c>
      <c r="D8" s="43" t="s">
        <v>104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32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</row>
    <row r="9" spans="1:216" ht="15.75" customHeight="1" x14ac:dyDescent="0.3">
      <c r="C9" s="43" t="s">
        <v>99</v>
      </c>
      <c r="D9" s="43" t="s">
        <v>100</v>
      </c>
      <c r="F9" s="1"/>
      <c r="G9" s="1"/>
      <c r="H9" s="1"/>
      <c r="I9" s="1"/>
      <c r="J9" s="1"/>
      <c r="K9" s="1"/>
      <c r="L9" s="1"/>
      <c r="M9" s="1"/>
      <c r="N9" s="1"/>
      <c r="O9" s="1"/>
      <c r="P9" s="34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</row>
    <row r="10" spans="1:216" ht="15.75" customHeight="1" x14ac:dyDescent="0.3">
      <c r="C10" s="43" t="s">
        <v>101</v>
      </c>
      <c r="D10" s="43" t="s">
        <v>102</v>
      </c>
      <c r="F10" s="20"/>
      <c r="G10" s="20"/>
      <c r="H10" s="20"/>
      <c r="I10" s="20"/>
      <c r="J10" s="20"/>
      <c r="K10" s="20"/>
      <c r="L10" s="20"/>
      <c r="M10" s="20"/>
      <c r="N10" s="20"/>
      <c r="O10" s="23"/>
      <c r="P10" s="3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</row>
    <row r="11" spans="1:216" ht="15.75" customHeight="1" x14ac:dyDescent="0.3">
      <c r="A11" s="1"/>
      <c r="B11" s="2"/>
      <c r="C11" s="2"/>
      <c r="D11" s="2"/>
      <c r="E11" s="1"/>
      <c r="F11" s="20"/>
      <c r="G11" s="20"/>
      <c r="H11" s="20"/>
      <c r="I11" s="20"/>
      <c r="J11" s="20"/>
      <c r="K11" s="20"/>
      <c r="L11" s="20"/>
      <c r="M11" s="20"/>
      <c r="N11" s="20"/>
      <c r="O11" s="23"/>
      <c r="P11" s="3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</row>
    <row r="12" spans="1:216" ht="15.75" customHeight="1" x14ac:dyDescent="0.3">
      <c r="A12" s="5" t="s">
        <v>0</v>
      </c>
      <c r="B12" s="65" t="s">
        <v>1</v>
      </c>
      <c r="C12" s="63"/>
      <c r="D12" s="64"/>
      <c r="E12" s="74" t="s">
        <v>97</v>
      </c>
      <c r="F12" s="39"/>
      <c r="G12" s="20"/>
      <c r="H12" s="20"/>
      <c r="I12" s="20"/>
      <c r="J12" s="20"/>
      <c r="K12" s="20"/>
      <c r="L12" s="20"/>
      <c r="M12" s="20"/>
      <c r="N12" s="20"/>
      <c r="O12" s="20"/>
      <c r="P12" s="32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</row>
    <row r="13" spans="1:216" ht="15.75" customHeight="1" x14ac:dyDescent="0.3">
      <c r="A13" s="6" t="s">
        <v>2</v>
      </c>
      <c r="B13" s="76" t="s">
        <v>3</v>
      </c>
      <c r="C13" s="63"/>
      <c r="D13" s="64"/>
      <c r="E13" s="75"/>
      <c r="F13" s="39"/>
      <c r="G13" s="20"/>
      <c r="H13" s="20"/>
      <c r="I13" s="20"/>
      <c r="J13" s="20"/>
      <c r="K13" s="20"/>
      <c r="L13" s="20"/>
      <c r="M13" s="20"/>
      <c r="N13" s="20"/>
      <c r="O13" s="20"/>
      <c r="P13" s="32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</row>
    <row r="14" spans="1:216" ht="15.75" customHeight="1" x14ac:dyDescent="0.3">
      <c r="A14" s="7"/>
      <c r="B14" s="77" t="s">
        <v>22</v>
      </c>
      <c r="C14" s="78"/>
      <c r="D14" s="6" t="s">
        <v>23</v>
      </c>
      <c r="E14" s="9">
        <f>ALASMALANG!V14+'BENELAN KIDUL'!S14+CANTUK!T14+GAMBOR!N14+GUMIRIH!S14+KEMIRI!U14+LEMAHBANGKULON!Q14+PADANG!Q14+SINGOJURUH!AC14+SINGOLATREN!T14+SUMBERBARU!S14</f>
        <v>16137</v>
      </c>
      <c r="F14" s="40"/>
      <c r="G14" s="1"/>
      <c r="H14" s="1"/>
      <c r="I14" s="1"/>
      <c r="J14" s="1"/>
      <c r="K14" s="1"/>
      <c r="L14" s="1"/>
      <c r="M14" s="1"/>
      <c r="N14" s="1"/>
      <c r="O14" s="1"/>
      <c r="P14" s="34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</row>
    <row r="15" spans="1:216" ht="15.75" customHeight="1" x14ac:dyDescent="0.3">
      <c r="A15" s="7"/>
      <c r="B15" s="79"/>
      <c r="C15" s="67"/>
      <c r="D15" s="6" t="s">
        <v>24</v>
      </c>
      <c r="E15" s="9">
        <f>ALASMALANG!V15+'BENELAN KIDUL'!S15+CANTUK!T15+GAMBOR!N15+GUMIRIH!S15+KEMIRI!U15+LEMAHBANGKULON!Q15+PADANG!Q15+SINGOJURUH!AC15+SINGOLATREN!T15+SUMBERBARU!S15</f>
        <v>16446</v>
      </c>
      <c r="F15" s="39"/>
      <c r="G15" s="20"/>
      <c r="H15" s="20"/>
      <c r="I15" s="20"/>
      <c r="J15" s="20"/>
      <c r="K15" s="20"/>
      <c r="L15" s="20"/>
      <c r="M15" s="20"/>
      <c r="N15" s="20"/>
      <c r="O15" s="20"/>
      <c r="P15" s="32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</row>
    <row r="16" spans="1:216" ht="15.75" customHeight="1" x14ac:dyDescent="0.3">
      <c r="A16" s="8"/>
      <c r="B16" s="75"/>
      <c r="C16" s="68"/>
      <c r="D16" s="5" t="s">
        <v>25</v>
      </c>
      <c r="E16" s="25">
        <f t="shared" ref="E16" si="0">SUM(E14:E15)</f>
        <v>32583</v>
      </c>
      <c r="F16" s="39"/>
      <c r="G16" s="20"/>
      <c r="H16" s="20"/>
      <c r="I16" s="20"/>
      <c r="J16" s="20"/>
      <c r="K16" s="20"/>
      <c r="L16" s="20"/>
      <c r="M16" s="20"/>
      <c r="N16" s="20"/>
      <c r="O16" s="20"/>
      <c r="P16" s="32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</row>
    <row r="17" spans="1:216" ht="15.75" customHeight="1" x14ac:dyDescent="0.3">
      <c r="A17" s="62"/>
      <c r="B17" s="63"/>
      <c r="C17" s="63"/>
      <c r="D17" s="64"/>
      <c r="E17" s="9"/>
      <c r="F17" s="40"/>
      <c r="G17" s="1"/>
      <c r="H17" s="1"/>
      <c r="I17" s="1"/>
      <c r="J17" s="1"/>
      <c r="K17" s="1"/>
      <c r="L17" s="1"/>
      <c r="M17" s="1"/>
      <c r="N17" s="1"/>
      <c r="O17" s="1"/>
      <c r="P17" s="34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</row>
    <row r="18" spans="1:216" ht="15.75" customHeight="1" x14ac:dyDescent="0.3">
      <c r="A18" s="11" t="s">
        <v>26</v>
      </c>
      <c r="B18" s="76" t="s">
        <v>27</v>
      </c>
      <c r="C18" s="63"/>
      <c r="D18" s="64"/>
      <c r="E18" s="9"/>
      <c r="F18" s="39"/>
      <c r="G18" s="20"/>
      <c r="H18" s="20"/>
      <c r="I18" s="20"/>
      <c r="J18" s="20"/>
      <c r="K18" s="20"/>
      <c r="L18" s="20"/>
      <c r="M18" s="20"/>
      <c r="N18" s="20"/>
      <c r="O18" s="20"/>
      <c r="P18" s="32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</row>
    <row r="19" spans="1:216" ht="15.75" customHeight="1" x14ac:dyDescent="0.3">
      <c r="A19" s="11"/>
      <c r="B19" s="66" t="s">
        <v>28</v>
      </c>
      <c r="C19" s="69" t="s">
        <v>29</v>
      </c>
      <c r="D19" s="6" t="s">
        <v>23</v>
      </c>
      <c r="E19" s="9">
        <f>ALASMALANG!V19+'BENELAN KIDUL'!S19+CANTUK!T19+GAMBOR!N19+GUMIRIH!S19+KEMIRI!U19+LEMAHBANGKULON!Q19+PADANG!Q19+SINGOJURUH!AC19+SINGOLATREN!T19+SUMBERBARU!S19</f>
        <v>12222</v>
      </c>
      <c r="F19" s="39"/>
      <c r="G19" s="20"/>
      <c r="H19" s="20"/>
      <c r="I19" s="20"/>
      <c r="J19" s="20"/>
      <c r="K19" s="20"/>
      <c r="L19" s="20"/>
      <c r="M19" s="20"/>
      <c r="N19" s="20"/>
      <c r="O19" s="20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</row>
    <row r="20" spans="1:216" ht="15.75" customHeight="1" x14ac:dyDescent="0.3">
      <c r="A20" s="12"/>
      <c r="B20" s="67"/>
      <c r="C20" s="70"/>
      <c r="D20" s="6" t="s">
        <v>24</v>
      </c>
      <c r="E20" s="9">
        <f>ALASMALANG!V20+'BENELAN KIDUL'!S20+CANTUK!T20+GAMBOR!N20+GUMIRIH!S20+KEMIRI!U20+LEMAHBANGKULON!Q20+PADANG!Q20+SINGOJURUH!AC20+SINGOLATREN!T20+SUMBERBARU!S20</f>
        <v>13252</v>
      </c>
      <c r="F20" s="40"/>
      <c r="G20" s="1"/>
      <c r="H20" s="1"/>
      <c r="I20" s="1"/>
      <c r="J20" s="1"/>
      <c r="K20" s="1"/>
      <c r="L20" s="1"/>
      <c r="M20" s="1"/>
      <c r="N20" s="1"/>
      <c r="O20" s="1"/>
      <c r="P20" s="34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</row>
    <row r="21" spans="1:216" ht="15.75" customHeight="1" x14ac:dyDescent="0.3">
      <c r="A21" s="13"/>
      <c r="B21" s="68"/>
      <c r="C21" s="71"/>
      <c r="D21" s="5" t="s">
        <v>25</v>
      </c>
      <c r="E21" s="25">
        <f t="shared" ref="E21" si="1">SUM(E19:E20)</f>
        <v>25474</v>
      </c>
      <c r="F21" s="40"/>
      <c r="G21" s="1"/>
      <c r="H21" s="1"/>
      <c r="I21" s="1"/>
      <c r="J21" s="1"/>
      <c r="K21" s="1"/>
      <c r="L21" s="1"/>
      <c r="M21" s="1"/>
      <c r="N21" s="1"/>
      <c r="O21" s="1"/>
      <c r="P21" s="34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  <c r="HG21" s="31"/>
      <c r="HH21" s="31"/>
    </row>
    <row r="22" spans="1:216" ht="15.75" customHeight="1" x14ac:dyDescent="0.3">
      <c r="A22" s="12"/>
      <c r="B22" s="66" t="s">
        <v>30</v>
      </c>
      <c r="C22" s="69" t="s">
        <v>31</v>
      </c>
      <c r="D22" s="6" t="s">
        <v>23</v>
      </c>
      <c r="E22" s="9">
        <f>ALASMALANG!V22+'BENELAN KIDUL'!S22+CANTUK!T22+GAMBOR!N22+GUMIRIH!S22+KEMIRI!U22+LEMAHBANGKULON!Q22+PADANG!Q22+SINGOJURUH!AC22+SINGOLATREN!T22+SUMBERBARU!S22</f>
        <v>40</v>
      </c>
      <c r="F22" s="40"/>
      <c r="G22" s="1"/>
      <c r="H22" s="1"/>
      <c r="I22" s="1"/>
      <c r="J22" s="1"/>
      <c r="K22" s="1"/>
      <c r="L22" s="1"/>
      <c r="M22" s="1"/>
      <c r="N22" s="1"/>
      <c r="O22" s="1"/>
      <c r="P22" s="34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</row>
    <row r="23" spans="1:216" ht="15.75" customHeight="1" x14ac:dyDescent="0.3">
      <c r="A23" s="12"/>
      <c r="B23" s="67"/>
      <c r="C23" s="70"/>
      <c r="D23" s="6" t="s">
        <v>24</v>
      </c>
      <c r="E23" s="9">
        <f>ALASMALANG!V23+'BENELAN KIDUL'!S23+CANTUK!T23+GAMBOR!N23+GUMIRIH!S23+KEMIRI!U23+LEMAHBANGKULON!Q23+PADANG!Q23+SINGOJURUH!AC23+SINGOLATREN!T23+SUMBERBARU!S23</f>
        <v>41</v>
      </c>
      <c r="F23" s="40"/>
      <c r="G23" s="1"/>
      <c r="H23" s="1"/>
      <c r="I23" s="1"/>
      <c r="J23" s="1"/>
      <c r="K23" s="1"/>
      <c r="L23" s="1"/>
      <c r="M23" s="1"/>
      <c r="N23" s="1"/>
      <c r="O23" s="1"/>
      <c r="P23" s="34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</row>
    <row r="24" spans="1:216" ht="15.75" customHeight="1" x14ac:dyDescent="0.3">
      <c r="A24" s="13"/>
      <c r="B24" s="68"/>
      <c r="C24" s="71"/>
      <c r="D24" s="5" t="s">
        <v>25</v>
      </c>
      <c r="E24" s="25">
        <f t="shared" ref="E24" si="2">SUM(E22:E23)</f>
        <v>81</v>
      </c>
      <c r="F24" s="39"/>
      <c r="G24" s="20"/>
      <c r="H24" s="20"/>
      <c r="I24" s="20"/>
      <c r="J24" s="20"/>
      <c r="K24" s="20"/>
      <c r="L24" s="20"/>
      <c r="M24" s="20"/>
      <c r="N24" s="20"/>
      <c r="O24" s="23"/>
      <c r="P24" s="35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</row>
    <row r="25" spans="1:216" ht="15.75" customHeight="1" x14ac:dyDescent="0.3">
      <c r="A25" s="12"/>
      <c r="B25" s="66" t="s">
        <v>32</v>
      </c>
      <c r="C25" s="69" t="s">
        <v>33</v>
      </c>
      <c r="D25" s="6" t="s">
        <v>23</v>
      </c>
      <c r="E25" s="9">
        <f>ALASMALANG!V25+'BENELAN KIDUL'!S25+CANTUK!T25+GAMBOR!N25+GUMIRIH!S25+KEMIRI!U25+LEMAHBANGKULON!Q25+PADANG!Q25+SINGOJURUH!AC25+SINGOLATREN!T25+SUMBERBARU!S25</f>
        <v>108</v>
      </c>
      <c r="F25" s="40"/>
      <c r="G25" s="1"/>
      <c r="H25" s="1"/>
      <c r="I25" s="1"/>
      <c r="J25" s="1"/>
      <c r="K25" s="1"/>
      <c r="L25" s="1"/>
      <c r="M25" s="1"/>
      <c r="N25" s="1"/>
      <c r="O25" s="3"/>
      <c r="P25" s="35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</row>
    <row r="26" spans="1:216" ht="15.75" customHeight="1" x14ac:dyDescent="0.3">
      <c r="A26" s="12"/>
      <c r="B26" s="67"/>
      <c r="C26" s="70"/>
      <c r="D26" s="6" t="s">
        <v>24</v>
      </c>
      <c r="E26" s="9">
        <f>ALASMALANG!V26+'BENELAN KIDUL'!S26+CANTUK!T26+GAMBOR!N26+GUMIRIH!S26+KEMIRI!U26+LEMAHBANGKULON!Q26+PADANG!Q26+SINGOJURUH!AC26+SINGOLATREN!T26+SUMBERBARU!S26</f>
        <v>128</v>
      </c>
      <c r="F26" s="39"/>
      <c r="G26" s="20"/>
      <c r="H26" s="20"/>
      <c r="I26" s="20"/>
      <c r="J26" s="20"/>
      <c r="K26" s="20"/>
      <c r="L26" s="20"/>
      <c r="M26" s="20"/>
      <c r="N26" s="20"/>
      <c r="O26" s="20"/>
      <c r="P26" s="32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</row>
    <row r="27" spans="1:216" ht="15.75" customHeight="1" x14ac:dyDescent="0.3">
      <c r="A27" s="13"/>
      <c r="B27" s="68"/>
      <c r="C27" s="71"/>
      <c r="D27" s="5" t="s">
        <v>25</v>
      </c>
      <c r="E27" s="25">
        <f t="shared" ref="E27" si="3">SUM(E25:E26)</f>
        <v>236</v>
      </c>
      <c r="F27" s="40"/>
      <c r="G27" s="1"/>
      <c r="H27" s="1"/>
      <c r="I27" s="1"/>
      <c r="J27" s="1"/>
      <c r="K27" s="1"/>
      <c r="L27" s="1"/>
      <c r="M27" s="1"/>
      <c r="N27" s="1"/>
      <c r="O27" s="1"/>
      <c r="P27" s="34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  <c r="HE27" s="31"/>
      <c r="HF27" s="31"/>
      <c r="HG27" s="31"/>
      <c r="HH27" s="31"/>
    </row>
    <row r="28" spans="1:216" ht="15.75" customHeight="1" x14ac:dyDescent="0.3">
      <c r="A28" s="13"/>
      <c r="B28" s="72" t="s">
        <v>34</v>
      </c>
      <c r="C28" s="73" t="s">
        <v>35</v>
      </c>
      <c r="D28" s="5" t="s">
        <v>23</v>
      </c>
      <c r="E28" s="25">
        <f t="shared" ref="E28:E29" si="4">E19+E22+E25</f>
        <v>12370</v>
      </c>
      <c r="F28" s="39"/>
      <c r="G28" s="20"/>
      <c r="H28" s="20"/>
      <c r="I28" s="20"/>
      <c r="J28" s="20"/>
      <c r="K28" s="20"/>
      <c r="L28" s="20"/>
      <c r="M28" s="20"/>
      <c r="N28" s="20"/>
      <c r="O28" s="20"/>
      <c r="P28" s="32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</row>
    <row r="29" spans="1:216" ht="15.75" customHeight="1" x14ac:dyDescent="0.3">
      <c r="A29" s="13"/>
      <c r="B29" s="67"/>
      <c r="C29" s="70"/>
      <c r="D29" s="5" t="s">
        <v>24</v>
      </c>
      <c r="E29" s="25">
        <f t="shared" si="4"/>
        <v>13421</v>
      </c>
      <c r="F29" s="40"/>
      <c r="G29" s="1"/>
      <c r="H29" s="1"/>
      <c r="I29" s="1"/>
      <c r="J29" s="1"/>
      <c r="K29" s="1"/>
      <c r="L29" s="1"/>
      <c r="M29" s="1"/>
      <c r="N29" s="1"/>
      <c r="O29" s="1"/>
      <c r="P29" s="34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  <c r="HE29" s="31"/>
      <c r="HF29" s="31"/>
      <c r="HG29" s="31"/>
      <c r="HH29" s="31"/>
    </row>
    <row r="30" spans="1:216" ht="15.75" customHeight="1" x14ac:dyDescent="0.3">
      <c r="A30" s="13"/>
      <c r="B30" s="68"/>
      <c r="C30" s="71"/>
      <c r="D30" s="5" t="s">
        <v>25</v>
      </c>
      <c r="E30" s="25">
        <f t="shared" ref="E30" si="5">SUM(E28:E29)</f>
        <v>25791</v>
      </c>
      <c r="F30" s="41"/>
      <c r="G30" s="30"/>
      <c r="H30" s="30"/>
      <c r="I30" s="30"/>
      <c r="J30" s="30"/>
      <c r="K30" s="20"/>
      <c r="L30" s="20"/>
      <c r="M30" s="20"/>
      <c r="N30" s="20"/>
      <c r="O30" s="23"/>
      <c r="P30" s="35"/>
      <c r="Q30" s="30"/>
      <c r="R30" s="30"/>
      <c r="S30" s="30"/>
      <c r="T30" s="30"/>
      <c r="U30" s="4"/>
      <c r="V30" s="4"/>
      <c r="W30" s="4"/>
      <c r="X30" s="30"/>
      <c r="Y30" s="30"/>
      <c r="Z30" s="30"/>
      <c r="AA30" s="30"/>
      <c r="AB30" s="4"/>
      <c r="AC30" s="4"/>
      <c r="AD30" s="4"/>
      <c r="AE30" s="4"/>
      <c r="AF30" s="4"/>
      <c r="AG30" s="4"/>
      <c r="AH30" s="4"/>
      <c r="AI30" s="30"/>
      <c r="AJ30" s="30"/>
      <c r="AK30" s="30"/>
      <c r="AL30" s="30"/>
      <c r="AM30" s="4"/>
      <c r="AN30" s="4"/>
      <c r="AO30" s="4"/>
      <c r="AP30" s="4"/>
      <c r="AQ30" s="4"/>
      <c r="AR30" s="4"/>
      <c r="AS30" s="4"/>
      <c r="AT30" s="30"/>
      <c r="AU30" s="30"/>
      <c r="AV30" s="30"/>
      <c r="AW30" s="30"/>
      <c r="AX30" s="4"/>
      <c r="AY30" s="4"/>
      <c r="AZ30" s="4"/>
      <c r="BA30" s="4"/>
      <c r="BB30" s="4"/>
      <c r="BC30" s="4"/>
      <c r="BD30" s="4"/>
      <c r="BE30" s="4"/>
      <c r="BF30" s="30"/>
      <c r="BG30" s="30"/>
      <c r="BH30" s="30"/>
      <c r="BI30" s="30"/>
      <c r="BJ30" s="4"/>
      <c r="BK30" s="4"/>
      <c r="BL30" s="30"/>
      <c r="BM30" s="30"/>
      <c r="BN30" s="30"/>
      <c r="BO30" s="30"/>
      <c r="BP30" s="4"/>
      <c r="BQ30" s="4"/>
      <c r="BR30" s="4"/>
      <c r="BS30" s="30"/>
      <c r="BT30" s="30"/>
      <c r="BU30" s="30"/>
      <c r="BV30" s="30"/>
      <c r="BW30" s="4"/>
      <c r="BX30" s="4"/>
      <c r="BY30" s="4"/>
      <c r="BZ30" s="4"/>
      <c r="CA30" s="4"/>
      <c r="CB30" s="30"/>
      <c r="CC30" s="30"/>
      <c r="CD30" s="30"/>
      <c r="CE30" s="30"/>
      <c r="CF30" s="4"/>
      <c r="CG30" s="4"/>
      <c r="CH30" s="30"/>
      <c r="CI30" s="30"/>
      <c r="CJ30" s="30"/>
      <c r="CK30" s="30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30"/>
      <c r="DA30" s="30"/>
      <c r="DB30" s="30"/>
      <c r="DC30" s="30"/>
      <c r="DD30" s="4"/>
      <c r="DE30" s="4"/>
      <c r="DF30" s="4"/>
      <c r="DG30" s="4"/>
      <c r="DH30" s="4"/>
      <c r="DI30" s="4"/>
      <c r="DJ30" s="4"/>
      <c r="DK30" s="4"/>
      <c r="DL30" s="30"/>
      <c r="DM30" s="30"/>
      <c r="DN30" s="30"/>
      <c r="DO30" s="30"/>
      <c r="DP30" s="4"/>
      <c r="DQ30" s="4"/>
      <c r="DR30" s="4"/>
      <c r="DS30" s="4"/>
      <c r="DT30" s="30"/>
      <c r="DU30" s="30"/>
      <c r="DV30" s="30"/>
      <c r="DW30" s="30"/>
      <c r="DX30" s="4"/>
      <c r="DY30" s="4"/>
      <c r="DZ30" s="30"/>
      <c r="EA30" s="30"/>
      <c r="EB30" s="30"/>
      <c r="EC30" s="30"/>
      <c r="ED30" s="4"/>
      <c r="EE30" s="4"/>
      <c r="EF30" s="4"/>
      <c r="EG30" s="4"/>
      <c r="EH30" s="4"/>
      <c r="EI30" s="4"/>
      <c r="EJ30" s="4"/>
      <c r="EK30" s="4"/>
      <c r="EL30" s="4"/>
      <c r="EM30" s="30"/>
      <c r="EN30" s="30"/>
      <c r="EO30" s="30"/>
      <c r="EP30" s="30"/>
      <c r="EQ30" s="4"/>
      <c r="ER30" s="4"/>
      <c r="ES30" s="4"/>
      <c r="ET30" s="4"/>
      <c r="EU30" s="4"/>
      <c r="EV30" s="4"/>
      <c r="EW30" s="4"/>
      <c r="EX30" s="4"/>
      <c r="EY30" s="4"/>
      <c r="EZ30" s="30"/>
      <c r="FA30" s="30"/>
      <c r="FB30" s="30"/>
      <c r="FC30" s="30"/>
      <c r="FD30" s="4"/>
      <c r="FE30" s="4"/>
      <c r="FF30" s="30"/>
      <c r="FG30" s="30"/>
      <c r="FH30" s="30"/>
      <c r="FI30" s="30"/>
      <c r="FJ30" s="4"/>
      <c r="FK30" s="30"/>
      <c r="FL30" s="30"/>
      <c r="FM30" s="30"/>
      <c r="FN30" s="30"/>
      <c r="FO30" s="4"/>
      <c r="FP30" s="4"/>
      <c r="FQ30" s="4"/>
      <c r="FR30" s="30"/>
      <c r="FS30" s="30"/>
      <c r="FT30" s="30"/>
      <c r="FU30" s="30"/>
      <c r="FV30" s="4"/>
      <c r="FW30" s="4"/>
      <c r="FX30" s="4"/>
      <c r="FY30" s="30"/>
      <c r="FZ30" s="30"/>
      <c r="GA30" s="4"/>
      <c r="GB30" s="30"/>
      <c r="GC30" s="30"/>
      <c r="GD30" s="30"/>
      <c r="GE30" s="30"/>
      <c r="GF30" s="4"/>
      <c r="GG30" s="4"/>
      <c r="GH30" s="4"/>
      <c r="GI30" s="4"/>
      <c r="GJ30" s="4"/>
      <c r="GK30" s="4"/>
      <c r="GL30" s="4"/>
      <c r="GM30" s="4"/>
      <c r="GN30" s="30"/>
      <c r="GO30" s="30"/>
      <c r="GP30" s="30"/>
      <c r="GQ30" s="30"/>
      <c r="GR30" s="4"/>
      <c r="GS30" s="4"/>
      <c r="GT30" s="4"/>
      <c r="GU30" s="4"/>
      <c r="GV30" s="4"/>
      <c r="GW30" s="4"/>
      <c r="GX30" s="4"/>
      <c r="GY30" s="30"/>
      <c r="GZ30" s="30"/>
      <c r="HA30" s="30"/>
      <c r="HB30" s="30"/>
      <c r="HC30" s="4"/>
      <c r="HD30" s="4"/>
      <c r="HE30" s="4"/>
      <c r="HF30" s="4"/>
      <c r="HG30" s="4"/>
      <c r="HH30" s="4"/>
    </row>
    <row r="31" spans="1:216" ht="15.75" customHeight="1" x14ac:dyDescent="0.3">
      <c r="A31" s="62"/>
      <c r="B31" s="63"/>
      <c r="C31" s="63"/>
      <c r="D31" s="64"/>
      <c r="E31" s="29"/>
      <c r="F31" s="40"/>
      <c r="G31" s="1"/>
      <c r="H31" s="1"/>
      <c r="I31" s="1"/>
      <c r="J31" s="1"/>
      <c r="K31" s="1"/>
      <c r="L31" s="1"/>
      <c r="M31" s="1"/>
      <c r="N31" s="1"/>
      <c r="O31" s="3"/>
      <c r="P31" s="35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</row>
    <row r="32" spans="1:216" ht="15.75" customHeight="1" x14ac:dyDescent="0.3">
      <c r="A32" s="14" t="s">
        <v>36</v>
      </c>
      <c r="B32" s="65" t="s">
        <v>37</v>
      </c>
      <c r="C32" s="63"/>
      <c r="D32" s="64"/>
      <c r="E32" s="25"/>
      <c r="F32" s="39"/>
      <c r="G32" s="20"/>
      <c r="H32" s="20"/>
      <c r="I32" s="20"/>
      <c r="J32" s="20"/>
      <c r="K32" s="20"/>
      <c r="L32" s="20"/>
      <c r="M32" s="20"/>
      <c r="N32" s="20"/>
      <c r="O32" s="20"/>
      <c r="P32" s="32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</row>
    <row r="33" spans="1:216" ht="15.75" customHeight="1" x14ac:dyDescent="0.3">
      <c r="A33" s="6">
        <v>1</v>
      </c>
      <c r="B33" s="76" t="s">
        <v>38</v>
      </c>
      <c r="C33" s="63"/>
      <c r="D33" s="64"/>
      <c r="E33" s="9">
        <f>ALASMALANG!V33+'BENELAN KIDUL'!S33+CANTUK!T33+GAMBOR!N33+GUMIRIH!S33+KEMIRI!U33+LEMAHBANGKULON!Q33+PADANG!Q33+SINGOJURUH!AC33+SINGOLATREN!T33+SUMBERBARU!S33</f>
        <v>32903</v>
      </c>
      <c r="F33" s="39"/>
      <c r="G33" s="20"/>
      <c r="H33" s="20"/>
      <c r="I33" s="20"/>
      <c r="J33" s="20"/>
      <c r="K33" s="20"/>
      <c r="L33" s="20"/>
      <c r="M33" s="20"/>
      <c r="N33" s="20"/>
      <c r="O33" s="20"/>
      <c r="P33" s="32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</row>
    <row r="34" spans="1:216" ht="15.75" customHeight="1" x14ac:dyDescent="0.3">
      <c r="A34" s="6">
        <v>2</v>
      </c>
      <c r="B34" s="76" t="s">
        <v>39</v>
      </c>
      <c r="C34" s="63"/>
      <c r="D34" s="64"/>
      <c r="E34" s="9">
        <f>ALASMALANG!V34+'BENELAN KIDUL'!S34+CANTUK!T34+GAMBOR!N34+GUMIRIH!S34+KEMIRI!U34+LEMAHBANGKULON!Q34+PADANG!Q34+SINGOJURUH!AC34+SINGOLATREN!T34+SUMBERBARU!S34</f>
        <v>25791</v>
      </c>
      <c r="F34" s="40"/>
      <c r="G34" s="1"/>
      <c r="H34" s="1"/>
      <c r="I34" s="1"/>
      <c r="J34" s="1"/>
      <c r="K34" s="1"/>
      <c r="L34" s="1"/>
      <c r="M34" s="1"/>
      <c r="N34" s="1"/>
      <c r="O34" s="1"/>
      <c r="P34" s="34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</row>
    <row r="35" spans="1:216" ht="15.75" customHeight="1" x14ac:dyDescent="0.3">
      <c r="A35" s="6">
        <v>3</v>
      </c>
      <c r="B35" s="76" t="s">
        <v>40</v>
      </c>
      <c r="C35" s="63"/>
      <c r="D35" s="64"/>
      <c r="E35" s="9">
        <f>ALASMALANG!V35+'BENELAN KIDUL'!S35+CANTUK!T35+GAMBOR!N35+GUMIRIH!S35+KEMIRI!U35+LEMAHBANGKULON!Q35+PADANG!Q35+SINGOJURUH!AC35+SINGOLATREN!T35+SUMBERBARU!S35</f>
        <v>62</v>
      </c>
      <c r="F35" s="41"/>
      <c r="G35" s="30"/>
      <c r="H35" s="30"/>
      <c r="I35" s="30"/>
      <c r="J35" s="30"/>
      <c r="K35" s="20"/>
      <c r="L35" s="20"/>
      <c r="M35" s="20"/>
      <c r="N35" s="20"/>
      <c r="O35" s="23"/>
      <c r="P35" s="35"/>
      <c r="Q35" s="30"/>
      <c r="R35" s="30"/>
      <c r="S35" s="30"/>
      <c r="T35" s="30"/>
      <c r="U35" s="4"/>
      <c r="V35" s="4"/>
      <c r="W35" s="4"/>
      <c r="X35" s="30"/>
      <c r="Y35" s="30"/>
      <c r="Z35" s="30"/>
      <c r="AA35" s="30"/>
      <c r="AB35" s="4"/>
      <c r="AC35" s="4"/>
      <c r="AD35" s="4"/>
      <c r="AE35" s="4"/>
      <c r="AF35" s="4"/>
      <c r="AG35" s="4"/>
      <c r="AH35" s="4"/>
      <c r="AI35" s="30"/>
      <c r="AJ35" s="30"/>
      <c r="AK35" s="30"/>
      <c r="AL35" s="30"/>
      <c r="AM35" s="4"/>
      <c r="AN35" s="4"/>
      <c r="AO35" s="4"/>
      <c r="AP35" s="4"/>
      <c r="AQ35" s="4"/>
      <c r="AR35" s="4"/>
      <c r="AS35" s="4"/>
      <c r="AT35" s="30"/>
      <c r="AU35" s="30"/>
      <c r="AV35" s="30"/>
      <c r="AW35" s="30"/>
      <c r="AX35" s="4"/>
      <c r="AY35" s="4"/>
      <c r="AZ35" s="4"/>
      <c r="BA35" s="4"/>
      <c r="BB35" s="4"/>
      <c r="BC35" s="4"/>
      <c r="BD35" s="4"/>
      <c r="BE35" s="4"/>
      <c r="BF35" s="30"/>
      <c r="BG35" s="30"/>
      <c r="BH35" s="30"/>
      <c r="BI35" s="30"/>
      <c r="BJ35" s="4"/>
      <c r="BK35" s="4"/>
      <c r="BL35" s="30"/>
      <c r="BM35" s="30"/>
      <c r="BN35" s="30"/>
      <c r="BO35" s="30"/>
      <c r="BP35" s="4"/>
      <c r="BQ35" s="4"/>
      <c r="BR35" s="4"/>
      <c r="BS35" s="30"/>
      <c r="BT35" s="30"/>
      <c r="BU35" s="30"/>
      <c r="BV35" s="30"/>
      <c r="BW35" s="4"/>
      <c r="BX35" s="4"/>
      <c r="BY35" s="4"/>
      <c r="BZ35" s="4"/>
      <c r="CA35" s="4"/>
      <c r="CB35" s="30"/>
      <c r="CC35" s="30"/>
      <c r="CD35" s="30"/>
      <c r="CE35" s="30"/>
      <c r="CF35" s="4"/>
      <c r="CG35" s="4"/>
      <c r="CH35" s="30"/>
      <c r="CI35" s="30"/>
      <c r="CJ35" s="30"/>
      <c r="CK35" s="30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30"/>
      <c r="DA35" s="30"/>
      <c r="DB35" s="30"/>
      <c r="DC35" s="30"/>
      <c r="DD35" s="4"/>
      <c r="DE35" s="4"/>
      <c r="DF35" s="4"/>
      <c r="DG35" s="4"/>
      <c r="DH35" s="4"/>
      <c r="DI35" s="4"/>
      <c r="DJ35" s="4"/>
      <c r="DK35" s="4"/>
      <c r="DL35" s="30"/>
      <c r="DM35" s="30"/>
      <c r="DN35" s="30"/>
      <c r="DO35" s="30"/>
      <c r="DP35" s="4"/>
      <c r="DQ35" s="4"/>
      <c r="DR35" s="4"/>
      <c r="DS35" s="4"/>
      <c r="DT35" s="30"/>
      <c r="DU35" s="30"/>
      <c r="DV35" s="30"/>
      <c r="DW35" s="30"/>
      <c r="DX35" s="4"/>
      <c r="DY35" s="4"/>
      <c r="DZ35" s="30"/>
      <c r="EA35" s="30"/>
      <c r="EB35" s="30"/>
      <c r="EC35" s="30"/>
      <c r="ED35" s="4"/>
      <c r="EE35" s="4"/>
      <c r="EF35" s="4"/>
      <c r="EG35" s="4"/>
      <c r="EH35" s="4"/>
      <c r="EI35" s="4"/>
      <c r="EJ35" s="4"/>
      <c r="EK35" s="4"/>
      <c r="EL35" s="4"/>
      <c r="EM35" s="30"/>
      <c r="EN35" s="30"/>
      <c r="EO35" s="30"/>
      <c r="EP35" s="30"/>
      <c r="EQ35" s="4"/>
      <c r="ER35" s="4"/>
      <c r="ES35" s="4"/>
      <c r="ET35" s="4"/>
      <c r="EU35" s="4"/>
      <c r="EV35" s="4"/>
      <c r="EW35" s="4"/>
      <c r="EX35" s="4"/>
      <c r="EY35" s="4"/>
      <c r="EZ35" s="30"/>
      <c r="FA35" s="30"/>
      <c r="FB35" s="30"/>
      <c r="FC35" s="30"/>
      <c r="FD35" s="4"/>
      <c r="FE35" s="4"/>
      <c r="FF35" s="30"/>
      <c r="FG35" s="30"/>
      <c r="FH35" s="30"/>
      <c r="FI35" s="30"/>
      <c r="FJ35" s="4"/>
      <c r="FK35" s="30"/>
      <c r="FL35" s="30"/>
      <c r="FM35" s="30"/>
      <c r="FN35" s="30"/>
      <c r="FO35" s="4"/>
      <c r="FP35" s="4"/>
      <c r="FQ35" s="4"/>
      <c r="FR35" s="30"/>
      <c r="FS35" s="30"/>
      <c r="FT35" s="30"/>
      <c r="FU35" s="30"/>
      <c r="FV35" s="4"/>
      <c r="FW35" s="4"/>
      <c r="FX35" s="4"/>
      <c r="FY35" s="30"/>
      <c r="FZ35" s="30"/>
      <c r="GA35" s="4"/>
      <c r="GB35" s="30"/>
      <c r="GC35" s="30"/>
      <c r="GD35" s="30"/>
      <c r="GE35" s="30"/>
      <c r="GF35" s="4"/>
      <c r="GG35" s="4"/>
      <c r="GH35" s="4"/>
      <c r="GI35" s="4"/>
      <c r="GJ35" s="4"/>
      <c r="GK35" s="4"/>
      <c r="GL35" s="4"/>
      <c r="GM35" s="4"/>
      <c r="GN35" s="30"/>
      <c r="GO35" s="30"/>
      <c r="GP35" s="30"/>
      <c r="GQ35" s="30"/>
      <c r="GR35" s="4"/>
      <c r="GS35" s="4"/>
      <c r="GT35" s="4"/>
      <c r="GU35" s="4"/>
      <c r="GV35" s="4"/>
      <c r="GW35" s="4"/>
      <c r="GX35" s="4"/>
      <c r="GY35" s="30"/>
      <c r="GZ35" s="30"/>
      <c r="HA35" s="30"/>
      <c r="HB35" s="30"/>
      <c r="HC35" s="4"/>
      <c r="HD35" s="4"/>
      <c r="HE35" s="4"/>
      <c r="HF35" s="4"/>
      <c r="HG35" s="4"/>
      <c r="HH35" s="4"/>
    </row>
    <row r="36" spans="1:216" ht="15.75" customHeight="1" x14ac:dyDescent="0.3">
      <c r="A36" s="6">
        <v>4</v>
      </c>
      <c r="B36" s="76" t="s">
        <v>41</v>
      </c>
      <c r="C36" s="63"/>
      <c r="D36" s="64"/>
      <c r="E36" s="25">
        <f t="shared" ref="E36" si="6">E33-(E34+E35)</f>
        <v>7050</v>
      </c>
      <c r="F36" s="40"/>
      <c r="G36" s="1"/>
      <c r="H36" s="1"/>
      <c r="I36" s="1"/>
      <c r="J36" s="1"/>
      <c r="K36" s="1"/>
      <c r="L36" s="1"/>
      <c r="M36" s="1"/>
      <c r="N36" s="1"/>
      <c r="O36" s="3"/>
      <c r="P36" s="35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</row>
    <row r="37" spans="1:216" ht="15.75" customHeight="1" x14ac:dyDescent="0.3">
      <c r="A37" s="62"/>
      <c r="B37" s="63"/>
      <c r="C37" s="63"/>
      <c r="D37" s="63"/>
      <c r="E37" s="63"/>
      <c r="F37" s="39"/>
      <c r="G37" s="20"/>
      <c r="H37" s="20"/>
      <c r="I37" s="20"/>
      <c r="J37" s="20"/>
      <c r="K37" s="20"/>
      <c r="L37" s="20"/>
      <c r="M37" s="20"/>
      <c r="N37" s="20"/>
      <c r="O37" s="23"/>
      <c r="P37" s="35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</row>
    <row r="38" spans="1:216" ht="15.75" customHeight="1" x14ac:dyDescent="0.3">
      <c r="A38" s="16" t="s">
        <v>42</v>
      </c>
      <c r="B38" s="65" t="s">
        <v>43</v>
      </c>
      <c r="C38" s="63"/>
      <c r="D38" s="64"/>
      <c r="E38" s="25"/>
      <c r="F38" s="39"/>
      <c r="G38" s="20"/>
      <c r="H38" s="20"/>
      <c r="I38" s="20"/>
      <c r="J38" s="20"/>
      <c r="K38" s="20"/>
      <c r="L38" s="20"/>
      <c r="M38" s="20"/>
      <c r="N38" s="20"/>
      <c r="O38" s="20"/>
      <c r="P38" s="32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  <c r="GV38" s="33"/>
      <c r="GW38" s="33"/>
      <c r="GX38" s="33"/>
      <c r="GY38" s="33"/>
      <c r="GZ38" s="33"/>
      <c r="HA38" s="33"/>
      <c r="HB38" s="33"/>
      <c r="HC38" s="33"/>
      <c r="HD38" s="33"/>
      <c r="HE38" s="33"/>
      <c r="HF38" s="33"/>
      <c r="HG38" s="33"/>
      <c r="HH38" s="33"/>
    </row>
    <row r="39" spans="1:216" ht="15.75" customHeight="1" x14ac:dyDescent="0.3">
      <c r="A39" s="11"/>
      <c r="B39" s="80" t="s">
        <v>44</v>
      </c>
      <c r="C39" s="78"/>
      <c r="D39" s="6" t="s">
        <v>23</v>
      </c>
      <c r="E39" s="9">
        <f>ALASMALANG!V39+'BENELAN KIDUL'!S39+CANTUK!T39+GAMBOR!N39+GUMIRIH!S39+KEMIRI!U39+LEMAHBANGKULON!Q39+PADANG!Q39+SINGOJURUH!AC39+SINGOLATREN!T39+SUMBERBARU!S39</f>
        <v>24</v>
      </c>
      <c r="F39" s="39"/>
      <c r="G39" s="20"/>
      <c r="H39" s="20"/>
      <c r="I39" s="20"/>
      <c r="J39" s="20"/>
      <c r="K39" s="20"/>
      <c r="L39" s="20"/>
      <c r="M39" s="20"/>
      <c r="N39" s="20"/>
      <c r="O39" s="20"/>
      <c r="P39" s="32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  <c r="GV39" s="33"/>
      <c r="GW39" s="33"/>
      <c r="GX39" s="33"/>
      <c r="GY39" s="33"/>
      <c r="GZ39" s="33"/>
      <c r="HA39" s="33"/>
      <c r="HB39" s="33"/>
      <c r="HC39" s="33"/>
      <c r="HD39" s="33"/>
      <c r="HE39" s="33"/>
      <c r="HF39" s="33"/>
      <c r="HG39" s="33"/>
      <c r="HH39" s="33"/>
    </row>
    <row r="40" spans="1:216" ht="15.75" customHeight="1" x14ac:dyDescent="0.3">
      <c r="A40" s="12"/>
      <c r="B40" s="81"/>
      <c r="C40" s="67"/>
      <c r="D40" s="6" t="s">
        <v>24</v>
      </c>
      <c r="E40" s="9">
        <f>ALASMALANG!V40+'BENELAN KIDUL'!S40+CANTUK!T40+GAMBOR!N40+GUMIRIH!S40+KEMIRI!U40+LEMAHBANGKULON!Q40+PADANG!Q40+SINGOJURUH!AC40+SINGOLATREN!T40+SUMBERBARU!S40</f>
        <v>50</v>
      </c>
      <c r="F40" s="39"/>
      <c r="G40" s="20"/>
      <c r="H40" s="20"/>
      <c r="I40" s="20"/>
      <c r="J40" s="20"/>
      <c r="K40" s="20"/>
      <c r="L40" s="20"/>
      <c r="M40" s="20"/>
      <c r="N40" s="20"/>
      <c r="O40" s="20"/>
      <c r="P40" s="32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33"/>
      <c r="FU40" s="33"/>
      <c r="FV40" s="33"/>
      <c r="FW40" s="33"/>
      <c r="FX40" s="33"/>
      <c r="FY40" s="33"/>
      <c r="FZ40" s="33"/>
      <c r="GA40" s="33"/>
      <c r="GB40" s="33"/>
      <c r="GC40" s="33"/>
      <c r="GD40" s="33"/>
      <c r="GE40" s="33"/>
      <c r="GF40" s="33"/>
      <c r="GG40" s="33"/>
      <c r="GH40" s="33"/>
      <c r="GI40" s="33"/>
      <c r="GJ40" s="33"/>
      <c r="GK40" s="33"/>
      <c r="GL40" s="33"/>
      <c r="GM40" s="33"/>
      <c r="GN40" s="33"/>
      <c r="GO40" s="33"/>
      <c r="GP40" s="33"/>
      <c r="GQ40" s="33"/>
      <c r="GR40" s="33"/>
      <c r="GS40" s="33"/>
      <c r="GT40" s="33"/>
      <c r="GU40" s="33"/>
      <c r="GV40" s="33"/>
      <c r="GW40" s="33"/>
      <c r="GX40" s="33"/>
      <c r="GY40" s="33"/>
      <c r="GZ40" s="33"/>
      <c r="HA40" s="33"/>
      <c r="HB40" s="33"/>
      <c r="HC40" s="33"/>
      <c r="HD40" s="33"/>
      <c r="HE40" s="33"/>
      <c r="HF40" s="33"/>
      <c r="HG40" s="33"/>
      <c r="HH40" s="33"/>
    </row>
    <row r="41" spans="1:216" ht="15.75" customHeight="1" x14ac:dyDescent="0.3">
      <c r="A41" s="14"/>
      <c r="B41" s="82"/>
      <c r="C41" s="68"/>
      <c r="D41" s="5" t="s">
        <v>25</v>
      </c>
      <c r="E41" s="25">
        <f t="shared" ref="E41" si="7">SUM(E39:E40)</f>
        <v>74</v>
      </c>
      <c r="F41" s="39"/>
      <c r="G41" s="20"/>
      <c r="H41" s="20"/>
      <c r="I41" s="20"/>
      <c r="J41" s="20"/>
      <c r="K41" s="20"/>
      <c r="L41" s="20"/>
      <c r="M41" s="20"/>
      <c r="N41" s="20"/>
      <c r="O41" s="20"/>
      <c r="P41" s="32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  <c r="GS41" s="33"/>
      <c r="GT41" s="33"/>
      <c r="GU41" s="33"/>
      <c r="GV41" s="33"/>
      <c r="GW41" s="33"/>
      <c r="GX41" s="33"/>
      <c r="GY41" s="33"/>
      <c r="GZ41" s="33"/>
      <c r="HA41" s="33"/>
      <c r="HB41" s="33"/>
      <c r="HC41" s="33"/>
      <c r="HD41" s="33"/>
      <c r="HE41" s="33"/>
      <c r="HF41" s="33"/>
      <c r="HG41" s="33"/>
      <c r="HH41" s="33"/>
    </row>
    <row r="42" spans="1:216" ht="15.75" customHeight="1" x14ac:dyDescent="0.3">
      <c r="A42" s="83"/>
      <c r="B42" s="82"/>
      <c r="C42" s="82"/>
      <c r="D42" s="68"/>
      <c r="E42" s="9"/>
      <c r="F42" s="39"/>
      <c r="G42" s="20"/>
      <c r="H42" s="20"/>
      <c r="I42" s="20"/>
      <c r="J42" s="20"/>
      <c r="K42" s="20"/>
      <c r="L42" s="20"/>
      <c r="M42" s="20"/>
      <c r="N42" s="20"/>
      <c r="O42" s="20"/>
      <c r="P42" s="32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  <c r="FZ42" s="33"/>
      <c r="GA42" s="33"/>
      <c r="GB42" s="33"/>
      <c r="GC42" s="33"/>
      <c r="GD42" s="33"/>
      <c r="GE42" s="33"/>
      <c r="GF42" s="33"/>
      <c r="GG42" s="33"/>
      <c r="GH42" s="33"/>
      <c r="GI42" s="33"/>
      <c r="GJ42" s="33"/>
      <c r="GK42" s="33"/>
      <c r="GL42" s="33"/>
      <c r="GM42" s="33"/>
      <c r="GN42" s="33"/>
      <c r="GO42" s="33"/>
      <c r="GP42" s="33"/>
      <c r="GQ42" s="33"/>
      <c r="GR42" s="33"/>
      <c r="GS42" s="33"/>
      <c r="GT42" s="33"/>
      <c r="GU42" s="33"/>
      <c r="GV42" s="33"/>
      <c r="GW42" s="33"/>
      <c r="GX42" s="33"/>
      <c r="GY42" s="33"/>
      <c r="GZ42" s="33"/>
      <c r="HA42" s="33"/>
      <c r="HB42" s="33"/>
      <c r="HC42" s="33"/>
      <c r="HD42" s="33"/>
      <c r="HE42" s="33"/>
      <c r="HF42" s="33"/>
      <c r="HG42" s="33"/>
      <c r="HH42" s="33"/>
    </row>
    <row r="43" spans="1:216" ht="15.75" customHeight="1" x14ac:dyDescent="0.3">
      <c r="A43" s="16" t="s">
        <v>45</v>
      </c>
      <c r="B43" s="65" t="s">
        <v>46</v>
      </c>
      <c r="C43" s="63"/>
      <c r="D43" s="64"/>
      <c r="E43" s="25"/>
      <c r="F43" s="39"/>
      <c r="G43" s="20"/>
      <c r="H43" s="20"/>
      <c r="I43" s="20"/>
      <c r="J43" s="20"/>
      <c r="K43" s="20"/>
      <c r="L43" s="20"/>
      <c r="M43" s="20"/>
      <c r="N43" s="20"/>
      <c r="O43" s="20"/>
      <c r="P43" s="32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/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  <c r="GS43" s="33"/>
      <c r="GT43" s="33"/>
      <c r="GU43" s="33"/>
      <c r="GV43" s="33"/>
      <c r="GW43" s="33"/>
      <c r="GX43" s="33"/>
      <c r="GY43" s="33"/>
      <c r="GZ43" s="33"/>
      <c r="HA43" s="33"/>
      <c r="HB43" s="33"/>
      <c r="HC43" s="33"/>
      <c r="HD43" s="33"/>
      <c r="HE43" s="33"/>
      <c r="HF43" s="33"/>
      <c r="HG43" s="33"/>
      <c r="HH43" s="33"/>
    </row>
    <row r="44" spans="1:216" ht="15.75" customHeight="1" x14ac:dyDescent="0.3">
      <c r="A44" s="80" t="s">
        <v>47</v>
      </c>
      <c r="B44" s="85"/>
      <c r="C44" s="85"/>
      <c r="D44" s="78"/>
      <c r="E44" s="9"/>
      <c r="F44" s="39"/>
      <c r="G44" s="20"/>
      <c r="H44" s="20"/>
      <c r="I44" s="20"/>
      <c r="J44" s="20"/>
      <c r="K44" s="20"/>
      <c r="L44" s="20"/>
      <c r="M44" s="20"/>
      <c r="N44" s="20"/>
      <c r="O44" s="20"/>
      <c r="P44" s="32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33"/>
      <c r="FU44" s="33"/>
      <c r="FV44" s="33"/>
      <c r="FW44" s="33"/>
      <c r="FX44" s="33"/>
      <c r="FY44" s="33"/>
      <c r="FZ44" s="33"/>
      <c r="GA44" s="33"/>
      <c r="GB44" s="33"/>
      <c r="GC44" s="33"/>
      <c r="GD44" s="33"/>
      <c r="GE44" s="33"/>
      <c r="GF44" s="33"/>
      <c r="GG44" s="33"/>
      <c r="GH44" s="33"/>
      <c r="GI44" s="33"/>
      <c r="GJ44" s="33"/>
      <c r="GK44" s="33"/>
      <c r="GL44" s="33"/>
      <c r="GM44" s="33"/>
      <c r="GN44" s="33"/>
      <c r="GO44" s="33"/>
      <c r="GP44" s="33"/>
      <c r="GQ44" s="33"/>
      <c r="GR44" s="33"/>
      <c r="GS44" s="33"/>
      <c r="GT44" s="33"/>
      <c r="GU44" s="33"/>
      <c r="GV44" s="33"/>
      <c r="GW44" s="33"/>
      <c r="GX44" s="33"/>
      <c r="GY44" s="33"/>
      <c r="GZ44" s="33"/>
      <c r="HA44" s="33"/>
      <c r="HB44" s="33"/>
      <c r="HC44" s="33"/>
      <c r="HD44" s="33"/>
      <c r="HE44" s="33"/>
      <c r="HF44" s="33"/>
      <c r="HG44" s="33"/>
      <c r="HH44" s="33"/>
    </row>
    <row r="45" spans="1:216" ht="15.75" customHeight="1" x14ac:dyDescent="0.3">
      <c r="A45" s="11" t="s">
        <v>48</v>
      </c>
      <c r="B45" s="17" t="s">
        <v>28</v>
      </c>
      <c r="C45" s="86" t="s">
        <v>49</v>
      </c>
      <c r="D45" s="64"/>
      <c r="E45" s="9">
        <f>ALASMALANG!V45+'BENELAN KIDUL'!S45+CANTUK!T45+GAMBOR!N45+GUMIRIH!S45+KEMIRI!U45+LEMAHBANGKULON!Q45+PADANG!Q45+SINGOJURUH!AC45+SINGOLATREN!T45+SUMBERBARU!S45</f>
        <v>998</v>
      </c>
      <c r="F45" s="40"/>
      <c r="G45" s="1"/>
      <c r="H45" s="1"/>
      <c r="I45" s="1"/>
      <c r="J45" s="1"/>
      <c r="K45" s="1"/>
      <c r="L45" s="1"/>
      <c r="M45" s="1"/>
      <c r="N45" s="1"/>
      <c r="O45" s="1"/>
      <c r="P45" s="34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</row>
    <row r="46" spans="1:216" ht="15.75" customHeight="1" x14ac:dyDescent="0.3">
      <c r="A46" s="11" t="s">
        <v>50</v>
      </c>
      <c r="B46" s="50"/>
      <c r="C46" s="24" t="s">
        <v>115</v>
      </c>
      <c r="D46" s="49"/>
      <c r="E46" s="9">
        <f>ALASMALANG!V46+'BENELAN KIDUL'!S46+CANTUK!T46+GAMBOR!N46+GUMIRIH!S46+KEMIRI!U46+LEMAHBANGKULON!Q46+PADANG!Q46+SINGOJURUH!AC46+SINGOLATREN!T46+SUMBERBARU!S46</f>
        <v>1872</v>
      </c>
      <c r="F46" s="42"/>
      <c r="G46" s="27"/>
      <c r="H46" s="27"/>
      <c r="I46" s="27"/>
      <c r="J46" s="27"/>
      <c r="K46" s="27"/>
      <c r="L46" s="27"/>
      <c r="M46" s="27"/>
      <c r="N46" s="27"/>
      <c r="O46" s="27"/>
      <c r="P46" s="37"/>
      <c r="Q46" s="30"/>
      <c r="R46" s="30"/>
      <c r="S46" s="30"/>
      <c r="T46" s="30"/>
      <c r="U46" s="30"/>
      <c r="V46" s="30"/>
      <c r="W46" s="38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0"/>
      <c r="BM46" s="30"/>
      <c r="BN46" s="30"/>
      <c r="BO46" s="30"/>
      <c r="BP46" s="30"/>
      <c r="BQ46" s="30"/>
      <c r="BR46" s="38"/>
      <c r="BS46" s="30"/>
      <c r="BT46" s="30"/>
      <c r="BU46" s="30"/>
      <c r="BV46" s="30"/>
      <c r="BW46" s="30"/>
      <c r="BX46" s="30"/>
      <c r="BY46" s="30"/>
      <c r="BZ46" s="30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8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8"/>
      <c r="EZ46" s="38"/>
      <c r="FA46" s="38"/>
      <c r="FB46" s="38"/>
      <c r="FC46" s="38"/>
      <c r="FD46" s="38"/>
      <c r="FE46" s="38"/>
      <c r="FF46" s="30"/>
      <c r="FG46" s="30"/>
      <c r="FH46" s="30"/>
      <c r="FI46" s="30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</row>
    <row r="47" spans="1:216" ht="15.75" customHeight="1" x14ac:dyDescent="0.3">
      <c r="A47" s="7"/>
      <c r="B47" s="50"/>
      <c r="C47" s="24" t="s">
        <v>116</v>
      </c>
      <c r="D47" s="49"/>
      <c r="E47" s="9">
        <f>ALASMALANG!V47+'BENELAN KIDUL'!S47+CANTUK!T47+GAMBOR!N47+GUMIRIH!S47+KEMIRI!U47+LEMAHBANGKULON!Q47+PADANG!Q47+SINGOJURUH!AC47+SINGOLATREN!T47+SUMBERBARU!S47</f>
        <v>451</v>
      </c>
      <c r="F47" s="39"/>
      <c r="G47" s="20"/>
      <c r="H47" s="20"/>
      <c r="I47" s="20"/>
      <c r="J47" s="20"/>
      <c r="K47" s="20"/>
      <c r="L47" s="20"/>
      <c r="M47" s="20"/>
      <c r="N47" s="20"/>
      <c r="O47" s="20"/>
      <c r="P47" s="32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33"/>
      <c r="EV47" s="33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33"/>
      <c r="FH47" s="33"/>
      <c r="FI47" s="33"/>
      <c r="FJ47" s="33"/>
      <c r="FK47" s="33"/>
      <c r="FL47" s="33"/>
      <c r="FM47" s="33"/>
      <c r="FN47" s="33"/>
      <c r="FO47" s="33"/>
      <c r="FP47" s="33"/>
      <c r="FQ47" s="33"/>
      <c r="FR47" s="33"/>
      <c r="FS47" s="33"/>
      <c r="FT47" s="33"/>
      <c r="FU47" s="33"/>
      <c r="FV47" s="33"/>
      <c r="FW47" s="33"/>
      <c r="FX47" s="33"/>
      <c r="FY47" s="33"/>
      <c r="FZ47" s="33"/>
      <c r="GA47" s="33"/>
      <c r="GB47" s="33"/>
      <c r="GC47" s="33"/>
      <c r="GD47" s="33"/>
      <c r="GE47" s="33"/>
      <c r="GF47" s="33"/>
      <c r="GG47" s="33"/>
      <c r="GH47" s="33"/>
      <c r="GI47" s="33"/>
      <c r="GJ47" s="33"/>
      <c r="GK47" s="33"/>
      <c r="GL47" s="33"/>
      <c r="GM47" s="33"/>
      <c r="GN47" s="33"/>
      <c r="GO47" s="33"/>
      <c r="GP47" s="33"/>
      <c r="GQ47" s="33"/>
      <c r="GR47" s="33"/>
      <c r="GS47" s="33"/>
      <c r="GT47" s="33"/>
      <c r="GU47" s="33"/>
      <c r="GV47" s="33"/>
      <c r="GW47" s="33"/>
      <c r="GX47" s="33"/>
      <c r="GY47" s="33"/>
      <c r="GZ47" s="33"/>
      <c r="HA47" s="33"/>
      <c r="HB47" s="33"/>
      <c r="HC47" s="33"/>
      <c r="HD47" s="33"/>
      <c r="HE47" s="33"/>
      <c r="HF47" s="33"/>
      <c r="HG47" s="33"/>
      <c r="HH47" s="33"/>
    </row>
    <row r="48" spans="1:216" ht="15.75" customHeight="1" x14ac:dyDescent="0.3">
      <c r="A48" s="7"/>
      <c r="B48" s="50"/>
      <c r="C48" s="24" t="s">
        <v>117</v>
      </c>
      <c r="D48" s="49"/>
      <c r="E48" s="9">
        <f>ALASMALANG!V48+'BENELAN KIDUL'!S48+CANTUK!T48+GAMBOR!N48+GUMIRIH!S48+KEMIRI!U48+LEMAHBANGKULON!Q48+PADANG!Q48+SINGOJURUH!AC48+SINGOLATREN!T48+SUMBERBARU!S48</f>
        <v>120</v>
      </c>
      <c r="F48" s="39"/>
      <c r="G48" s="20"/>
      <c r="H48" s="20"/>
      <c r="I48" s="20"/>
      <c r="J48" s="20"/>
      <c r="K48" s="20"/>
      <c r="L48" s="20"/>
      <c r="M48" s="20"/>
      <c r="N48" s="20"/>
      <c r="O48" s="20"/>
      <c r="P48" s="32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/>
      <c r="FR48" s="33"/>
      <c r="FS48" s="33"/>
      <c r="FT48" s="33"/>
      <c r="FU48" s="33"/>
      <c r="FV48" s="33"/>
      <c r="FW48" s="33"/>
      <c r="FX48" s="33"/>
      <c r="FY48" s="33"/>
      <c r="FZ48" s="33"/>
      <c r="GA48" s="33"/>
      <c r="GB48" s="33"/>
      <c r="GC48" s="33"/>
      <c r="GD48" s="33"/>
      <c r="GE48" s="33"/>
      <c r="GF48" s="33"/>
      <c r="GG48" s="33"/>
      <c r="GH48" s="33"/>
      <c r="GI48" s="33"/>
      <c r="GJ48" s="33"/>
      <c r="GK48" s="33"/>
      <c r="GL48" s="33"/>
      <c r="GM48" s="33"/>
      <c r="GN48" s="33"/>
      <c r="GO48" s="33"/>
      <c r="GP48" s="33"/>
      <c r="GQ48" s="33"/>
      <c r="GR48" s="33"/>
      <c r="GS48" s="33"/>
      <c r="GT48" s="33"/>
      <c r="GU48" s="33"/>
      <c r="GV48" s="33"/>
      <c r="GW48" s="33"/>
      <c r="GX48" s="33"/>
      <c r="GY48" s="33"/>
      <c r="GZ48" s="33"/>
      <c r="HA48" s="33"/>
      <c r="HB48" s="33"/>
      <c r="HC48" s="33"/>
      <c r="HD48" s="33"/>
      <c r="HE48" s="33"/>
      <c r="HF48" s="33"/>
      <c r="HG48" s="33"/>
      <c r="HH48" s="33"/>
    </row>
    <row r="49" spans="1:216" ht="15.75" customHeight="1" x14ac:dyDescent="0.3">
      <c r="A49" s="7"/>
      <c r="B49" s="50"/>
      <c r="C49" s="24" t="s">
        <v>118</v>
      </c>
      <c r="D49" s="49"/>
      <c r="E49" s="9">
        <f>ALASMALANG!V49+'BENELAN KIDUL'!S49+CANTUK!T49+GAMBOR!N49+GUMIRIH!S49+KEMIRI!U49+LEMAHBANGKULON!Q49+PADANG!Q49+SINGOJURUH!AC49+SINGOLATREN!T49+SUMBERBARU!S49</f>
        <v>163</v>
      </c>
      <c r="F49" s="39"/>
      <c r="G49" s="20"/>
      <c r="H49" s="20"/>
      <c r="I49" s="20"/>
      <c r="J49" s="20"/>
      <c r="K49" s="20"/>
      <c r="L49" s="20"/>
      <c r="M49" s="20"/>
      <c r="N49" s="20"/>
      <c r="O49" s="20"/>
      <c r="P49" s="32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  <c r="EW49" s="33"/>
      <c r="EX49" s="33"/>
      <c r="EY49" s="33"/>
      <c r="EZ49" s="33"/>
      <c r="FA49" s="33"/>
      <c r="FB49" s="33"/>
      <c r="FC49" s="33"/>
      <c r="FD49" s="33"/>
      <c r="FE49" s="33"/>
      <c r="FF49" s="33"/>
      <c r="FG49" s="33"/>
      <c r="FH49" s="33"/>
      <c r="FI49" s="33"/>
      <c r="FJ49" s="33"/>
      <c r="FK49" s="33"/>
      <c r="FL49" s="33"/>
      <c r="FM49" s="33"/>
      <c r="FN49" s="33"/>
      <c r="FO49" s="33"/>
      <c r="FP49" s="33"/>
      <c r="FQ49" s="33"/>
      <c r="FR49" s="33"/>
      <c r="FS49" s="33"/>
      <c r="FT49" s="33"/>
      <c r="FU49" s="33"/>
      <c r="FV49" s="33"/>
      <c r="FW49" s="33"/>
      <c r="FX49" s="33"/>
      <c r="FY49" s="33"/>
      <c r="FZ49" s="33"/>
      <c r="GA49" s="33"/>
      <c r="GB49" s="33"/>
      <c r="GC49" s="33"/>
      <c r="GD49" s="33"/>
      <c r="GE49" s="33"/>
      <c r="GF49" s="33"/>
      <c r="GG49" s="33"/>
      <c r="GH49" s="33"/>
      <c r="GI49" s="33"/>
      <c r="GJ49" s="33"/>
      <c r="GK49" s="33"/>
      <c r="GL49" s="33"/>
      <c r="GM49" s="33"/>
      <c r="GN49" s="33"/>
      <c r="GO49" s="33"/>
      <c r="GP49" s="33"/>
      <c r="GQ49" s="33"/>
      <c r="GR49" s="33"/>
      <c r="GS49" s="33"/>
      <c r="GT49" s="33"/>
      <c r="GU49" s="33"/>
      <c r="GV49" s="33"/>
      <c r="GW49" s="33"/>
      <c r="GX49" s="33"/>
      <c r="GY49" s="33"/>
      <c r="GZ49" s="33"/>
      <c r="HA49" s="33"/>
      <c r="HB49" s="33"/>
      <c r="HC49" s="33"/>
      <c r="HD49" s="33"/>
      <c r="HE49" s="33"/>
      <c r="HF49" s="33"/>
      <c r="HG49" s="33"/>
      <c r="HH49" s="33"/>
    </row>
    <row r="50" spans="1:216" ht="15.75" customHeight="1" x14ac:dyDescent="0.3">
      <c r="A50" s="7"/>
      <c r="B50" s="50"/>
      <c r="C50" s="24" t="s">
        <v>119</v>
      </c>
      <c r="D50" s="49"/>
      <c r="E50" s="9">
        <f>ALASMALANG!V50+'BENELAN KIDUL'!S50+CANTUK!T50+GAMBOR!N50+GUMIRIH!S50+KEMIRI!U50+LEMAHBANGKULON!Q50+PADANG!Q50+SINGOJURUH!AC50+SINGOLATREN!T50+SUMBERBARU!S50</f>
        <v>67</v>
      </c>
      <c r="F50" s="39"/>
      <c r="G50" s="20"/>
      <c r="H50" s="20"/>
      <c r="I50" s="20"/>
      <c r="J50" s="20"/>
      <c r="K50" s="20"/>
      <c r="L50" s="20"/>
      <c r="M50" s="20"/>
      <c r="N50" s="20"/>
      <c r="O50" s="20"/>
      <c r="P50" s="32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  <c r="EE50" s="33"/>
      <c r="EF50" s="33"/>
      <c r="EG50" s="33"/>
      <c r="EH50" s="33"/>
      <c r="EI50" s="33"/>
      <c r="EJ50" s="33"/>
      <c r="EK50" s="33"/>
      <c r="EL50" s="33"/>
      <c r="EM50" s="33"/>
      <c r="EN50" s="33"/>
      <c r="EO50" s="33"/>
      <c r="EP50" s="33"/>
      <c r="EQ50" s="33"/>
      <c r="ER50" s="33"/>
      <c r="ES50" s="33"/>
      <c r="ET50" s="33"/>
      <c r="EU50" s="33"/>
      <c r="EV50" s="33"/>
      <c r="EW50" s="33"/>
      <c r="EX50" s="33"/>
      <c r="EY50" s="33"/>
      <c r="EZ50" s="33"/>
      <c r="FA50" s="33"/>
      <c r="FB50" s="33"/>
      <c r="FC50" s="33"/>
      <c r="FD50" s="33"/>
      <c r="FE50" s="33"/>
      <c r="FF50" s="33"/>
      <c r="FG50" s="33"/>
      <c r="FH50" s="33"/>
      <c r="FI50" s="33"/>
      <c r="FJ50" s="33"/>
      <c r="FK50" s="33"/>
      <c r="FL50" s="33"/>
      <c r="FM50" s="33"/>
      <c r="FN50" s="33"/>
      <c r="FO50" s="33"/>
      <c r="FP50" s="33"/>
      <c r="FQ50" s="33"/>
      <c r="FR50" s="33"/>
      <c r="FS50" s="33"/>
      <c r="FT50" s="33"/>
      <c r="FU50" s="33"/>
      <c r="FV50" s="33"/>
      <c r="FW50" s="33"/>
      <c r="FX50" s="33"/>
      <c r="FY50" s="33"/>
      <c r="FZ50" s="33"/>
      <c r="GA50" s="33"/>
      <c r="GB50" s="33"/>
      <c r="GC50" s="33"/>
      <c r="GD50" s="33"/>
      <c r="GE50" s="33"/>
      <c r="GF50" s="33"/>
      <c r="GG50" s="33"/>
      <c r="GH50" s="33"/>
      <c r="GI50" s="33"/>
      <c r="GJ50" s="33"/>
      <c r="GK50" s="33"/>
      <c r="GL50" s="33"/>
      <c r="GM50" s="33"/>
      <c r="GN50" s="33"/>
      <c r="GO50" s="33"/>
      <c r="GP50" s="33"/>
      <c r="GQ50" s="33"/>
      <c r="GR50" s="33"/>
      <c r="GS50" s="33"/>
      <c r="GT50" s="33"/>
      <c r="GU50" s="33"/>
      <c r="GV50" s="33"/>
      <c r="GW50" s="33"/>
      <c r="GX50" s="33"/>
      <c r="GY50" s="33"/>
      <c r="GZ50" s="33"/>
      <c r="HA50" s="33"/>
      <c r="HB50" s="33"/>
      <c r="HC50" s="33"/>
      <c r="HD50" s="33"/>
      <c r="HE50" s="33"/>
      <c r="HF50" s="33"/>
      <c r="HG50" s="33"/>
      <c r="HH50" s="33"/>
    </row>
    <row r="51" spans="1:216" ht="15.75" customHeight="1" x14ac:dyDescent="0.3">
      <c r="A51" s="7"/>
      <c r="B51" s="50"/>
      <c r="C51" s="24" t="s">
        <v>120</v>
      </c>
      <c r="D51" s="49"/>
      <c r="E51" s="9">
        <f>ALASMALANG!V51+'BENELAN KIDUL'!S51+CANTUK!T51+GAMBOR!N51+GUMIRIH!S51+KEMIRI!U51+LEMAHBANGKULON!Q51+PADANG!Q51+SINGOJURUH!AC51+SINGOLATREN!T51+SUMBERBARU!S51</f>
        <v>42</v>
      </c>
      <c r="F51" s="39"/>
      <c r="G51" s="20"/>
      <c r="H51" s="20"/>
      <c r="I51" s="20"/>
      <c r="J51" s="20"/>
      <c r="K51" s="20"/>
      <c r="L51" s="20"/>
      <c r="M51" s="20"/>
      <c r="N51" s="20"/>
      <c r="O51" s="20"/>
      <c r="P51" s="32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/>
      <c r="EQ51" s="33"/>
      <c r="ER51" s="33"/>
      <c r="ES51" s="33"/>
      <c r="ET51" s="33"/>
      <c r="EU51" s="33"/>
      <c r="EV51" s="33"/>
      <c r="EW51" s="33"/>
      <c r="EX51" s="33"/>
      <c r="EY51" s="33"/>
      <c r="EZ51" s="33"/>
      <c r="FA51" s="33"/>
      <c r="FB51" s="33"/>
      <c r="FC51" s="33"/>
      <c r="FD51" s="33"/>
      <c r="FE51" s="33"/>
      <c r="FF51" s="33"/>
      <c r="FG51" s="33"/>
      <c r="FH51" s="33"/>
      <c r="FI51" s="33"/>
      <c r="FJ51" s="33"/>
      <c r="FK51" s="33"/>
      <c r="FL51" s="33"/>
      <c r="FM51" s="33"/>
      <c r="FN51" s="33"/>
      <c r="FO51" s="33"/>
      <c r="FP51" s="33"/>
      <c r="FQ51" s="33"/>
      <c r="FR51" s="33"/>
      <c r="FS51" s="33"/>
      <c r="FT51" s="33"/>
      <c r="FU51" s="33"/>
      <c r="FV51" s="33"/>
      <c r="FW51" s="33"/>
      <c r="FX51" s="33"/>
      <c r="FY51" s="33"/>
      <c r="FZ51" s="33"/>
      <c r="GA51" s="33"/>
      <c r="GB51" s="33"/>
      <c r="GC51" s="33"/>
      <c r="GD51" s="33"/>
      <c r="GE51" s="33"/>
      <c r="GF51" s="33"/>
      <c r="GG51" s="33"/>
      <c r="GH51" s="33"/>
      <c r="GI51" s="33"/>
      <c r="GJ51" s="33"/>
      <c r="GK51" s="33"/>
      <c r="GL51" s="33"/>
      <c r="GM51" s="33"/>
      <c r="GN51" s="33"/>
      <c r="GO51" s="33"/>
      <c r="GP51" s="33"/>
      <c r="GQ51" s="33"/>
      <c r="GR51" s="33"/>
      <c r="GS51" s="33"/>
      <c r="GT51" s="33"/>
      <c r="GU51" s="33"/>
      <c r="GV51" s="33"/>
      <c r="GW51" s="33"/>
      <c r="GX51" s="33"/>
      <c r="GY51" s="33"/>
      <c r="GZ51" s="33"/>
      <c r="HA51" s="33"/>
      <c r="HB51" s="33"/>
      <c r="HC51" s="33"/>
      <c r="HD51" s="33"/>
      <c r="HE51" s="33"/>
      <c r="HF51" s="33"/>
      <c r="HG51" s="33"/>
      <c r="HH51" s="33"/>
    </row>
    <row r="52" spans="1:216" ht="15.75" customHeight="1" x14ac:dyDescent="0.3">
      <c r="A52" s="7"/>
      <c r="B52" s="50"/>
      <c r="C52" s="24" t="s">
        <v>121</v>
      </c>
      <c r="D52" s="49"/>
      <c r="E52" s="9">
        <f>ALASMALANG!V52+'BENELAN KIDUL'!S52+CANTUK!T52+GAMBOR!N52+GUMIRIH!S52+KEMIRI!U52+LEMAHBANGKULON!Q52+PADANG!Q52+SINGOJURUH!AC52+SINGOLATREN!T52+SUMBERBARU!S52</f>
        <v>30</v>
      </c>
      <c r="F52" s="39"/>
      <c r="G52" s="20"/>
      <c r="H52" s="20"/>
      <c r="I52" s="20"/>
      <c r="J52" s="20"/>
      <c r="K52" s="20"/>
      <c r="L52" s="20"/>
      <c r="M52" s="20"/>
      <c r="N52" s="20"/>
      <c r="O52" s="20"/>
      <c r="P52" s="32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33"/>
      <c r="EQ52" s="33"/>
      <c r="ER52" s="33"/>
      <c r="ES52" s="33"/>
      <c r="ET52" s="33"/>
      <c r="EU52" s="33"/>
      <c r="EV52" s="33"/>
      <c r="EW52" s="33"/>
      <c r="EX52" s="33"/>
      <c r="EY52" s="33"/>
      <c r="EZ52" s="33"/>
      <c r="FA52" s="33"/>
      <c r="FB52" s="33"/>
      <c r="FC52" s="33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3"/>
      <c r="FP52" s="33"/>
      <c r="FQ52" s="33"/>
      <c r="FR52" s="33"/>
      <c r="FS52" s="33"/>
      <c r="FT52" s="33"/>
      <c r="FU52" s="33"/>
      <c r="FV52" s="33"/>
      <c r="FW52" s="33"/>
      <c r="FX52" s="33"/>
      <c r="FY52" s="33"/>
      <c r="FZ52" s="33"/>
      <c r="GA52" s="33"/>
      <c r="GB52" s="33"/>
      <c r="GC52" s="33"/>
      <c r="GD52" s="33"/>
      <c r="GE52" s="33"/>
      <c r="GF52" s="33"/>
      <c r="GG52" s="33"/>
      <c r="GH52" s="33"/>
      <c r="GI52" s="33"/>
      <c r="GJ52" s="33"/>
      <c r="GK52" s="33"/>
      <c r="GL52" s="33"/>
      <c r="GM52" s="33"/>
      <c r="GN52" s="33"/>
      <c r="GO52" s="33"/>
      <c r="GP52" s="33"/>
      <c r="GQ52" s="33"/>
      <c r="GR52" s="33"/>
      <c r="GS52" s="33"/>
      <c r="GT52" s="33"/>
      <c r="GU52" s="33"/>
      <c r="GV52" s="33"/>
      <c r="GW52" s="33"/>
      <c r="GX52" s="33"/>
      <c r="GY52" s="33"/>
      <c r="GZ52" s="33"/>
      <c r="HA52" s="33"/>
      <c r="HB52" s="33"/>
      <c r="HC52" s="33"/>
      <c r="HD52" s="33"/>
      <c r="HE52" s="33"/>
      <c r="HF52" s="33"/>
      <c r="HG52" s="33"/>
      <c r="HH52" s="33"/>
    </row>
    <row r="53" spans="1:216" ht="15.75" customHeight="1" x14ac:dyDescent="0.3">
      <c r="A53" s="7"/>
      <c r="B53" s="50"/>
      <c r="C53" s="24" t="s">
        <v>122</v>
      </c>
      <c r="D53" s="51"/>
      <c r="E53" s="9">
        <f>ALASMALANG!V53+'BENELAN KIDUL'!S53+CANTUK!T53+GAMBOR!N53+GUMIRIH!S53+KEMIRI!U53+LEMAHBANGKULON!Q53+PADANG!Q53+SINGOJURUH!AC53+SINGOLATREN!T53+SUMBERBARU!S53</f>
        <v>16</v>
      </c>
      <c r="F53" s="39"/>
      <c r="G53" s="20"/>
      <c r="H53" s="20"/>
      <c r="I53" s="20"/>
      <c r="J53" s="20"/>
      <c r="K53" s="20"/>
      <c r="L53" s="20"/>
      <c r="M53" s="20"/>
      <c r="N53" s="20"/>
      <c r="O53" s="20"/>
      <c r="P53" s="32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  <c r="EW53" s="33"/>
      <c r="EX53" s="33"/>
      <c r="EY53" s="33"/>
      <c r="EZ53" s="33"/>
      <c r="FA53" s="33"/>
      <c r="FB53" s="33"/>
      <c r="FC53" s="33"/>
      <c r="FD53" s="33"/>
      <c r="FE53" s="33"/>
      <c r="FF53" s="33"/>
      <c r="FG53" s="33"/>
      <c r="FH53" s="33"/>
      <c r="FI53" s="33"/>
      <c r="FJ53" s="33"/>
      <c r="FK53" s="33"/>
      <c r="FL53" s="33"/>
      <c r="FM53" s="33"/>
      <c r="FN53" s="33"/>
      <c r="FO53" s="33"/>
      <c r="FP53" s="33"/>
      <c r="FQ53" s="33"/>
      <c r="FR53" s="33"/>
      <c r="FS53" s="33"/>
      <c r="FT53" s="33"/>
      <c r="FU53" s="33"/>
      <c r="FV53" s="33"/>
      <c r="FW53" s="33"/>
      <c r="FX53" s="33"/>
      <c r="FY53" s="33"/>
      <c r="FZ53" s="33"/>
      <c r="GA53" s="33"/>
      <c r="GB53" s="33"/>
      <c r="GC53" s="33"/>
      <c r="GD53" s="33"/>
      <c r="GE53" s="33"/>
      <c r="GF53" s="33"/>
      <c r="GG53" s="33"/>
      <c r="GH53" s="33"/>
      <c r="GI53" s="33"/>
      <c r="GJ53" s="33"/>
      <c r="GK53" s="33"/>
      <c r="GL53" s="33"/>
      <c r="GM53" s="33"/>
      <c r="GN53" s="33"/>
      <c r="GO53" s="33"/>
      <c r="GP53" s="33"/>
      <c r="GQ53" s="33"/>
      <c r="GR53" s="33"/>
      <c r="GS53" s="33"/>
      <c r="GT53" s="33"/>
      <c r="GU53" s="33"/>
      <c r="GV53" s="33"/>
      <c r="GW53" s="33"/>
      <c r="GX53" s="33"/>
      <c r="GY53" s="33"/>
      <c r="GZ53" s="33"/>
      <c r="HA53" s="33"/>
      <c r="HB53" s="33"/>
      <c r="HC53" s="33"/>
      <c r="HD53" s="33"/>
      <c r="HE53" s="33"/>
      <c r="HF53" s="33"/>
      <c r="HG53" s="33"/>
      <c r="HH53" s="33"/>
    </row>
    <row r="54" spans="1:216" ht="15.75" customHeight="1" x14ac:dyDescent="0.3">
      <c r="A54" s="7"/>
      <c r="B54" s="50"/>
      <c r="C54" s="24" t="s">
        <v>123</v>
      </c>
      <c r="D54" s="49"/>
      <c r="E54" s="9">
        <f>ALASMALANG!V54+'BENELAN KIDUL'!S54+CANTUK!T54+GAMBOR!N54+GUMIRIH!S54+KEMIRI!U54+LEMAHBANGKULON!Q54+PADANG!Q54+SINGOJURUH!AC54+SINGOLATREN!T54+SUMBERBARU!S54</f>
        <v>30</v>
      </c>
      <c r="F54" s="39"/>
      <c r="G54" s="20"/>
      <c r="H54" s="20"/>
      <c r="I54" s="20"/>
      <c r="J54" s="20"/>
      <c r="K54" s="20"/>
      <c r="L54" s="20"/>
      <c r="M54" s="20"/>
      <c r="N54" s="20"/>
      <c r="O54" s="20"/>
      <c r="P54" s="32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L54" s="33"/>
      <c r="DM54" s="33"/>
      <c r="DN54" s="33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3"/>
      <c r="EC54" s="33"/>
      <c r="ED54" s="33"/>
      <c r="EE54" s="33"/>
      <c r="EF54" s="33"/>
      <c r="EG54" s="33"/>
      <c r="EH54" s="33"/>
      <c r="EI54" s="33"/>
      <c r="EJ54" s="33"/>
      <c r="EK54" s="33"/>
      <c r="EL54" s="33"/>
      <c r="EM54" s="33"/>
      <c r="EN54" s="33"/>
      <c r="EO54" s="33"/>
      <c r="EP54" s="33"/>
      <c r="EQ54" s="33"/>
      <c r="ER54" s="33"/>
      <c r="ES54" s="33"/>
      <c r="ET54" s="33"/>
      <c r="EU54" s="33"/>
      <c r="EV54" s="33"/>
      <c r="EW54" s="33"/>
      <c r="EX54" s="33"/>
      <c r="EY54" s="33"/>
      <c r="EZ54" s="33"/>
      <c r="FA54" s="33"/>
      <c r="FB54" s="33"/>
      <c r="FC54" s="33"/>
      <c r="FD54" s="33"/>
      <c r="FE54" s="33"/>
      <c r="FF54" s="33"/>
      <c r="FG54" s="33"/>
      <c r="FH54" s="33"/>
      <c r="FI54" s="33"/>
      <c r="FJ54" s="33"/>
      <c r="FK54" s="33"/>
      <c r="FL54" s="33"/>
      <c r="FM54" s="33"/>
      <c r="FN54" s="33"/>
      <c r="FO54" s="33"/>
      <c r="FP54" s="33"/>
      <c r="FQ54" s="33"/>
      <c r="FR54" s="33"/>
      <c r="FS54" s="33"/>
      <c r="FT54" s="33"/>
      <c r="FU54" s="33"/>
      <c r="FV54" s="33"/>
      <c r="FW54" s="33"/>
      <c r="FX54" s="33"/>
      <c r="FY54" s="33"/>
      <c r="FZ54" s="33"/>
      <c r="GA54" s="33"/>
      <c r="GB54" s="33"/>
      <c r="GC54" s="33"/>
      <c r="GD54" s="33"/>
      <c r="GE54" s="33"/>
      <c r="GF54" s="33"/>
      <c r="GG54" s="33"/>
      <c r="GH54" s="33"/>
      <c r="GI54" s="33"/>
      <c r="GJ54" s="33"/>
      <c r="GK54" s="33"/>
      <c r="GL54" s="33"/>
      <c r="GM54" s="33"/>
      <c r="GN54" s="33"/>
      <c r="GO54" s="33"/>
      <c r="GP54" s="33"/>
      <c r="GQ54" s="33"/>
      <c r="GR54" s="33"/>
      <c r="GS54" s="33"/>
      <c r="GT54" s="33"/>
      <c r="GU54" s="33"/>
      <c r="GV54" s="33"/>
      <c r="GW54" s="33"/>
      <c r="GX54" s="33"/>
      <c r="GY54" s="33"/>
      <c r="GZ54" s="33"/>
      <c r="HA54" s="33"/>
      <c r="HB54" s="33"/>
      <c r="HC54" s="33"/>
      <c r="HD54" s="33"/>
      <c r="HE54" s="33"/>
      <c r="HF54" s="33"/>
      <c r="HG54" s="33"/>
      <c r="HH54" s="33"/>
    </row>
    <row r="55" spans="1:216" ht="15.75" customHeight="1" x14ac:dyDescent="0.3">
      <c r="A55" s="6" t="s">
        <v>26</v>
      </c>
      <c r="B55" s="84" t="s">
        <v>51</v>
      </c>
      <c r="C55" s="63"/>
      <c r="D55" s="64"/>
      <c r="E55" s="5">
        <f>SUM(E45:E54)</f>
        <v>3789</v>
      </c>
      <c r="F55" s="39"/>
      <c r="G55" s="20"/>
      <c r="H55" s="20"/>
      <c r="I55" s="20"/>
      <c r="J55" s="20"/>
      <c r="K55" s="20"/>
      <c r="L55" s="20"/>
      <c r="M55" s="20"/>
      <c r="N55" s="20"/>
      <c r="O55" s="20"/>
      <c r="P55" s="32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/>
      <c r="EN55" s="33"/>
      <c r="EO55" s="33"/>
      <c r="EP55" s="33"/>
      <c r="EQ55" s="33"/>
      <c r="ER55" s="33"/>
      <c r="ES55" s="33"/>
      <c r="ET55" s="33"/>
      <c r="EU55" s="33"/>
      <c r="EV55" s="33"/>
      <c r="EW55" s="33"/>
      <c r="EX55" s="33"/>
      <c r="EY55" s="33"/>
      <c r="EZ55" s="33"/>
      <c r="FA55" s="33"/>
      <c r="FB55" s="33"/>
      <c r="FC55" s="33"/>
      <c r="FD55" s="33"/>
      <c r="FE55" s="33"/>
      <c r="FF55" s="33"/>
      <c r="FG55" s="33"/>
      <c r="FH55" s="33"/>
      <c r="FI55" s="33"/>
      <c r="FJ55" s="33"/>
      <c r="FK55" s="33"/>
      <c r="FL55" s="33"/>
      <c r="FM55" s="33"/>
      <c r="FN55" s="33"/>
      <c r="FO55" s="33"/>
      <c r="FP55" s="33"/>
      <c r="FQ55" s="33"/>
      <c r="FR55" s="33"/>
      <c r="FS55" s="33"/>
      <c r="FT55" s="33"/>
      <c r="FU55" s="33"/>
      <c r="FV55" s="33"/>
      <c r="FW55" s="33"/>
      <c r="FX55" s="33"/>
      <c r="FY55" s="33"/>
      <c r="FZ55" s="33"/>
      <c r="GA55" s="33"/>
      <c r="GB55" s="33"/>
      <c r="GC55" s="33"/>
      <c r="GD55" s="33"/>
      <c r="GE55" s="33"/>
      <c r="GF55" s="33"/>
      <c r="GG55" s="33"/>
      <c r="GH55" s="33"/>
      <c r="GI55" s="33"/>
      <c r="GJ55" s="33"/>
      <c r="GK55" s="33"/>
      <c r="GL55" s="33"/>
      <c r="GM55" s="33"/>
      <c r="GN55" s="33"/>
      <c r="GO55" s="33"/>
      <c r="GP55" s="33"/>
      <c r="GQ55" s="33"/>
      <c r="GR55" s="33"/>
      <c r="GS55" s="33"/>
      <c r="GT55" s="33"/>
      <c r="GU55" s="33"/>
      <c r="GV55" s="33"/>
      <c r="GW55" s="33"/>
      <c r="GX55" s="33"/>
      <c r="GY55" s="33"/>
      <c r="GZ55" s="33"/>
      <c r="HA55" s="33"/>
      <c r="HB55" s="33"/>
      <c r="HC55" s="33"/>
      <c r="HD55" s="33"/>
      <c r="HE55" s="33"/>
      <c r="HF55" s="33"/>
      <c r="HG55" s="33"/>
      <c r="HH55" s="33"/>
    </row>
    <row r="56" spans="1:216" ht="15.75" customHeight="1" x14ac:dyDescent="0.3">
      <c r="A56" s="83"/>
      <c r="B56" s="82"/>
      <c r="C56" s="82"/>
      <c r="D56" s="82"/>
      <c r="E56" s="82"/>
      <c r="F56" s="39"/>
      <c r="G56" s="20"/>
      <c r="H56" s="20"/>
      <c r="I56" s="20"/>
      <c r="J56" s="20"/>
      <c r="K56" s="20"/>
      <c r="L56" s="20"/>
      <c r="M56" s="20"/>
      <c r="N56" s="20"/>
      <c r="O56" s="20"/>
      <c r="P56" s="32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33"/>
      <c r="FH56" s="33"/>
      <c r="FI56" s="33"/>
      <c r="FJ56" s="33"/>
      <c r="FK56" s="33"/>
      <c r="FL56" s="33"/>
      <c r="FM56" s="33"/>
      <c r="FN56" s="33"/>
      <c r="FO56" s="33"/>
      <c r="FP56" s="33"/>
      <c r="FQ56" s="33"/>
      <c r="FR56" s="33"/>
      <c r="FS56" s="33"/>
      <c r="FT56" s="33"/>
      <c r="FU56" s="33"/>
      <c r="FV56" s="33"/>
      <c r="FW56" s="33"/>
      <c r="FX56" s="33"/>
      <c r="FY56" s="33"/>
      <c r="FZ56" s="33"/>
      <c r="GA56" s="33"/>
      <c r="GB56" s="33"/>
      <c r="GC56" s="33"/>
      <c r="GD56" s="33"/>
      <c r="GE56" s="33"/>
      <c r="GF56" s="33"/>
      <c r="GG56" s="33"/>
      <c r="GH56" s="33"/>
      <c r="GI56" s="33"/>
      <c r="GJ56" s="33"/>
      <c r="GK56" s="33"/>
      <c r="GL56" s="33"/>
      <c r="GM56" s="33"/>
      <c r="GN56" s="33"/>
      <c r="GO56" s="33"/>
      <c r="GP56" s="33"/>
      <c r="GQ56" s="33"/>
      <c r="GR56" s="33"/>
      <c r="GS56" s="33"/>
      <c r="GT56" s="33"/>
      <c r="GU56" s="33"/>
      <c r="GV56" s="33"/>
      <c r="GW56" s="33"/>
      <c r="GX56" s="33"/>
      <c r="GY56" s="33"/>
      <c r="GZ56" s="33"/>
      <c r="HA56" s="33"/>
      <c r="HB56" s="33"/>
      <c r="HC56" s="33"/>
      <c r="HD56" s="33"/>
      <c r="HE56" s="33"/>
      <c r="HF56" s="33"/>
      <c r="HG56" s="33"/>
      <c r="HH56" s="33"/>
    </row>
    <row r="57" spans="1:216" ht="15.75" customHeight="1" x14ac:dyDescent="0.3">
      <c r="A57" s="11" t="s">
        <v>48</v>
      </c>
      <c r="B57" s="17" t="s">
        <v>30</v>
      </c>
      <c r="C57" s="86" t="s">
        <v>52</v>
      </c>
      <c r="D57" s="64"/>
      <c r="E57" s="9">
        <f>ALASMALANG!V57+'BENELAN KIDUL'!S57+CANTUK!T57+GAMBOR!N57+GUMIRIH!S57+KEMIRI!U57+LEMAHBANGKULON!Q57+PADANG!Q57+SINGOJURUH!AC57+SINGOLATREN!T57+SUMBERBARU!S57</f>
        <v>2065</v>
      </c>
      <c r="F57" s="40"/>
      <c r="G57" s="1"/>
      <c r="H57" s="1"/>
      <c r="I57" s="1"/>
      <c r="J57" s="1"/>
      <c r="K57" s="1"/>
      <c r="L57" s="1"/>
      <c r="M57" s="1"/>
      <c r="N57" s="1"/>
      <c r="O57" s="1"/>
      <c r="P57" s="34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  <c r="HA57" s="31"/>
      <c r="HB57" s="31"/>
      <c r="HC57" s="31"/>
      <c r="HD57" s="31"/>
      <c r="HE57" s="31"/>
      <c r="HF57" s="31"/>
      <c r="HG57" s="31"/>
      <c r="HH57" s="31"/>
    </row>
    <row r="58" spans="1:216" ht="15.75" customHeight="1" x14ac:dyDescent="0.3">
      <c r="A58" s="11" t="s">
        <v>50</v>
      </c>
      <c r="B58" s="50"/>
      <c r="C58" s="24" t="s">
        <v>124</v>
      </c>
      <c r="D58" s="49"/>
      <c r="E58" s="9">
        <f>ALASMALANG!V58+'BENELAN KIDUL'!S58+CANTUK!T58+GAMBOR!N58+GUMIRIH!S58+KEMIRI!U58+LEMAHBANGKULON!Q58+PADANG!Q58+SINGOJURUH!AC58+SINGOLATREN!T58+SUMBERBARU!S58</f>
        <v>1571</v>
      </c>
      <c r="F58" s="42"/>
      <c r="G58" s="27"/>
      <c r="H58" s="27"/>
      <c r="I58" s="27"/>
      <c r="J58" s="27"/>
      <c r="K58" s="27"/>
      <c r="L58" s="27"/>
      <c r="M58" s="27"/>
      <c r="N58" s="27"/>
      <c r="O58" s="27"/>
      <c r="P58" s="37"/>
      <c r="Q58" s="30"/>
      <c r="R58" s="30"/>
      <c r="S58" s="30"/>
      <c r="T58" s="30"/>
      <c r="U58" s="30"/>
      <c r="V58" s="30"/>
      <c r="W58" s="38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0"/>
      <c r="BM58" s="30"/>
      <c r="BN58" s="30"/>
      <c r="BO58" s="30"/>
      <c r="BP58" s="30"/>
      <c r="BQ58" s="30"/>
      <c r="BR58" s="38"/>
      <c r="BS58" s="30"/>
      <c r="BT58" s="30"/>
      <c r="BU58" s="30"/>
      <c r="BV58" s="30"/>
      <c r="BW58" s="30"/>
      <c r="BX58" s="30"/>
      <c r="BY58" s="30"/>
      <c r="BZ58" s="30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8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8"/>
      <c r="EZ58" s="38"/>
      <c r="FA58" s="38"/>
      <c r="FB58" s="38"/>
      <c r="FC58" s="38"/>
      <c r="FD58" s="38"/>
      <c r="FE58" s="38"/>
      <c r="FF58" s="30"/>
      <c r="FG58" s="30"/>
      <c r="FH58" s="30"/>
      <c r="FI58" s="30"/>
      <c r="FJ58" s="38"/>
      <c r="FK58" s="38"/>
      <c r="FL58" s="38"/>
      <c r="FM58" s="38"/>
      <c r="FN58" s="38"/>
      <c r="FO58" s="38"/>
      <c r="FP58" s="38"/>
      <c r="FQ58" s="38"/>
      <c r="FR58" s="38"/>
      <c r="FS58" s="38"/>
      <c r="FT58" s="38"/>
      <c r="FU58" s="38"/>
      <c r="FV58" s="38"/>
      <c r="FW58" s="38"/>
      <c r="FX58" s="38"/>
      <c r="FY58" s="38"/>
      <c r="FZ58" s="38"/>
      <c r="GA58" s="38"/>
      <c r="GB58" s="38"/>
      <c r="GC58" s="38"/>
      <c r="GD58" s="38"/>
      <c r="GE58" s="38"/>
      <c r="GF58" s="38"/>
      <c r="GG58" s="38"/>
      <c r="GH58" s="38"/>
      <c r="GI58" s="38"/>
      <c r="GJ58" s="38"/>
      <c r="GK58" s="38"/>
      <c r="GL58" s="38"/>
      <c r="GM58" s="38"/>
      <c r="GN58" s="38"/>
      <c r="GO58" s="38"/>
      <c r="GP58" s="38"/>
      <c r="GQ58" s="38"/>
      <c r="GR58" s="38"/>
      <c r="GS58" s="38"/>
      <c r="GT58" s="38"/>
      <c r="GU58" s="38"/>
      <c r="GV58" s="38"/>
      <c r="GW58" s="38"/>
      <c r="GX58" s="38"/>
      <c r="GY58" s="38"/>
      <c r="GZ58" s="38"/>
      <c r="HA58" s="38"/>
      <c r="HB58" s="38"/>
      <c r="HC58" s="38"/>
      <c r="HD58" s="38"/>
      <c r="HE58" s="38"/>
      <c r="HF58" s="38"/>
      <c r="HG58" s="38"/>
      <c r="HH58" s="38"/>
    </row>
    <row r="59" spans="1:216" ht="15.75" customHeight="1" x14ac:dyDescent="0.3">
      <c r="A59" s="7"/>
      <c r="B59" s="50"/>
      <c r="C59" s="24" t="s">
        <v>125</v>
      </c>
      <c r="D59" s="49"/>
      <c r="E59" s="9">
        <f>ALASMALANG!V59+'BENELAN KIDUL'!S59+CANTUK!T59+GAMBOR!N59+GUMIRIH!S59+KEMIRI!U59+LEMAHBANGKULON!Q59+PADANG!Q59+SINGOJURUH!AC59+SINGOLATREN!T59+SUMBERBARU!S59</f>
        <v>2277</v>
      </c>
      <c r="F59" s="39"/>
      <c r="G59" s="20"/>
      <c r="H59" s="20"/>
      <c r="I59" s="20"/>
      <c r="J59" s="20"/>
      <c r="K59" s="20"/>
      <c r="L59" s="20"/>
      <c r="M59" s="20"/>
      <c r="N59" s="20"/>
      <c r="O59" s="20"/>
      <c r="P59" s="32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/>
      <c r="FB59" s="33"/>
      <c r="FC59" s="33"/>
      <c r="FD59" s="33"/>
      <c r="FE59" s="33"/>
      <c r="FF59" s="33"/>
      <c r="FG59" s="33"/>
      <c r="FH59" s="33"/>
      <c r="FI59" s="33"/>
      <c r="FJ59" s="33"/>
      <c r="FK59" s="33"/>
      <c r="FL59" s="33"/>
      <c r="FM59" s="33"/>
      <c r="FN59" s="33"/>
      <c r="FO59" s="33"/>
      <c r="FP59" s="33"/>
      <c r="FQ59" s="33"/>
      <c r="FR59" s="33"/>
      <c r="FS59" s="33"/>
      <c r="FT59" s="33"/>
      <c r="FU59" s="33"/>
      <c r="FV59" s="33"/>
      <c r="FW59" s="33"/>
      <c r="FX59" s="33"/>
      <c r="FY59" s="33"/>
      <c r="FZ59" s="33"/>
      <c r="GA59" s="33"/>
      <c r="GB59" s="33"/>
      <c r="GC59" s="33"/>
      <c r="GD59" s="33"/>
      <c r="GE59" s="33"/>
      <c r="GF59" s="33"/>
      <c r="GG59" s="33"/>
      <c r="GH59" s="33"/>
      <c r="GI59" s="33"/>
      <c r="GJ59" s="33"/>
      <c r="GK59" s="33"/>
      <c r="GL59" s="33"/>
      <c r="GM59" s="33"/>
      <c r="GN59" s="33"/>
      <c r="GO59" s="33"/>
      <c r="GP59" s="33"/>
      <c r="GQ59" s="33"/>
      <c r="GR59" s="33"/>
      <c r="GS59" s="33"/>
      <c r="GT59" s="33"/>
      <c r="GU59" s="33"/>
      <c r="GV59" s="33"/>
      <c r="GW59" s="33"/>
      <c r="GX59" s="33"/>
      <c r="GY59" s="33"/>
      <c r="GZ59" s="33"/>
      <c r="HA59" s="33"/>
      <c r="HB59" s="33"/>
      <c r="HC59" s="33"/>
      <c r="HD59" s="33"/>
      <c r="HE59" s="33"/>
      <c r="HF59" s="33"/>
      <c r="HG59" s="33"/>
      <c r="HH59" s="33"/>
    </row>
    <row r="60" spans="1:216" ht="15.75" customHeight="1" x14ac:dyDescent="0.3">
      <c r="A60" s="7"/>
      <c r="B60" s="50"/>
      <c r="C60" s="24" t="s">
        <v>126</v>
      </c>
      <c r="D60" s="49"/>
      <c r="E60" s="9">
        <f>ALASMALANG!V60+'BENELAN KIDUL'!S60+CANTUK!T60+GAMBOR!N60+GUMIRIH!S60+KEMIRI!U60+LEMAHBANGKULON!Q60+PADANG!Q60+SINGOJURUH!AC60+SINGOLATREN!T60+SUMBERBARU!S60</f>
        <v>314</v>
      </c>
      <c r="F60" s="39"/>
      <c r="G60" s="20"/>
      <c r="H60" s="20"/>
      <c r="I60" s="20"/>
      <c r="J60" s="20"/>
      <c r="K60" s="20"/>
      <c r="L60" s="20"/>
      <c r="M60" s="20"/>
      <c r="N60" s="20"/>
      <c r="O60" s="20"/>
      <c r="P60" s="32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  <c r="ED60" s="33"/>
      <c r="EE60" s="33"/>
      <c r="EF60" s="33"/>
      <c r="EG60" s="33"/>
      <c r="EH60" s="33"/>
      <c r="EI60" s="33"/>
      <c r="EJ60" s="33"/>
      <c r="EK60" s="33"/>
      <c r="EL60" s="33"/>
      <c r="EM60" s="33"/>
      <c r="EN60" s="33"/>
      <c r="EO60" s="33"/>
      <c r="EP60" s="33"/>
      <c r="EQ60" s="33"/>
      <c r="ER60" s="33"/>
      <c r="ES60" s="33"/>
      <c r="ET60" s="33"/>
      <c r="EU60" s="33"/>
      <c r="EV60" s="33"/>
      <c r="EW60" s="33"/>
      <c r="EX60" s="33"/>
      <c r="EY60" s="33"/>
      <c r="EZ60" s="33"/>
      <c r="FA60" s="33"/>
      <c r="FB60" s="33"/>
      <c r="FC60" s="33"/>
      <c r="FD60" s="33"/>
      <c r="FE60" s="33"/>
      <c r="FF60" s="33"/>
      <c r="FG60" s="33"/>
      <c r="FH60" s="33"/>
      <c r="FI60" s="33"/>
      <c r="FJ60" s="33"/>
      <c r="FK60" s="33"/>
      <c r="FL60" s="33"/>
      <c r="FM60" s="33"/>
      <c r="FN60" s="33"/>
      <c r="FO60" s="33"/>
      <c r="FP60" s="33"/>
      <c r="FQ60" s="33"/>
      <c r="FR60" s="33"/>
      <c r="FS60" s="33"/>
      <c r="FT60" s="33"/>
      <c r="FU60" s="33"/>
      <c r="FV60" s="33"/>
      <c r="FW60" s="33"/>
      <c r="FX60" s="33"/>
      <c r="FY60" s="33"/>
      <c r="FZ60" s="33"/>
      <c r="GA60" s="33"/>
      <c r="GB60" s="33"/>
      <c r="GC60" s="33"/>
      <c r="GD60" s="33"/>
      <c r="GE60" s="33"/>
      <c r="GF60" s="33"/>
      <c r="GG60" s="33"/>
      <c r="GH60" s="33"/>
      <c r="GI60" s="33"/>
      <c r="GJ60" s="33"/>
      <c r="GK60" s="33"/>
      <c r="GL60" s="33"/>
      <c r="GM60" s="33"/>
      <c r="GN60" s="33"/>
      <c r="GO60" s="33"/>
      <c r="GP60" s="33"/>
      <c r="GQ60" s="33"/>
      <c r="GR60" s="33"/>
      <c r="GS60" s="33"/>
      <c r="GT60" s="33"/>
      <c r="GU60" s="33"/>
      <c r="GV60" s="33"/>
      <c r="GW60" s="33"/>
      <c r="GX60" s="33"/>
      <c r="GY60" s="33"/>
      <c r="GZ60" s="33"/>
      <c r="HA60" s="33"/>
      <c r="HB60" s="33"/>
      <c r="HC60" s="33"/>
      <c r="HD60" s="33"/>
      <c r="HE60" s="33"/>
      <c r="HF60" s="33"/>
      <c r="HG60" s="33"/>
      <c r="HH60" s="33"/>
    </row>
    <row r="61" spans="1:216" ht="15.75" customHeight="1" x14ac:dyDescent="0.3">
      <c r="A61" s="7"/>
      <c r="B61" s="50"/>
      <c r="C61" s="24" t="s">
        <v>127</v>
      </c>
      <c r="D61" s="49"/>
      <c r="E61" s="9">
        <f>ALASMALANG!V61+'BENELAN KIDUL'!S61+CANTUK!T61+GAMBOR!N61+GUMIRIH!S61+KEMIRI!U61+LEMAHBANGKULON!Q61+PADANG!Q61+SINGOJURUH!AC61+SINGOLATREN!T61+SUMBERBARU!S61</f>
        <v>795</v>
      </c>
      <c r="F61" s="39"/>
      <c r="G61" s="20"/>
      <c r="H61" s="20"/>
      <c r="I61" s="20"/>
      <c r="J61" s="20"/>
      <c r="K61" s="20"/>
      <c r="L61" s="20"/>
      <c r="M61" s="20"/>
      <c r="N61" s="20"/>
      <c r="O61" s="20"/>
      <c r="P61" s="32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33"/>
      <c r="ES61" s="33"/>
      <c r="ET61" s="33"/>
      <c r="EU61" s="33"/>
      <c r="EV61" s="33"/>
      <c r="EW61" s="33"/>
      <c r="EX61" s="33"/>
      <c r="EY61" s="33"/>
      <c r="EZ61" s="33"/>
      <c r="FA61" s="33"/>
      <c r="FB61" s="33"/>
      <c r="FC61" s="33"/>
      <c r="FD61" s="33"/>
      <c r="FE61" s="33"/>
      <c r="FF61" s="33"/>
      <c r="FG61" s="33"/>
      <c r="FH61" s="33"/>
      <c r="FI61" s="33"/>
      <c r="FJ61" s="33"/>
      <c r="FK61" s="33"/>
      <c r="FL61" s="33"/>
      <c r="FM61" s="33"/>
      <c r="FN61" s="33"/>
      <c r="FO61" s="33"/>
      <c r="FP61" s="33"/>
      <c r="FQ61" s="33"/>
      <c r="FR61" s="33"/>
      <c r="FS61" s="33"/>
      <c r="FT61" s="33"/>
      <c r="FU61" s="33"/>
      <c r="FV61" s="33"/>
      <c r="FW61" s="33"/>
      <c r="FX61" s="33"/>
      <c r="FY61" s="33"/>
      <c r="FZ61" s="33"/>
      <c r="GA61" s="33"/>
      <c r="GB61" s="33"/>
      <c r="GC61" s="33"/>
      <c r="GD61" s="33"/>
      <c r="GE61" s="33"/>
      <c r="GF61" s="33"/>
      <c r="GG61" s="33"/>
      <c r="GH61" s="33"/>
      <c r="GI61" s="33"/>
      <c r="GJ61" s="33"/>
      <c r="GK61" s="33"/>
      <c r="GL61" s="33"/>
      <c r="GM61" s="33"/>
      <c r="GN61" s="33"/>
      <c r="GO61" s="33"/>
      <c r="GP61" s="33"/>
      <c r="GQ61" s="33"/>
      <c r="GR61" s="33"/>
      <c r="GS61" s="33"/>
      <c r="GT61" s="33"/>
      <c r="GU61" s="33"/>
      <c r="GV61" s="33"/>
      <c r="GW61" s="33"/>
      <c r="GX61" s="33"/>
      <c r="GY61" s="33"/>
      <c r="GZ61" s="33"/>
      <c r="HA61" s="33"/>
      <c r="HB61" s="33"/>
      <c r="HC61" s="33"/>
      <c r="HD61" s="33"/>
      <c r="HE61" s="33"/>
      <c r="HF61" s="33"/>
      <c r="HG61" s="33"/>
      <c r="HH61" s="33"/>
    </row>
    <row r="62" spans="1:216" ht="15.75" customHeight="1" x14ac:dyDescent="0.3">
      <c r="A62" s="7"/>
      <c r="B62" s="50"/>
      <c r="C62" s="24" t="s">
        <v>128</v>
      </c>
      <c r="D62" s="49"/>
      <c r="E62" s="9">
        <f>ALASMALANG!V62+'BENELAN KIDUL'!S62+CANTUK!T62+GAMBOR!N62+GUMIRIH!S62+KEMIRI!U62+LEMAHBANGKULON!Q62+PADANG!Q62+SINGOJURUH!AC62+SINGOLATREN!T62+SUMBERBARU!S62</f>
        <v>139</v>
      </c>
      <c r="F62" s="39"/>
      <c r="G62" s="20"/>
      <c r="H62" s="20"/>
      <c r="I62" s="20"/>
      <c r="J62" s="20"/>
      <c r="K62" s="20"/>
      <c r="L62" s="20"/>
      <c r="M62" s="20"/>
      <c r="N62" s="20"/>
      <c r="O62" s="20"/>
      <c r="P62" s="32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  <c r="ED62" s="33"/>
      <c r="EE62" s="33"/>
      <c r="EF62" s="33"/>
      <c r="EG62" s="33"/>
      <c r="EH62" s="33"/>
      <c r="EI62" s="33"/>
      <c r="EJ62" s="33"/>
      <c r="EK62" s="33"/>
      <c r="EL62" s="33"/>
      <c r="EM62" s="33"/>
      <c r="EN62" s="33"/>
      <c r="EO62" s="33"/>
      <c r="EP62" s="33"/>
      <c r="EQ62" s="33"/>
      <c r="ER62" s="33"/>
      <c r="ES62" s="33"/>
      <c r="ET62" s="33"/>
      <c r="EU62" s="33"/>
      <c r="EV62" s="33"/>
      <c r="EW62" s="33"/>
      <c r="EX62" s="33"/>
      <c r="EY62" s="33"/>
      <c r="EZ62" s="33"/>
      <c r="FA62" s="33"/>
      <c r="FB62" s="33"/>
      <c r="FC62" s="33"/>
      <c r="FD62" s="33"/>
      <c r="FE62" s="33"/>
      <c r="FF62" s="33"/>
      <c r="FG62" s="33"/>
      <c r="FH62" s="33"/>
      <c r="FI62" s="33"/>
      <c r="FJ62" s="33"/>
      <c r="FK62" s="33"/>
      <c r="FL62" s="33"/>
      <c r="FM62" s="33"/>
      <c r="FN62" s="33"/>
      <c r="FO62" s="33"/>
      <c r="FP62" s="33"/>
      <c r="FQ62" s="33"/>
      <c r="FR62" s="33"/>
      <c r="FS62" s="33"/>
      <c r="FT62" s="33"/>
      <c r="FU62" s="33"/>
      <c r="FV62" s="33"/>
      <c r="FW62" s="33"/>
      <c r="FX62" s="33"/>
      <c r="FY62" s="33"/>
      <c r="FZ62" s="33"/>
      <c r="GA62" s="33"/>
      <c r="GB62" s="33"/>
      <c r="GC62" s="33"/>
      <c r="GD62" s="33"/>
      <c r="GE62" s="33"/>
      <c r="GF62" s="33"/>
      <c r="GG62" s="33"/>
      <c r="GH62" s="33"/>
      <c r="GI62" s="33"/>
      <c r="GJ62" s="33"/>
      <c r="GK62" s="33"/>
      <c r="GL62" s="33"/>
      <c r="GM62" s="33"/>
      <c r="GN62" s="33"/>
      <c r="GO62" s="33"/>
      <c r="GP62" s="33"/>
      <c r="GQ62" s="33"/>
      <c r="GR62" s="33"/>
      <c r="GS62" s="33"/>
      <c r="GT62" s="33"/>
      <c r="GU62" s="33"/>
      <c r="GV62" s="33"/>
      <c r="GW62" s="33"/>
      <c r="GX62" s="33"/>
      <c r="GY62" s="33"/>
      <c r="GZ62" s="33"/>
      <c r="HA62" s="33"/>
      <c r="HB62" s="33"/>
      <c r="HC62" s="33"/>
      <c r="HD62" s="33"/>
      <c r="HE62" s="33"/>
      <c r="HF62" s="33"/>
      <c r="HG62" s="33"/>
      <c r="HH62" s="33"/>
    </row>
    <row r="63" spans="1:216" ht="15.75" customHeight="1" x14ac:dyDescent="0.3">
      <c r="A63" s="7"/>
      <c r="B63" s="50"/>
      <c r="C63" s="24" t="s">
        <v>129</v>
      </c>
      <c r="D63" s="49"/>
      <c r="E63" s="9">
        <f>ALASMALANG!V63+'BENELAN KIDUL'!S63+CANTUK!T63+GAMBOR!N63+GUMIRIH!S63+KEMIRI!U63+LEMAHBANGKULON!Q63+PADANG!Q63+SINGOJURUH!AC63+SINGOLATREN!T63+SUMBERBARU!S63</f>
        <v>44</v>
      </c>
      <c r="F63" s="39"/>
      <c r="G63" s="20"/>
      <c r="H63" s="20"/>
      <c r="I63" s="20"/>
      <c r="J63" s="20"/>
      <c r="K63" s="20"/>
      <c r="L63" s="20"/>
      <c r="M63" s="20"/>
      <c r="N63" s="20"/>
      <c r="O63" s="20"/>
      <c r="P63" s="32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33"/>
      <c r="CT63" s="33"/>
      <c r="CU63" s="33"/>
      <c r="CV63" s="33"/>
      <c r="CW63" s="33"/>
      <c r="CX63" s="33"/>
      <c r="CY63" s="33"/>
      <c r="CZ63" s="33"/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3"/>
      <c r="DL63" s="33"/>
      <c r="DM63" s="33"/>
      <c r="DN63" s="33"/>
      <c r="DO63" s="33"/>
      <c r="DP63" s="33"/>
      <c r="DQ63" s="33"/>
      <c r="DR63" s="33"/>
      <c r="DS63" s="33"/>
      <c r="DT63" s="33"/>
      <c r="DU63" s="33"/>
      <c r="DV63" s="33"/>
      <c r="DW63" s="33"/>
      <c r="DX63" s="33"/>
      <c r="DY63" s="33"/>
      <c r="DZ63" s="33"/>
      <c r="EA63" s="33"/>
      <c r="EB63" s="33"/>
      <c r="EC63" s="33"/>
      <c r="ED63" s="33"/>
      <c r="EE63" s="33"/>
      <c r="EF63" s="33"/>
      <c r="EG63" s="33"/>
      <c r="EH63" s="33"/>
      <c r="EI63" s="33"/>
      <c r="EJ63" s="33"/>
      <c r="EK63" s="33"/>
      <c r="EL63" s="33"/>
      <c r="EM63" s="33"/>
      <c r="EN63" s="33"/>
      <c r="EO63" s="33"/>
      <c r="EP63" s="33"/>
      <c r="EQ63" s="33"/>
      <c r="ER63" s="33"/>
      <c r="ES63" s="33"/>
      <c r="ET63" s="33"/>
      <c r="EU63" s="33"/>
      <c r="EV63" s="33"/>
      <c r="EW63" s="33"/>
      <c r="EX63" s="33"/>
      <c r="EY63" s="33"/>
      <c r="EZ63" s="33"/>
      <c r="FA63" s="33"/>
      <c r="FB63" s="33"/>
      <c r="FC63" s="33"/>
      <c r="FD63" s="33"/>
      <c r="FE63" s="33"/>
      <c r="FF63" s="33"/>
      <c r="FG63" s="33"/>
      <c r="FH63" s="33"/>
      <c r="FI63" s="33"/>
      <c r="FJ63" s="33"/>
      <c r="FK63" s="33"/>
      <c r="FL63" s="33"/>
      <c r="FM63" s="33"/>
      <c r="FN63" s="33"/>
      <c r="FO63" s="33"/>
      <c r="FP63" s="33"/>
      <c r="FQ63" s="33"/>
      <c r="FR63" s="33"/>
      <c r="FS63" s="33"/>
      <c r="FT63" s="33"/>
      <c r="FU63" s="33"/>
      <c r="FV63" s="33"/>
      <c r="FW63" s="33"/>
      <c r="FX63" s="33"/>
      <c r="FY63" s="33"/>
      <c r="FZ63" s="33"/>
      <c r="GA63" s="33"/>
      <c r="GB63" s="33"/>
      <c r="GC63" s="33"/>
      <c r="GD63" s="33"/>
      <c r="GE63" s="33"/>
      <c r="GF63" s="33"/>
      <c r="GG63" s="33"/>
      <c r="GH63" s="33"/>
      <c r="GI63" s="33"/>
      <c r="GJ63" s="33"/>
      <c r="GK63" s="33"/>
      <c r="GL63" s="33"/>
      <c r="GM63" s="33"/>
      <c r="GN63" s="33"/>
      <c r="GO63" s="33"/>
      <c r="GP63" s="33"/>
      <c r="GQ63" s="33"/>
      <c r="GR63" s="33"/>
      <c r="GS63" s="33"/>
      <c r="GT63" s="33"/>
      <c r="GU63" s="33"/>
      <c r="GV63" s="33"/>
      <c r="GW63" s="33"/>
      <c r="GX63" s="33"/>
      <c r="GY63" s="33"/>
      <c r="GZ63" s="33"/>
      <c r="HA63" s="33"/>
      <c r="HB63" s="33"/>
      <c r="HC63" s="33"/>
      <c r="HD63" s="33"/>
      <c r="HE63" s="33"/>
      <c r="HF63" s="33"/>
      <c r="HG63" s="33"/>
      <c r="HH63" s="33"/>
    </row>
    <row r="64" spans="1:216" ht="15.75" customHeight="1" x14ac:dyDescent="0.3">
      <c r="A64" s="7"/>
      <c r="B64" s="50"/>
      <c r="C64" s="24" t="s">
        <v>130</v>
      </c>
      <c r="D64" s="49"/>
      <c r="E64" s="9">
        <f>ALASMALANG!V64+'BENELAN KIDUL'!S64+CANTUK!T64+GAMBOR!N64+GUMIRIH!S64+KEMIRI!U64+LEMAHBANGKULON!Q64+PADANG!Q64+SINGOJURUH!AC64+SINGOLATREN!T64+SUMBERBARU!S64</f>
        <v>35</v>
      </c>
      <c r="F64" s="39"/>
      <c r="G64" s="20"/>
      <c r="H64" s="20"/>
      <c r="I64" s="20"/>
      <c r="J64" s="20"/>
      <c r="K64" s="20"/>
      <c r="L64" s="20"/>
      <c r="M64" s="20"/>
      <c r="N64" s="20"/>
      <c r="O64" s="20"/>
      <c r="P64" s="32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3"/>
      <c r="DL64" s="33"/>
      <c r="DM64" s="33"/>
      <c r="DN64" s="33"/>
      <c r="DO64" s="33"/>
      <c r="DP64" s="33"/>
      <c r="DQ64" s="33"/>
      <c r="DR64" s="33"/>
      <c r="DS64" s="33"/>
      <c r="DT64" s="33"/>
      <c r="DU64" s="33"/>
      <c r="DV64" s="33"/>
      <c r="DW64" s="33"/>
      <c r="DX64" s="33"/>
      <c r="DY64" s="33"/>
      <c r="DZ64" s="33"/>
      <c r="EA64" s="33"/>
      <c r="EB64" s="33"/>
      <c r="EC64" s="33"/>
      <c r="ED64" s="33"/>
      <c r="EE64" s="33"/>
      <c r="EF64" s="33"/>
      <c r="EG64" s="33"/>
      <c r="EH64" s="33"/>
      <c r="EI64" s="33"/>
      <c r="EJ64" s="33"/>
      <c r="EK64" s="33"/>
      <c r="EL64" s="33"/>
      <c r="EM64" s="33"/>
      <c r="EN64" s="33"/>
      <c r="EO64" s="33"/>
      <c r="EP64" s="33"/>
      <c r="EQ64" s="33"/>
      <c r="ER64" s="33"/>
      <c r="ES64" s="33"/>
      <c r="ET64" s="33"/>
      <c r="EU64" s="33"/>
      <c r="EV64" s="33"/>
      <c r="EW64" s="33"/>
      <c r="EX64" s="33"/>
      <c r="EY64" s="33"/>
      <c r="EZ64" s="33"/>
      <c r="FA64" s="33"/>
      <c r="FB64" s="33"/>
      <c r="FC64" s="33"/>
      <c r="FD64" s="33"/>
      <c r="FE64" s="33"/>
      <c r="FF64" s="33"/>
      <c r="FG64" s="33"/>
      <c r="FH64" s="33"/>
      <c r="FI64" s="33"/>
      <c r="FJ64" s="33"/>
      <c r="FK64" s="33"/>
      <c r="FL64" s="33"/>
      <c r="FM64" s="33"/>
      <c r="FN64" s="33"/>
      <c r="FO64" s="33"/>
      <c r="FP64" s="33"/>
      <c r="FQ64" s="33"/>
      <c r="FR64" s="33"/>
      <c r="FS64" s="33"/>
      <c r="FT64" s="33"/>
      <c r="FU64" s="33"/>
      <c r="FV64" s="33"/>
      <c r="FW64" s="33"/>
      <c r="FX64" s="33"/>
      <c r="FY64" s="33"/>
      <c r="FZ64" s="33"/>
      <c r="GA64" s="33"/>
      <c r="GB64" s="33"/>
      <c r="GC64" s="33"/>
      <c r="GD64" s="33"/>
      <c r="GE64" s="33"/>
      <c r="GF64" s="33"/>
      <c r="GG64" s="33"/>
      <c r="GH64" s="33"/>
      <c r="GI64" s="33"/>
      <c r="GJ64" s="33"/>
      <c r="GK64" s="33"/>
      <c r="GL64" s="33"/>
      <c r="GM64" s="33"/>
      <c r="GN64" s="33"/>
      <c r="GO64" s="33"/>
      <c r="GP64" s="33"/>
      <c r="GQ64" s="33"/>
      <c r="GR64" s="33"/>
      <c r="GS64" s="33"/>
      <c r="GT64" s="33"/>
      <c r="GU64" s="33"/>
      <c r="GV64" s="33"/>
      <c r="GW64" s="33"/>
      <c r="GX64" s="33"/>
      <c r="GY64" s="33"/>
      <c r="GZ64" s="33"/>
      <c r="HA64" s="33"/>
      <c r="HB64" s="33"/>
      <c r="HC64" s="33"/>
      <c r="HD64" s="33"/>
      <c r="HE64" s="33"/>
      <c r="HF64" s="33"/>
      <c r="HG64" s="33"/>
      <c r="HH64" s="33"/>
    </row>
    <row r="65" spans="1:216" ht="15.75" customHeight="1" x14ac:dyDescent="0.3">
      <c r="A65" s="7"/>
      <c r="B65" s="50"/>
      <c r="C65" s="24" t="s">
        <v>131</v>
      </c>
      <c r="D65" s="49"/>
      <c r="E65" s="9">
        <f>ALASMALANG!V65+'BENELAN KIDUL'!S65+CANTUK!T65+GAMBOR!N65+GUMIRIH!S65+KEMIRI!U65+LEMAHBANGKULON!Q65+PADANG!Q65+SINGOJURUH!AC65+SINGOLATREN!T65+SUMBERBARU!S65</f>
        <v>26</v>
      </c>
      <c r="F65" s="39"/>
      <c r="G65" s="20"/>
      <c r="H65" s="20"/>
      <c r="I65" s="20"/>
      <c r="J65" s="20"/>
      <c r="K65" s="20"/>
      <c r="L65" s="20"/>
      <c r="M65" s="20"/>
      <c r="N65" s="20"/>
      <c r="O65" s="20"/>
      <c r="P65" s="32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3"/>
      <c r="EI65" s="33"/>
      <c r="EJ65" s="33"/>
      <c r="EK65" s="33"/>
      <c r="EL65" s="33"/>
      <c r="EM65" s="33"/>
      <c r="EN65" s="33"/>
      <c r="EO65" s="33"/>
      <c r="EP65" s="33"/>
      <c r="EQ65" s="33"/>
      <c r="ER65" s="33"/>
      <c r="ES65" s="33"/>
      <c r="ET65" s="33"/>
      <c r="EU65" s="33"/>
      <c r="EV65" s="33"/>
      <c r="EW65" s="33"/>
      <c r="EX65" s="33"/>
      <c r="EY65" s="33"/>
      <c r="EZ65" s="33"/>
      <c r="FA65" s="33"/>
      <c r="FB65" s="33"/>
      <c r="FC65" s="33"/>
      <c r="FD65" s="33"/>
      <c r="FE65" s="33"/>
      <c r="FF65" s="33"/>
      <c r="FG65" s="33"/>
      <c r="FH65" s="33"/>
      <c r="FI65" s="33"/>
      <c r="FJ65" s="33"/>
      <c r="FK65" s="33"/>
      <c r="FL65" s="33"/>
      <c r="FM65" s="33"/>
      <c r="FN65" s="33"/>
      <c r="FO65" s="33"/>
      <c r="FP65" s="33"/>
      <c r="FQ65" s="33"/>
      <c r="FR65" s="33"/>
      <c r="FS65" s="33"/>
      <c r="FT65" s="33"/>
      <c r="FU65" s="33"/>
      <c r="FV65" s="33"/>
      <c r="FW65" s="33"/>
      <c r="FX65" s="33"/>
      <c r="FY65" s="33"/>
      <c r="FZ65" s="33"/>
      <c r="GA65" s="33"/>
      <c r="GB65" s="33"/>
      <c r="GC65" s="33"/>
      <c r="GD65" s="33"/>
      <c r="GE65" s="33"/>
      <c r="GF65" s="33"/>
      <c r="GG65" s="33"/>
      <c r="GH65" s="33"/>
      <c r="GI65" s="33"/>
      <c r="GJ65" s="33"/>
      <c r="GK65" s="33"/>
      <c r="GL65" s="33"/>
      <c r="GM65" s="33"/>
      <c r="GN65" s="33"/>
      <c r="GO65" s="33"/>
      <c r="GP65" s="33"/>
      <c r="GQ65" s="33"/>
      <c r="GR65" s="33"/>
      <c r="GS65" s="33"/>
      <c r="GT65" s="33"/>
      <c r="GU65" s="33"/>
      <c r="GV65" s="33"/>
      <c r="GW65" s="33"/>
      <c r="GX65" s="33"/>
      <c r="GY65" s="33"/>
      <c r="GZ65" s="33"/>
      <c r="HA65" s="33"/>
      <c r="HB65" s="33"/>
      <c r="HC65" s="33"/>
      <c r="HD65" s="33"/>
      <c r="HE65" s="33"/>
      <c r="HF65" s="33"/>
      <c r="HG65" s="33"/>
      <c r="HH65" s="33"/>
    </row>
    <row r="66" spans="1:216" ht="15.75" customHeight="1" x14ac:dyDescent="0.3">
      <c r="A66" s="7"/>
      <c r="B66" s="50"/>
      <c r="C66" s="24" t="s">
        <v>132</v>
      </c>
      <c r="D66" s="49"/>
      <c r="E66" s="9">
        <f>ALASMALANG!V66+'BENELAN KIDUL'!S66+CANTUK!T66+GAMBOR!N66+GUMIRIH!S66+KEMIRI!U66+LEMAHBANGKULON!Q66+PADANG!Q66+SINGOJURUH!AC66+SINGOLATREN!T66+SUMBERBARU!S66</f>
        <v>44</v>
      </c>
      <c r="F66" s="39"/>
      <c r="G66" s="20"/>
      <c r="H66" s="20"/>
      <c r="I66" s="20"/>
      <c r="J66" s="20"/>
      <c r="K66" s="20"/>
      <c r="L66" s="20"/>
      <c r="M66" s="20"/>
      <c r="N66" s="20"/>
      <c r="O66" s="20"/>
      <c r="P66" s="32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  <c r="ED66" s="33"/>
      <c r="EE66" s="33"/>
      <c r="EF66" s="33"/>
      <c r="EG66" s="33"/>
      <c r="EH66" s="33"/>
      <c r="EI66" s="33"/>
      <c r="EJ66" s="33"/>
      <c r="EK66" s="33"/>
      <c r="EL66" s="33"/>
      <c r="EM66" s="33"/>
      <c r="EN66" s="33"/>
      <c r="EO66" s="33"/>
      <c r="EP66" s="33"/>
      <c r="EQ66" s="33"/>
      <c r="ER66" s="33"/>
      <c r="ES66" s="33"/>
      <c r="ET66" s="33"/>
      <c r="EU66" s="33"/>
      <c r="EV66" s="33"/>
      <c r="EW66" s="33"/>
      <c r="EX66" s="33"/>
      <c r="EY66" s="33"/>
      <c r="EZ66" s="33"/>
      <c r="FA66" s="33"/>
      <c r="FB66" s="33"/>
      <c r="FC66" s="33"/>
      <c r="FD66" s="33"/>
      <c r="FE66" s="33"/>
      <c r="FF66" s="33"/>
      <c r="FG66" s="33"/>
      <c r="FH66" s="33"/>
      <c r="FI66" s="33"/>
      <c r="FJ66" s="33"/>
      <c r="FK66" s="33"/>
      <c r="FL66" s="33"/>
      <c r="FM66" s="33"/>
      <c r="FN66" s="33"/>
      <c r="FO66" s="33"/>
      <c r="FP66" s="33"/>
      <c r="FQ66" s="33"/>
      <c r="FR66" s="33"/>
      <c r="FS66" s="33"/>
      <c r="FT66" s="33"/>
      <c r="FU66" s="33"/>
      <c r="FV66" s="33"/>
      <c r="FW66" s="33"/>
      <c r="FX66" s="33"/>
      <c r="FY66" s="33"/>
      <c r="FZ66" s="33"/>
      <c r="GA66" s="33"/>
      <c r="GB66" s="33"/>
      <c r="GC66" s="33"/>
      <c r="GD66" s="33"/>
      <c r="GE66" s="33"/>
      <c r="GF66" s="33"/>
      <c r="GG66" s="33"/>
      <c r="GH66" s="33"/>
      <c r="GI66" s="33"/>
      <c r="GJ66" s="33"/>
      <c r="GK66" s="33"/>
      <c r="GL66" s="33"/>
      <c r="GM66" s="33"/>
      <c r="GN66" s="33"/>
      <c r="GO66" s="33"/>
      <c r="GP66" s="33"/>
      <c r="GQ66" s="33"/>
      <c r="GR66" s="33"/>
      <c r="GS66" s="33"/>
      <c r="GT66" s="33"/>
      <c r="GU66" s="33"/>
      <c r="GV66" s="33"/>
      <c r="GW66" s="33"/>
      <c r="GX66" s="33"/>
      <c r="GY66" s="33"/>
      <c r="GZ66" s="33"/>
      <c r="HA66" s="33"/>
      <c r="HB66" s="33"/>
      <c r="HC66" s="33"/>
      <c r="HD66" s="33"/>
      <c r="HE66" s="33"/>
      <c r="HF66" s="33"/>
      <c r="HG66" s="33"/>
      <c r="HH66" s="33"/>
    </row>
    <row r="67" spans="1:216" ht="15.75" customHeight="1" x14ac:dyDescent="0.3">
      <c r="A67" s="6" t="s">
        <v>26</v>
      </c>
      <c r="B67" s="84" t="s">
        <v>51</v>
      </c>
      <c r="C67" s="63"/>
      <c r="D67" s="64"/>
      <c r="E67" s="5">
        <f>SUM(E57:E66)</f>
        <v>7310</v>
      </c>
      <c r="F67" s="39"/>
      <c r="G67" s="20"/>
      <c r="H67" s="20"/>
      <c r="I67" s="20"/>
      <c r="J67" s="20"/>
      <c r="K67" s="20"/>
      <c r="L67" s="20"/>
      <c r="M67" s="20"/>
      <c r="N67" s="20"/>
      <c r="O67" s="20"/>
      <c r="P67" s="32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  <c r="EE67" s="33"/>
      <c r="EF67" s="33"/>
      <c r="EG67" s="33"/>
      <c r="EH67" s="33"/>
      <c r="EI67" s="33"/>
      <c r="EJ67" s="33"/>
      <c r="EK67" s="33"/>
      <c r="EL67" s="33"/>
      <c r="EM67" s="33"/>
      <c r="EN67" s="33"/>
      <c r="EO67" s="33"/>
      <c r="EP67" s="33"/>
      <c r="EQ67" s="33"/>
      <c r="ER67" s="33"/>
      <c r="ES67" s="33"/>
      <c r="ET67" s="33"/>
      <c r="EU67" s="33"/>
      <c r="EV67" s="33"/>
      <c r="EW67" s="33"/>
      <c r="EX67" s="33"/>
      <c r="EY67" s="33"/>
      <c r="EZ67" s="33"/>
      <c r="FA67" s="33"/>
      <c r="FB67" s="33"/>
      <c r="FC67" s="33"/>
      <c r="FD67" s="33"/>
      <c r="FE67" s="33"/>
      <c r="FF67" s="33"/>
      <c r="FG67" s="33"/>
      <c r="FH67" s="33"/>
      <c r="FI67" s="33"/>
      <c r="FJ67" s="33"/>
      <c r="FK67" s="33"/>
      <c r="FL67" s="33"/>
      <c r="FM67" s="33"/>
      <c r="FN67" s="33"/>
      <c r="FO67" s="33"/>
      <c r="FP67" s="33"/>
      <c r="FQ67" s="33"/>
      <c r="FR67" s="33"/>
      <c r="FS67" s="33"/>
      <c r="FT67" s="33"/>
      <c r="FU67" s="33"/>
      <c r="FV67" s="33"/>
      <c r="FW67" s="33"/>
      <c r="FX67" s="33"/>
      <c r="FY67" s="33"/>
      <c r="FZ67" s="33"/>
      <c r="GA67" s="33"/>
      <c r="GB67" s="33"/>
      <c r="GC67" s="33"/>
      <c r="GD67" s="33"/>
      <c r="GE67" s="33"/>
      <c r="GF67" s="33"/>
      <c r="GG67" s="33"/>
      <c r="GH67" s="33"/>
      <c r="GI67" s="33"/>
      <c r="GJ67" s="33"/>
      <c r="GK67" s="33"/>
      <c r="GL67" s="33"/>
      <c r="GM67" s="33"/>
      <c r="GN67" s="33"/>
      <c r="GO67" s="33"/>
      <c r="GP67" s="33"/>
      <c r="GQ67" s="33"/>
      <c r="GR67" s="33"/>
      <c r="GS67" s="33"/>
      <c r="GT67" s="33"/>
      <c r="GU67" s="33"/>
      <c r="GV67" s="33"/>
      <c r="GW67" s="33"/>
      <c r="GX67" s="33"/>
      <c r="GY67" s="33"/>
      <c r="GZ67" s="33"/>
      <c r="HA67" s="33"/>
      <c r="HB67" s="33"/>
      <c r="HC67" s="33"/>
      <c r="HD67" s="33"/>
      <c r="HE67" s="33"/>
      <c r="HF67" s="33"/>
      <c r="HG67" s="33"/>
      <c r="HH67" s="33"/>
    </row>
    <row r="68" spans="1:216" ht="15.75" customHeight="1" x14ac:dyDescent="0.3">
      <c r="A68" s="83"/>
      <c r="B68" s="82"/>
      <c r="C68" s="82"/>
      <c r="D68" s="82"/>
      <c r="E68" s="82"/>
      <c r="F68" s="39"/>
      <c r="G68" s="20"/>
      <c r="H68" s="20"/>
      <c r="I68" s="20"/>
      <c r="J68" s="20"/>
      <c r="K68" s="20"/>
      <c r="L68" s="20"/>
      <c r="M68" s="20"/>
      <c r="N68" s="20"/>
      <c r="O68" s="20"/>
      <c r="P68" s="32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  <c r="DR68" s="33"/>
      <c r="DS68" s="33"/>
      <c r="DT68" s="33"/>
      <c r="DU68" s="33"/>
      <c r="DV68" s="33"/>
      <c r="DW68" s="33"/>
      <c r="DX68" s="33"/>
      <c r="DY68" s="33"/>
      <c r="DZ68" s="33"/>
      <c r="EA68" s="33"/>
      <c r="EB68" s="33"/>
      <c r="EC68" s="33"/>
      <c r="ED68" s="33"/>
      <c r="EE68" s="33"/>
      <c r="EF68" s="33"/>
      <c r="EG68" s="33"/>
      <c r="EH68" s="33"/>
      <c r="EI68" s="33"/>
      <c r="EJ68" s="33"/>
      <c r="EK68" s="33"/>
      <c r="EL68" s="33"/>
      <c r="EM68" s="33"/>
      <c r="EN68" s="33"/>
      <c r="EO68" s="33"/>
      <c r="EP68" s="33"/>
      <c r="EQ68" s="33"/>
      <c r="ER68" s="33"/>
      <c r="ES68" s="33"/>
      <c r="ET68" s="33"/>
      <c r="EU68" s="33"/>
      <c r="EV68" s="33"/>
      <c r="EW68" s="33"/>
      <c r="EX68" s="33"/>
      <c r="EY68" s="33"/>
      <c r="EZ68" s="33"/>
      <c r="FA68" s="33"/>
      <c r="FB68" s="33"/>
      <c r="FC68" s="33"/>
      <c r="FD68" s="33"/>
      <c r="FE68" s="33"/>
      <c r="FF68" s="33"/>
      <c r="FG68" s="33"/>
      <c r="FH68" s="33"/>
      <c r="FI68" s="33"/>
      <c r="FJ68" s="33"/>
      <c r="FK68" s="33"/>
      <c r="FL68" s="33"/>
      <c r="FM68" s="33"/>
      <c r="FN68" s="33"/>
      <c r="FO68" s="33"/>
      <c r="FP68" s="33"/>
      <c r="FQ68" s="33"/>
      <c r="FR68" s="33"/>
      <c r="FS68" s="33"/>
      <c r="FT68" s="33"/>
      <c r="FU68" s="33"/>
      <c r="FV68" s="33"/>
      <c r="FW68" s="33"/>
      <c r="FX68" s="33"/>
      <c r="FY68" s="33"/>
      <c r="FZ68" s="33"/>
      <c r="GA68" s="33"/>
      <c r="GB68" s="33"/>
      <c r="GC68" s="33"/>
      <c r="GD68" s="33"/>
      <c r="GE68" s="33"/>
      <c r="GF68" s="33"/>
      <c r="GG68" s="33"/>
      <c r="GH68" s="33"/>
      <c r="GI68" s="33"/>
      <c r="GJ68" s="33"/>
      <c r="GK68" s="33"/>
      <c r="GL68" s="33"/>
      <c r="GM68" s="33"/>
      <c r="GN68" s="33"/>
      <c r="GO68" s="33"/>
      <c r="GP68" s="33"/>
      <c r="GQ68" s="33"/>
      <c r="GR68" s="33"/>
      <c r="GS68" s="33"/>
      <c r="GT68" s="33"/>
      <c r="GU68" s="33"/>
      <c r="GV68" s="33"/>
      <c r="GW68" s="33"/>
      <c r="GX68" s="33"/>
      <c r="GY68" s="33"/>
      <c r="GZ68" s="33"/>
      <c r="HA68" s="33"/>
      <c r="HB68" s="33"/>
      <c r="HC68" s="33"/>
      <c r="HD68" s="33"/>
      <c r="HE68" s="33"/>
      <c r="HF68" s="33"/>
      <c r="HG68" s="33"/>
      <c r="HH68" s="33"/>
    </row>
    <row r="69" spans="1:216" ht="15.75" customHeight="1" x14ac:dyDescent="0.3">
      <c r="A69" s="11" t="s">
        <v>48</v>
      </c>
      <c r="B69" s="17" t="s">
        <v>32</v>
      </c>
      <c r="C69" s="86" t="s">
        <v>53</v>
      </c>
      <c r="D69" s="64"/>
      <c r="E69" s="9">
        <f>ALASMALANG!V69+'BENELAN KIDUL'!S69+CANTUK!T69+GAMBOR!N69+GUMIRIH!S69+KEMIRI!U69+LEMAHBANGKULON!Q69+PADANG!Q69+SINGOJURUH!AC69+SINGOLATREN!T69+SUMBERBARU!S69</f>
        <v>1178</v>
      </c>
      <c r="F69" s="40"/>
      <c r="G69" s="1"/>
      <c r="H69" s="1"/>
      <c r="I69" s="1"/>
      <c r="J69" s="1"/>
      <c r="K69" s="1"/>
      <c r="L69" s="1"/>
      <c r="M69" s="1"/>
      <c r="N69" s="1"/>
      <c r="O69" s="1"/>
      <c r="P69" s="34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  <c r="FH69" s="31"/>
      <c r="FI69" s="31"/>
      <c r="FJ69" s="31"/>
      <c r="FK69" s="31"/>
      <c r="FL69" s="31"/>
      <c r="FM69" s="31"/>
      <c r="FN69" s="31"/>
      <c r="FO69" s="31"/>
      <c r="FP69" s="31"/>
      <c r="FQ69" s="31"/>
      <c r="FR69" s="31"/>
      <c r="FS69" s="31"/>
      <c r="FT69" s="31"/>
      <c r="FU69" s="31"/>
      <c r="FV69" s="31"/>
      <c r="FW69" s="31"/>
      <c r="FX69" s="31"/>
      <c r="FY69" s="31"/>
      <c r="FZ69" s="31"/>
      <c r="GA69" s="31"/>
      <c r="GB69" s="31"/>
      <c r="GC69" s="31"/>
      <c r="GD69" s="31"/>
      <c r="GE69" s="31"/>
      <c r="GF69" s="31"/>
      <c r="GG69" s="31"/>
      <c r="GH69" s="31"/>
      <c r="GI69" s="31"/>
      <c r="GJ69" s="31"/>
      <c r="GK69" s="31"/>
      <c r="GL69" s="31"/>
      <c r="GM69" s="31"/>
      <c r="GN69" s="31"/>
      <c r="GO69" s="31"/>
      <c r="GP69" s="31"/>
      <c r="GQ69" s="31"/>
      <c r="GR69" s="31"/>
      <c r="GS69" s="31"/>
      <c r="GT69" s="31"/>
      <c r="GU69" s="31"/>
      <c r="GV69" s="31"/>
      <c r="GW69" s="31"/>
      <c r="GX69" s="31"/>
      <c r="GY69" s="31"/>
      <c r="GZ69" s="31"/>
      <c r="HA69" s="31"/>
      <c r="HB69" s="31"/>
      <c r="HC69" s="31"/>
      <c r="HD69" s="31"/>
      <c r="HE69" s="31"/>
      <c r="HF69" s="31"/>
      <c r="HG69" s="31"/>
      <c r="HH69" s="31"/>
    </row>
    <row r="70" spans="1:216" ht="15.75" customHeight="1" x14ac:dyDescent="0.3">
      <c r="A70" s="11" t="s">
        <v>50</v>
      </c>
      <c r="B70" s="50"/>
      <c r="C70" s="24" t="s">
        <v>133</v>
      </c>
      <c r="D70" s="49"/>
      <c r="E70" s="9">
        <f>ALASMALANG!V70+'BENELAN KIDUL'!S70+CANTUK!T70+GAMBOR!N70+GUMIRIH!S70+KEMIRI!U70+LEMAHBANGKULON!Q70+PADANG!Q70+SINGOJURUH!AC70+SINGOLATREN!T70+SUMBERBARU!S70</f>
        <v>910</v>
      </c>
      <c r="F70" s="42"/>
      <c r="G70" s="27"/>
      <c r="H70" s="27"/>
      <c r="I70" s="27"/>
      <c r="J70" s="27"/>
      <c r="K70" s="27"/>
      <c r="L70" s="27"/>
      <c r="M70" s="27"/>
      <c r="N70" s="27"/>
      <c r="O70" s="27"/>
      <c r="P70" s="37"/>
      <c r="Q70" s="30"/>
      <c r="R70" s="30"/>
      <c r="S70" s="30"/>
      <c r="T70" s="30"/>
      <c r="U70" s="30"/>
      <c r="V70" s="30"/>
      <c r="W70" s="38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0"/>
      <c r="BM70" s="30"/>
      <c r="BN70" s="30"/>
      <c r="BO70" s="30"/>
      <c r="BP70" s="30"/>
      <c r="BQ70" s="30"/>
      <c r="BR70" s="38"/>
      <c r="BS70" s="30"/>
      <c r="BT70" s="30"/>
      <c r="BU70" s="30"/>
      <c r="BV70" s="30"/>
      <c r="BW70" s="30"/>
      <c r="BX70" s="30"/>
      <c r="BY70" s="30"/>
      <c r="BZ70" s="30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8"/>
      <c r="EZ70" s="38"/>
      <c r="FA70" s="38"/>
      <c r="FB70" s="38"/>
      <c r="FC70" s="38"/>
      <c r="FD70" s="38"/>
      <c r="FE70" s="38"/>
      <c r="FF70" s="30"/>
      <c r="FG70" s="30"/>
      <c r="FH70" s="30"/>
      <c r="FI70" s="30"/>
      <c r="FJ70" s="38"/>
      <c r="FK70" s="38"/>
      <c r="FL70" s="38"/>
      <c r="FM70" s="38"/>
      <c r="FN70" s="38"/>
      <c r="FO70" s="38"/>
      <c r="FP70" s="38"/>
      <c r="FQ70" s="38"/>
      <c r="FR70" s="38"/>
      <c r="FS70" s="38"/>
      <c r="FT70" s="38"/>
      <c r="FU70" s="38"/>
      <c r="FV70" s="38"/>
      <c r="FW70" s="38"/>
      <c r="FX70" s="38"/>
      <c r="FY70" s="38"/>
      <c r="FZ70" s="38"/>
      <c r="GA70" s="38"/>
      <c r="GB70" s="38"/>
      <c r="GC70" s="38"/>
      <c r="GD70" s="38"/>
      <c r="GE70" s="38"/>
      <c r="GF70" s="38"/>
      <c r="GG70" s="38"/>
      <c r="GH70" s="38"/>
      <c r="GI70" s="38"/>
      <c r="GJ70" s="38"/>
      <c r="GK70" s="38"/>
      <c r="GL70" s="38"/>
      <c r="GM70" s="38"/>
      <c r="GN70" s="38"/>
      <c r="GO70" s="38"/>
      <c r="GP70" s="38"/>
      <c r="GQ70" s="38"/>
      <c r="GR70" s="38"/>
      <c r="GS70" s="38"/>
      <c r="GT70" s="38"/>
      <c r="GU70" s="38"/>
      <c r="GV70" s="38"/>
      <c r="GW70" s="38"/>
      <c r="GX70" s="38"/>
      <c r="GY70" s="38"/>
      <c r="GZ70" s="38"/>
      <c r="HA70" s="38"/>
      <c r="HB70" s="38"/>
      <c r="HC70" s="38"/>
      <c r="HD70" s="38"/>
      <c r="HE70" s="38"/>
      <c r="HF70" s="38"/>
      <c r="HG70" s="38"/>
      <c r="HH70" s="38"/>
    </row>
    <row r="71" spans="1:216" ht="15.75" customHeight="1" x14ac:dyDescent="0.3">
      <c r="A71" s="7"/>
      <c r="B71" s="50"/>
      <c r="C71" s="24" t="s">
        <v>134</v>
      </c>
      <c r="D71" s="49"/>
      <c r="E71" s="9">
        <f>ALASMALANG!V71+'BENELAN KIDUL'!S71+CANTUK!T71+GAMBOR!N71+GUMIRIH!S71+KEMIRI!U71+LEMAHBANGKULON!Q71+PADANG!Q71+SINGOJURUH!AC71+SINGOLATREN!T71+SUMBERBARU!S71</f>
        <v>971</v>
      </c>
      <c r="F71" s="39"/>
      <c r="G71" s="20"/>
      <c r="H71" s="20"/>
      <c r="I71" s="20"/>
      <c r="J71" s="20"/>
      <c r="K71" s="20"/>
      <c r="L71" s="20"/>
      <c r="M71" s="20"/>
      <c r="N71" s="20"/>
      <c r="O71" s="20"/>
      <c r="P71" s="32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3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  <c r="ED71" s="33"/>
      <c r="EE71" s="33"/>
      <c r="EF71" s="33"/>
      <c r="EG71" s="33"/>
      <c r="EH71" s="33"/>
      <c r="EI71" s="33"/>
      <c r="EJ71" s="33"/>
      <c r="EK71" s="33"/>
      <c r="EL71" s="33"/>
      <c r="EM71" s="33"/>
      <c r="EN71" s="33"/>
      <c r="EO71" s="33"/>
      <c r="EP71" s="33"/>
      <c r="EQ71" s="33"/>
      <c r="ER71" s="33"/>
      <c r="ES71" s="33"/>
      <c r="ET71" s="33"/>
      <c r="EU71" s="33"/>
      <c r="EV71" s="33"/>
      <c r="EW71" s="33"/>
      <c r="EX71" s="33"/>
      <c r="EY71" s="33"/>
      <c r="EZ71" s="33"/>
      <c r="FA71" s="33"/>
      <c r="FB71" s="33"/>
      <c r="FC71" s="33"/>
      <c r="FD71" s="33"/>
      <c r="FE71" s="33"/>
      <c r="FF71" s="33"/>
      <c r="FG71" s="33"/>
      <c r="FH71" s="33"/>
      <c r="FI71" s="33"/>
      <c r="FJ71" s="33"/>
      <c r="FK71" s="33"/>
      <c r="FL71" s="33"/>
      <c r="FM71" s="33"/>
      <c r="FN71" s="33"/>
      <c r="FO71" s="33"/>
      <c r="FP71" s="33"/>
      <c r="FQ71" s="33"/>
      <c r="FR71" s="33"/>
      <c r="FS71" s="33"/>
      <c r="FT71" s="33"/>
      <c r="FU71" s="33"/>
      <c r="FV71" s="33"/>
      <c r="FW71" s="33"/>
      <c r="FX71" s="33"/>
      <c r="FY71" s="33"/>
      <c r="FZ71" s="33"/>
      <c r="GA71" s="33"/>
      <c r="GB71" s="33"/>
      <c r="GC71" s="33"/>
      <c r="GD71" s="33"/>
      <c r="GE71" s="33"/>
      <c r="GF71" s="33"/>
      <c r="GG71" s="33"/>
      <c r="GH71" s="33"/>
      <c r="GI71" s="33"/>
      <c r="GJ71" s="33"/>
      <c r="GK71" s="33"/>
      <c r="GL71" s="33"/>
      <c r="GM71" s="33"/>
      <c r="GN71" s="33"/>
      <c r="GO71" s="33"/>
      <c r="GP71" s="33"/>
      <c r="GQ71" s="33"/>
      <c r="GR71" s="33"/>
      <c r="GS71" s="33"/>
      <c r="GT71" s="33"/>
      <c r="GU71" s="33"/>
      <c r="GV71" s="33"/>
      <c r="GW71" s="33"/>
      <c r="GX71" s="33"/>
      <c r="GY71" s="33"/>
      <c r="GZ71" s="33"/>
      <c r="HA71" s="33"/>
      <c r="HB71" s="33"/>
      <c r="HC71" s="33"/>
      <c r="HD71" s="33"/>
      <c r="HE71" s="33"/>
      <c r="HF71" s="33"/>
      <c r="HG71" s="33"/>
      <c r="HH71" s="33"/>
    </row>
    <row r="72" spans="1:216" ht="15.75" customHeight="1" x14ac:dyDescent="0.3">
      <c r="A72" s="7"/>
      <c r="B72" s="50"/>
      <c r="C72" s="24" t="s">
        <v>135</v>
      </c>
      <c r="D72" s="49"/>
      <c r="E72" s="9">
        <f>ALASMALANG!V72+'BENELAN KIDUL'!S72+CANTUK!T72+GAMBOR!N72+GUMIRIH!S72+KEMIRI!U72+LEMAHBANGKULON!Q72+PADANG!Q72+SINGOJURUH!AC72+SINGOLATREN!T72+SUMBERBARU!S72</f>
        <v>403</v>
      </c>
      <c r="F72" s="39"/>
      <c r="G72" s="20"/>
      <c r="H72" s="20"/>
      <c r="I72" s="20"/>
      <c r="J72" s="20"/>
      <c r="K72" s="20"/>
      <c r="L72" s="20"/>
      <c r="M72" s="20"/>
      <c r="N72" s="20"/>
      <c r="O72" s="20"/>
      <c r="P72" s="32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33"/>
      <c r="CT72" s="33"/>
      <c r="CU72" s="33"/>
      <c r="CV72" s="33"/>
      <c r="CW72" s="33"/>
      <c r="CX72" s="33"/>
      <c r="CY72" s="33"/>
      <c r="CZ72" s="33"/>
      <c r="DA72" s="33"/>
      <c r="DB72" s="33"/>
      <c r="DC72" s="33"/>
      <c r="DD72" s="33"/>
      <c r="DE72" s="33"/>
      <c r="DF72" s="33"/>
      <c r="DG72" s="33"/>
      <c r="DH72" s="33"/>
      <c r="DI72" s="33"/>
      <c r="DJ72" s="33"/>
      <c r="DK72" s="33"/>
      <c r="DL72" s="33"/>
      <c r="DM72" s="33"/>
      <c r="DN72" s="33"/>
      <c r="DO72" s="33"/>
      <c r="DP72" s="33"/>
      <c r="DQ72" s="33"/>
      <c r="DR72" s="33"/>
      <c r="DS72" s="33"/>
      <c r="DT72" s="33"/>
      <c r="DU72" s="33"/>
      <c r="DV72" s="33"/>
      <c r="DW72" s="33"/>
      <c r="DX72" s="33"/>
      <c r="DY72" s="33"/>
      <c r="DZ72" s="33"/>
      <c r="EA72" s="33"/>
      <c r="EB72" s="33"/>
      <c r="EC72" s="33"/>
      <c r="ED72" s="33"/>
      <c r="EE72" s="33"/>
      <c r="EF72" s="33"/>
      <c r="EG72" s="33"/>
      <c r="EH72" s="33"/>
      <c r="EI72" s="33"/>
      <c r="EJ72" s="33"/>
      <c r="EK72" s="33"/>
      <c r="EL72" s="33"/>
      <c r="EM72" s="33"/>
      <c r="EN72" s="33"/>
      <c r="EO72" s="33"/>
      <c r="EP72" s="33"/>
      <c r="EQ72" s="33"/>
      <c r="ER72" s="33"/>
      <c r="ES72" s="33"/>
      <c r="ET72" s="33"/>
      <c r="EU72" s="33"/>
      <c r="EV72" s="33"/>
      <c r="EW72" s="33"/>
      <c r="EX72" s="33"/>
      <c r="EY72" s="33"/>
      <c r="EZ72" s="33"/>
      <c r="FA72" s="33"/>
      <c r="FB72" s="33"/>
      <c r="FC72" s="33"/>
      <c r="FD72" s="33"/>
      <c r="FE72" s="33"/>
      <c r="FF72" s="33"/>
      <c r="FG72" s="33"/>
      <c r="FH72" s="33"/>
      <c r="FI72" s="33"/>
      <c r="FJ72" s="33"/>
      <c r="FK72" s="33"/>
      <c r="FL72" s="33"/>
      <c r="FM72" s="33"/>
      <c r="FN72" s="33"/>
      <c r="FO72" s="33"/>
      <c r="FP72" s="33"/>
      <c r="FQ72" s="33"/>
      <c r="FR72" s="33"/>
      <c r="FS72" s="33"/>
      <c r="FT72" s="33"/>
      <c r="FU72" s="33"/>
      <c r="FV72" s="33"/>
      <c r="FW72" s="33"/>
      <c r="FX72" s="33"/>
      <c r="FY72" s="33"/>
      <c r="FZ72" s="33"/>
      <c r="GA72" s="33"/>
      <c r="GB72" s="33"/>
      <c r="GC72" s="33"/>
      <c r="GD72" s="33"/>
      <c r="GE72" s="33"/>
      <c r="GF72" s="33"/>
      <c r="GG72" s="33"/>
      <c r="GH72" s="33"/>
      <c r="GI72" s="33"/>
      <c r="GJ72" s="33"/>
      <c r="GK72" s="33"/>
      <c r="GL72" s="33"/>
      <c r="GM72" s="33"/>
      <c r="GN72" s="33"/>
      <c r="GO72" s="33"/>
      <c r="GP72" s="33"/>
      <c r="GQ72" s="33"/>
      <c r="GR72" s="33"/>
      <c r="GS72" s="33"/>
      <c r="GT72" s="33"/>
      <c r="GU72" s="33"/>
      <c r="GV72" s="33"/>
      <c r="GW72" s="33"/>
      <c r="GX72" s="33"/>
      <c r="GY72" s="33"/>
      <c r="GZ72" s="33"/>
      <c r="HA72" s="33"/>
      <c r="HB72" s="33"/>
      <c r="HC72" s="33"/>
      <c r="HD72" s="33"/>
      <c r="HE72" s="33"/>
      <c r="HF72" s="33"/>
      <c r="HG72" s="33"/>
      <c r="HH72" s="33"/>
    </row>
    <row r="73" spans="1:216" ht="15.75" customHeight="1" x14ac:dyDescent="0.3">
      <c r="A73" s="7"/>
      <c r="B73" s="50"/>
      <c r="C73" s="24" t="s">
        <v>136</v>
      </c>
      <c r="D73" s="49"/>
      <c r="E73" s="9">
        <f>ALASMALANG!V73+'BENELAN KIDUL'!S73+CANTUK!T73+GAMBOR!N73+GUMIRIH!S73+KEMIRI!U73+LEMAHBANGKULON!Q73+PADANG!Q73+SINGOJURUH!AC73+SINGOLATREN!T73+SUMBERBARU!S73</f>
        <v>508</v>
      </c>
      <c r="F73" s="39"/>
      <c r="G73" s="20"/>
      <c r="H73" s="20"/>
      <c r="I73" s="20"/>
      <c r="J73" s="20"/>
      <c r="K73" s="20"/>
      <c r="L73" s="20"/>
      <c r="M73" s="20"/>
      <c r="N73" s="20"/>
      <c r="O73" s="20"/>
      <c r="P73" s="32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  <c r="CW73" s="33"/>
      <c r="CX73" s="33"/>
      <c r="CY73" s="33"/>
      <c r="CZ73" s="33"/>
      <c r="DA73" s="33"/>
      <c r="DB73" s="33"/>
      <c r="DC73" s="33"/>
      <c r="DD73" s="33"/>
      <c r="DE73" s="33"/>
      <c r="DF73" s="33"/>
      <c r="DG73" s="33"/>
      <c r="DH73" s="33"/>
      <c r="DI73" s="33"/>
      <c r="DJ73" s="33"/>
      <c r="DK73" s="33"/>
      <c r="DL73" s="33"/>
      <c r="DM73" s="33"/>
      <c r="DN73" s="33"/>
      <c r="DO73" s="33"/>
      <c r="DP73" s="33"/>
      <c r="DQ73" s="33"/>
      <c r="DR73" s="33"/>
      <c r="DS73" s="33"/>
      <c r="DT73" s="33"/>
      <c r="DU73" s="33"/>
      <c r="DV73" s="33"/>
      <c r="DW73" s="33"/>
      <c r="DX73" s="33"/>
      <c r="DY73" s="33"/>
      <c r="DZ73" s="33"/>
      <c r="EA73" s="33"/>
      <c r="EB73" s="33"/>
      <c r="EC73" s="33"/>
      <c r="ED73" s="33"/>
      <c r="EE73" s="33"/>
      <c r="EF73" s="33"/>
      <c r="EG73" s="33"/>
      <c r="EH73" s="33"/>
      <c r="EI73" s="33"/>
      <c r="EJ73" s="33"/>
      <c r="EK73" s="33"/>
      <c r="EL73" s="33"/>
      <c r="EM73" s="33"/>
      <c r="EN73" s="33"/>
      <c r="EO73" s="33"/>
      <c r="EP73" s="33"/>
      <c r="EQ73" s="33"/>
      <c r="ER73" s="33"/>
      <c r="ES73" s="33"/>
      <c r="ET73" s="33"/>
      <c r="EU73" s="33"/>
      <c r="EV73" s="33"/>
      <c r="EW73" s="33"/>
      <c r="EX73" s="33"/>
      <c r="EY73" s="33"/>
      <c r="EZ73" s="33"/>
      <c r="FA73" s="33"/>
      <c r="FB73" s="33"/>
      <c r="FC73" s="33"/>
      <c r="FD73" s="33"/>
      <c r="FE73" s="33"/>
      <c r="FF73" s="33"/>
      <c r="FG73" s="33"/>
      <c r="FH73" s="33"/>
      <c r="FI73" s="33"/>
      <c r="FJ73" s="33"/>
      <c r="FK73" s="33"/>
      <c r="FL73" s="33"/>
      <c r="FM73" s="33"/>
      <c r="FN73" s="33"/>
      <c r="FO73" s="33"/>
      <c r="FP73" s="33"/>
      <c r="FQ73" s="33"/>
      <c r="FR73" s="33"/>
      <c r="FS73" s="33"/>
      <c r="FT73" s="33"/>
      <c r="FU73" s="33"/>
      <c r="FV73" s="33"/>
      <c r="FW73" s="33"/>
      <c r="FX73" s="33"/>
      <c r="FY73" s="33"/>
      <c r="FZ73" s="33"/>
      <c r="GA73" s="33"/>
      <c r="GB73" s="33"/>
      <c r="GC73" s="33"/>
      <c r="GD73" s="33"/>
      <c r="GE73" s="33"/>
      <c r="GF73" s="33"/>
      <c r="GG73" s="33"/>
      <c r="GH73" s="33"/>
      <c r="GI73" s="33"/>
      <c r="GJ73" s="33"/>
      <c r="GK73" s="33"/>
      <c r="GL73" s="33"/>
      <c r="GM73" s="33"/>
      <c r="GN73" s="33"/>
      <c r="GO73" s="33"/>
      <c r="GP73" s="33"/>
      <c r="GQ73" s="33"/>
      <c r="GR73" s="33"/>
      <c r="GS73" s="33"/>
      <c r="GT73" s="33"/>
      <c r="GU73" s="33"/>
      <c r="GV73" s="33"/>
      <c r="GW73" s="33"/>
      <c r="GX73" s="33"/>
      <c r="GY73" s="33"/>
      <c r="GZ73" s="33"/>
      <c r="HA73" s="33"/>
      <c r="HB73" s="33"/>
      <c r="HC73" s="33"/>
      <c r="HD73" s="33"/>
      <c r="HE73" s="33"/>
      <c r="HF73" s="33"/>
      <c r="HG73" s="33"/>
      <c r="HH73" s="33"/>
    </row>
    <row r="74" spans="1:216" ht="15.75" customHeight="1" x14ac:dyDescent="0.3">
      <c r="A74" s="7"/>
      <c r="B74" s="50"/>
      <c r="C74" s="24" t="s">
        <v>137</v>
      </c>
      <c r="D74" s="49"/>
      <c r="E74" s="9">
        <f>ALASMALANG!V74+'BENELAN KIDUL'!S74+CANTUK!T74+GAMBOR!N74+GUMIRIH!S74+KEMIRI!U74+LEMAHBANGKULON!Q74+PADANG!Q74+SINGOJURUH!AC74+SINGOLATREN!T74+SUMBERBARU!S74</f>
        <v>128</v>
      </c>
      <c r="F74" s="39"/>
      <c r="G74" s="20"/>
      <c r="H74" s="20"/>
      <c r="I74" s="20"/>
      <c r="J74" s="20"/>
      <c r="K74" s="20"/>
      <c r="L74" s="20"/>
      <c r="M74" s="20"/>
      <c r="N74" s="20"/>
      <c r="O74" s="20"/>
      <c r="P74" s="32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3"/>
      <c r="DM74" s="33"/>
      <c r="DN74" s="3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  <c r="ED74" s="33"/>
      <c r="EE74" s="33"/>
      <c r="EF74" s="33"/>
      <c r="EG74" s="33"/>
      <c r="EH74" s="33"/>
      <c r="EI74" s="33"/>
      <c r="EJ74" s="33"/>
      <c r="EK74" s="33"/>
      <c r="EL74" s="33"/>
      <c r="EM74" s="33"/>
      <c r="EN74" s="33"/>
      <c r="EO74" s="33"/>
      <c r="EP74" s="33"/>
      <c r="EQ74" s="33"/>
      <c r="ER74" s="33"/>
      <c r="ES74" s="33"/>
      <c r="ET74" s="33"/>
      <c r="EU74" s="33"/>
      <c r="EV74" s="33"/>
      <c r="EW74" s="33"/>
      <c r="EX74" s="33"/>
      <c r="EY74" s="33"/>
      <c r="EZ74" s="33"/>
      <c r="FA74" s="33"/>
      <c r="FB74" s="33"/>
      <c r="FC74" s="33"/>
      <c r="FD74" s="33"/>
      <c r="FE74" s="33"/>
      <c r="FF74" s="33"/>
      <c r="FG74" s="33"/>
      <c r="FH74" s="33"/>
      <c r="FI74" s="33"/>
      <c r="FJ74" s="33"/>
      <c r="FK74" s="33"/>
      <c r="FL74" s="33"/>
      <c r="FM74" s="33"/>
      <c r="FN74" s="33"/>
      <c r="FO74" s="33"/>
      <c r="FP74" s="33"/>
      <c r="FQ74" s="33"/>
      <c r="FR74" s="33"/>
      <c r="FS74" s="33"/>
      <c r="FT74" s="33"/>
      <c r="FU74" s="33"/>
      <c r="FV74" s="33"/>
      <c r="FW74" s="33"/>
      <c r="FX74" s="33"/>
      <c r="FY74" s="33"/>
      <c r="FZ74" s="33"/>
      <c r="GA74" s="33"/>
      <c r="GB74" s="33"/>
      <c r="GC74" s="33"/>
      <c r="GD74" s="33"/>
      <c r="GE74" s="33"/>
      <c r="GF74" s="33"/>
      <c r="GG74" s="33"/>
      <c r="GH74" s="33"/>
      <c r="GI74" s="33"/>
      <c r="GJ74" s="33"/>
      <c r="GK74" s="33"/>
      <c r="GL74" s="33"/>
      <c r="GM74" s="33"/>
      <c r="GN74" s="33"/>
      <c r="GO74" s="33"/>
      <c r="GP74" s="33"/>
      <c r="GQ74" s="33"/>
      <c r="GR74" s="33"/>
      <c r="GS74" s="33"/>
      <c r="GT74" s="33"/>
      <c r="GU74" s="33"/>
      <c r="GV74" s="33"/>
      <c r="GW74" s="33"/>
      <c r="GX74" s="33"/>
      <c r="GY74" s="33"/>
      <c r="GZ74" s="33"/>
      <c r="HA74" s="33"/>
      <c r="HB74" s="33"/>
      <c r="HC74" s="33"/>
      <c r="HD74" s="33"/>
      <c r="HE74" s="33"/>
      <c r="HF74" s="33"/>
      <c r="HG74" s="33"/>
      <c r="HH74" s="33"/>
    </row>
    <row r="75" spans="1:216" ht="15.75" customHeight="1" x14ac:dyDescent="0.3">
      <c r="A75" s="7"/>
      <c r="B75" s="50"/>
      <c r="C75" s="24" t="s">
        <v>138</v>
      </c>
      <c r="D75" s="49"/>
      <c r="E75" s="9">
        <f>ALASMALANG!V75+'BENELAN KIDUL'!S75+CANTUK!T75+GAMBOR!N75+GUMIRIH!S75+KEMIRI!U75+LEMAHBANGKULON!Q75+PADANG!Q75+SINGOJURUH!AC75+SINGOLATREN!T75+SUMBERBARU!S75</f>
        <v>61</v>
      </c>
      <c r="F75" s="39"/>
      <c r="G75" s="20"/>
      <c r="H75" s="20"/>
      <c r="I75" s="20"/>
      <c r="J75" s="20"/>
      <c r="K75" s="20"/>
      <c r="L75" s="20"/>
      <c r="M75" s="20"/>
      <c r="N75" s="20"/>
      <c r="O75" s="20"/>
      <c r="P75" s="32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  <c r="DM75" s="33"/>
      <c r="DN75" s="33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  <c r="ED75" s="33"/>
      <c r="EE75" s="33"/>
      <c r="EF75" s="33"/>
      <c r="EG75" s="33"/>
      <c r="EH75" s="33"/>
      <c r="EI75" s="33"/>
      <c r="EJ75" s="33"/>
      <c r="EK75" s="33"/>
      <c r="EL75" s="33"/>
      <c r="EM75" s="33"/>
      <c r="EN75" s="33"/>
      <c r="EO75" s="33"/>
      <c r="EP75" s="33"/>
      <c r="EQ75" s="33"/>
      <c r="ER75" s="33"/>
      <c r="ES75" s="33"/>
      <c r="ET75" s="33"/>
      <c r="EU75" s="33"/>
      <c r="EV75" s="33"/>
      <c r="EW75" s="33"/>
      <c r="EX75" s="33"/>
      <c r="EY75" s="33"/>
      <c r="EZ75" s="33"/>
      <c r="FA75" s="33"/>
      <c r="FB75" s="33"/>
      <c r="FC75" s="33"/>
      <c r="FD75" s="33"/>
      <c r="FE75" s="33"/>
      <c r="FF75" s="33"/>
      <c r="FG75" s="33"/>
      <c r="FH75" s="33"/>
      <c r="FI75" s="33"/>
      <c r="FJ75" s="33"/>
      <c r="FK75" s="33"/>
      <c r="FL75" s="33"/>
      <c r="FM75" s="33"/>
      <c r="FN75" s="33"/>
      <c r="FO75" s="33"/>
      <c r="FP75" s="33"/>
      <c r="FQ75" s="33"/>
      <c r="FR75" s="33"/>
      <c r="FS75" s="33"/>
      <c r="FT75" s="33"/>
      <c r="FU75" s="33"/>
      <c r="FV75" s="33"/>
      <c r="FW75" s="33"/>
      <c r="FX75" s="33"/>
      <c r="FY75" s="33"/>
      <c r="FZ75" s="33"/>
      <c r="GA75" s="33"/>
      <c r="GB75" s="33"/>
      <c r="GC75" s="33"/>
      <c r="GD75" s="33"/>
      <c r="GE75" s="33"/>
      <c r="GF75" s="33"/>
      <c r="GG75" s="33"/>
      <c r="GH75" s="33"/>
      <c r="GI75" s="33"/>
      <c r="GJ75" s="33"/>
      <c r="GK75" s="33"/>
      <c r="GL75" s="33"/>
      <c r="GM75" s="33"/>
      <c r="GN75" s="33"/>
      <c r="GO75" s="33"/>
      <c r="GP75" s="33"/>
      <c r="GQ75" s="33"/>
      <c r="GR75" s="33"/>
      <c r="GS75" s="33"/>
      <c r="GT75" s="33"/>
      <c r="GU75" s="33"/>
      <c r="GV75" s="33"/>
      <c r="GW75" s="33"/>
      <c r="GX75" s="33"/>
      <c r="GY75" s="33"/>
      <c r="GZ75" s="33"/>
      <c r="HA75" s="33"/>
      <c r="HB75" s="33"/>
      <c r="HC75" s="33"/>
      <c r="HD75" s="33"/>
      <c r="HE75" s="33"/>
      <c r="HF75" s="33"/>
      <c r="HG75" s="33"/>
      <c r="HH75" s="33"/>
    </row>
    <row r="76" spans="1:216" ht="15.75" customHeight="1" x14ac:dyDescent="0.3">
      <c r="A76" s="7"/>
      <c r="B76" s="50"/>
      <c r="C76" s="24" t="s">
        <v>139</v>
      </c>
      <c r="D76" s="49"/>
      <c r="E76" s="9">
        <f>ALASMALANG!V76+'BENELAN KIDUL'!S76+CANTUK!T76+GAMBOR!N76+GUMIRIH!S76+KEMIRI!U76+LEMAHBANGKULON!Q76+PADANG!Q76+SINGOJURUH!AC76+SINGOLATREN!T76+SUMBERBARU!S76</f>
        <v>38</v>
      </c>
      <c r="F76" s="39"/>
      <c r="G76" s="20"/>
      <c r="H76" s="20"/>
      <c r="I76" s="20"/>
      <c r="J76" s="20"/>
      <c r="K76" s="20"/>
      <c r="L76" s="20"/>
      <c r="M76" s="20"/>
      <c r="N76" s="20"/>
      <c r="O76" s="20"/>
      <c r="P76" s="32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L76" s="33"/>
      <c r="DM76" s="33"/>
      <c r="DN76" s="33"/>
      <c r="DO76" s="33"/>
      <c r="DP76" s="33"/>
      <c r="DQ76" s="33"/>
      <c r="DR76" s="33"/>
      <c r="DS76" s="33"/>
      <c r="DT76" s="33"/>
      <c r="DU76" s="33"/>
      <c r="DV76" s="33"/>
      <c r="DW76" s="33"/>
      <c r="DX76" s="33"/>
      <c r="DY76" s="33"/>
      <c r="DZ76" s="33"/>
      <c r="EA76" s="33"/>
      <c r="EB76" s="33"/>
      <c r="EC76" s="33"/>
      <c r="ED76" s="33"/>
      <c r="EE76" s="33"/>
      <c r="EF76" s="33"/>
      <c r="EG76" s="33"/>
      <c r="EH76" s="33"/>
      <c r="EI76" s="33"/>
      <c r="EJ76" s="33"/>
      <c r="EK76" s="33"/>
      <c r="EL76" s="33"/>
      <c r="EM76" s="33"/>
      <c r="EN76" s="33"/>
      <c r="EO76" s="33"/>
      <c r="EP76" s="33"/>
      <c r="EQ76" s="33"/>
      <c r="ER76" s="33"/>
      <c r="ES76" s="33"/>
      <c r="ET76" s="33"/>
      <c r="EU76" s="33"/>
      <c r="EV76" s="33"/>
      <c r="EW76" s="33"/>
      <c r="EX76" s="33"/>
      <c r="EY76" s="33"/>
      <c r="EZ76" s="33"/>
      <c r="FA76" s="33"/>
      <c r="FB76" s="33"/>
      <c r="FC76" s="33"/>
      <c r="FD76" s="33"/>
      <c r="FE76" s="33"/>
      <c r="FF76" s="33"/>
      <c r="FG76" s="33"/>
      <c r="FH76" s="33"/>
      <c r="FI76" s="33"/>
      <c r="FJ76" s="33"/>
      <c r="FK76" s="33"/>
      <c r="FL76" s="33"/>
      <c r="FM76" s="33"/>
      <c r="FN76" s="33"/>
      <c r="FO76" s="33"/>
      <c r="FP76" s="33"/>
      <c r="FQ76" s="33"/>
      <c r="FR76" s="33"/>
      <c r="FS76" s="33"/>
      <c r="FT76" s="33"/>
      <c r="FU76" s="33"/>
      <c r="FV76" s="33"/>
      <c r="FW76" s="33"/>
      <c r="FX76" s="33"/>
      <c r="FY76" s="33"/>
      <c r="FZ76" s="33"/>
      <c r="GA76" s="33"/>
      <c r="GB76" s="33"/>
      <c r="GC76" s="33"/>
      <c r="GD76" s="33"/>
      <c r="GE76" s="33"/>
      <c r="GF76" s="33"/>
      <c r="GG76" s="33"/>
      <c r="GH76" s="33"/>
      <c r="GI76" s="33"/>
      <c r="GJ76" s="33"/>
      <c r="GK76" s="33"/>
      <c r="GL76" s="33"/>
      <c r="GM76" s="33"/>
      <c r="GN76" s="33"/>
      <c r="GO76" s="33"/>
      <c r="GP76" s="33"/>
      <c r="GQ76" s="33"/>
      <c r="GR76" s="33"/>
      <c r="GS76" s="33"/>
      <c r="GT76" s="33"/>
      <c r="GU76" s="33"/>
      <c r="GV76" s="33"/>
      <c r="GW76" s="33"/>
      <c r="GX76" s="33"/>
      <c r="GY76" s="33"/>
      <c r="GZ76" s="33"/>
      <c r="HA76" s="33"/>
      <c r="HB76" s="33"/>
      <c r="HC76" s="33"/>
      <c r="HD76" s="33"/>
      <c r="HE76" s="33"/>
      <c r="HF76" s="33"/>
      <c r="HG76" s="33"/>
      <c r="HH76" s="33"/>
    </row>
    <row r="77" spans="1:216" ht="15.75" customHeight="1" x14ac:dyDescent="0.3">
      <c r="A77" s="7"/>
      <c r="B77" s="50"/>
      <c r="C77" s="24" t="s">
        <v>140</v>
      </c>
      <c r="D77" s="49"/>
      <c r="E77" s="9">
        <f>ALASMALANG!V77+'BENELAN KIDUL'!S77+CANTUK!T77+GAMBOR!N77+GUMIRIH!S77+KEMIRI!U77+LEMAHBANGKULON!Q77+PADANG!Q77+SINGOJURUH!AC77+SINGOLATREN!T77+SUMBERBARU!S77</f>
        <v>42</v>
      </c>
      <c r="F77" s="39"/>
      <c r="G77" s="20"/>
      <c r="H77" s="20"/>
      <c r="I77" s="20"/>
      <c r="J77" s="20"/>
      <c r="K77" s="20"/>
      <c r="L77" s="20"/>
      <c r="M77" s="20"/>
      <c r="N77" s="20"/>
      <c r="O77" s="20"/>
      <c r="P77" s="32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3"/>
      <c r="DN77" s="33"/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  <c r="ED77" s="33"/>
      <c r="EE77" s="33"/>
      <c r="EF77" s="33"/>
      <c r="EG77" s="33"/>
      <c r="EH77" s="33"/>
      <c r="EI77" s="33"/>
      <c r="EJ77" s="33"/>
      <c r="EK77" s="33"/>
      <c r="EL77" s="33"/>
      <c r="EM77" s="33"/>
      <c r="EN77" s="33"/>
      <c r="EO77" s="33"/>
      <c r="EP77" s="33"/>
      <c r="EQ77" s="33"/>
      <c r="ER77" s="33"/>
      <c r="ES77" s="33"/>
      <c r="ET77" s="33"/>
      <c r="EU77" s="33"/>
      <c r="EV77" s="33"/>
      <c r="EW77" s="33"/>
      <c r="EX77" s="33"/>
      <c r="EY77" s="33"/>
      <c r="EZ77" s="33"/>
      <c r="FA77" s="33"/>
      <c r="FB77" s="33"/>
      <c r="FC77" s="33"/>
      <c r="FD77" s="33"/>
      <c r="FE77" s="33"/>
      <c r="FF77" s="33"/>
      <c r="FG77" s="33"/>
      <c r="FH77" s="33"/>
      <c r="FI77" s="33"/>
      <c r="FJ77" s="33"/>
      <c r="FK77" s="33"/>
      <c r="FL77" s="33"/>
      <c r="FM77" s="33"/>
      <c r="FN77" s="33"/>
      <c r="FO77" s="33"/>
      <c r="FP77" s="33"/>
      <c r="FQ77" s="33"/>
      <c r="FR77" s="33"/>
      <c r="FS77" s="33"/>
      <c r="FT77" s="33"/>
      <c r="FU77" s="33"/>
      <c r="FV77" s="33"/>
      <c r="FW77" s="33"/>
      <c r="FX77" s="33"/>
      <c r="FY77" s="33"/>
      <c r="FZ77" s="33"/>
      <c r="GA77" s="33"/>
      <c r="GB77" s="33"/>
      <c r="GC77" s="33"/>
      <c r="GD77" s="33"/>
      <c r="GE77" s="33"/>
      <c r="GF77" s="33"/>
      <c r="GG77" s="33"/>
      <c r="GH77" s="33"/>
      <c r="GI77" s="33"/>
      <c r="GJ77" s="33"/>
      <c r="GK77" s="33"/>
      <c r="GL77" s="33"/>
      <c r="GM77" s="33"/>
      <c r="GN77" s="33"/>
      <c r="GO77" s="33"/>
      <c r="GP77" s="33"/>
      <c r="GQ77" s="33"/>
      <c r="GR77" s="33"/>
      <c r="GS77" s="33"/>
      <c r="GT77" s="33"/>
      <c r="GU77" s="33"/>
      <c r="GV77" s="33"/>
      <c r="GW77" s="33"/>
      <c r="GX77" s="33"/>
      <c r="GY77" s="33"/>
      <c r="GZ77" s="33"/>
      <c r="HA77" s="33"/>
      <c r="HB77" s="33"/>
      <c r="HC77" s="33"/>
      <c r="HD77" s="33"/>
      <c r="HE77" s="33"/>
      <c r="HF77" s="33"/>
      <c r="HG77" s="33"/>
      <c r="HH77" s="33"/>
    </row>
    <row r="78" spans="1:216" ht="15.75" customHeight="1" x14ac:dyDescent="0.3">
      <c r="A78" s="7"/>
      <c r="B78" s="50"/>
      <c r="C78" s="24" t="s">
        <v>141</v>
      </c>
      <c r="D78" s="49"/>
      <c r="E78" s="9">
        <f>ALASMALANG!V78+'BENELAN KIDUL'!S78+CANTUK!T78+GAMBOR!N78+GUMIRIH!S78+KEMIRI!U78+LEMAHBANGKULON!Q78+PADANG!Q78+SINGOJURUH!AC78+SINGOLATREN!T78+SUMBERBARU!S78</f>
        <v>43</v>
      </c>
      <c r="F78" s="39"/>
      <c r="G78" s="20"/>
      <c r="H78" s="20"/>
      <c r="I78" s="20"/>
      <c r="J78" s="20"/>
      <c r="K78" s="20"/>
      <c r="L78" s="20"/>
      <c r="M78" s="20"/>
      <c r="N78" s="20"/>
      <c r="O78" s="20"/>
      <c r="P78" s="32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L78" s="33"/>
      <c r="DM78" s="33"/>
      <c r="DN78" s="33"/>
      <c r="DO78" s="33"/>
      <c r="DP78" s="33"/>
      <c r="DQ78" s="33"/>
      <c r="DR78" s="33"/>
      <c r="DS78" s="33"/>
      <c r="DT78" s="33"/>
      <c r="DU78" s="33"/>
      <c r="DV78" s="33"/>
      <c r="DW78" s="33"/>
      <c r="DX78" s="33"/>
      <c r="DY78" s="33"/>
      <c r="DZ78" s="33"/>
      <c r="EA78" s="33"/>
      <c r="EB78" s="33"/>
      <c r="EC78" s="33"/>
      <c r="ED78" s="33"/>
      <c r="EE78" s="33"/>
      <c r="EF78" s="33"/>
      <c r="EG78" s="33"/>
      <c r="EH78" s="33"/>
      <c r="EI78" s="33"/>
      <c r="EJ78" s="33"/>
      <c r="EK78" s="33"/>
      <c r="EL78" s="33"/>
      <c r="EM78" s="33"/>
      <c r="EN78" s="33"/>
      <c r="EO78" s="33"/>
      <c r="EP78" s="33"/>
      <c r="EQ78" s="33"/>
      <c r="ER78" s="33"/>
      <c r="ES78" s="33"/>
      <c r="ET78" s="33"/>
      <c r="EU78" s="33"/>
      <c r="EV78" s="33"/>
      <c r="EW78" s="33"/>
      <c r="EX78" s="33"/>
      <c r="EY78" s="33"/>
      <c r="EZ78" s="33"/>
      <c r="FA78" s="33"/>
      <c r="FB78" s="33"/>
      <c r="FC78" s="33"/>
      <c r="FD78" s="33"/>
      <c r="FE78" s="33"/>
      <c r="FF78" s="33"/>
      <c r="FG78" s="33"/>
      <c r="FH78" s="33"/>
      <c r="FI78" s="33"/>
      <c r="FJ78" s="33"/>
      <c r="FK78" s="33"/>
      <c r="FL78" s="33"/>
      <c r="FM78" s="33"/>
      <c r="FN78" s="33"/>
      <c r="FO78" s="33"/>
      <c r="FP78" s="33"/>
      <c r="FQ78" s="33"/>
      <c r="FR78" s="33"/>
      <c r="FS78" s="33"/>
      <c r="FT78" s="33"/>
      <c r="FU78" s="33"/>
      <c r="FV78" s="33"/>
      <c r="FW78" s="33"/>
      <c r="FX78" s="33"/>
      <c r="FY78" s="33"/>
      <c r="FZ78" s="33"/>
      <c r="GA78" s="33"/>
      <c r="GB78" s="33"/>
      <c r="GC78" s="33"/>
      <c r="GD78" s="33"/>
      <c r="GE78" s="33"/>
      <c r="GF78" s="33"/>
      <c r="GG78" s="33"/>
      <c r="GH78" s="33"/>
      <c r="GI78" s="33"/>
      <c r="GJ78" s="33"/>
      <c r="GK78" s="33"/>
      <c r="GL78" s="33"/>
      <c r="GM78" s="33"/>
      <c r="GN78" s="33"/>
      <c r="GO78" s="33"/>
      <c r="GP78" s="33"/>
      <c r="GQ78" s="33"/>
      <c r="GR78" s="33"/>
      <c r="GS78" s="33"/>
      <c r="GT78" s="33"/>
      <c r="GU78" s="33"/>
      <c r="GV78" s="33"/>
      <c r="GW78" s="33"/>
      <c r="GX78" s="33"/>
      <c r="GY78" s="33"/>
      <c r="GZ78" s="33"/>
      <c r="HA78" s="33"/>
      <c r="HB78" s="33"/>
      <c r="HC78" s="33"/>
      <c r="HD78" s="33"/>
      <c r="HE78" s="33"/>
      <c r="HF78" s="33"/>
      <c r="HG78" s="33"/>
      <c r="HH78" s="33"/>
    </row>
    <row r="79" spans="1:216" ht="15.75" customHeight="1" x14ac:dyDescent="0.3">
      <c r="A79" s="6" t="s">
        <v>26</v>
      </c>
      <c r="B79" s="84" t="s">
        <v>51</v>
      </c>
      <c r="C79" s="63"/>
      <c r="D79" s="64"/>
      <c r="E79" s="5">
        <f>SUM(E69:E78)</f>
        <v>4282</v>
      </c>
      <c r="F79" s="39"/>
      <c r="G79" s="20"/>
      <c r="H79" s="20"/>
      <c r="I79" s="20"/>
      <c r="J79" s="20"/>
      <c r="K79" s="20"/>
      <c r="L79" s="20"/>
      <c r="M79" s="20"/>
      <c r="N79" s="20"/>
      <c r="O79" s="20"/>
      <c r="P79" s="32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  <c r="ED79" s="33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3"/>
      <c r="ET79" s="33"/>
      <c r="EU79" s="33"/>
      <c r="EV79" s="33"/>
      <c r="EW79" s="33"/>
      <c r="EX79" s="33"/>
      <c r="EY79" s="33"/>
      <c r="EZ79" s="33"/>
      <c r="FA79" s="33"/>
      <c r="FB79" s="33"/>
      <c r="FC79" s="33"/>
      <c r="FD79" s="33"/>
      <c r="FE79" s="33"/>
      <c r="FF79" s="33"/>
      <c r="FG79" s="33"/>
      <c r="FH79" s="33"/>
      <c r="FI79" s="33"/>
      <c r="FJ79" s="33"/>
      <c r="FK79" s="33"/>
      <c r="FL79" s="33"/>
      <c r="FM79" s="33"/>
      <c r="FN79" s="33"/>
      <c r="FO79" s="33"/>
      <c r="FP79" s="33"/>
      <c r="FQ79" s="33"/>
      <c r="FR79" s="33"/>
      <c r="FS79" s="33"/>
      <c r="FT79" s="33"/>
      <c r="FU79" s="33"/>
      <c r="FV79" s="33"/>
      <c r="FW79" s="33"/>
      <c r="FX79" s="33"/>
      <c r="FY79" s="33"/>
      <c r="FZ79" s="33"/>
      <c r="GA79" s="33"/>
      <c r="GB79" s="33"/>
      <c r="GC79" s="33"/>
      <c r="GD79" s="33"/>
      <c r="GE79" s="33"/>
      <c r="GF79" s="33"/>
      <c r="GG79" s="33"/>
      <c r="GH79" s="33"/>
      <c r="GI79" s="33"/>
      <c r="GJ79" s="33"/>
      <c r="GK79" s="33"/>
      <c r="GL79" s="33"/>
      <c r="GM79" s="33"/>
      <c r="GN79" s="33"/>
      <c r="GO79" s="33"/>
      <c r="GP79" s="33"/>
      <c r="GQ79" s="33"/>
      <c r="GR79" s="33"/>
      <c r="GS79" s="33"/>
      <c r="GT79" s="33"/>
      <c r="GU79" s="33"/>
      <c r="GV79" s="33"/>
      <c r="GW79" s="33"/>
      <c r="GX79" s="33"/>
      <c r="GY79" s="33"/>
      <c r="GZ79" s="33"/>
      <c r="HA79" s="33"/>
      <c r="HB79" s="33"/>
      <c r="HC79" s="33"/>
      <c r="HD79" s="33"/>
      <c r="HE79" s="33"/>
      <c r="HF79" s="33"/>
      <c r="HG79" s="33"/>
      <c r="HH79" s="33"/>
    </row>
    <row r="80" spans="1:216" ht="15.75" customHeight="1" x14ac:dyDescent="0.3">
      <c r="A80" s="83"/>
      <c r="B80" s="82"/>
      <c r="C80" s="82"/>
      <c r="D80" s="82"/>
      <c r="E80" s="82"/>
      <c r="F80" s="39"/>
      <c r="G80" s="20"/>
      <c r="H80" s="20"/>
      <c r="I80" s="20"/>
      <c r="J80" s="20"/>
      <c r="K80" s="20"/>
      <c r="L80" s="20"/>
      <c r="M80" s="20"/>
      <c r="N80" s="20"/>
      <c r="O80" s="20"/>
      <c r="P80" s="32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  <c r="DM80" s="33"/>
      <c r="DN80" s="33"/>
      <c r="DO80" s="33"/>
      <c r="DP80" s="33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3"/>
      <c r="EC80" s="33"/>
      <c r="ED80" s="33"/>
      <c r="EE80" s="33"/>
      <c r="EF80" s="33"/>
      <c r="EG80" s="33"/>
      <c r="EH80" s="33"/>
      <c r="EI80" s="33"/>
      <c r="EJ80" s="33"/>
      <c r="EK80" s="33"/>
      <c r="EL80" s="33"/>
      <c r="EM80" s="33"/>
      <c r="EN80" s="33"/>
      <c r="EO80" s="33"/>
      <c r="EP80" s="33"/>
      <c r="EQ80" s="33"/>
      <c r="ER80" s="33"/>
      <c r="ES80" s="33"/>
      <c r="ET80" s="33"/>
      <c r="EU80" s="33"/>
      <c r="EV80" s="33"/>
      <c r="EW80" s="33"/>
      <c r="EX80" s="33"/>
      <c r="EY80" s="33"/>
      <c r="EZ80" s="33"/>
      <c r="FA80" s="33"/>
      <c r="FB80" s="33"/>
      <c r="FC80" s="33"/>
      <c r="FD80" s="33"/>
      <c r="FE80" s="33"/>
      <c r="FF80" s="33"/>
      <c r="FG80" s="33"/>
      <c r="FH80" s="33"/>
      <c r="FI80" s="33"/>
      <c r="FJ80" s="33"/>
      <c r="FK80" s="33"/>
      <c r="FL80" s="33"/>
      <c r="FM80" s="33"/>
      <c r="FN80" s="33"/>
      <c r="FO80" s="33"/>
      <c r="FP80" s="33"/>
      <c r="FQ80" s="33"/>
      <c r="FR80" s="33"/>
      <c r="FS80" s="33"/>
      <c r="FT80" s="33"/>
      <c r="FU80" s="33"/>
      <c r="FV80" s="33"/>
      <c r="FW80" s="33"/>
      <c r="FX80" s="33"/>
      <c r="FY80" s="33"/>
      <c r="FZ80" s="33"/>
      <c r="GA80" s="33"/>
      <c r="GB80" s="33"/>
      <c r="GC80" s="33"/>
      <c r="GD80" s="33"/>
      <c r="GE80" s="33"/>
      <c r="GF80" s="33"/>
      <c r="GG80" s="33"/>
      <c r="GH80" s="33"/>
      <c r="GI80" s="33"/>
      <c r="GJ80" s="33"/>
      <c r="GK80" s="33"/>
      <c r="GL80" s="33"/>
      <c r="GM80" s="33"/>
      <c r="GN80" s="33"/>
      <c r="GO80" s="33"/>
      <c r="GP80" s="33"/>
      <c r="GQ80" s="33"/>
      <c r="GR80" s="33"/>
      <c r="GS80" s="33"/>
      <c r="GT80" s="33"/>
      <c r="GU80" s="33"/>
      <c r="GV80" s="33"/>
      <c r="GW80" s="33"/>
      <c r="GX80" s="33"/>
      <c r="GY80" s="33"/>
      <c r="GZ80" s="33"/>
      <c r="HA80" s="33"/>
      <c r="HB80" s="33"/>
      <c r="HC80" s="33"/>
      <c r="HD80" s="33"/>
      <c r="HE80" s="33"/>
      <c r="HF80" s="33"/>
      <c r="HG80" s="33"/>
      <c r="HH80" s="33"/>
    </row>
    <row r="81" spans="1:216" ht="15.75" customHeight="1" x14ac:dyDescent="0.3">
      <c r="A81" s="11" t="s">
        <v>48</v>
      </c>
      <c r="B81" s="17" t="s">
        <v>34</v>
      </c>
      <c r="C81" s="86" t="s">
        <v>54</v>
      </c>
      <c r="D81" s="64"/>
      <c r="E81" s="9">
        <f>ALASMALANG!V81+'BENELAN KIDUL'!S81+CANTUK!T81+GAMBOR!N81+GUMIRIH!S81+KEMIRI!U81+LEMAHBANGKULON!Q81+PADANG!Q81+SINGOJURUH!AC81+SINGOLATREN!T81+SUMBERBARU!S81</f>
        <v>428</v>
      </c>
      <c r="F81" s="40"/>
      <c r="G81" s="1"/>
      <c r="H81" s="1"/>
      <c r="I81" s="1"/>
      <c r="J81" s="1"/>
      <c r="K81" s="1"/>
      <c r="L81" s="1"/>
      <c r="M81" s="1"/>
      <c r="N81" s="1"/>
      <c r="O81" s="1"/>
      <c r="P81" s="34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  <c r="HE81" s="31"/>
      <c r="HF81" s="31"/>
      <c r="HG81" s="31"/>
      <c r="HH81" s="31"/>
    </row>
    <row r="82" spans="1:216" ht="15.75" customHeight="1" x14ac:dyDescent="0.3">
      <c r="A82" s="11" t="s">
        <v>50</v>
      </c>
      <c r="B82" s="50"/>
      <c r="C82" s="24" t="s">
        <v>142</v>
      </c>
      <c r="D82" s="49"/>
      <c r="E82" s="9">
        <f>ALASMALANG!V82+'BENELAN KIDUL'!S82+CANTUK!T82+GAMBOR!N82+GUMIRIH!S82+KEMIRI!U82+LEMAHBANGKULON!Q82+PADANG!Q82+SINGOJURUH!AC82+SINGOLATREN!T82+SUMBERBARU!S82</f>
        <v>835</v>
      </c>
      <c r="F82" s="42"/>
      <c r="G82" s="27"/>
      <c r="H82" s="27"/>
      <c r="I82" s="27"/>
      <c r="J82" s="27"/>
      <c r="K82" s="27"/>
      <c r="L82" s="27"/>
      <c r="M82" s="27"/>
      <c r="N82" s="27"/>
      <c r="O82" s="27"/>
      <c r="P82" s="37"/>
      <c r="Q82" s="30"/>
      <c r="R82" s="30"/>
      <c r="S82" s="30"/>
      <c r="T82" s="30"/>
      <c r="U82" s="30"/>
      <c r="V82" s="30"/>
      <c r="W82" s="38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0"/>
      <c r="BM82" s="30"/>
      <c r="BN82" s="30"/>
      <c r="BO82" s="30"/>
      <c r="BP82" s="30"/>
      <c r="BQ82" s="30"/>
      <c r="BR82" s="38"/>
      <c r="BS82" s="30"/>
      <c r="BT82" s="30"/>
      <c r="BU82" s="30"/>
      <c r="BV82" s="30"/>
      <c r="BW82" s="30"/>
      <c r="BX82" s="30"/>
      <c r="BY82" s="30"/>
      <c r="BZ82" s="30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8"/>
      <c r="EZ82" s="38"/>
      <c r="FA82" s="38"/>
      <c r="FB82" s="38"/>
      <c r="FC82" s="38"/>
      <c r="FD82" s="38"/>
      <c r="FE82" s="38"/>
      <c r="FF82" s="30"/>
      <c r="FG82" s="30"/>
      <c r="FH82" s="30"/>
      <c r="FI82" s="30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</row>
    <row r="83" spans="1:216" ht="15.75" customHeight="1" x14ac:dyDescent="0.3">
      <c r="A83" s="7"/>
      <c r="B83" s="50"/>
      <c r="C83" s="24" t="s">
        <v>143</v>
      </c>
      <c r="D83" s="49"/>
      <c r="E83" s="9">
        <f>ALASMALANG!V83+'BENELAN KIDUL'!S83+CANTUK!T83+GAMBOR!N83+GUMIRIH!S83+KEMIRI!U83+LEMAHBANGKULON!Q83+PADANG!Q83+SINGOJURUH!AC83+SINGOLATREN!T83+SUMBERBARU!S83</f>
        <v>120</v>
      </c>
      <c r="F83" s="39"/>
      <c r="G83" s="20"/>
      <c r="H83" s="20"/>
      <c r="I83" s="20"/>
      <c r="J83" s="20"/>
      <c r="K83" s="20"/>
      <c r="L83" s="20"/>
      <c r="M83" s="20"/>
      <c r="N83" s="20"/>
      <c r="O83" s="20"/>
      <c r="P83" s="32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3"/>
      <c r="EH83" s="33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  <c r="ET83" s="33"/>
      <c r="EU83" s="33"/>
      <c r="EV83" s="33"/>
      <c r="EW83" s="33"/>
      <c r="EX83" s="33"/>
      <c r="EY83" s="33"/>
      <c r="EZ83" s="33"/>
      <c r="FA83" s="33"/>
      <c r="FB83" s="33"/>
      <c r="FC83" s="33"/>
      <c r="FD83" s="33"/>
      <c r="FE83" s="33"/>
      <c r="FF83" s="33"/>
      <c r="FG83" s="33"/>
      <c r="FH83" s="33"/>
      <c r="FI83" s="33"/>
      <c r="FJ83" s="33"/>
      <c r="FK83" s="33"/>
      <c r="FL83" s="33"/>
      <c r="FM83" s="33"/>
      <c r="FN83" s="33"/>
      <c r="FO83" s="33"/>
      <c r="FP83" s="33"/>
      <c r="FQ83" s="33"/>
      <c r="FR83" s="33"/>
      <c r="FS83" s="33"/>
      <c r="FT83" s="33"/>
      <c r="FU83" s="33"/>
      <c r="FV83" s="33"/>
      <c r="FW83" s="33"/>
      <c r="FX83" s="33"/>
      <c r="FY83" s="33"/>
      <c r="FZ83" s="33"/>
      <c r="GA83" s="33"/>
      <c r="GB83" s="33"/>
      <c r="GC83" s="33"/>
      <c r="GD83" s="33"/>
      <c r="GE83" s="33"/>
      <c r="GF83" s="33"/>
      <c r="GG83" s="33"/>
      <c r="GH83" s="33"/>
      <c r="GI83" s="33"/>
      <c r="GJ83" s="33"/>
      <c r="GK83" s="33"/>
      <c r="GL83" s="33"/>
      <c r="GM83" s="33"/>
      <c r="GN83" s="33"/>
      <c r="GO83" s="33"/>
      <c r="GP83" s="33"/>
      <c r="GQ83" s="33"/>
      <c r="GR83" s="33"/>
      <c r="GS83" s="33"/>
      <c r="GT83" s="33"/>
      <c r="GU83" s="33"/>
      <c r="GV83" s="33"/>
      <c r="GW83" s="33"/>
      <c r="GX83" s="33"/>
      <c r="GY83" s="33"/>
      <c r="GZ83" s="33"/>
      <c r="HA83" s="33"/>
      <c r="HB83" s="33"/>
      <c r="HC83" s="33"/>
      <c r="HD83" s="33"/>
      <c r="HE83" s="33"/>
      <c r="HF83" s="33"/>
      <c r="HG83" s="33"/>
      <c r="HH83" s="33"/>
    </row>
    <row r="84" spans="1:216" ht="15.75" customHeight="1" x14ac:dyDescent="0.3">
      <c r="A84" s="7"/>
      <c r="B84" s="50"/>
      <c r="C84" s="24" t="s">
        <v>144</v>
      </c>
      <c r="D84" s="49"/>
      <c r="E84" s="9">
        <f>ALASMALANG!V84+'BENELAN KIDUL'!S84+CANTUK!T84+GAMBOR!N84+GUMIRIH!S84+KEMIRI!U84+LEMAHBANGKULON!Q84+PADANG!Q84+SINGOJURUH!AC84+SINGOLATREN!T84+SUMBERBARU!S84</f>
        <v>78</v>
      </c>
      <c r="F84" s="39"/>
      <c r="G84" s="20"/>
      <c r="H84" s="20"/>
      <c r="I84" s="20"/>
      <c r="J84" s="20"/>
      <c r="K84" s="20"/>
      <c r="L84" s="20"/>
      <c r="M84" s="20"/>
      <c r="N84" s="20"/>
      <c r="O84" s="20"/>
      <c r="P84" s="32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  <c r="DL84" s="33"/>
      <c r="DM84" s="33"/>
      <c r="DN84" s="33"/>
      <c r="DO84" s="33"/>
      <c r="DP84" s="33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3"/>
      <c r="EC84" s="33"/>
      <c r="ED84" s="33"/>
      <c r="EE84" s="33"/>
      <c r="EF84" s="33"/>
      <c r="EG84" s="33"/>
      <c r="EH84" s="33"/>
      <c r="EI84" s="33"/>
      <c r="EJ84" s="33"/>
      <c r="EK84" s="33"/>
      <c r="EL84" s="33"/>
      <c r="EM84" s="33"/>
      <c r="EN84" s="33"/>
      <c r="EO84" s="33"/>
      <c r="EP84" s="33"/>
      <c r="EQ84" s="33"/>
      <c r="ER84" s="33"/>
      <c r="ES84" s="33"/>
      <c r="ET84" s="33"/>
      <c r="EU84" s="33"/>
      <c r="EV84" s="33"/>
      <c r="EW84" s="33"/>
      <c r="EX84" s="33"/>
      <c r="EY84" s="33"/>
      <c r="EZ84" s="33"/>
      <c r="FA84" s="33"/>
      <c r="FB84" s="33"/>
      <c r="FC84" s="33"/>
      <c r="FD84" s="33"/>
      <c r="FE84" s="33"/>
      <c r="FF84" s="33"/>
      <c r="FG84" s="33"/>
      <c r="FH84" s="33"/>
      <c r="FI84" s="33"/>
      <c r="FJ84" s="33"/>
      <c r="FK84" s="33"/>
      <c r="FL84" s="33"/>
      <c r="FM84" s="33"/>
      <c r="FN84" s="33"/>
      <c r="FO84" s="33"/>
      <c r="FP84" s="33"/>
      <c r="FQ84" s="33"/>
      <c r="FR84" s="33"/>
      <c r="FS84" s="33"/>
      <c r="FT84" s="33"/>
      <c r="FU84" s="33"/>
      <c r="FV84" s="33"/>
      <c r="FW84" s="33"/>
      <c r="FX84" s="33"/>
      <c r="FY84" s="33"/>
      <c r="FZ84" s="33"/>
      <c r="GA84" s="33"/>
      <c r="GB84" s="33"/>
      <c r="GC84" s="33"/>
      <c r="GD84" s="33"/>
      <c r="GE84" s="33"/>
      <c r="GF84" s="33"/>
      <c r="GG84" s="33"/>
      <c r="GH84" s="33"/>
      <c r="GI84" s="33"/>
      <c r="GJ84" s="33"/>
      <c r="GK84" s="33"/>
      <c r="GL84" s="33"/>
      <c r="GM84" s="33"/>
      <c r="GN84" s="33"/>
      <c r="GO84" s="33"/>
      <c r="GP84" s="33"/>
      <c r="GQ84" s="33"/>
      <c r="GR84" s="33"/>
      <c r="GS84" s="33"/>
      <c r="GT84" s="33"/>
      <c r="GU84" s="33"/>
      <c r="GV84" s="33"/>
      <c r="GW84" s="33"/>
      <c r="GX84" s="33"/>
      <c r="GY84" s="33"/>
      <c r="GZ84" s="33"/>
      <c r="HA84" s="33"/>
      <c r="HB84" s="33"/>
      <c r="HC84" s="33"/>
      <c r="HD84" s="33"/>
      <c r="HE84" s="33"/>
      <c r="HF84" s="33"/>
      <c r="HG84" s="33"/>
      <c r="HH84" s="33"/>
    </row>
    <row r="85" spans="1:216" ht="15.75" customHeight="1" x14ac:dyDescent="0.3">
      <c r="A85" s="7"/>
      <c r="B85" s="50"/>
      <c r="C85" s="24" t="s">
        <v>145</v>
      </c>
      <c r="D85" s="49"/>
      <c r="E85" s="9">
        <f>ALASMALANG!V85+'BENELAN KIDUL'!S85+CANTUK!T85+GAMBOR!N85+GUMIRIH!S85+KEMIRI!U85+LEMAHBANGKULON!Q85+PADANG!Q85+SINGOJURUH!AC85+SINGOLATREN!T85+SUMBERBARU!S85</f>
        <v>99</v>
      </c>
      <c r="F85" s="39"/>
      <c r="G85" s="20"/>
      <c r="H85" s="20"/>
      <c r="I85" s="20"/>
      <c r="J85" s="20"/>
      <c r="K85" s="20"/>
      <c r="L85" s="20"/>
      <c r="M85" s="20"/>
      <c r="N85" s="20"/>
      <c r="O85" s="20"/>
      <c r="P85" s="32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  <c r="ED85" s="33"/>
      <c r="EE85" s="33"/>
      <c r="EF85" s="33"/>
      <c r="EG85" s="33"/>
      <c r="EH85" s="33"/>
      <c r="EI85" s="33"/>
      <c r="EJ85" s="33"/>
      <c r="EK85" s="33"/>
      <c r="EL85" s="33"/>
      <c r="EM85" s="33"/>
      <c r="EN85" s="33"/>
      <c r="EO85" s="33"/>
      <c r="EP85" s="33"/>
      <c r="EQ85" s="33"/>
      <c r="ER85" s="33"/>
      <c r="ES85" s="33"/>
      <c r="ET85" s="33"/>
      <c r="EU85" s="33"/>
      <c r="EV85" s="33"/>
      <c r="EW85" s="33"/>
      <c r="EX85" s="33"/>
      <c r="EY85" s="33"/>
      <c r="EZ85" s="33"/>
      <c r="FA85" s="33"/>
      <c r="FB85" s="33"/>
      <c r="FC85" s="33"/>
      <c r="FD85" s="33"/>
      <c r="FE85" s="33"/>
      <c r="FF85" s="33"/>
      <c r="FG85" s="33"/>
      <c r="FH85" s="33"/>
      <c r="FI85" s="33"/>
      <c r="FJ85" s="33"/>
      <c r="FK85" s="33"/>
      <c r="FL85" s="33"/>
      <c r="FM85" s="33"/>
      <c r="FN85" s="33"/>
      <c r="FO85" s="33"/>
      <c r="FP85" s="33"/>
      <c r="FQ85" s="33"/>
      <c r="FR85" s="33"/>
      <c r="FS85" s="33"/>
      <c r="FT85" s="33"/>
      <c r="FU85" s="33"/>
      <c r="FV85" s="33"/>
      <c r="FW85" s="33"/>
      <c r="FX85" s="33"/>
      <c r="FY85" s="33"/>
      <c r="FZ85" s="33"/>
      <c r="GA85" s="33"/>
      <c r="GB85" s="33"/>
      <c r="GC85" s="33"/>
      <c r="GD85" s="33"/>
      <c r="GE85" s="33"/>
      <c r="GF85" s="33"/>
      <c r="GG85" s="33"/>
      <c r="GH85" s="33"/>
      <c r="GI85" s="33"/>
      <c r="GJ85" s="33"/>
      <c r="GK85" s="33"/>
      <c r="GL85" s="33"/>
      <c r="GM85" s="33"/>
      <c r="GN85" s="33"/>
      <c r="GO85" s="33"/>
      <c r="GP85" s="33"/>
      <c r="GQ85" s="33"/>
      <c r="GR85" s="33"/>
      <c r="GS85" s="33"/>
      <c r="GT85" s="33"/>
      <c r="GU85" s="33"/>
      <c r="GV85" s="33"/>
      <c r="GW85" s="33"/>
      <c r="GX85" s="33"/>
      <c r="GY85" s="33"/>
      <c r="GZ85" s="33"/>
      <c r="HA85" s="33"/>
      <c r="HB85" s="33"/>
      <c r="HC85" s="33"/>
      <c r="HD85" s="33"/>
      <c r="HE85" s="33"/>
      <c r="HF85" s="33"/>
      <c r="HG85" s="33"/>
      <c r="HH85" s="33"/>
    </row>
    <row r="86" spans="1:216" ht="15.75" customHeight="1" x14ac:dyDescent="0.3">
      <c r="A86" s="7"/>
      <c r="B86" s="50"/>
      <c r="C86" s="24" t="s">
        <v>146</v>
      </c>
      <c r="D86" s="49"/>
      <c r="E86" s="9">
        <f>ALASMALANG!V86+'BENELAN KIDUL'!S86+CANTUK!T86+GAMBOR!N86+GUMIRIH!S86+KEMIRI!U86+LEMAHBANGKULON!Q86+PADANG!Q86+SINGOJURUH!AC86+SINGOLATREN!T86+SUMBERBARU!S86</f>
        <v>602</v>
      </c>
      <c r="F86" s="39"/>
      <c r="G86" s="20"/>
      <c r="H86" s="20"/>
      <c r="I86" s="20"/>
      <c r="J86" s="20"/>
      <c r="K86" s="20"/>
      <c r="L86" s="20"/>
      <c r="M86" s="20"/>
      <c r="N86" s="20"/>
      <c r="O86" s="20"/>
      <c r="P86" s="32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L86" s="33"/>
      <c r="DM86" s="33"/>
      <c r="DN86" s="33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33"/>
      <c r="ED86" s="33"/>
      <c r="EE86" s="33"/>
      <c r="EF86" s="33"/>
      <c r="EG86" s="33"/>
      <c r="EH86" s="33"/>
      <c r="EI86" s="33"/>
      <c r="EJ86" s="33"/>
      <c r="EK86" s="33"/>
      <c r="EL86" s="33"/>
      <c r="EM86" s="33"/>
      <c r="EN86" s="33"/>
      <c r="EO86" s="33"/>
      <c r="EP86" s="33"/>
      <c r="EQ86" s="33"/>
      <c r="ER86" s="33"/>
      <c r="ES86" s="33"/>
      <c r="ET86" s="33"/>
      <c r="EU86" s="33"/>
      <c r="EV86" s="33"/>
      <c r="EW86" s="33"/>
      <c r="EX86" s="33"/>
      <c r="EY86" s="33"/>
      <c r="EZ86" s="33"/>
      <c r="FA86" s="33"/>
      <c r="FB86" s="33"/>
      <c r="FC86" s="33"/>
      <c r="FD86" s="33"/>
      <c r="FE86" s="33"/>
      <c r="FF86" s="33"/>
      <c r="FG86" s="33"/>
      <c r="FH86" s="33"/>
      <c r="FI86" s="33"/>
      <c r="FJ86" s="33"/>
      <c r="FK86" s="33"/>
      <c r="FL86" s="33"/>
      <c r="FM86" s="33"/>
      <c r="FN86" s="33"/>
      <c r="FO86" s="33"/>
      <c r="FP86" s="33"/>
      <c r="FQ86" s="33"/>
      <c r="FR86" s="33"/>
      <c r="FS86" s="33"/>
      <c r="FT86" s="33"/>
      <c r="FU86" s="33"/>
      <c r="FV86" s="33"/>
      <c r="FW86" s="33"/>
      <c r="FX86" s="33"/>
      <c r="FY86" s="33"/>
      <c r="FZ86" s="33"/>
      <c r="GA86" s="33"/>
      <c r="GB86" s="33"/>
      <c r="GC86" s="33"/>
      <c r="GD86" s="33"/>
      <c r="GE86" s="33"/>
      <c r="GF86" s="33"/>
      <c r="GG86" s="33"/>
      <c r="GH86" s="33"/>
      <c r="GI86" s="33"/>
      <c r="GJ86" s="33"/>
      <c r="GK86" s="33"/>
      <c r="GL86" s="33"/>
      <c r="GM86" s="33"/>
      <c r="GN86" s="33"/>
      <c r="GO86" s="33"/>
      <c r="GP86" s="33"/>
      <c r="GQ86" s="33"/>
      <c r="GR86" s="33"/>
      <c r="GS86" s="33"/>
      <c r="GT86" s="33"/>
      <c r="GU86" s="33"/>
      <c r="GV86" s="33"/>
      <c r="GW86" s="33"/>
      <c r="GX86" s="33"/>
      <c r="GY86" s="33"/>
      <c r="GZ86" s="33"/>
      <c r="HA86" s="33"/>
      <c r="HB86" s="33"/>
      <c r="HC86" s="33"/>
      <c r="HD86" s="33"/>
      <c r="HE86" s="33"/>
      <c r="HF86" s="33"/>
      <c r="HG86" s="33"/>
      <c r="HH86" s="33"/>
    </row>
    <row r="87" spans="1:216" ht="15.75" customHeight="1" x14ac:dyDescent="0.3">
      <c r="A87" s="7"/>
      <c r="B87" s="50"/>
      <c r="C87" s="24" t="s">
        <v>147</v>
      </c>
      <c r="D87" s="49"/>
      <c r="E87" s="9">
        <f>ALASMALANG!V87+'BENELAN KIDUL'!S87+CANTUK!T87+GAMBOR!N87+GUMIRIH!S87+KEMIRI!U87+LEMAHBANGKULON!Q87+PADANG!Q87+SINGOJURUH!AC87+SINGOLATREN!T87+SUMBERBARU!S87</f>
        <v>10</v>
      </c>
      <c r="F87" s="39"/>
      <c r="G87" s="20"/>
      <c r="H87" s="20"/>
      <c r="I87" s="20"/>
      <c r="J87" s="20"/>
      <c r="K87" s="20"/>
      <c r="L87" s="20"/>
      <c r="M87" s="20"/>
      <c r="N87" s="20"/>
      <c r="O87" s="20"/>
      <c r="P87" s="32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  <c r="ED87" s="33"/>
      <c r="EE87" s="33"/>
      <c r="EF87" s="33"/>
      <c r="EG87" s="33"/>
      <c r="EH87" s="33"/>
      <c r="EI87" s="33"/>
      <c r="EJ87" s="33"/>
      <c r="EK87" s="33"/>
      <c r="EL87" s="33"/>
      <c r="EM87" s="33"/>
      <c r="EN87" s="33"/>
      <c r="EO87" s="33"/>
      <c r="EP87" s="33"/>
      <c r="EQ87" s="33"/>
      <c r="ER87" s="33"/>
      <c r="ES87" s="33"/>
      <c r="ET87" s="33"/>
      <c r="EU87" s="33"/>
      <c r="EV87" s="33"/>
      <c r="EW87" s="33"/>
      <c r="EX87" s="33"/>
      <c r="EY87" s="33"/>
      <c r="EZ87" s="33"/>
      <c r="FA87" s="33"/>
      <c r="FB87" s="33"/>
      <c r="FC87" s="33"/>
      <c r="FD87" s="33"/>
      <c r="FE87" s="33"/>
      <c r="FF87" s="33"/>
      <c r="FG87" s="33"/>
      <c r="FH87" s="33"/>
      <c r="FI87" s="33"/>
      <c r="FJ87" s="33"/>
      <c r="FK87" s="33"/>
      <c r="FL87" s="33"/>
      <c r="FM87" s="33"/>
      <c r="FN87" s="33"/>
      <c r="FO87" s="33"/>
      <c r="FP87" s="33"/>
      <c r="FQ87" s="33"/>
      <c r="FR87" s="33"/>
      <c r="FS87" s="33"/>
      <c r="FT87" s="33"/>
      <c r="FU87" s="33"/>
      <c r="FV87" s="33"/>
      <c r="FW87" s="33"/>
      <c r="FX87" s="33"/>
      <c r="FY87" s="33"/>
      <c r="FZ87" s="33"/>
      <c r="GA87" s="33"/>
      <c r="GB87" s="33"/>
      <c r="GC87" s="33"/>
      <c r="GD87" s="33"/>
      <c r="GE87" s="33"/>
      <c r="GF87" s="33"/>
      <c r="GG87" s="33"/>
      <c r="GH87" s="33"/>
      <c r="GI87" s="33"/>
      <c r="GJ87" s="33"/>
      <c r="GK87" s="33"/>
      <c r="GL87" s="33"/>
      <c r="GM87" s="33"/>
      <c r="GN87" s="33"/>
      <c r="GO87" s="33"/>
      <c r="GP87" s="33"/>
      <c r="GQ87" s="33"/>
      <c r="GR87" s="33"/>
      <c r="GS87" s="33"/>
      <c r="GT87" s="33"/>
      <c r="GU87" s="33"/>
      <c r="GV87" s="33"/>
      <c r="GW87" s="33"/>
      <c r="GX87" s="33"/>
      <c r="GY87" s="33"/>
      <c r="GZ87" s="33"/>
      <c r="HA87" s="33"/>
      <c r="HB87" s="33"/>
      <c r="HC87" s="33"/>
      <c r="HD87" s="33"/>
      <c r="HE87" s="33"/>
      <c r="HF87" s="33"/>
      <c r="HG87" s="33"/>
      <c r="HH87" s="33"/>
    </row>
    <row r="88" spans="1:216" ht="15.75" customHeight="1" x14ac:dyDescent="0.3">
      <c r="A88" s="7"/>
      <c r="B88" s="50"/>
      <c r="C88" s="24" t="s">
        <v>148</v>
      </c>
      <c r="D88" s="49"/>
      <c r="E88" s="9">
        <f>ALASMALANG!V88+'BENELAN KIDUL'!S88+CANTUK!T88+GAMBOR!N88+GUMIRIH!S88+KEMIRI!U88+LEMAHBANGKULON!Q88+PADANG!Q88+SINGOJURUH!AC88+SINGOLATREN!T88+SUMBERBARU!S88</f>
        <v>16</v>
      </c>
      <c r="F88" s="39"/>
      <c r="G88" s="20"/>
      <c r="H88" s="20"/>
      <c r="I88" s="20"/>
      <c r="J88" s="20"/>
      <c r="K88" s="20"/>
      <c r="L88" s="20"/>
      <c r="M88" s="20"/>
      <c r="N88" s="20"/>
      <c r="O88" s="20"/>
      <c r="P88" s="32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  <c r="ET88" s="33"/>
      <c r="EU88" s="33"/>
      <c r="EV88" s="33"/>
      <c r="EW88" s="33"/>
      <c r="EX88" s="33"/>
      <c r="EY88" s="33"/>
      <c r="EZ88" s="33"/>
      <c r="FA88" s="33"/>
      <c r="FB88" s="33"/>
      <c r="FC88" s="33"/>
      <c r="FD88" s="33"/>
      <c r="FE88" s="33"/>
      <c r="FF88" s="33"/>
      <c r="FG88" s="33"/>
      <c r="FH88" s="33"/>
      <c r="FI88" s="33"/>
      <c r="FJ88" s="33"/>
      <c r="FK88" s="33"/>
      <c r="FL88" s="33"/>
      <c r="FM88" s="33"/>
      <c r="FN88" s="33"/>
      <c r="FO88" s="33"/>
      <c r="FP88" s="33"/>
      <c r="FQ88" s="33"/>
      <c r="FR88" s="33"/>
      <c r="FS88" s="33"/>
      <c r="FT88" s="33"/>
      <c r="FU88" s="33"/>
      <c r="FV88" s="33"/>
      <c r="FW88" s="33"/>
      <c r="FX88" s="33"/>
      <c r="FY88" s="33"/>
      <c r="FZ88" s="33"/>
      <c r="GA88" s="33"/>
      <c r="GB88" s="33"/>
      <c r="GC88" s="33"/>
      <c r="GD88" s="33"/>
      <c r="GE88" s="33"/>
      <c r="GF88" s="33"/>
      <c r="GG88" s="33"/>
      <c r="GH88" s="33"/>
      <c r="GI88" s="33"/>
      <c r="GJ88" s="33"/>
      <c r="GK88" s="33"/>
      <c r="GL88" s="33"/>
      <c r="GM88" s="33"/>
      <c r="GN88" s="33"/>
      <c r="GO88" s="33"/>
      <c r="GP88" s="33"/>
      <c r="GQ88" s="33"/>
      <c r="GR88" s="33"/>
      <c r="GS88" s="33"/>
      <c r="GT88" s="33"/>
      <c r="GU88" s="33"/>
      <c r="GV88" s="33"/>
      <c r="GW88" s="33"/>
      <c r="GX88" s="33"/>
      <c r="GY88" s="33"/>
      <c r="GZ88" s="33"/>
      <c r="HA88" s="33"/>
      <c r="HB88" s="33"/>
      <c r="HC88" s="33"/>
      <c r="HD88" s="33"/>
      <c r="HE88" s="33"/>
      <c r="HF88" s="33"/>
      <c r="HG88" s="33"/>
      <c r="HH88" s="33"/>
    </row>
    <row r="89" spans="1:216" ht="15.75" customHeight="1" x14ac:dyDescent="0.3">
      <c r="A89" s="7"/>
      <c r="B89" s="50"/>
      <c r="C89" s="24" t="s">
        <v>149</v>
      </c>
      <c r="D89" s="49"/>
      <c r="E89" s="9">
        <f>ALASMALANG!V89+'BENELAN KIDUL'!S89+CANTUK!T89+GAMBOR!N89+GUMIRIH!S89+KEMIRI!U89+LEMAHBANGKULON!Q89+PADANG!Q89+SINGOJURUH!AC89+SINGOLATREN!T89+SUMBERBARU!S89</f>
        <v>7</v>
      </c>
      <c r="F89" s="39"/>
      <c r="G89" s="20"/>
      <c r="H89" s="20"/>
      <c r="I89" s="20"/>
      <c r="J89" s="20"/>
      <c r="K89" s="20"/>
      <c r="L89" s="20"/>
      <c r="M89" s="20"/>
      <c r="N89" s="20"/>
      <c r="O89" s="20"/>
      <c r="P89" s="32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  <c r="ET89" s="33"/>
      <c r="EU89" s="33"/>
      <c r="EV89" s="33"/>
      <c r="EW89" s="33"/>
      <c r="EX89" s="33"/>
      <c r="EY89" s="33"/>
      <c r="EZ89" s="33"/>
      <c r="FA89" s="33"/>
      <c r="FB89" s="33"/>
      <c r="FC89" s="33"/>
      <c r="FD89" s="33"/>
      <c r="FE89" s="33"/>
      <c r="FF89" s="33"/>
      <c r="FG89" s="33"/>
      <c r="FH89" s="33"/>
      <c r="FI89" s="33"/>
      <c r="FJ89" s="33"/>
      <c r="FK89" s="33"/>
      <c r="FL89" s="33"/>
      <c r="FM89" s="33"/>
      <c r="FN89" s="33"/>
      <c r="FO89" s="33"/>
      <c r="FP89" s="33"/>
      <c r="FQ89" s="33"/>
      <c r="FR89" s="33"/>
      <c r="FS89" s="33"/>
      <c r="FT89" s="33"/>
      <c r="FU89" s="33"/>
      <c r="FV89" s="33"/>
      <c r="FW89" s="33"/>
      <c r="FX89" s="33"/>
      <c r="FY89" s="33"/>
      <c r="FZ89" s="33"/>
      <c r="GA89" s="33"/>
      <c r="GB89" s="33"/>
      <c r="GC89" s="33"/>
      <c r="GD89" s="33"/>
      <c r="GE89" s="33"/>
      <c r="GF89" s="33"/>
      <c r="GG89" s="33"/>
      <c r="GH89" s="33"/>
      <c r="GI89" s="33"/>
      <c r="GJ89" s="33"/>
      <c r="GK89" s="33"/>
      <c r="GL89" s="33"/>
      <c r="GM89" s="33"/>
      <c r="GN89" s="33"/>
      <c r="GO89" s="33"/>
      <c r="GP89" s="33"/>
      <c r="GQ89" s="33"/>
      <c r="GR89" s="33"/>
      <c r="GS89" s="33"/>
      <c r="GT89" s="33"/>
      <c r="GU89" s="33"/>
      <c r="GV89" s="33"/>
      <c r="GW89" s="33"/>
      <c r="GX89" s="33"/>
      <c r="GY89" s="33"/>
      <c r="GZ89" s="33"/>
      <c r="HA89" s="33"/>
      <c r="HB89" s="33"/>
      <c r="HC89" s="33"/>
      <c r="HD89" s="33"/>
      <c r="HE89" s="33"/>
      <c r="HF89" s="33"/>
      <c r="HG89" s="33"/>
      <c r="HH89" s="33"/>
    </row>
    <row r="90" spans="1:216" ht="15.75" customHeight="1" x14ac:dyDescent="0.3">
      <c r="A90" s="7"/>
      <c r="B90" s="50"/>
      <c r="C90" s="24" t="s">
        <v>150</v>
      </c>
      <c r="D90" s="49"/>
      <c r="E90" s="9">
        <f>ALASMALANG!V90+'BENELAN KIDUL'!S90+CANTUK!T90+GAMBOR!N90+GUMIRIH!S90+KEMIRI!U90+LEMAHBANGKULON!Q90+PADANG!Q90+SINGOJURUH!AC90+SINGOLATREN!T90+SUMBERBARU!S90</f>
        <v>19</v>
      </c>
      <c r="F90" s="39"/>
      <c r="G90" s="20"/>
      <c r="H90" s="20"/>
      <c r="I90" s="20"/>
      <c r="J90" s="20"/>
      <c r="K90" s="20"/>
      <c r="L90" s="20"/>
      <c r="M90" s="20"/>
      <c r="N90" s="20"/>
      <c r="O90" s="20"/>
      <c r="P90" s="32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3"/>
      <c r="CX90" s="33"/>
      <c r="CY90" s="33"/>
      <c r="CZ90" s="33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3"/>
      <c r="DL90" s="33"/>
      <c r="DM90" s="33"/>
      <c r="DN90" s="33"/>
      <c r="DO90" s="33"/>
      <c r="DP90" s="33"/>
      <c r="DQ90" s="33"/>
      <c r="DR90" s="33"/>
      <c r="DS90" s="33"/>
      <c r="DT90" s="33"/>
      <c r="DU90" s="33"/>
      <c r="DV90" s="33"/>
      <c r="DW90" s="33"/>
      <c r="DX90" s="33"/>
      <c r="DY90" s="33"/>
      <c r="DZ90" s="33"/>
      <c r="EA90" s="33"/>
      <c r="EB90" s="33"/>
      <c r="EC90" s="33"/>
      <c r="ED90" s="33"/>
      <c r="EE90" s="33"/>
      <c r="EF90" s="33"/>
      <c r="EG90" s="33"/>
      <c r="EH90" s="33"/>
      <c r="EI90" s="33"/>
      <c r="EJ90" s="33"/>
      <c r="EK90" s="33"/>
      <c r="EL90" s="33"/>
      <c r="EM90" s="33"/>
      <c r="EN90" s="33"/>
      <c r="EO90" s="33"/>
      <c r="EP90" s="33"/>
      <c r="EQ90" s="33"/>
      <c r="ER90" s="33"/>
      <c r="ES90" s="33"/>
      <c r="ET90" s="33"/>
      <c r="EU90" s="33"/>
      <c r="EV90" s="33"/>
      <c r="EW90" s="33"/>
      <c r="EX90" s="33"/>
      <c r="EY90" s="33"/>
      <c r="EZ90" s="33"/>
      <c r="FA90" s="33"/>
      <c r="FB90" s="33"/>
      <c r="FC90" s="33"/>
      <c r="FD90" s="33"/>
      <c r="FE90" s="33"/>
      <c r="FF90" s="33"/>
      <c r="FG90" s="33"/>
      <c r="FH90" s="33"/>
      <c r="FI90" s="33"/>
      <c r="FJ90" s="33"/>
      <c r="FK90" s="33"/>
      <c r="FL90" s="33"/>
      <c r="FM90" s="33"/>
      <c r="FN90" s="33"/>
      <c r="FO90" s="33"/>
      <c r="FP90" s="33"/>
      <c r="FQ90" s="33"/>
      <c r="FR90" s="33"/>
      <c r="FS90" s="33"/>
      <c r="FT90" s="33"/>
      <c r="FU90" s="33"/>
      <c r="FV90" s="33"/>
      <c r="FW90" s="33"/>
      <c r="FX90" s="33"/>
      <c r="FY90" s="33"/>
      <c r="FZ90" s="33"/>
      <c r="GA90" s="33"/>
      <c r="GB90" s="33"/>
      <c r="GC90" s="33"/>
      <c r="GD90" s="33"/>
      <c r="GE90" s="33"/>
      <c r="GF90" s="33"/>
      <c r="GG90" s="33"/>
      <c r="GH90" s="33"/>
      <c r="GI90" s="33"/>
      <c r="GJ90" s="33"/>
      <c r="GK90" s="33"/>
      <c r="GL90" s="33"/>
      <c r="GM90" s="33"/>
      <c r="GN90" s="33"/>
      <c r="GO90" s="33"/>
      <c r="GP90" s="33"/>
      <c r="GQ90" s="33"/>
      <c r="GR90" s="33"/>
      <c r="GS90" s="33"/>
      <c r="GT90" s="33"/>
      <c r="GU90" s="33"/>
      <c r="GV90" s="33"/>
      <c r="GW90" s="33"/>
      <c r="GX90" s="33"/>
      <c r="GY90" s="33"/>
      <c r="GZ90" s="33"/>
      <c r="HA90" s="33"/>
      <c r="HB90" s="33"/>
      <c r="HC90" s="33"/>
      <c r="HD90" s="33"/>
      <c r="HE90" s="33"/>
      <c r="HF90" s="33"/>
      <c r="HG90" s="33"/>
      <c r="HH90" s="33"/>
    </row>
    <row r="91" spans="1:216" ht="15.75" customHeight="1" x14ac:dyDescent="0.3">
      <c r="A91" s="6" t="s">
        <v>26</v>
      </c>
      <c r="B91" s="84" t="s">
        <v>51</v>
      </c>
      <c r="C91" s="63"/>
      <c r="D91" s="64"/>
      <c r="E91" s="5">
        <f>SUM(E81:E90)</f>
        <v>2214</v>
      </c>
      <c r="F91" s="39"/>
      <c r="G91" s="20"/>
      <c r="H91" s="20"/>
      <c r="I91" s="20"/>
      <c r="J91" s="20"/>
      <c r="K91" s="20"/>
      <c r="L91" s="20"/>
      <c r="M91" s="20"/>
      <c r="N91" s="20"/>
      <c r="O91" s="20"/>
      <c r="P91" s="32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33"/>
      <c r="EG91" s="33"/>
      <c r="EH91" s="33"/>
      <c r="EI91" s="33"/>
      <c r="EJ91" s="33"/>
      <c r="EK91" s="33"/>
      <c r="EL91" s="33"/>
      <c r="EM91" s="33"/>
      <c r="EN91" s="33"/>
      <c r="EO91" s="33"/>
      <c r="EP91" s="33"/>
      <c r="EQ91" s="33"/>
      <c r="ER91" s="33"/>
      <c r="ES91" s="33"/>
      <c r="ET91" s="33"/>
      <c r="EU91" s="33"/>
      <c r="EV91" s="33"/>
      <c r="EW91" s="33"/>
      <c r="EX91" s="33"/>
      <c r="EY91" s="33"/>
      <c r="EZ91" s="33"/>
      <c r="FA91" s="33"/>
      <c r="FB91" s="33"/>
      <c r="FC91" s="33"/>
      <c r="FD91" s="33"/>
      <c r="FE91" s="33"/>
      <c r="FF91" s="33"/>
      <c r="FG91" s="33"/>
      <c r="FH91" s="33"/>
      <c r="FI91" s="33"/>
      <c r="FJ91" s="33"/>
      <c r="FK91" s="33"/>
      <c r="FL91" s="33"/>
      <c r="FM91" s="33"/>
      <c r="FN91" s="33"/>
      <c r="FO91" s="33"/>
      <c r="FP91" s="33"/>
      <c r="FQ91" s="33"/>
      <c r="FR91" s="33"/>
      <c r="FS91" s="33"/>
      <c r="FT91" s="33"/>
      <c r="FU91" s="33"/>
      <c r="FV91" s="33"/>
      <c r="FW91" s="33"/>
      <c r="FX91" s="33"/>
      <c r="FY91" s="33"/>
      <c r="FZ91" s="33"/>
      <c r="GA91" s="33"/>
      <c r="GB91" s="33"/>
      <c r="GC91" s="33"/>
      <c r="GD91" s="33"/>
      <c r="GE91" s="33"/>
      <c r="GF91" s="33"/>
      <c r="GG91" s="33"/>
      <c r="GH91" s="33"/>
      <c r="GI91" s="33"/>
      <c r="GJ91" s="33"/>
      <c r="GK91" s="33"/>
      <c r="GL91" s="33"/>
      <c r="GM91" s="33"/>
      <c r="GN91" s="33"/>
      <c r="GO91" s="33"/>
      <c r="GP91" s="33"/>
      <c r="GQ91" s="33"/>
      <c r="GR91" s="33"/>
      <c r="GS91" s="33"/>
      <c r="GT91" s="33"/>
      <c r="GU91" s="33"/>
      <c r="GV91" s="33"/>
      <c r="GW91" s="33"/>
      <c r="GX91" s="33"/>
      <c r="GY91" s="33"/>
      <c r="GZ91" s="33"/>
      <c r="HA91" s="33"/>
      <c r="HB91" s="33"/>
      <c r="HC91" s="33"/>
      <c r="HD91" s="33"/>
      <c r="HE91" s="33"/>
      <c r="HF91" s="33"/>
      <c r="HG91" s="33"/>
      <c r="HH91" s="33"/>
    </row>
    <row r="92" spans="1:216" ht="15.75" customHeight="1" x14ac:dyDescent="0.3">
      <c r="A92" s="83"/>
      <c r="B92" s="82"/>
      <c r="C92" s="82"/>
      <c r="D92" s="82"/>
      <c r="E92" s="82"/>
      <c r="F92" s="39"/>
      <c r="G92" s="20"/>
      <c r="H92" s="20"/>
      <c r="I92" s="20"/>
      <c r="J92" s="20"/>
      <c r="K92" s="20"/>
      <c r="L92" s="20"/>
      <c r="M92" s="20"/>
      <c r="N92" s="20"/>
      <c r="O92" s="20"/>
      <c r="P92" s="32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33"/>
      <c r="EG92" s="33"/>
      <c r="EH92" s="33"/>
      <c r="EI92" s="33"/>
      <c r="EJ92" s="33"/>
      <c r="EK92" s="33"/>
      <c r="EL92" s="33"/>
      <c r="EM92" s="33"/>
      <c r="EN92" s="33"/>
      <c r="EO92" s="33"/>
      <c r="EP92" s="33"/>
      <c r="EQ92" s="33"/>
      <c r="ER92" s="33"/>
      <c r="ES92" s="33"/>
      <c r="ET92" s="33"/>
      <c r="EU92" s="33"/>
      <c r="EV92" s="33"/>
      <c r="EW92" s="33"/>
      <c r="EX92" s="33"/>
      <c r="EY92" s="33"/>
      <c r="EZ92" s="33"/>
      <c r="FA92" s="33"/>
      <c r="FB92" s="33"/>
      <c r="FC92" s="33"/>
      <c r="FD92" s="33"/>
      <c r="FE92" s="33"/>
      <c r="FF92" s="33"/>
      <c r="FG92" s="33"/>
      <c r="FH92" s="33"/>
      <c r="FI92" s="33"/>
      <c r="FJ92" s="33"/>
      <c r="FK92" s="33"/>
      <c r="FL92" s="33"/>
      <c r="FM92" s="33"/>
      <c r="FN92" s="33"/>
      <c r="FO92" s="33"/>
      <c r="FP92" s="33"/>
      <c r="FQ92" s="33"/>
      <c r="FR92" s="33"/>
      <c r="FS92" s="33"/>
      <c r="FT92" s="33"/>
      <c r="FU92" s="33"/>
      <c r="FV92" s="33"/>
      <c r="FW92" s="33"/>
      <c r="FX92" s="33"/>
      <c r="FY92" s="33"/>
      <c r="FZ92" s="33"/>
      <c r="GA92" s="33"/>
      <c r="GB92" s="33"/>
      <c r="GC92" s="33"/>
      <c r="GD92" s="33"/>
      <c r="GE92" s="33"/>
      <c r="GF92" s="33"/>
      <c r="GG92" s="33"/>
      <c r="GH92" s="33"/>
      <c r="GI92" s="33"/>
      <c r="GJ92" s="33"/>
      <c r="GK92" s="33"/>
      <c r="GL92" s="33"/>
      <c r="GM92" s="33"/>
      <c r="GN92" s="33"/>
      <c r="GO92" s="33"/>
      <c r="GP92" s="33"/>
      <c r="GQ92" s="33"/>
      <c r="GR92" s="33"/>
      <c r="GS92" s="33"/>
      <c r="GT92" s="33"/>
      <c r="GU92" s="33"/>
      <c r="GV92" s="33"/>
      <c r="GW92" s="33"/>
      <c r="GX92" s="33"/>
      <c r="GY92" s="33"/>
      <c r="GZ92" s="33"/>
      <c r="HA92" s="33"/>
      <c r="HB92" s="33"/>
      <c r="HC92" s="33"/>
      <c r="HD92" s="33"/>
      <c r="HE92" s="33"/>
      <c r="HF92" s="33"/>
      <c r="HG92" s="33"/>
      <c r="HH92" s="33"/>
    </row>
    <row r="93" spans="1:216" ht="15.75" customHeight="1" x14ac:dyDescent="0.3">
      <c r="A93" s="11" t="s">
        <v>48</v>
      </c>
      <c r="B93" s="17" t="s">
        <v>55</v>
      </c>
      <c r="C93" s="86" t="s">
        <v>56</v>
      </c>
      <c r="D93" s="64"/>
      <c r="E93" s="9">
        <f>ALASMALANG!V93+'BENELAN KIDUL'!S93+CANTUK!T93+GAMBOR!N93+GUMIRIH!S93+KEMIRI!U93+LEMAHBANGKULON!Q93+PADANG!Q93+SINGOJURUH!AC93+SINGOLATREN!T93+SUMBERBARU!S93</f>
        <v>153</v>
      </c>
      <c r="F93" s="40"/>
      <c r="G93" s="1"/>
      <c r="H93" s="1"/>
      <c r="I93" s="1"/>
      <c r="J93" s="1"/>
      <c r="K93" s="1"/>
      <c r="L93" s="1"/>
      <c r="M93" s="1"/>
      <c r="N93" s="1"/>
      <c r="O93" s="1"/>
      <c r="P93" s="34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/>
      <c r="DP93" s="31"/>
      <c r="DQ93" s="31"/>
      <c r="DR93" s="31"/>
      <c r="DS93" s="31"/>
      <c r="DT93" s="31"/>
      <c r="DU93" s="31"/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/>
      <c r="EY93" s="31"/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  <c r="FN93" s="31"/>
      <c r="FO93" s="31"/>
      <c r="FP93" s="31"/>
      <c r="FQ93" s="31"/>
      <c r="FR93" s="31"/>
      <c r="FS93" s="31"/>
      <c r="FT93" s="31"/>
      <c r="FU93" s="31"/>
      <c r="FV93" s="31"/>
      <c r="FW93" s="31"/>
      <c r="FX93" s="31"/>
      <c r="FY93" s="31"/>
      <c r="FZ93" s="31"/>
      <c r="GA93" s="31"/>
      <c r="GB93" s="31"/>
      <c r="GC93" s="31"/>
      <c r="GD93" s="31"/>
      <c r="GE93" s="31"/>
      <c r="GF93" s="31"/>
      <c r="GG93" s="31"/>
      <c r="GH93" s="31"/>
      <c r="GI93" s="31"/>
      <c r="GJ93" s="31"/>
      <c r="GK93" s="31"/>
      <c r="GL93" s="31"/>
      <c r="GM93" s="31"/>
      <c r="GN93" s="31"/>
      <c r="GO93" s="31"/>
      <c r="GP93" s="31"/>
      <c r="GQ93" s="31"/>
      <c r="GR93" s="31"/>
      <c r="GS93" s="31"/>
      <c r="GT93" s="31"/>
      <c r="GU93" s="31"/>
      <c r="GV93" s="31"/>
      <c r="GW93" s="31"/>
      <c r="GX93" s="31"/>
      <c r="GY93" s="31"/>
      <c r="GZ93" s="31"/>
      <c r="HA93" s="31"/>
      <c r="HB93" s="31"/>
      <c r="HC93" s="31"/>
      <c r="HD93" s="31"/>
      <c r="HE93" s="31"/>
      <c r="HF93" s="31"/>
      <c r="HG93" s="31"/>
      <c r="HH93" s="31"/>
    </row>
    <row r="94" spans="1:216" ht="15.75" customHeight="1" x14ac:dyDescent="0.3">
      <c r="A94" s="11" t="s">
        <v>50</v>
      </c>
      <c r="B94" s="50"/>
      <c r="C94" s="24" t="s">
        <v>151</v>
      </c>
      <c r="D94" s="51"/>
      <c r="E94" s="9">
        <f>ALASMALANG!V94+'BENELAN KIDUL'!S94+CANTUK!T94+GAMBOR!N94+GUMIRIH!S94+KEMIRI!U94+LEMAHBANGKULON!Q94+PADANG!Q94+SINGOJURUH!AC94+SINGOLATREN!T94+SUMBERBARU!S94</f>
        <v>113</v>
      </c>
      <c r="F94" s="42"/>
      <c r="G94" s="27"/>
      <c r="H94" s="27"/>
      <c r="I94" s="27"/>
      <c r="J94" s="27"/>
      <c r="K94" s="27"/>
      <c r="L94" s="27"/>
      <c r="M94" s="27"/>
      <c r="N94" s="27"/>
      <c r="O94" s="27"/>
      <c r="P94" s="37"/>
      <c r="Q94" s="30"/>
      <c r="R94" s="30"/>
      <c r="S94" s="30"/>
      <c r="T94" s="30"/>
      <c r="U94" s="30"/>
      <c r="V94" s="30"/>
      <c r="W94" s="38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0"/>
      <c r="BM94" s="30"/>
      <c r="BN94" s="30"/>
      <c r="BO94" s="30"/>
      <c r="BP94" s="30"/>
      <c r="BQ94" s="30"/>
      <c r="BR94" s="38"/>
      <c r="BS94" s="30"/>
      <c r="BT94" s="30"/>
      <c r="BU94" s="30"/>
      <c r="BV94" s="30"/>
      <c r="BW94" s="30"/>
      <c r="BX94" s="30"/>
      <c r="BY94" s="30"/>
      <c r="BZ94" s="30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8"/>
      <c r="EZ94" s="38"/>
      <c r="FA94" s="38"/>
      <c r="FB94" s="38"/>
      <c r="FC94" s="38"/>
      <c r="FD94" s="38"/>
      <c r="FE94" s="38"/>
      <c r="FF94" s="30"/>
      <c r="FG94" s="30"/>
      <c r="FH94" s="30"/>
      <c r="FI94" s="30"/>
      <c r="FJ94" s="38"/>
      <c r="FK94" s="38"/>
      <c r="FL94" s="38"/>
      <c r="FM94" s="38"/>
      <c r="FN94" s="38"/>
      <c r="FO94" s="38"/>
      <c r="FP94" s="38"/>
      <c r="FQ94" s="38"/>
      <c r="FR94" s="38"/>
      <c r="FS94" s="38"/>
      <c r="FT94" s="38"/>
      <c r="FU94" s="38"/>
      <c r="FV94" s="38"/>
      <c r="FW94" s="38"/>
      <c r="FX94" s="38"/>
      <c r="FY94" s="38"/>
      <c r="FZ94" s="38"/>
      <c r="GA94" s="38"/>
      <c r="GB94" s="38"/>
      <c r="GC94" s="38"/>
      <c r="GD94" s="38"/>
      <c r="GE94" s="38"/>
      <c r="GF94" s="38"/>
      <c r="GG94" s="38"/>
      <c r="GH94" s="38"/>
      <c r="GI94" s="38"/>
      <c r="GJ94" s="38"/>
      <c r="GK94" s="38"/>
      <c r="GL94" s="38"/>
      <c r="GM94" s="38"/>
      <c r="GN94" s="38"/>
      <c r="GO94" s="38"/>
      <c r="GP94" s="38"/>
      <c r="GQ94" s="38"/>
      <c r="GR94" s="38"/>
      <c r="GS94" s="38"/>
      <c r="GT94" s="38"/>
      <c r="GU94" s="38"/>
      <c r="GV94" s="38"/>
      <c r="GW94" s="38"/>
      <c r="GX94" s="38"/>
      <c r="GY94" s="38"/>
      <c r="GZ94" s="38"/>
      <c r="HA94" s="38"/>
      <c r="HB94" s="38"/>
      <c r="HC94" s="38"/>
      <c r="HD94" s="38"/>
      <c r="HE94" s="38"/>
      <c r="HF94" s="38"/>
      <c r="HG94" s="38"/>
      <c r="HH94" s="38"/>
    </row>
    <row r="95" spans="1:216" ht="15.75" customHeight="1" x14ac:dyDescent="0.3">
      <c r="A95" s="7"/>
      <c r="B95" s="50"/>
      <c r="C95" s="24" t="s">
        <v>152</v>
      </c>
      <c r="D95" s="51"/>
      <c r="E95" s="9">
        <f>ALASMALANG!V95+'BENELAN KIDUL'!S95+CANTUK!T95+GAMBOR!N95+GUMIRIH!S95+KEMIRI!U95+LEMAHBANGKULON!Q95+PADANG!Q95+SINGOJURUH!AC95+SINGOLATREN!T95+SUMBERBARU!S95</f>
        <v>27</v>
      </c>
      <c r="F95" s="39"/>
      <c r="G95" s="20"/>
      <c r="H95" s="20"/>
      <c r="I95" s="20"/>
      <c r="J95" s="20"/>
      <c r="K95" s="20"/>
      <c r="L95" s="20"/>
      <c r="M95" s="20"/>
      <c r="N95" s="20"/>
      <c r="O95" s="20"/>
      <c r="P95" s="32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  <c r="EE95" s="33"/>
      <c r="EF95" s="33"/>
      <c r="EG95" s="33"/>
      <c r="EH95" s="33"/>
      <c r="EI95" s="33"/>
      <c r="EJ95" s="33"/>
      <c r="EK95" s="33"/>
      <c r="EL95" s="33"/>
      <c r="EM95" s="33"/>
      <c r="EN95" s="33"/>
      <c r="EO95" s="33"/>
      <c r="EP95" s="33"/>
      <c r="EQ95" s="33"/>
      <c r="ER95" s="33"/>
      <c r="ES95" s="33"/>
      <c r="ET95" s="33"/>
      <c r="EU95" s="33"/>
      <c r="EV95" s="33"/>
      <c r="EW95" s="33"/>
      <c r="EX95" s="33"/>
      <c r="EY95" s="33"/>
      <c r="EZ95" s="33"/>
      <c r="FA95" s="33"/>
      <c r="FB95" s="33"/>
      <c r="FC95" s="33"/>
      <c r="FD95" s="33"/>
      <c r="FE95" s="33"/>
      <c r="FF95" s="33"/>
      <c r="FG95" s="33"/>
      <c r="FH95" s="33"/>
      <c r="FI95" s="33"/>
      <c r="FJ95" s="33"/>
      <c r="FK95" s="33"/>
      <c r="FL95" s="33"/>
      <c r="FM95" s="33"/>
      <c r="FN95" s="33"/>
      <c r="FO95" s="33"/>
      <c r="FP95" s="33"/>
      <c r="FQ95" s="33"/>
      <c r="FR95" s="33"/>
      <c r="FS95" s="33"/>
      <c r="FT95" s="33"/>
      <c r="FU95" s="33"/>
      <c r="FV95" s="33"/>
      <c r="FW95" s="33"/>
      <c r="FX95" s="33"/>
      <c r="FY95" s="33"/>
      <c r="FZ95" s="33"/>
      <c r="GA95" s="33"/>
      <c r="GB95" s="33"/>
      <c r="GC95" s="33"/>
      <c r="GD95" s="33"/>
      <c r="GE95" s="33"/>
      <c r="GF95" s="33"/>
      <c r="GG95" s="33"/>
      <c r="GH95" s="33"/>
      <c r="GI95" s="33"/>
      <c r="GJ95" s="33"/>
      <c r="GK95" s="33"/>
      <c r="GL95" s="33"/>
      <c r="GM95" s="33"/>
      <c r="GN95" s="33"/>
      <c r="GO95" s="33"/>
      <c r="GP95" s="33"/>
      <c r="GQ95" s="33"/>
      <c r="GR95" s="33"/>
      <c r="GS95" s="33"/>
      <c r="GT95" s="33"/>
      <c r="GU95" s="33"/>
      <c r="GV95" s="33"/>
      <c r="GW95" s="33"/>
      <c r="GX95" s="33"/>
      <c r="GY95" s="33"/>
      <c r="GZ95" s="33"/>
      <c r="HA95" s="33"/>
      <c r="HB95" s="33"/>
      <c r="HC95" s="33"/>
      <c r="HD95" s="33"/>
      <c r="HE95" s="33"/>
      <c r="HF95" s="33"/>
      <c r="HG95" s="33"/>
      <c r="HH95" s="33"/>
    </row>
    <row r="96" spans="1:216" ht="15.75" customHeight="1" x14ac:dyDescent="0.3">
      <c r="A96" s="7"/>
      <c r="B96" s="50"/>
      <c r="C96" s="24" t="s">
        <v>153</v>
      </c>
      <c r="D96" s="51"/>
      <c r="E96" s="9">
        <f>ALASMALANG!V96+'BENELAN KIDUL'!S96+CANTUK!T96+GAMBOR!N96+GUMIRIH!S96+KEMIRI!U96+LEMAHBANGKULON!Q96+PADANG!Q96+SINGOJURUH!AC96+SINGOLATREN!T96+SUMBERBARU!S96</f>
        <v>10</v>
      </c>
      <c r="F96" s="39"/>
      <c r="G96" s="20"/>
      <c r="H96" s="20"/>
      <c r="I96" s="20"/>
      <c r="J96" s="20"/>
      <c r="K96" s="20"/>
      <c r="L96" s="20"/>
      <c r="M96" s="20"/>
      <c r="N96" s="20"/>
      <c r="O96" s="20"/>
      <c r="P96" s="32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  <c r="DM96" s="33"/>
      <c r="DN96" s="33"/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  <c r="ED96" s="33"/>
      <c r="EE96" s="33"/>
      <c r="EF96" s="33"/>
      <c r="EG96" s="33"/>
      <c r="EH96" s="33"/>
      <c r="EI96" s="33"/>
      <c r="EJ96" s="33"/>
      <c r="EK96" s="33"/>
      <c r="EL96" s="33"/>
      <c r="EM96" s="33"/>
      <c r="EN96" s="33"/>
      <c r="EO96" s="33"/>
      <c r="EP96" s="33"/>
      <c r="EQ96" s="33"/>
      <c r="ER96" s="33"/>
      <c r="ES96" s="33"/>
      <c r="ET96" s="33"/>
      <c r="EU96" s="33"/>
      <c r="EV96" s="33"/>
      <c r="EW96" s="33"/>
      <c r="EX96" s="33"/>
      <c r="EY96" s="33"/>
      <c r="EZ96" s="33"/>
      <c r="FA96" s="33"/>
      <c r="FB96" s="33"/>
      <c r="FC96" s="33"/>
      <c r="FD96" s="33"/>
      <c r="FE96" s="33"/>
      <c r="FF96" s="33"/>
      <c r="FG96" s="33"/>
      <c r="FH96" s="33"/>
      <c r="FI96" s="33"/>
      <c r="FJ96" s="33"/>
      <c r="FK96" s="33"/>
      <c r="FL96" s="33"/>
      <c r="FM96" s="33"/>
      <c r="FN96" s="33"/>
      <c r="FO96" s="33"/>
      <c r="FP96" s="33"/>
      <c r="FQ96" s="33"/>
      <c r="FR96" s="33"/>
      <c r="FS96" s="33"/>
      <c r="FT96" s="33"/>
      <c r="FU96" s="33"/>
      <c r="FV96" s="33"/>
      <c r="FW96" s="33"/>
      <c r="FX96" s="33"/>
      <c r="FY96" s="33"/>
      <c r="FZ96" s="33"/>
      <c r="GA96" s="33"/>
      <c r="GB96" s="33"/>
      <c r="GC96" s="33"/>
      <c r="GD96" s="33"/>
      <c r="GE96" s="33"/>
      <c r="GF96" s="33"/>
      <c r="GG96" s="33"/>
      <c r="GH96" s="33"/>
      <c r="GI96" s="33"/>
      <c r="GJ96" s="33"/>
      <c r="GK96" s="33"/>
      <c r="GL96" s="33"/>
      <c r="GM96" s="33"/>
      <c r="GN96" s="33"/>
      <c r="GO96" s="33"/>
      <c r="GP96" s="33"/>
      <c r="GQ96" s="33"/>
      <c r="GR96" s="33"/>
      <c r="GS96" s="33"/>
      <c r="GT96" s="33"/>
      <c r="GU96" s="33"/>
      <c r="GV96" s="33"/>
      <c r="GW96" s="33"/>
      <c r="GX96" s="33"/>
      <c r="GY96" s="33"/>
      <c r="GZ96" s="33"/>
      <c r="HA96" s="33"/>
      <c r="HB96" s="33"/>
      <c r="HC96" s="33"/>
      <c r="HD96" s="33"/>
      <c r="HE96" s="33"/>
      <c r="HF96" s="33"/>
      <c r="HG96" s="33"/>
      <c r="HH96" s="33"/>
    </row>
    <row r="97" spans="1:216" ht="15.75" customHeight="1" x14ac:dyDescent="0.3">
      <c r="A97" s="7"/>
      <c r="B97" s="50"/>
      <c r="C97" s="24" t="s">
        <v>154</v>
      </c>
      <c r="D97" s="51"/>
      <c r="E97" s="9">
        <f>ALASMALANG!V97+'BENELAN KIDUL'!S97+CANTUK!T97+GAMBOR!N97+GUMIRIH!S97+KEMIRI!U97+LEMAHBANGKULON!Q97+PADANG!Q97+SINGOJURUH!AC97+SINGOLATREN!T97+SUMBERBARU!S97</f>
        <v>13</v>
      </c>
      <c r="F97" s="39"/>
      <c r="G97" s="20"/>
      <c r="H97" s="20"/>
      <c r="I97" s="20"/>
      <c r="J97" s="20"/>
      <c r="K97" s="20"/>
      <c r="L97" s="20"/>
      <c r="M97" s="20"/>
      <c r="N97" s="20"/>
      <c r="O97" s="20"/>
      <c r="P97" s="32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33"/>
      <c r="EV97" s="33"/>
      <c r="EW97" s="33"/>
      <c r="EX97" s="33"/>
      <c r="EY97" s="33"/>
      <c r="EZ97" s="33"/>
      <c r="FA97" s="33"/>
      <c r="FB97" s="33"/>
      <c r="FC97" s="33"/>
      <c r="FD97" s="33"/>
      <c r="FE97" s="33"/>
      <c r="FF97" s="33"/>
      <c r="FG97" s="33"/>
      <c r="FH97" s="33"/>
      <c r="FI97" s="33"/>
      <c r="FJ97" s="33"/>
      <c r="FK97" s="33"/>
      <c r="FL97" s="33"/>
      <c r="FM97" s="33"/>
      <c r="FN97" s="33"/>
      <c r="FO97" s="33"/>
      <c r="FP97" s="33"/>
      <c r="FQ97" s="33"/>
      <c r="FR97" s="33"/>
      <c r="FS97" s="33"/>
      <c r="FT97" s="33"/>
      <c r="FU97" s="33"/>
      <c r="FV97" s="33"/>
      <c r="FW97" s="33"/>
      <c r="FX97" s="33"/>
      <c r="FY97" s="33"/>
      <c r="FZ97" s="33"/>
      <c r="GA97" s="33"/>
      <c r="GB97" s="33"/>
      <c r="GC97" s="33"/>
      <c r="GD97" s="33"/>
      <c r="GE97" s="33"/>
      <c r="GF97" s="33"/>
      <c r="GG97" s="33"/>
      <c r="GH97" s="33"/>
      <c r="GI97" s="33"/>
      <c r="GJ97" s="33"/>
      <c r="GK97" s="33"/>
      <c r="GL97" s="33"/>
      <c r="GM97" s="33"/>
      <c r="GN97" s="33"/>
      <c r="GO97" s="33"/>
      <c r="GP97" s="33"/>
      <c r="GQ97" s="33"/>
      <c r="GR97" s="33"/>
      <c r="GS97" s="33"/>
      <c r="GT97" s="33"/>
      <c r="GU97" s="33"/>
      <c r="GV97" s="33"/>
      <c r="GW97" s="33"/>
      <c r="GX97" s="33"/>
      <c r="GY97" s="33"/>
      <c r="GZ97" s="33"/>
      <c r="HA97" s="33"/>
      <c r="HB97" s="33"/>
      <c r="HC97" s="33"/>
      <c r="HD97" s="33"/>
      <c r="HE97" s="33"/>
      <c r="HF97" s="33"/>
      <c r="HG97" s="33"/>
      <c r="HH97" s="33"/>
    </row>
    <row r="98" spans="1:216" ht="15.75" customHeight="1" x14ac:dyDescent="0.3">
      <c r="A98" s="7"/>
      <c r="B98" s="50"/>
      <c r="C98" s="24" t="s">
        <v>155</v>
      </c>
      <c r="D98" s="49"/>
      <c r="E98" s="9">
        <f>ALASMALANG!V98+'BENELAN KIDUL'!S98+CANTUK!T98+GAMBOR!N98+GUMIRIH!S98+KEMIRI!U98+LEMAHBANGKULON!Q98+PADANG!Q98+SINGOJURUH!AC98+SINGOLATREN!T98+SUMBERBARU!S98</f>
        <v>45</v>
      </c>
      <c r="F98" s="39"/>
      <c r="G98" s="20"/>
      <c r="H98" s="20"/>
      <c r="I98" s="20"/>
      <c r="J98" s="20"/>
      <c r="K98" s="20"/>
      <c r="L98" s="20"/>
      <c r="M98" s="20"/>
      <c r="N98" s="20"/>
      <c r="O98" s="20"/>
      <c r="P98" s="32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  <c r="ED98" s="33"/>
      <c r="EE98" s="33"/>
      <c r="EF98" s="33"/>
      <c r="EG98" s="33"/>
      <c r="EH98" s="33"/>
      <c r="EI98" s="33"/>
      <c r="EJ98" s="33"/>
      <c r="EK98" s="33"/>
      <c r="EL98" s="33"/>
      <c r="EM98" s="33"/>
      <c r="EN98" s="33"/>
      <c r="EO98" s="33"/>
      <c r="EP98" s="33"/>
      <c r="EQ98" s="33"/>
      <c r="ER98" s="33"/>
      <c r="ES98" s="33"/>
      <c r="ET98" s="33"/>
      <c r="EU98" s="33"/>
      <c r="EV98" s="33"/>
      <c r="EW98" s="33"/>
      <c r="EX98" s="33"/>
      <c r="EY98" s="33"/>
      <c r="EZ98" s="33"/>
      <c r="FA98" s="33"/>
      <c r="FB98" s="33"/>
      <c r="FC98" s="33"/>
      <c r="FD98" s="33"/>
      <c r="FE98" s="33"/>
      <c r="FF98" s="33"/>
      <c r="FG98" s="33"/>
      <c r="FH98" s="33"/>
      <c r="FI98" s="33"/>
      <c r="FJ98" s="33"/>
      <c r="FK98" s="33"/>
      <c r="FL98" s="33"/>
      <c r="FM98" s="33"/>
      <c r="FN98" s="33"/>
      <c r="FO98" s="33"/>
      <c r="FP98" s="33"/>
      <c r="FQ98" s="33"/>
      <c r="FR98" s="33"/>
      <c r="FS98" s="33"/>
      <c r="FT98" s="33"/>
      <c r="FU98" s="33"/>
      <c r="FV98" s="33"/>
      <c r="FW98" s="33"/>
      <c r="FX98" s="33"/>
      <c r="FY98" s="33"/>
      <c r="FZ98" s="33"/>
      <c r="GA98" s="33"/>
      <c r="GB98" s="33"/>
      <c r="GC98" s="33"/>
      <c r="GD98" s="33"/>
      <c r="GE98" s="33"/>
      <c r="GF98" s="33"/>
      <c r="GG98" s="33"/>
      <c r="GH98" s="33"/>
      <c r="GI98" s="33"/>
      <c r="GJ98" s="33"/>
      <c r="GK98" s="33"/>
      <c r="GL98" s="33"/>
      <c r="GM98" s="33"/>
      <c r="GN98" s="33"/>
      <c r="GO98" s="33"/>
      <c r="GP98" s="33"/>
      <c r="GQ98" s="33"/>
      <c r="GR98" s="33"/>
      <c r="GS98" s="33"/>
      <c r="GT98" s="33"/>
      <c r="GU98" s="33"/>
      <c r="GV98" s="33"/>
      <c r="GW98" s="33"/>
      <c r="GX98" s="33"/>
      <c r="GY98" s="33"/>
      <c r="GZ98" s="33"/>
      <c r="HA98" s="33"/>
      <c r="HB98" s="33"/>
      <c r="HC98" s="33"/>
      <c r="HD98" s="33"/>
      <c r="HE98" s="33"/>
      <c r="HF98" s="33"/>
      <c r="HG98" s="33"/>
      <c r="HH98" s="33"/>
    </row>
    <row r="99" spans="1:216" ht="15.75" customHeight="1" x14ac:dyDescent="0.3">
      <c r="A99" s="7"/>
      <c r="B99" s="50"/>
      <c r="C99" s="24" t="s">
        <v>156</v>
      </c>
      <c r="D99" s="49"/>
      <c r="E99" s="9">
        <f>ALASMALANG!V99+'BENELAN KIDUL'!S99+CANTUK!T99+GAMBOR!N99+GUMIRIH!S99+KEMIRI!U99+LEMAHBANGKULON!Q99+PADANG!Q99+SINGOJURUH!AC99+SINGOLATREN!T99+SUMBERBARU!S99</f>
        <v>13</v>
      </c>
      <c r="F99" s="39"/>
      <c r="G99" s="20"/>
      <c r="H99" s="20"/>
      <c r="I99" s="20"/>
      <c r="J99" s="20"/>
      <c r="K99" s="20"/>
      <c r="L99" s="20"/>
      <c r="M99" s="20"/>
      <c r="N99" s="20"/>
      <c r="O99" s="20"/>
      <c r="P99" s="32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  <c r="EE99" s="33"/>
      <c r="EF99" s="33"/>
      <c r="EG99" s="33"/>
      <c r="EH99" s="33"/>
      <c r="EI99" s="33"/>
      <c r="EJ99" s="33"/>
      <c r="EK99" s="33"/>
      <c r="EL99" s="33"/>
      <c r="EM99" s="33"/>
      <c r="EN99" s="33"/>
      <c r="EO99" s="33"/>
      <c r="EP99" s="33"/>
      <c r="EQ99" s="33"/>
      <c r="ER99" s="33"/>
      <c r="ES99" s="33"/>
      <c r="ET99" s="33"/>
      <c r="EU99" s="33"/>
      <c r="EV99" s="33"/>
      <c r="EW99" s="33"/>
      <c r="EX99" s="33"/>
      <c r="EY99" s="33"/>
      <c r="EZ99" s="33"/>
      <c r="FA99" s="33"/>
      <c r="FB99" s="33"/>
      <c r="FC99" s="33"/>
      <c r="FD99" s="33"/>
      <c r="FE99" s="33"/>
      <c r="FF99" s="33"/>
      <c r="FG99" s="33"/>
      <c r="FH99" s="33"/>
      <c r="FI99" s="33"/>
      <c r="FJ99" s="33"/>
      <c r="FK99" s="33"/>
      <c r="FL99" s="33"/>
      <c r="FM99" s="33"/>
      <c r="FN99" s="33"/>
      <c r="FO99" s="33"/>
      <c r="FP99" s="33"/>
      <c r="FQ99" s="33"/>
      <c r="FR99" s="33"/>
      <c r="FS99" s="33"/>
      <c r="FT99" s="33"/>
      <c r="FU99" s="33"/>
      <c r="FV99" s="33"/>
      <c r="FW99" s="33"/>
      <c r="FX99" s="33"/>
      <c r="FY99" s="33"/>
      <c r="FZ99" s="33"/>
      <c r="GA99" s="33"/>
      <c r="GB99" s="33"/>
      <c r="GC99" s="33"/>
      <c r="GD99" s="33"/>
      <c r="GE99" s="33"/>
      <c r="GF99" s="33"/>
      <c r="GG99" s="33"/>
      <c r="GH99" s="33"/>
      <c r="GI99" s="33"/>
      <c r="GJ99" s="33"/>
      <c r="GK99" s="33"/>
      <c r="GL99" s="33"/>
      <c r="GM99" s="33"/>
      <c r="GN99" s="33"/>
      <c r="GO99" s="33"/>
      <c r="GP99" s="33"/>
      <c r="GQ99" s="33"/>
      <c r="GR99" s="33"/>
      <c r="GS99" s="33"/>
      <c r="GT99" s="33"/>
      <c r="GU99" s="33"/>
      <c r="GV99" s="33"/>
      <c r="GW99" s="33"/>
      <c r="GX99" s="33"/>
      <c r="GY99" s="33"/>
      <c r="GZ99" s="33"/>
      <c r="HA99" s="33"/>
      <c r="HB99" s="33"/>
      <c r="HC99" s="33"/>
      <c r="HD99" s="33"/>
      <c r="HE99" s="33"/>
      <c r="HF99" s="33"/>
      <c r="HG99" s="33"/>
      <c r="HH99" s="33"/>
    </row>
    <row r="100" spans="1:216" ht="15.75" customHeight="1" x14ac:dyDescent="0.3">
      <c r="A100" s="7"/>
      <c r="B100" s="50"/>
      <c r="C100" s="24" t="s">
        <v>157</v>
      </c>
      <c r="D100" s="51"/>
      <c r="E100" s="9">
        <f>ALASMALANG!V100+'BENELAN KIDUL'!S100+CANTUK!T100+GAMBOR!N100+GUMIRIH!S100+KEMIRI!U100+LEMAHBANGKULON!Q100+PADANG!Q100+SINGOJURUH!AC100+SINGOLATREN!T100+SUMBERBARU!S100</f>
        <v>4</v>
      </c>
      <c r="F100" s="39"/>
      <c r="G100" s="20"/>
      <c r="H100" s="20"/>
      <c r="I100" s="20"/>
      <c r="J100" s="20"/>
      <c r="K100" s="20"/>
      <c r="L100" s="20"/>
      <c r="M100" s="20"/>
      <c r="N100" s="20"/>
      <c r="O100" s="20"/>
      <c r="P100" s="32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L100" s="33"/>
      <c r="DM100" s="33"/>
      <c r="DN100" s="33"/>
      <c r="DO100" s="33"/>
      <c r="DP100" s="33"/>
      <c r="DQ100" s="33"/>
      <c r="DR100" s="33"/>
      <c r="DS100" s="33"/>
      <c r="DT100" s="33"/>
      <c r="DU100" s="33"/>
      <c r="DV100" s="33"/>
      <c r="DW100" s="33"/>
      <c r="DX100" s="33"/>
      <c r="DY100" s="33"/>
      <c r="DZ100" s="33"/>
      <c r="EA100" s="33"/>
      <c r="EB100" s="33"/>
      <c r="EC100" s="33"/>
      <c r="ED100" s="33"/>
      <c r="EE100" s="33"/>
      <c r="EF100" s="33"/>
      <c r="EG100" s="33"/>
      <c r="EH100" s="33"/>
      <c r="EI100" s="33"/>
      <c r="EJ100" s="33"/>
      <c r="EK100" s="33"/>
      <c r="EL100" s="33"/>
      <c r="EM100" s="33"/>
      <c r="EN100" s="33"/>
      <c r="EO100" s="33"/>
      <c r="EP100" s="33"/>
      <c r="EQ100" s="33"/>
      <c r="ER100" s="33"/>
      <c r="ES100" s="33"/>
      <c r="ET100" s="33"/>
      <c r="EU100" s="33"/>
      <c r="EV100" s="33"/>
      <c r="EW100" s="33"/>
      <c r="EX100" s="33"/>
      <c r="EY100" s="33"/>
      <c r="EZ100" s="33"/>
      <c r="FA100" s="33"/>
      <c r="FB100" s="33"/>
      <c r="FC100" s="33"/>
      <c r="FD100" s="33"/>
      <c r="FE100" s="33"/>
      <c r="FF100" s="33"/>
      <c r="FG100" s="33"/>
      <c r="FH100" s="33"/>
      <c r="FI100" s="33"/>
      <c r="FJ100" s="33"/>
      <c r="FK100" s="33"/>
      <c r="FL100" s="33"/>
      <c r="FM100" s="33"/>
      <c r="FN100" s="33"/>
      <c r="FO100" s="33"/>
      <c r="FP100" s="33"/>
      <c r="FQ100" s="33"/>
      <c r="FR100" s="33"/>
      <c r="FS100" s="33"/>
      <c r="FT100" s="33"/>
      <c r="FU100" s="33"/>
      <c r="FV100" s="33"/>
      <c r="FW100" s="33"/>
      <c r="FX100" s="33"/>
      <c r="FY100" s="33"/>
      <c r="FZ100" s="33"/>
      <c r="GA100" s="33"/>
      <c r="GB100" s="33"/>
      <c r="GC100" s="33"/>
      <c r="GD100" s="33"/>
      <c r="GE100" s="33"/>
      <c r="GF100" s="33"/>
      <c r="GG100" s="33"/>
      <c r="GH100" s="33"/>
      <c r="GI100" s="33"/>
      <c r="GJ100" s="33"/>
      <c r="GK100" s="33"/>
      <c r="GL100" s="33"/>
      <c r="GM100" s="33"/>
      <c r="GN100" s="33"/>
      <c r="GO100" s="33"/>
      <c r="GP100" s="33"/>
      <c r="GQ100" s="33"/>
      <c r="GR100" s="33"/>
      <c r="GS100" s="33"/>
      <c r="GT100" s="33"/>
      <c r="GU100" s="33"/>
      <c r="GV100" s="33"/>
      <c r="GW100" s="33"/>
      <c r="GX100" s="33"/>
      <c r="GY100" s="33"/>
      <c r="GZ100" s="33"/>
      <c r="HA100" s="33"/>
      <c r="HB100" s="33"/>
      <c r="HC100" s="33"/>
      <c r="HD100" s="33"/>
      <c r="HE100" s="33"/>
      <c r="HF100" s="33"/>
      <c r="HG100" s="33"/>
      <c r="HH100" s="33"/>
    </row>
    <row r="101" spans="1:216" ht="15.75" customHeight="1" x14ac:dyDescent="0.3">
      <c r="A101" s="7"/>
      <c r="B101" s="50"/>
      <c r="C101" s="24" t="s">
        <v>158</v>
      </c>
      <c r="D101" s="51"/>
      <c r="E101" s="9">
        <f>ALASMALANG!V101+'BENELAN KIDUL'!S101+CANTUK!T101+GAMBOR!N101+GUMIRIH!S101+KEMIRI!U101+LEMAHBANGKULON!Q101+PADANG!Q101+SINGOJURUH!AC101+SINGOLATREN!T101+SUMBERBARU!S101</f>
        <v>8</v>
      </c>
      <c r="F101" s="39"/>
      <c r="G101" s="20"/>
      <c r="H101" s="20"/>
      <c r="I101" s="20"/>
      <c r="J101" s="20"/>
      <c r="K101" s="20"/>
      <c r="L101" s="20"/>
      <c r="M101" s="20"/>
      <c r="N101" s="20"/>
      <c r="O101" s="20"/>
      <c r="P101" s="32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3"/>
      <c r="DP101" s="33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3"/>
      <c r="EC101" s="33"/>
      <c r="ED101" s="33"/>
      <c r="EE101" s="33"/>
      <c r="EF101" s="33"/>
      <c r="EG101" s="33"/>
      <c r="EH101" s="33"/>
      <c r="EI101" s="33"/>
      <c r="EJ101" s="33"/>
      <c r="EK101" s="33"/>
      <c r="EL101" s="33"/>
      <c r="EM101" s="33"/>
      <c r="EN101" s="33"/>
      <c r="EO101" s="33"/>
      <c r="EP101" s="33"/>
      <c r="EQ101" s="33"/>
      <c r="ER101" s="33"/>
      <c r="ES101" s="33"/>
      <c r="ET101" s="33"/>
      <c r="EU101" s="33"/>
      <c r="EV101" s="33"/>
      <c r="EW101" s="33"/>
      <c r="EX101" s="33"/>
      <c r="EY101" s="33"/>
      <c r="EZ101" s="33"/>
      <c r="FA101" s="33"/>
      <c r="FB101" s="33"/>
      <c r="FC101" s="33"/>
      <c r="FD101" s="33"/>
      <c r="FE101" s="33"/>
      <c r="FF101" s="33"/>
      <c r="FG101" s="33"/>
      <c r="FH101" s="33"/>
      <c r="FI101" s="33"/>
      <c r="FJ101" s="33"/>
      <c r="FK101" s="33"/>
      <c r="FL101" s="33"/>
      <c r="FM101" s="33"/>
      <c r="FN101" s="33"/>
      <c r="FO101" s="33"/>
      <c r="FP101" s="33"/>
      <c r="FQ101" s="33"/>
      <c r="FR101" s="33"/>
      <c r="FS101" s="33"/>
      <c r="FT101" s="33"/>
      <c r="FU101" s="33"/>
      <c r="FV101" s="33"/>
      <c r="FW101" s="33"/>
      <c r="FX101" s="33"/>
      <c r="FY101" s="33"/>
      <c r="FZ101" s="33"/>
      <c r="GA101" s="33"/>
      <c r="GB101" s="33"/>
      <c r="GC101" s="33"/>
      <c r="GD101" s="33"/>
      <c r="GE101" s="33"/>
      <c r="GF101" s="33"/>
      <c r="GG101" s="33"/>
      <c r="GH101" s="33"/>
      <c r="GI101" s="33"/>
      <c r="GJ101" s="33"/>
      <c r="GK101" s="33"/>
      <c r="GL101" s="33"/>
      <c r="GM101" s="33"/>
      <c r="GN101" s="33"/>
      <c r="GO101" s="33"/>
      <c r="GP101" s="33"/>
      <c r="GQ101" s="33"/>
      <c r="GR101" s="33"/>
      <c r="GS101" s="33"/>
      <c r="GT101" s="33"/>
      <c r="GU101" s="33"/>
      <c r="GV101" s="33"/>
      <c r="GW101" s="33"/>
      <c r="GX101" s="33"/>
      <c r="GY101" s="33"/>
      <c r="GZ101" s="33"/>
      <c r="HA101" s="33"/>
      <c r="HB101" s="33"/>
      <c r="HC101" s="33"/>
      <c r="HD101" s="33"/>
      <c r="HE101" s="33"/>
      <c r="HF101" s="33"/>
      <c r="HG101" s="33"/>
      <c r="HH101" s="33"/>
    </row>
    <row r="102" spans="1:216" ht="15.75" customHeight="1" x14ac:dyDescent="0.3">
      <c r="A102" s="7"/>
      <c r="B102" s="50"/>
      <c r="C102" s="24" t="s">
        <v>159</v>
      </c>
      <c r="D102" s="51"/>
      <c r="E102" s="9">
        <f>ALASMALANG!V102+'BENELAN KIDUL'!S102+CANTUK!T102+GAMBOR!N102+GUMIRIH!S102+KEMIRI!U102+LEMAHBANGKULON!Q102+PADANG!Q102+SINGOJURUH!AC102+SINGOLATREN!T102+SUMBERBARU!S102</f>
        <v>0</v>
      </c>
      <c r="F102" s="39"/>
      <c r="G102" s="20"/>
      <c r="H102" s="20"/>
      <c r="I102" s="20"/>
      <c r="J102" s="20"/>
      <c r="K102" s="20"/>
      <c r="L102" s="20"/>
      <c r="M102" s="20"/>
      <c r="N102" s="20"/>
      <c r="O102" s="20"/>
      <c r="P102" s="32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  <c r="ED102" s="33"/>
      <c r="EE102" s="33"/>
      <c r="EF102" s="33"/>
      <c r="EG102" s="33"/>
      <c r="EH102" s="33"/>
      <c r="EI102" s="33"/>
      <c r="EJ102" s="33"/>
      <c r="EK102" s="33"/>
      <c r="EL102" s="33"/>
      <c r="EM102" s="33"/>
      <c r="EN102" s="33"/>
      <c r="EO102" s="33"/>
      <c r="EP102" s="33"/>
      <c r="EQ102" s="33"/>
      <c r="ER102" s="33"/>
      <c r="ES102" s="33"/>
      <c r="ET102" s="33"/>
      <c r="EU102" s="33"/>
      <c r="EV102" s="33"/>
      <c r="EW102" s="33"/>
      <c r="EX102" s="33"/>
      <c r="EY102" s="33"/>
      <c r="EZ102" s="33"/>
      <c r="FA102" s="33"/>
      <c r="FB102" s="33"/>
      <c r="FC102" s="33"/>
      <c r="FD102" s="33"/>
      <c r="FE102" s="33"/>
      <c r="FF102" s="33"/>
      <c r="FG102" s="33"/>
      <c r="FH102" s="33"/>
      <c r="FI102" s="33"/>
      <c r="FJ102" s="33"/>
      <c r="FK102" s="33"/>
      <c r="FL102" s="33"/>
      <c r="FM102" s="33"/>
      <c r="FN102" s="33"/>
      <c r="FO102" s="33"/>
      <c r="FP102" s="33"/>
      <c r="FQ102" s="33"/>
      <c r="FR102" s="33"/>
      <c r="FS102" s="33"/>
      <c r="FT102" s="33"/>
      <c r="FU102" s="33"/>
      <c r="FV102" s="33"/>
      <c r="FW102" s="33"/>
      <c r="FX102" s="33"/>
      <c r="FY102" s="33"/>
      <c r="FZ102" s="33"/>
      <c r="GA102" s="33"/>
      <c r="GB102" s="33"/>
      <c r="GC102" s="33"/>
      <c r="GD102" s="33"/>
      <c r="GE102" s="33"/>
      <c r="GF102" s="33"/>
      <c r="GG102" s="33"/>
      <c r="GH102" s="33"/>
      <c r="GI102" s="33"/>
      <c r="GJ102" s="33"/>
      <c r="GK102" s="33"/>
      <c r="GL102" s="33"/>
      <c r="GM102" s="33"/>
      <c r="GN102" s="33"/>
      <c r="GO102" s="33"/>
      <c r="GP102" s="33"/>
      <c r="GQ102" s="33"/>
      <c r="GR102" s="33"/>
      <c r="GS102" s="33"/>
      <c r="GT102" s="33"/>
      <c r="GU102" s="33"/>
      <c r="GV102" s="33"/>
      <c r="GW102" s="33"/>
      <c r="GX102" s="33"/>
      <c r="GY102" s="33"/>
      <c r="GZ102" s="33"/>
      <c r="HA102" s="33"/>
      <c r="HB102" s="33"/>
      <c r="HC102" s="33"/>
      <c r="HD102" s="33"/>
      <c r="HE102" s="33"/>
      <c r="HF102" s="33"/>
      <c r="HG102" s="33"/>
      <c r="HH102" s="33"/>
    </row>
    <row r="103" spans="1:216" ht="15.75" customHeight="1" x14ac:dyDescent="0.3">
      <c r="A103" s="6" t="s">
        <v>26</v>
      </c>
      <c r="B103" s="84" t="s">
        <v>51</v>
      </c>
      <c r="C103" s="63"/>
      <c r="D103" s="64"/>
      <c r="E103" s="5">
        <f>SUM(E93:E102)</f>
        <v>386</v>
      </c>
      <c r="F103" s="39"/>
      <c r="G103" s="20"/>
      <c r="H103" s="20"/>
      <c r="I103" s="20"/>
      <c r="J103" s="20"/>
      <c r="K103" s="20"/>
      <c r="L103" s="20"/>
      <c r="M103" s="20"/>
      <c r="N103" s="20"/>
      <c r="O103" s="20"/>
      <c r="P103" s="32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  <c r="ED103" s="33"/>
      <c r="EE103" s="33"/>
      <c r="EF103" s="33"/>
      <c r="EG103" s="33"/>
      <c r="EH103" s="33"/>
      <c r="EI103" s="33"/>
      <c r="EJ103" s="33"/>
      <c r="EK103" s="33"/>
      <c r="EL103" s="33"/>
      <c r="EM103" s="33"/>
      <c r="EN103" s="33"/>
      <c r="EO103" s="33"/>
      <c r="EP103" s="33"/>
      <c r="EQ103" s="33"/>
      <c r="ER103" s="33"/>
      <c r="ES103" s="33"/>
      <c r="ET103" s="33"/>
      <c r="EU103" s="33"/>
      <c r="EV103" s="33"/>
      <c r="EW103" s="33"/>
      <c r="EX103" s="33"/>
      <c r="EY103" s="33"/>
      <c r="EZ103" s="33"/>
      <c r="FA103" s="33"/>
      <c r="FB103" s="33"/>
      <c r="FC103" s="33"/>
      <c r="FD103" s="33"/>
      <c r="FE103" s="33"/>
      <c r="FF103" s="33"/>
      <c r="FG103" s="33"/>
      <c r="FH103" s="33"/>
      <c r="FI103" s="33"/>
      <c r="FJ103" s="33"/>
      <c r="FK103" s="33"/>
      <c r="FL103" s="33"/>
      <c r="FM103" s="33"/>
      <c r="FN103" s="33"/>
      <c r="FO103" s="33"/>
      <c r="FP103" s="33"/>
      <c r="FQ103" s="33"/>
      <c r="FR103" s="33"/>
      <c r="FS103" s="33"/>
      <c r="FT103" s="33"/>
      <c r="FU103" s="33"/>
      <c r="FV103" s="33"/>
      <c r="FW103" s="33"/>
      <c r="FX103" s="33"/>
      <c r="FY103" s="33"/>
      <c r="FZ103" s="33"/>
      <c r="GA103" s="33"/>
      <c r="GB103" s="33"/>
      <c r="GC103" s="33"/>
      <c r="GD103" s="33"/>
      <c r="GE103" s="33"/>
      <c r="GF103" s="33"/>
      <c r="GG103" s="33"/>
      <c r="GH103" s="33"/>
      <c r="GI103" s="33"/>
      <c r="GJ103" s="33"/>
      <c r="GK103" s="33"/>
      <c r="GL103" s="33"/>
      <c r="GM103" s="33"/>
      <c r="GN103" s="33"/>
      <c r="GO103" s="33"/>
      <c r="GP103" s="33"/>
      <c r="GQ103" s="33"/>
      <c r="GR103" s="33"/>
      <c r="GS103" s="33"/>
      <c r="GT103" s="33"/>
      <c r="GU103" s="33"/>
      <c r="GV103" s="33"/>
      <c r="GW103" s="33"/>
      <c r="GX103" s="33"/>
      <c r="GY103" s="33"/>
      <c r="GZ103" s="33"/>
      <c r="HA103" s="33"/>
      <c r="HB103" s="33"/>
      <c r="HC103" s="33"/>
      <c r="HD103" s="33"/>
      <c r="HE103" s="33"/>
      <c r="HF103" s="33"/>
      <c r="HG103" s="33"/>
      <c r="HH103" s="33"/>
    </row>
    <row r="104" spans="1:216" ht="15.75" customHeight="1" x14ac:dyDescent="0.3">
      <c r="A104" s="83"/>
      <c r="B104" s="82"/>
      <c r="C104" s="82"/>
      <c r="D104" s="82"/>
      <c r="E104" s="82"/>
      <c r="F104" s="39"/>
      <c r="G104" s="20"/>
      <c r="H104" s="20"/>
      <c r="I104" s="20"/>
      <c r="J104" s="20"/>
      <c r="K104" s="20"/>
      <c r="L104" s="20"/>
      <c r="M104" s="20"/>
      <c r="N104" s="20"/>
      <c r="O104" s="20"/>
      <c r="P104" s="32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3"/>
      <c r="CX104" s="33"/>
      <c r="CY104" s="33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L104" s="33"/>
      <c r="DM104" s="33"/>
      <c r="DN104" s="33"/>
      <c r="DO104" s="33"/>
      <c r="DP104" s="33"/>
      <c r="DQ104" s="33"/>
      <c r="DR104" s="33"/>
      <c r="DS104" s="33"/>
      <c r="DT104" s="33"/>
      <c r="DU104" s="33"/>
      <c r="DV104" s="33"/>
      <c r="DW104" s="33"/>
      <c r="DX104" s="33"/>
      <c r="DY104" s="33"/>
      <c r="DZ104" s="33"/>
      <c r="EA104" s="33"/>
      <c r="EB104" s="33"/>
      <c r="EC104" s="33"/>
      <c r="ED104" s="33"/>
      <c r="EE104" s="33"/>
      <c r="EF104" s="33"/>
      <c r="EG104" s="33"/>
      <c r="EH104" s="33"/>
      <c r="EI104" s="33"/>
      <c r="EJ104" s="33"/>
      <c r="EK104" s="33"/>
      <c r="EL104" s="33"/>
      <c r="EM104" s="33"/>
      <c r="EN104" s="33"/>
      <c r="EO104" s="33"/>
      <c r="EP104" s="33"/>
      <c r="EQ104" s="33"/>
      <c r="ER104" s="33"/>
      <c r="ES104" s="33"/>
      <c r="ET104" s="33"/>
      <c r="EU104" s="33"/>
      <c r="EV104" s="33"/>
      <c r="EW104" s="33"/>
      <c r="EX104" s="33"/>
      <c r="EY104" s="33"/>
      <c r="EZ104" s="33"/>
      <c r="FA104" s="33"/>
      <c r="FB104" s="33"/>
      <c r="FC104" s="33"/>
      <c r="FD104" s="33"/>
      <c r="FE104" s="33"/>
      <c r="FF104" s="33"/>
      <c r="FG104" s="33"/>
      <c r="FH104" s="33"/>
      <c r="FI104" s="33"/>
      <c r="FJ104" s="33"/>
      <c r="FK104" s="33"/>
      <c r="FL104" s="33"/>
      <c r="FM104" s="33"/>
      <c r="FN104" s="33"/>
      <c r="FO104" s="33"/>
      <c r="FP104" s="33"/>
      <c r="FQ104" s="33"/>
      <c r="FR104" s="33"/>
      <c r="FS104" s="33"/>
      <c r="FT104" s="33"/>
      <c r="FU104" s="33"/>
      <c r="FV104" s="33"/>
      <c r="FW104" s="33"/>
      <c r="FX104" s="33"/>
      <c r="FY104" s="33"/>
      <c r="FZ104" s="33"/>
      <c r="GA104" s="33"/>
      <c r="GB104" s="33"/>
      <c r="GC104" s="33"/>
      <c r="GD104" s="33"/>
      <c r="GE104" s="33"/>
      <c r="GF104" s="33"/>
      <c r="GG104" s="33"/>
      <c r="GH104" s="33"/>
      <c r="GI104" s="33"/>
      <c r="GJ104" s="33"/>
      <c r="GK104" s="33"/>
      <c r="GL104" s="33"/>
      <c r="GM104" s="33"/>
      <c r="GN104" s="33"/>
      <c r="GO104" s="33"/>
      <c r="GP104" s="33"/>
      <c r="GQ104" s="33"/>
      <c r="GR104" s="33"/>
      <c r="GS104" s="33"/>
      <c r="GT104" s="33"/>
      <c r="GU104" s="33"/>
      <c r="GV104" s="33"/>
      <c r="GW104" s="33"/>
      <c r="GX104" s="33"/>
      <c r="GY104" s="33"/>
      <c r="GZ104" s="33"/>
      <c r="HA104" s="33"/>
      <c r="HB104" s="33"/>
      <c r="HC104" s="33"/>
      <c r="HD104" s="33"/>
      <c r="HE104" s="33"/>
      <c r="HF104" s="33"/>
      <c r="HG104" s="33"/>
      <c r="HH104" s="33"/>
    </row>
    <row r="105" spans="1:216" ht="15.75" customHeight="1" x14ac:dyDescent="0.3">
      <c r="A105" s="11" t="s">
        <v>48</v>
      </c>
      <c r="B105" s="17" t="s">
        <v>57</v>
      </c>
      <c r="C105" s="86" t="s">
        <v>58</v>
      </c>
      <c r="D105" s="64"/>
      <c r="E105" s="9">
        <f>ALASMALANG!V105+'BENELAN KIDUL'!S105+CANTUK!T105+GAMBOR!N105+GUMIRIH!S105+KEMIRI!U105+LEMAHBANGKULON!Q105+PADANG!Q105+SINGOJURUH!AC105+SINGOLATREN!T105+SUMBERBARU!S105</f>
        <v>61</v>
      </c>
      <c r="F105" s="40"/>
      <c r="G105" s="1"/>
      <c r="H105" s="1"/>
      <c r="I105" s="1"/>
      <c r="J105" s="1"/>
      <c r="K105" s="1"/>
      <c r="L105" s="1"/>
      <c r="M105" s="1"/>
      <c r="N105" s="1"/>
      <c r="O105" s="1"/>
      <c r="P105" s="34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/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31"/>
      <c r="FB105" s="31"/>
      <c r="FC105" s="31"/>
      <c r="FD105" s="31"/>
      <c r="FE105" s="31"/>
      <c r="FF105" s="31"/>
      <c r="FG105" s="31"/>
      <c r="FH105" s="31"/>
      <c r="FI105" s="31"/>
      <c r="FJ105" s="31"/>
      <c r="FK105" s="31"/>
      <c r="FL105" s="31"/>
      <c r="FM105" s="31"/>
      <c r="FN105" s="31"/>
      <c r="FO105" s="31"/>
      <c r="FP105" s="31"/>
      <c r="FQ105" s="31"/>
      <c r="FR105" s="31"/>
      <c r="FS105" s="31"/>
      <c r="FT105" s="31"/>
      <c r="FU105" s="31"/>
      <c r="FV105" s="31"/>
      <c r="FW105" s="31"/>
      <c r="FX105" s="31"/>
      <c r="FY105" s="31"/>
      <c r="FZ105" s="31"/>
      <c r="GA105" s="31"/>
      <c r="GB105" s="31"/>
      <c r="GC105" s="31"/>
      <c r="GD105" s="31"/>
      <c r="GE105" s="31"/>
      <c r="GF105" s="31"/>
      <c r="GG105" s="31"/>
      <c r="GH105" s="31"/>
      <c r="GI105" s="31"/>
      <c r="GJ105" s="31"/>
      <c r="GK105" s="31"/>
      <c r="GL105" s="31"/>
      <c r="GM105" s="31"/>
      <c r="GN105" s="31"/>
      <c r="GO105" s="31"/>
      <c r="GP105" s="31"/>
      <c r="GQ105" s="31"/>
      <c r="GR105" s="31"/>
      <c r="GS105" s="31"/>
      <c r="GT105" s="31"/>
      <c r="GU105" s="31"/>
      <c r="GV105" s="31"/>
      <c r="GW105" s="31"/>
      <c r="GX105" s="31"/>
      <c r="GY105" s="31"/>
      <c r="GZ105" s="31"/>
      <c r="HA105" s="31"/>
      <c r="HB105" s="31"/>
      <c r="HC105" s="31"/>
      <c r="HD105" s="31"/>
      <c r="HE105" s="31"/>
      <c r="HF105" s="31"/>
      <c r="HG105" s="31"/>
      <c r="HH105" s="31"/>
    </row>
    <row r="106" spans="1:216" ht="15.75" customHeight="1" x14ac:dyDescent="0.3">
      <c r="A106" s="11" t="s">
        <v>50</v>
      </c>
      <c r="B106" s="50"/>
      <c r="C106" s="24" t="s">
        <v>160</v>
      </c>
      <c r="D106" s="49"/>
      <c r="E106" s="9">
        <f>ALASMALANG!V106+'BENELAN KIDUL'!S106+CANTUK!T106+GAMBOR!N106+GUMIRIH!S106+KEMIRI!U106+LEMAHBANGKULON!Q106+PADANG!Q106+SINGOJURUH!AC106+SINGOLATREN!T106+SUMBERBARU!S106</f>
        <v>19</v>
      </c>
      <c r="F106" s="42"/>
      <c r="G106" s="27"/>
      <c r="H106" s="27"/>
      <c r="I106" s="27"/>
      <c r="J106" s="27"/>
      <c r="K106" s="27"/>
      <c r="L106" s="27"/>
      <c r="M106" s="27"/>
      <c r="N106" s="27"/>
      <c r="O106" s="27"/>
      <c r="P106" s="37"/>
      <c r="Q106" s="30"/>
      <c r="R106" s="30"/>
      <c r="S106" s="30"/>
      <c r="T106" s="30"/>
      <c r="U106" s="30"/>
      <c r="V106" s="30"/>
      <c r="W106" s="38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0"/>
      <c r="BM106" s="30"/>
      <c r="BN106" s="30"/>
      <c r="BO106" s="30"/>
      <c r="BP106" s="30"/>
      <c r="BQ106" s="30"/>
      <c r="BR106" s="38"/>
      <c r="BS106" s="30"/>
      <c r="BT106" s="30"/>
      <c r="BU106" s="30"/>
      <c r="BV106" s="30"/>
      <c r="BW106" s="30"/>
      <c r="BX106" s="30"/>
      <c r="BY106" s="30"/>
      <c r="BZ106" s="30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38"/>
      <c r="CQ106" s="38"/>
      <c r="CR106" s="38"/>
      <c r="CS106" s="38"/>
      <c r="CT106" s="38"/>
      <c r="CU106" s="38"/>
      <c r="CV106" s="38"/>
      <c r="CW106" s="38"/>
      <c r="CX106" s="38"/>
      <c r="CY106" s="38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  <c r="EI106" s="38"/>
      <c r="EJ106" s="38"/>
      <c r="EK106" s="38"/>
      <c r="EL106" s="38"/>
      <c r="EM106" s="30"/>
      <c r="EN106" s="30"/>
      <c r="EO106" s="30"/>
      <c r="EP106" s="30"/>
      <c r="EQ106" s="30"/>
      <c r="ER106" s="30"/>
      <c r="ES106" s="30"/>
      <c r="ET106" s="30"/>
      <c r="EU106" s="30"/>
      <c r="EV106" s="30"/>
      <c r="EW106" s="30"/>
      <c r="EX106" s="30"/>
      <c r="EY106" s="38"/>
      <c r="EZ106" s="38"/>
      <c r="FA106" s="38"/>
      <c r="FB106" s="38"/>
      <c r="FC106" s="38"/>
      <c r="FD106" s="38"/>
      <c r="FE106" s="38"/>
      <c r="FF106" s="30"/>
      <c r="FG106" s="30"/>
      <c r="FH106" s="30"/>
      <c r="FI106" s="30"/>
      <c r="FJ106" s="38"/>
      <c r="FK106" s="38"/>
      <c r="FL106" s="38"/>
      <c r="FM106" s="38"/>
      <c r="FN106" s="38"/>
      <c r="FO106" s="38"/>
      <c r="FP106" s="38"/>
      <c r="FQ106" s="38"/>
      <c r="FR106" s="38"/>
      <c r="FS106" s="38"/>
      <c r="FT106" s="38"/>
      <c r="FU106" s="38"/>
      <c r="FV106" s="38"/>
      <c r="FW106" s="38"/>
      <c r="FX106" s="38"/>
      <c r="FY106" s="38"/>
      <c r="FZ106" s="38"/>
      <c r="GA106" s="38"/>
      <c r="GB106" s="38"/>
      <c r="GC106" s="38"/>
      <c r="GD106" s="38"/>
      <c r="GE106" s="38"/>
      <c r="GF106" s="38"/>
      <c r="GG106" s="38"/>
      <c r="GH106" s="38"/>
      <c r="GI106" s="38"/>
      <c r="GJ106" s="38"/>
      <c r="GK106" s="38"/>
      <c r="GL106" s="38"/>
      <c r="GM106" s="38"/>
      <c r="GN106" s="38"/>
      <c r="GO106" s="38"/>
      <c r="GP106" s="38"/>
      <c r="GQ106" s="38"/>
      <c r="GR106" s="38"/>
      <c r="GS106" s="38"/>
      <c r="GT106" s="38"/>
      <c r="GU106" s="38"/>
      <c r="GV106" s="38"/>
      <c r="GW106" s="38"/>
      <c r="GX106" s="38"/>
      <c r="GY106" s="38"/>
      <c r="GZ106" s="38"/>
      <c r="HA106" s="38"/>
      <c r="HB106" s="38"/>
      <c r="HC106" s="38"/>
      <c r="HD106" s="38"/>
      <c r="HE106" s="38"/>
      <c r="HF106" s="38"/>
      <c r="HG106" s="38"/>
      <c r="HH106" s="38"/>
    </row>
    <row r="107" spans="1:216" ht="15.75" customHeight="1" x14ac:dyDescent="0.3">
      <c r="A107" s="7"/>
      <c r="B107" s="50"/>
      <c r="C107" s="24" t="s">
        <v>161</v>
      </c>
      <c r="D107" s="49"/>
      <c r="E107" s="9">
        <f>ALASMALANG!V107+'BENELAN KIDUL'!S107+CANTUK!T107+GAMBOR!N107+GUMIRIH!S107+KEMIRI!U107+LEMAHBANGKULON!Q107+PADANG!Q107+SINGOJURUH!AC107+SINGOLATREN!T107+SUMBERBARU!S107</f>
        <v>24</v>
      </c>
      <c r="F107" s="39"/>
      <c r="G107" s="20"/>
      <c r="H107" s="20"/>
      <c r="I107" s="20"/>
      <c r="J107" s="20"/>
      <c r="K107" s="20"/>
      <c r="L107" s="20"/>
      <c r="M107" s="20"/>
      <c r="N107" s="20"/>
      <c r="O107" s="20"/>
      <c r="P107" s="32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  <c r="ED107" s="33"/>
      <c r="EE107" s="33"/>
      <c r="EF107" s="33"/>
      <c r="EG107" s="33"/>
      <c r="EH107" s="33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  <c r="ET107" s="33"/>
      <c r="EU107" s="33"/>
      <c r="EV107" s="33"/>
      <c r="EW107" s="33"/>
      <c r="EX107" s="33"/>
      <c r="EY107" s="33"/>
      <c r="EZ107" s="33"/>
      <c r="FA107" s="33"/>
      <c r="FB107" s="33"/>
      <c r="FC107" s="33"/>
      <c r="FD107" s="33"/>
      <c r="FE107" s="33"/>
      <c r="FF107" s="33"/>
      <c r="FG107" s="33"/>
      <c r="FH107" s="33"/>
      <c r="FI107" s="33"/>
      <c r="FJ107" s="33"/>
      <c r="FK107" s="33"/>
      <c r="FL107" s="33"/>
      <c r="FM107" s="33"/>
      <c r="FN107" s="33"/>
      <c r="FO107" s="33"/>
      <c r="FP107" s="33"/>
      <c r="FQ107" s="33"/>
      <c r="FR107" s="33"/>
      <c r="FS107" s="33"/>
      <c r="FT107" s="33"/>
      <c r="FU107" s="33"/>
      <c r="FV107" s="33"/>
      <c r="FW107" s="33"/>
      <c r="FX107" s="33"/>
      <c r="FY107" s="33"/>
      <c r="FZ107" s="33"/>
      <c r="GA107" s="33"/>
      <c r="GB107" s="33"/>
      <c r="GC107" s="33"/>
      <c r="GD107" s="33"/>
      <c r="GE107" s="33"/>
      <c r="GF107" s="33"/>
      <c r="GG107" s="33"/>
      <c r="GH107" s="33"/>
      <c r="GI107" s="33"/>
      <c r="GJ107" s="33"/>
      <c r="GK107" s="33"/>
      <c r="GL107" s="33"/>
      <c r="GM107" s="33"/>
      <c r="GN107" s="33"/>
      <c r="GO107" s="33"/>
      <c r="GP107" s="33"/>
      <c r="GQ107" s="33"/>
      <c r="GR107" s="33"/>
      <c r="GS107" s="33"/>
      <c r="GT107" s="33"/>
      <c r="GU107" s="33"/>
      <c r="GV107" s="33"/>
      <c r="GW107" s="33"/>
      <c r="GX107" s="33"/>
      <c r="GY107" s="33"/>
      <c r="GZ107" s="33"/>
      <c r="HA107" s="33"/>
      <c r="HB107" s="33"/>
      <c r="HC107" s="33"/>
      <c r="HD107" s="33"/>
      <c r="HE107" s="33"/>
      <c r="HF107" s="33"/>
      <c r="HG107" s="33"/>
      <c r="HH107" s="33"/>
    </row>
    <row r="108" spans="1:216" ht="15.75" customHeight="1" x14ac:dyDescent="0.3">
      <c r="A108" s="7"/>
      <c r="B108" s="45"/>
      <c r="C108" s="46"/>
      <c r="D108" s="48"/>
      <c r="E108" s="54"/>
      <c r="F108" s="39"/>
      <c r="G108" s="20"/>
      <c r="H108" s="20"/>
      <c r="I108" s="20"/>
      <c r="J108" s="20"/>
      <c r="K108" s="20"/>
      <c r="L108" s="20"/>
      <c r="M108" s="20"/>
      <c r="N108" s="20"/>
      <c r="O108" s="20"/>
      <c r="P108" s="32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/>
      <c r="CW108" s="33"/>
      <c r="CX108" s="33"/>
      <c r="CY108" s="33"/>
      <c r="CZ108" s="33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3"/>
      <c r="DL108" s="33"/>
      <c r="DM108" s="33"/>
      <c r="DN108" s="33"/>
      <c r="DO108" s="33"/>
      <c r="DP108" s="33"/>
      <c r="DQ108" s="33"/>
      <c r="DR108" s="33"/>
      <c r="DS108" s="33"/>
      <c r="DT108" s="33"/>
      <c r="DU108" s="33"/>
      <c r="DV108" s="33"/>
      <c r="DW108" s="33"/>
      <c r="DX108" s="33"/>
      <c r="DY108" s="33"/>
      <c r="DZ108" s="33"/>
      <c r="EA108" s="33"/>
      <c r="EB108" s="33"/>
      <c r="EC108" s="33"/>
      <c r="ED108" s="33"/>
      <c r="EE108" s="33"/>
      <c r="EF108" s="33"/>
      <c r="EG108" s="33"/>
      <c r="EH108" s="33"/>
      <c r="EI108" s="33"/>
      <c r="EJ108" s="33"/>
      <c r="EK108" s="33"/>
      <c r="EL108" s="33"/>
      <c r="EM108" s="33"/>
      <c r="EN108" s="33"/>
      <c r="EO108" s="33"/>
      <c r="EP108" s="33"/>
      <c r="EQ108" s="33"/>
      <c r="ER108" s="33"/>
      <c r="ES108" s="33"/>
      <c r="ET108" s="33"/>
      <c r="EU108" s="33"/>
      <c r="EV108" s="33"/>
      <c r="EW108" s="33"/>
      <c r="EX108" s="33"/>
      <c r="EY108" s="33"/>
      <c r="EZ108" s="33"/>
      <c r="FA108" s="33"/>
      <c r="FB108" s="33"/>
      <c r="FC108" s="33"/>
      <c r="FD108" s="33"/>
      <c r="FE108" s="33"/>
      <c r="FF108" s="33"/>
      <c r="FG108" s="33"/>
      <c r="FH108" s="33"/>
      <c r="FI108" s="33"/>
      <c r="FJ108" s="33"/>
      <c r="FK108" s="33"/>
      <c r="FL108" s="33"/>
      <c r="FM108" s="33"/>
      <c r="FN108" s="33"/>
      <c r="FO108" s="33"/>
      <c r="FP108" s="33"/>
      <c r="FQ108" s="33"/>
      <c r="FR108" s="33"/>
      <c r="FS108" s="33"/>
      <c r="FT108" s="33"/>
      <c r="FU108" s="33"/>
      <c r="FV108" s="33"/>
      <c r="FW108" s="33"/>
      <c r="FX108" s="33"/>
      <c r="FY108" s="33"/>
      <c r="FZ108" s="33"/>
      <c r="GA108" s="33"/>
      <c r="GB108" s="33"/>
      <c r="GC108" s="33"/>
      <c r="GD108" s="33"/>
      <c r="GE108" s="33"/>
      <c r="GF108" s="33"/>
      <c r="GG108" s="33"/>
      <c r="GH108" s="33"/>
      <c r="GI108" s="33"/>
      <c r="GJ108" s="33"/>
      <c r="GK108" s="33"/>
      <c r="GL108" s="33"/>
      <c r="GM108" s="33"/>
      <c r="GN108" s="33"/>
      <c r="GO108" s="33"/>
      <c r="GP108" s="33"/>
      <c r="GQ108" s="33"/>
      <c r="GR108" s="33"/>
      <c r="GS108" s="33"/>
      <c r="GT108" s="33"/>
      <c r="GU108" s="33"/>
      <c r="GV108" s="33"/>
      <c r="GW108" s="33"/>
      <c r="GX108" s="33"/>
      <c r="GY108" s="33"/>
      <c r="GZ108" s="33"/>
      <c r="HA108" s="33"/>
      <c r="HB108" s="33"/>
      <c r="HC108" s="33"/>
      <c r="HD108" s="33"/>
      <c r="HE108" s="33"/>
      <c r="HF108" s="33"/>
      <c r="HG108" s="33"/>
      <c r="HH108" s="33"/>
    </row>
    <row r="109" spans="1:216" ht="15.75" customHeight="1" x14ac:dyDescent="0.3">
      <c r="A109" s="7"/>
      <c r="B109" s="45"/>
      <c r="C109" s="46"/>
      <c r="D109" s="48"/>
      <c r="E109" s="54"/>
      <c r="F109" s="39"/>
      <c r="G109" s="20"/>
      <c r="H109" s="20"/>
      <c r="I109" s="20"/>
      <c r="J109" s="20"/>
      <c r="K109" s="20"/>
      <c r="L109" s="20"/>
      <c r="M109" s="20"/>
      <c r="N109" s="20"/>
      <c r="O109" s="20"/>
      <c r="P109" s="32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/>
      <c r="CW109" s="33"/>
      <c r="CX109" s="33"/>
      <c r="CY109" s="33"/>
      <c r="CZ109" s="33"/>
      <c r="DA109" s="33"/>
      <c r="DB109" s="33"/>
      <c r="DC109" s="33"/>
      <c r="DD109" s="33"/>
      <c r="DE109" s="33"/>
      <c r="DF109" s="33"/>
      <c r="DG109" s="33"/>
      <c r="DH109" s="33"/>
      <c r="DI109" s="33"/>
      <c r="DJ109" s="33"/>
      <c r="DK109" s="33"/>
      <c r="DL109" s="33"/>
      <c r="DM109" s="33"/>
      <c r="DN109" s="33"/>
      <c r="DO109" s="33"/>
      <c r="DP109" s="33"/>
      <c r="DQ109" s="33"/>
      <c r="DR109" s="33"/>
      <c r="DS109" s="33"/>
      <c r="DT109" s="33"/>
      <c r="DU109" s="33"/>
      <c r="DV109" s="33"/>
      <c r="DW109" s="33"/>
      <c r="DX109" s="33"/>
      <c r="DY109" s="33"/>
      <c r="DZ109" s="33"/>
      <c r="EA109" s="33"/>
      <c r="EB109" s="33"/>
      <c r="EC109" s="33"/>
      <c r="ED109" s="33"/>
      <c r="EE109" s="33"/>
      <c r="EF109" s="33"/>
      <c r="EG109" s="33"/>
      <c r="EH109" s="33"/>
      <c r="EI109" s="33"/>
      <c r="EJ109" s="33"/>
      <c r="EK109" s="33"/>
      <c r="EL109" s="33"/>
      <c r="EM109" s="33"/>
      <c r="EN109" s="33"/>
      <c r="EO109" s="33"/>
      <c r="EP109" s="33"/>
      <c r="EQ109" s="33"/>
      <c r="ER109" s="33"/>
      <c r="ES109" s="33"/>
      <c r="ET109" s="33"/>
      <c r="EU109" s="33"/>
      <c r="EV109" s="33"/>
      <c r="EW109" s="33"/>
      <c r="EX109" s="33"/>
      <c r="EY109" s="33"/>
      <c r="EZ109" s="33"/>
      <c r="FA109" s="33"/>
      <c r="FB109" s="33"/>
      <c r="FC109" s="33"/>
      <c r="FD109" s="33"/>
      <c r="FE109" s="33"/>
      <c r="FF109" s="33"/>
      <c r="FG109" s="33"/>
      <c r="FH109" s="33"/>
      <c r="FI109" s="33"/>
      <c r="FJ109" s="33"/>
      <c r="FK109" s="33"/>
      <c r="FL109" s="33"/>
      <c r="FM109" s="33"/>
      <c r="FN109" s="33"/>
      <c r="FO109" s="33"/>
      <c r="FP109" s="33"/>
      <c r="FQ109" s="33"/>
      <c r="FR109" s="33"/>
      <c r="FS109" s="33"/>
      <c r="FT109" s="33"/>
      <c r="FU109" s="33"/>
      <c r="FV109" s="33"/>
      <c r="FW109" s="33"/>
      <c r="FX109" s="33"/>
      <c r="FY109" s="33"/>
      <c r="FZ109" s="33"/>
      <c r="GA109" s="33"/>
      <c r="GB109" s="33"/>
      <c r="GC109" s="33"/>
      <c r="GD109" s="33"/>
      <c r="GE109" s="33"/>
      <c r="GF109" s="33"/>
      <c r="GG109" s="33"/>
      <c r="GH109" s="33"/>
      <c r="GI109" s="33"/>
      <c r="GJ109" s="33"/>
      <c r="GK109" s="33"/>
      <c r="GL109" s="33"/>
      <c r="GM109" s="33"/>
      <c r="GN109" s="33"/>
      <c r="GO109" s="33"/>
      <c r="GP109" s="33"/>
      <c r="GQ109" s="33"/>
      <c r="GR109" s="33"/>
      <c r="GS109" s="33"/>
      <c r="GT109" s="33"/>
      <c r="GU109" s="33"/>
      <c r="GV109" s="33"/>
      <c r="GW109" s="33"/>
      <c r="GX109" s="33"/>
      <c r="GY109" s="33"/>
      <c r="GZ109" s="33"/>
      <c r="HA109" s="33"/>
      <c r="HB109" s="33"/>
      <c r="HC109" s="33"/>
      <c r="HD109" s="33"/>
      <c r="HE109" s="33"/>
      <c r="HF109" s="33"/>
      <c r="HG109" s="33"/>
      <c r="HH109" s="33"/>
    </row>
    <row r="110" spans="1:216" ht="15.75" customHeight="1" x14ac:dyDescent="0.3">
      <c r="A110" s="7"/>
      <c r="B110" s="45"/>
      <c r="C110" s="46"/>
      <c r="D110" s="48"/>
      <c r="E110" s="54"/>
      <c r="F110" s="39"/>
      <c r="G110" s="20"/>
      <c r="H110" s="20"/>
      <c r="I110" s="20"/>
      <c r="J110" s="20"/>
      <c r="K110" s="20"/>
      <c r="L110" s="20"/>
      <c r="M110" s="20"/>
      <c r="N110" s="20"/>
      <c r="O110" s="20"/>
      <c r="P110" s="32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/>
      <c r="CW110" s="33"/>
      <c r="CX110" s="33"/>
      <c r="CY110" s="33"/>
      <c r="CZ110" s="33"/>
      <c r="DA110" s="33"/>
      <c r="DB110" s="33"/>
      <c r="DC110" s="33"/>
      <c r="DD110" s="33"/>
      <c r="DE110" s="33"/>
      <c r="DF110" s="33"/>
      <c r="DG110" s="33"/>
      <c r="DH110" s="33"/>
      <c r="DI110" s="33"/>
      <c r="DJ110" s="33"/>
      <c r="DK110" s="33"/>
      <c r="DL110" s="33"/>
      <c r="DM110" s="33"/>
      <c r="DN110" s="33"/>
      <c r="DO110" s="33"/>
      <c r="DP110" s="33"/>
      <c r="DQ110" s="33"/>
      <c r="DR110" s="33"/>
      <c r="DS110" s="33"/>
      <c r="DT110" s="33"/>
      <c r="DU110" s="33"/>
      <c r="DV110" s="33"/>
      <c r="DW110" s="33"/>
      <c r="DX110" s="33"/>
      <c r="DY110" s="33"/>
      <c r="DZ110" s="33"/>
      <c r="EA110" s="33"/>
      <c r="EB110" s="33"/>
      <c r="EC110" s="33"/>
      <c r="ED110" s="33"/>
      <c r="EE110" s="33"/>
      <c r="EF110" s="33"/>
      <c r="EG110" s="33"/>
      <c r="EH110" s="33"/>
      <c r="EI110" s="33"/>
      <c r="EJ110" s="33"/>
      <c r="EK110" s="33"/>
      <c r="EL110" s="33"/>
      <c r="EM110" s="33"/>
      <c r="EN110" s="33"/>
      <c r="EO110" s="33"/>
      <c r="EP110" s="33"/>
      <c r="EQ110" s="33"/>
      <c r="ER110" s="33"/>
      <c r="ES110" s="33"/>
      <c r="ET110" s="33"/>
      <c r="EU110" s="33"/>
      <c r="EV110" s="33"/>
      <c r="EW110" s="33"/>
      <c r="EX110" s="33"/>
      <c r="EY110" s="33"/>
      <c r="EZ110" s="33"/>
      <c r="FA110" s="33"/>
      <c r="FB110" s="33"/>
      <c r="FC110" s="33"/>
      <c r="FD110" s="33"/>
      <c r="FE110" s="33"/>
      <c r="FF110" s="33"/>
      <c r="FG110" s="33"/>
      <c r="FH110" s="33"/>
      <c r="FI110" s="33"/>
      <c r="FJ110" s="33"/>
      <c r="FK110" s="33"/>
      <c r="FL110" s="33"/>
      <c r="FM110" s="33"/>
      <c r="FN110" s="33"/>
      <c r="FO110" s="33"/>
      <c r="FP110" s="33"/>
      <c r="FQ110" s="33"/>
      <c r="FR110" s="33"/>
      <c r="FS110" s="33"/>
      <c r="FT110" s="33"/>
      <c r="FU110" s="33"/>
      <c r="FV110" s="33"/>
      <c r="FW110" s="33"/>
      <c r="FX110" s="33"/>
      <c r="FY110" s="33"/>
      <c r="FZ110" s="33"/>
      <c r="GA110" s="33"/>
      <c r="GB110" s="33"/>
      <c r="GC110" s="33"/>
      <c r="GD110" s="33"/>
      <c r="GE110" s="33"/>
      <c r="GF110" s="33"/>
      <c r="GG110" s="33"/>
      <c r="GH110" s="33"/>
      <c r="GI110" s="33"/>
      <c r="GJ110" s="33"/>
      <c r="GK110" s="33"/>
      <c r="GL110" s="33"/>
      <c r="GM110" s="33"/>
      <c r="GN110" s="33"/>
      <c r="GO110" s="33"/>
      <c r="GP110" s="33"/>
      <c r="GQ110" s="33"/>
      <c r="GR110" s="33"/>
      <c r="GS110" s="33"/>
      <c r="GT110" s="33"/>
      <c r="GU110" s="33"/>
      <c r="GV110" s="33"/>
      <c r="GW110" s="33"/>
      <c r="GX110" s="33"/>
      <c r="GY110" s="33"/>
      <c r="GZ110" s="33"/>
      <c r="HA110" s="33"/>
      <c r="HB110" s="33"/>
      <c r="HC110" s="33"/>
      <c r="HD110" s="33"/>
      <c r="HE110" s="33"/>
      <c r="HF110" s="33"/>
      <c r="HG110" s="33"/>
      <c r="HH110" s="33"/>
    </row>
    <row r="111" spans="1:216" ht="15.75" customHeight="1" x14ac:dyDescent="0.3">
      <c r="A111" s="7"/>
      <c r="B111" s="45"/>
      <c r="C111" s="46"/>
      <c r="D111" s="48"/>
      <c r="E111" s="54"/>
      <c r="F111" s="39"/>
      <c r="G111" s="20"/>
      <c r="H111" s="20"/>
      <c r="I111" s="20"/>
      <c r="J111" s="20"/>
      <c r="K111" s="20"/>
      <c r="L111" s="20"/>
      <c r="M111" s="20"/>
      <c r="N111" s="20"/>
      <c r="O111" s="20"/>
      <c r="P111" s="32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33"/>
      <c r="CZ111" s="33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  <c r="DM111" s="33"/>
      <c r="DN111" s="33"/>
      <c r="DO111" s="33"/>
      <c r="DP111" s="33"/>
      <c r="DQ111" s="33"/>
      <c r="DR111" s="33"/>
      <c r="DS111" s="33"/>
      <c r="DT111" s="33"/>
      <c r="DU111" s="33"/>
      <c r="DV111" s="33"/>
      <c r="DW111" s="33"/>
      <c r="DX111" s="33"/>
      <c r="DY111" s="33"/>
      <c r="DZ111" s="33"/>
      <c r="EA111" s="33"/>
      <c r="EB111" s="33"/>
      <c r="EC111" s="33"/>
      <c r="ED111" s="33"/>
      <c r="EE111" s="33"/>
      <c r="EF111" s="33"/>
      <c r="EG111" s="33"/>
      <c r="EH111" s="33"/>
      <c r="EI111" s="33"/>
      <c r="EJ111" s="33"/>
      <c r="EK111" s="33"/>
      <c r="EL111" s="33"/>
      <c r="EM111" s="33"/>
      <c r="EN111" s="33"/>
      <c r="EO111" s="33"/>
      <c r="EP111" s="33"/>
      <c r="EQ111" s="33"/>
      <c r="ER111" s="33"/>
      <c r="ES111" s="33"/>
      <c r="ET111" s="33"/>
      <c r="EU111" s="33"/>
      <c r="EV111" s="33"/>
      <c r="EW111" s="33"/>
      <c r="EX111" s="33"/>
      <c r="EY111" s="33"/>
      <c r="EZ111" s="33"/>
      <c r="FA111" s="33"/>
      <c r="FB111" s="33"/>
      <c r="FC111" s="33"/>
      <c r="FD111" s="33"/>
      <c r="FE111" s="33"/>
      <c r="FF111" s="33"/>
      <c r="FG111" s="33"/>
      <c r="FH111" s="33"/>
      <c r="FI111" s="33"/>
      <c r="FJ111" s="33"/>
      <c r="FK111" s="33"/>
      <c r="FL111" s="33"/>
      <c r="FM111" s="33"/>
      <c r="FN111" s="33"/>
      <c r="FO111" s="33"/>
      <c r="FP111" s="33"/>
      <c r="FQ111" s="33"/>
      <c r="FR111" s="33"/>
      <c r="FS111" s="33"/>
      <c r="FT111" s="33"/>
      <c r="FU111" s="33"/>
      <c r="FV111" s="33"/>
      <c r="FW111" s="33"/>
      <c r="FX111" s="33"/>
      <c r="FY111" s="33"/>
      <c r="FZ111" s="33"/>
      <c r="GA111" s="33"/>
      <c r="GB111" s="33"/>
      <c r="GC111" s="33"/>
      <c r="GD111" s="33"/>
      <c r="GE111" s="33"/>
      <c r="GF111" s="33"/>
      <c r="GG111" s="33"/>
      <c r="GH111" s="33"/>
      <c r="GI111" s="33"/>
      <c r="GJ111" s="33"/>
      <c r="GK111" s="33"/>
      <c r="GL111" s="33"/>
      <c r="GM111" s="33"/>
      <c r="GN111" s="33"/>
      <c r="GO111" s="33"/>
      <c r="GP111" s="33"/>
      <c r="GQ111" s="33"/>
      <c r="GR111" s="33"/>
      <c r="GS111" s="33"/>
      <c r="GT111" s="33"/>
      <c r="GU111" s="33"/>
      <c r="GV111" s="33"/>
      <c r="GW111" s="33"/>
      <c r="GX111" s="33"/>
      <c r="GY111" s="33"/>
      <c r="GZ111" s="33"/>
      <c r="HA111" s="33"/>
      <c r="HB111" s="33"/>
      <c r="HC111" s="33"/>
      <c r="HD111" s="33"/>
      <c r="HE111" s="33"/>
      <c r="HF111" s="33"/>
      <c r="HG111" s="33"/>
      <c r="HH111" s="33"/>
    </row>
    <row r="112" spans="1:216" ht="15.75" customHeight="1" x14ac:dyDescent="0.3">
      <c r="A112" s="7"/>
      <c r="B112" s="45"/>
      <c r="C112" s="46"/>
      <c r="D112" s="48"/>
      <c r="E112" s="54"/>
      <c r="F112" s="40"/>
      <c r="G112" s="1"/>
      <c r="H112" s="1"/>
      <c r="I112" s="1"/>
      <c r="J112" s="1"/>
      <c r="K112" s="1"/>
      <c r="L112" s="1"/>
      <c r="M112" s="1"/>
      <c r="N112" s="1"/>
      <c r="O112" s="1"/>
      <c r="P112" s="34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  <c r="CX112" s="31"/>
      <c r="CY112" s="31"/>
      <c r="CZ112" s="31"/>
      <c r="DA112" s="31"/>
      <c r="DB112" s="31"/>
      <c r="DC112" s="31"/>
      <c r="DD112" s="31"/>
      <c r="DE112" s="31"/>
      <c r="DF112" s="31"/>
      <c r="DG112" s="31"/>
      <c r="DH112" s="31"/>
      <c r="DI112" s="31"/>
      <c r="DJ112" s="31"/>
      <c r="DK112" s="31"/>
      <c r="DL112" s="31"/>
      <c r="DM112" s="31"/>
      <c r="DN112" s="31"/>
      <c r="DO112" s="31"/>
      <c r="DP112" s="31"/>
      <c r="DQ112" s="31"/>
      <c r="DR112" s="31"/>
      <c r="DS112" s="31"/>
      <c r="DT112" s="31"/>
      <c r="DU112" s="31"/>
      <c r="DV112" s="31"/>
      <c r="DW112" s="31"/>
      <c r="DX112" s="31"/>
      <c r="DY112" s="31"/>
      <c r="DZ112" s="31"/>
      <c r="EA112" s="31"/>
      <c r="EB112" s="31"/>
      <c r="EC112" s="31"/>
      <c r="ED112" s="31"/>
      <c r="EE112" s="31"/>
      <c r="EF112" s="31"/>
      <c r="EG112" s="31"/>
      <c r="EH112" s="31"/>
      <c r="EI112" s="31"/>
      <c r="EJ112" s="31"/>
      <c r="EK112" s="31"/>
      <c r="EL112" s="31"/>
      <c r="EM112" s="31"/>
      <c r="EN112" s="31"/>
      <c r="EO112" s="31"/>
      <c r="EP112" s="31"/>
      <c r="EQ112" s="31"/>
      <c r="ER112" s="31"/>
      <c r="ES112" s="31"/>
      <c r="ET112" s="31"/>
      <c r="EU112" s="31"/>
      <c r="EV112" s="31"/>
      <c r="EW112" s="31"/>
      <c r="EX112" s="31"/>
      <c r="EY112" s="31"/>
      <c r="EZ112" s="31"/>
      <c r="FA112" s="31"/>
      <c r="FB112" s="31"/>
      <c r="FC112" s="31"/>
      <c r="FD112" s="31"/>
      <c r="FE112" s="31"/>
      <c r="FF112" s="31"/>
      <c r="FG112" s="31"/>
      <c r="FH112" s="31"/>
      <c r="FI112" s="31"/>
      <c r="FJ112" s="31"/>
      <c r="FK112" s="31"/>
      <c r="FL112" s="31"/>
      <c r="FM112" s="31"/>
      <c r="FN112" s="31"/>
      <c r="FO112" s="31"/>
      <c r="FP112" s="31"/>
      <c r="FQ112" s="31"/>
      <c r="FR112" s="31"/>
      <c r="FS112" s="31"/>
      <c r="FT112" s="31"/>
      <c r="FU112" s="31"/>
      <c r="FV112" s="31"/>
      <c r="FW112" s="31"/>
      <c r="FX112" s="31"/>
      <c r="FY112" s="31"/>
      <c r="FZ112" s="31"/>
      <c r="GA112" s="31"/>
      <c r="GB112" s="31"/>
      <c r="GC112" s="31"/>
      <c r="GD112" s="31"/>
      <c r="GE112" s="31"/>
      <c r="GF112" s="31"/>
      <c r="GG112" s="31"/>
      <c r="GH112" s="31"/>
      <c r="GI112" s="31"/>
      <c r="GJ112" s="31"/>
      <c r="GK112" s="31"/>
      <c r="GL112" s="31"/>
      <c r="GM112" s="31"/>
      <c r="GN112" s="31"/>
      <c r="GO112" s="31"/>
      <c r="GP112" s="31"/>
      <c r="GQ112" s="31"/>
      <c r="GR112" s="31"/>
      <c r="GS112" s="31"/>
      <c r="GT112" s="31"/>
      <c r="GU112" s="31"/>
      <c r="GV112" s="31"/>
      <c r="GW112" s="31"/>
      <c r="GX112" s="31"/>
      <c r="GY112" s="31"/>
      <c r="GZ112" s="31"/>
      <c r="HA112" s="31"/>
      <c r="HB112" s="31"/>
      <c r="HC112" s="31"/>
      <c r="HD112" s="31"/>
      <c r="HE112" s="31"/>
      <c r="HF112" s="31"/>
      <c r="HG112" s="31"/>
      <c r="HH112" s="31"/>
    </row>
    <row r="113" spans="1:216" ht="15.75" customHeight="1" x14ac:dyDescent="0.3">
      <c r="A113" s="7"/>
      <c r="B113" s="45"/>
      <c r="C113" s="46"/>
      <c r="D113" s="48"/>
      <c r="E113" s="54"/>
      <c r="F113" s="40"/>
      <c r="G113" s="1"/>
      <c r="H113" s="1"/>
      <c r="I113" s="1"/>
      <c r="J113" s="1"/>
      <c r="K113" s="1"/>
      <c r="L113" s="1"/>
      <c r="M113" s="1"/>
      <c r="N113" s="1"/>
      <c r="O113" s="1"/>
      <c r="P113" s="34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  <c r="CX113" s="31"/>
      <c r="CY113" s="31"/>
      <c r="CZ113" s="31"/>
      <c r="DA113" s="31"/>
      <c r="DB113" s="31"/>
      <c r="DC113" s="31"/>
      <c r="DD113" s="31"/>
      <c r="DE113" s="31"/>
      <c r="DF113" s="31"/>
      <c r="DG113" s="31"/>
      <c r="DH113" s="31"/>
      <c r="DI113" s="31"/>
      <c r="DJ113" s="31"/>
      <c r="DK113" s="31"/>
      <c r="DL113" s="31"/>
      <c r="DM113" s="31"/>
      <c r="DN113" s="31"/>
      <c r="DO113" s="31"/>
      <c r="DP113" s="31"/>
      <c r="DQ113" s="31"/>
      <c r="DR113" s="31"/>
      <c r="DS113" s="31"/>
      <c r="DT113" s="31"/>
      <c r="DU113" s="31"/>
      <c r="DV113" s="31"/>
      <c r="DW113" s="31"/>
      <c r="DX113" s="31"/>
      <c r="DY113" s="31"/>
      <c r="DZ113" s="31"/>
      <c r="EA113" s="31"/>
      <c r="EB113" s="31"/>
      <c r="EC113" s="31"/>
      <c r="ED113" s="31"/>
      <c r="EE113" s="31"/>
      <c r="EF113" s="31"/>
      <c r="EG113" s="31"/>
      <c r="EH113" s="31"/>
      <c r="EI113" s="31"/>
      <c r="EJ113" s="31"/>
      <c r="EK113" s="31"/>
      <c r="EL113" s="31"/>
      <c r="EM113" s="31"/>
      <c r="EN113" s="31"/>
      <c r="EO113" s="31"/>
      <c r="EP113" s="31"/>
      <c r="EQ113" s="31"/>
      <c r="ER113" s="31"/>
      <c r="ES113" s="31"/>
      <c r="ET113" s="31"/>
      <c r="EU113" s="31"/>
      <c r="EV113" s="31"/>
      <c r="EW113" s="31"/>
      <c r="EX113" s="31"/>
      <c r="EY113" s="31"/>
      <c r="EZ113" s="31"/>
      <c r="FA113" s="31"/>
      <c r="FB113" s="31"/>
      <c r="FC113" s="31"/>
      <c r="FD113" s="31"/>
      <c r="FE113" s="31"/>
      <c r="FF113" s="31"/>
      <c r="FG113" s="31"/>
      <c r="FH113" s="31"/>
      <c r="FI113" s="31"/>
      <c r="FJ113" s="31"/>
      <c r="FK113" s="31"/>
      <c r="FL113" s="31"/>
      <c r="FM113" s="31"/>
      <c r="FN113" s="31"/>
      <c r="FO113" s="31"/>
      <c r="FP113" s="31"/>
      <c r="FQ113" s="31"/>
      <c r="FR113" s="31"/>
      <c r="FS113" s="31"/>
      <c r="FT113" s="31"/>
      <c r="FU113" s="31"/>
      <c r="FV113" s="31"/>
      <c r="FW113" s="31"/>
      <c r="FX113" s="31"/>
      <c r="FY113" s="31"/>
      <c r="FZ113" s="31"/>
      <c r="GA113" s="31"/>
      <c r="GB113" s="31"/>
      <c r="GC113" s="31"/>
      <c r="GD113" s="31"/>
      <c r="GE113" s="31"/>
      <c r="GF113" s="31"/>
      <c r="GG113" s="31"/>
      <c r="GH113" s="31"/>
      <c r="GI113" s="31"/>
      <c r="GJ113" s="31"/>
      <c r="GK113" s="31"/>
      <c r="GL113" s="31"/>
      <c r="GM113" s="31"/>
      <c r="GN113" s="31"/>
      <c r="GO113" s="31"/>
      <c r="GP113" s="31"/>
      <c r="GQ113" s="31"/>
      <c r="GR113" s="31"/>
      <c r="GS113" s="31"/>
      <c r="GT113" s="31"/>
      <c r="GU113" s="31"/>
      <c r="GV113" s="31"/>
      <c r="GW113" s="31"/>
      <c r="GX113" s="31"/>
      <c r="GY113" s="31"/>
      <c r="GZ113" s="31"/>
      <c r="HA113" s="31"/>
      <c r="HB113" s="31"/>
      <c r="HC113" s="31"/>
      <c r="HD113" s="31"/>
      <c r="HE113" s="31"/>
      <c r="HF113" s="31"/>
      <c r="HG113" s="31"/>
      <c r="HH113" s="31"/>
    </row>
    <row r="114" spans="1:216" ht="15.75" customHeight="1" x14ac:dyDescent="0.3">
      <c r="A114" s="7"/>
      <c r="B114" s="45"/>
      <c r="C114" s="46"/>
      <c r="D114" s="48"/>
      <c r="E114" s="54"/>
      <c r="F114" s="40"/>
      <c r="G114" s="1"/>
      <c r="H114" s="1"/>
      <c r="I114" s="1"/>
      <c r="J114" s="1"/>
      <c r="K114" s="1"/>
      <c r="L114" s="1"/>
      <c r="M114" s="1"/>
      <c r="N114" s="1"/>
      <c r="O114" s="1"/>
      <c r="P114" s="34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/>
      <c r="DQ114" s="31"/>
      <c r="DR114" s="31"/>
      <c r="DS114" s="31"/>
      <c r="DT114" s="31"/>
      <c r="DU114" s="31"/>
      <c r="DV114" s="31"/>
      <c r="DW114" s="31"/>
      <c r="DX114" s="31"/>
      <c r="DY114" s="31"/>
      <c r="DZ114" s="31"/>
      <c r="EA114" s="31"/>
      <c r="EB114" s="31"/>
      <c r="EC114" s="31"/>
      <c r="ED114" s="31"/>
      <c r="EE114" s="31"/>
      <c r="EF114" s="31"/>
      <c r="EG114" s="31"/>
      <c r="EH114" s="31"/>
      <c r="EI114" s="31"/>
      <c r="EJ114" s="31"/>
      <c r="EK114" s="31"/>
      <c r="EL114" s="31"/>
      <c r="EM114" s="31"/>
      <c r="EN114" s="31"/>
      <c r="EO114" s="31"/>
      <c r="EP114" s="31"/>
      <c r="EQ114" s="31"/>
      <c r="ER114" s="31"/>
      <c r="ES114" s="31"/>
      <c r="ET114" s="31"/>
      <c r="EU114" s="31"/>
      <c r="EV114" s="31"/>
      <c r="EW114" s="31"/>
      <c r="EX114" s="31"/>
      <c r="EY114" s="31"/>
      <c r="EZ114" s="31"/>
      <c r="FA114" s="31"/>
      <c r="FB114" s="31"/>
      <c r="FC114" s="31"/>
      <c r="FD114" s="31"/>
      <c r="FE114" s="31"/>
      <c r="FF114" s="31"/>
      <c r="FG114" s="31"/>
      <c r="FH114" s="31"/>
      <c r="FI114" s="31"/>
      <c r="FJ114" s="31"/>
      <c r="FK114" s="31"/>
      <c r="FL114" s="31"/>
      <c r="FM114" s="31"/>
      <c r="FN114" s="31"/>
      <c r="FO114" s="31"/>
      <c r="FP114" s="31"/>
      <c r="FQ114" s="31"/>
      <c r="FR114" s="31"/>
      <c r="FS114" s="31"/>
      <c r="FT114" s="31"/>
      <c r="FU114" s="31"/>
      <c r="FV114" s="31"/>
      <c r="FW114" s="31"/>
      <c r="FX114" s="31"/>
      <c r="FY114" s="31"/>
      <c r="FZ114" s="31"/>
      <c r="GA114" s="31"/>
      <c r="GB114" s="31"/>
      <c r="GC114" s="31"/>
      <c r="GD114" s="31"/>
      <c r="GE114" s="31"/>
      <c r="GF114" s="31"/>
      <c r="GG114" s="31"/>
      <c r="GH114" s="31"/>
      <c r="GI114" s="31"/>
      <c r="GJ114" s="31"/>
      <c r="GK114" s="31"/>
      <c r="GL114" s="31"/>
      <c r="GM114" s="31"/>
      <c r="GN114" s="31"/>
      <c r="GO114" s="31"/>
      <c r="GP114" s="31"/>
      <c r="GQ114" s="31"/>
      <c r="GR114" s="31"/>
      <c r="GS114" s="31"/>
      <c r="GT114" s="31"/>
      <c r="GU114" s="31"/>
      <c r="GV114" s="31"/>
      <c r="GW114" s="31"/>
      <c r="GX114" s="31"/>
      <c r="GY114" s="31"/>
      <c r="GZ114" s="31"/>
      <c r="HA114" s="31"/>
      <c r="HB114" s="31"/>
      <c r="HC114" s="31"/>
      <c r="HD114" s="31"/>
      <c r="HE114" s="31"/>
      <c r="HF114" s="31"/>
      <c r="HG114" s="31"/>
      <c r="HH114" s="31"/>
    </row>
    <row r="115" spans="1:216" ht="15.75" customHeight="1" x14ac:dyDescent="0.3">
      <c r="A115" s="6" t="s">
        <v>26</v>
      </c>
      <c r="B115" s="84" t="s">
        <v>51</v>
      </c>
      <c r="C115" s="87"/>
      <c r="D115" s="88"/>
      <c r="E115" s="5">
        <f>SUM(E105:E114)</f>
        <v>104</v>
      </c>
      <c r="F115" s="42"/>
      <c r="G115" s="27"/>
      <c r="H115" s="27"/>
      <c r="I115" s="27"/>
      <c r="J115" s="27"/>
      <c r="K115" s="27"/>
      <c r="L115" s="27"/>
      <c r="M115" s="27"/>
      <c r="N115" s="27"/>
      <c r="O115" s="27"/>
      <c r="P115" s="37"/>
      <c r="Q115" s="30"/>
      <c r="R115" s="30"/>
      <c r="S115" s="30"/>
      <c r="T115" s="30"/>
      <c r="U115" s="30"/>
      <c r="V115" s="30"/>
      <c r="W115" s="38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0"/>
      <c r="BM115" s="30"/>
      <c r="BN115" s="30"/>
      <c r="BO115" s="30"/>
      <c r="BP115" s="30"/>
      <c r="BQ115" s="30"/>
      <c r="BR115" s="38"/>
      <c r="BS115" s="30"/>
      <c r="BT115" s="30"/>
      <c r="BU115" s="30"/>
      <c r="BV115" s="30"/>
      <c r="BW115" s="30"/>
      <c r="BX115" s="30"/>
      <c r="BY115" s="30"/>
      <c r="BZ115" s="30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0"/>
      <c r="EN115" s="30"/>
      <c r="EO115" s="30"/>
      <c r="EP115" s="30"/>
      <c r="EQ115" s="30"/>
      <c r="ER115" s="30"/>
      <c r="ES115" s="30"/>
      <c r="ET115" s="30"/>
      <c r="EU115" s="30"/>
      <c r="EV115" s="30"/>
      <c r="EW115" s="30"/>
      <c r="EX115" s="30"/>
      <c r="EY115" s="38"/>
      <c r="EZ115" s="38"/>
      <c r="FA115" s="38"/>
      <c r="FB115" s="38"/>
      <c r="FC115" s="38"/>
      <c r="FD115" s="38"/>
      <c r="FE115" s="38"/>
      <c r="FF115" s="30"/>
      <c r="FG115" s="30"/>
      <c r="FH115" s="30"/>
      <c r="FI115" s="30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</row>
    <row r="116" spans="1:216" ht="15.75" customHeight="1" x14ac:dyDescent="0.3">
      <c r="A116" s="62"/>
      <c r="B116" s="89"/>
      <c r="C116" s="89"/>
      <c r="D116" s="89"/>
      <c r="E116" s="90"/>
      <c r="F116" s="39"/>
      <c r="G116" s="20"/>
      <c r="H116" s="20"/>
      <c r="I116" s="20"/>
      <c r="J116" s="20"/>
      <c r="K116" s="20"/>
      <c r="L116" s="20"/>
      <c r="M116" s="20"/>
      <c r="N116" s="20"/>
      <c r="O116" s="20"/>
      <c r="P116" s="32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  <c r="DE116" s="33"/>
      <c r="DF116" s="33"/>
      <c r="DG116" s="33"/>
      <c r="DH116" s="33"/>
      <c r="DI116" s="33"/>
      <c r="DJ116" s="33"/>
      <c r="DK116" s="33"/>
      <c r="DL116" s="33"/>
      <c r="DM116" s="33"/>
      <c r="DN116" s="33"/>
      <c r="DO116" s="33"/>
      <c r="DP116" s="33"/>
      <c r="DQ116" s="33"/>
      <c r="DR116" s="33"/>
      <c r="DS116" s="33"/>
      <c r="DT116" s="33"/>
      <c r="DU116" s="33"/>
      <c r="DV116" s="33"/>
      <c r="DW116" s="33"/>
      <c r="DX116" s="33"/>
      <c r="DY116" s="33"/>
      <c r="DZ116" s="33"/>
      <c r="EA116" s="33"/>
      <c r="EB116" s="33"/>
      <c r="EC116" s="33"/>
      <c r="ED116" s="33"/>
      <c r="EE116" s="33"/>
      <c r="EF116" s="33"/>
      <c r="EG116" s="33"/>
      <c r="EH116" s="33"/>
      <c r="EI116" s="33"/>
      <c r="EJ116" s="33"/>
      <c r="EK116" s="33"/>
      <c r="EL116" s="33"/>
      <c r="EM116" s="33"/>
      <c r="EN116" s="33"/>
      <c r="EO116" s="33"/>
      <c r="EP116" s="33"/>
      <c r="EQ116" s="33"/>
      <c r="ER116" s="33"/>
      <c r="ES116" s="33"/>
      <c r="ET116" s="33"/>
      <c r="EU116" s="33"/>
      <c r="EV116" s="33"/>
      <c r="EW116" s="33"/>
      <c r="EX116" s="33"/>
      <c r="EY116" s="33"/>
      <c r="EZ116" s="33"/>
      <c r="FA116" s="33"/>
      <c r="FB116" s="33"/>
      <c r="FC116" s="33"/>
      <c r="FD116" s="33"/>
      <c r="FE116" s="33"/>
      <c r="FF116" s="33"/>
      <c r="FG116" s="33"/>
      <c r="FH116" s="33"/>
      <c r="FI116" s="33"/>
      <c r="FJ116" s="33"/>
      <c r="FK116" s="33"/>
      <c r="FL116" s="33"/>
      <c r="FM116" s="33"/>
      <c r="FN116" s="33"/>
      <c r="FO116" s="33"/>
      <c r="FP116" s="33"/>
      <c r="FQ116" s="33"/>
      <c r="FR116" s="33"/>
      <c r="FS116" s="33"/>
      <c r="FT116" s="33"/>
      <c r="FU116" s="33"/>
      <c r="FV116" s="33"/>
      <c r="FW116" s="33"/>
      <c r="FX116" s="33"/>
      <c r="FY116" s="33"/>
      <c r="FZ116" s="33"/>
      <c r="GA116" s="33"/>
      <c r="GB116" s="33"/>
      <c r="GC116" s="33"/>
      <c r="GD116" s="33"/>
      <c r="GE116" s="33"/>
      <c r="GF116" s="33"/>
      <c r="GG116" s="33"/>
      <c r="GH116" s="33"/>
      <c r="GI116" s="33"/>
      <c r="GJ116" s="33"/>
      <c r="GK116" s="33"/>
      <c r="GL116" s="33"/>
      <c r="GM116" s="33"/>
      <c r="GN116" s="33"/>
      <c r="GO116" s="33"/>
      <c r="GP116" s="33"/>
      <c r="GQ116" s="33"/>
      <c r="GR116" s="33"/>
      <c r="GS116" s="33"/>
      <c r="GT116" s="33"/>
      <c r="GU116" s="33"/>
      <c r="GV116" s="33"/>
      <c r="GW116" s="33"/>
      <c r="GX116" s="33"/>
      <c r="GY116" s="33"/>
      <c r="GZ116" s="33"/>
      <c r="HA116" s="33"/>
      <c r="HB116" s="33"/>
      <c r="HC116" s="33"/>
      <c r="HD116" s="33"/>
      <c r="HE116" s="33"/>
      <c r="HF116" s="33"/>
      <c r="HG116" s="33"/>
      <c r="HH116" s="33"/>
    </row>
    <row r="117" spans="1:216" ht="15.75" customHeight="1" x14ac:dyDescent="0.3">
      <c r="A117" s="11" t="s">
        <v>48</v>
      </c>
      <c r="B117" s="17" t="s">
        <v>59</v>
      </c>
      <c r="C117" s="86" t="s">
        <v>60</v>
      </c>
      <c r="D117" s="64"/>
      <c r="E117" s="9">
        <f>ALASMALANG!V117+'BENELAN KIDUL'!S117+CANTUK!T117+GAMBOR!N117+GUMIRIH!S117+KEMIRI!U117+LEMAHBANGKULON!Q117+PADANG!Q117+SINGOJURUH!AC117+SINGOLATREN!T117+SUMBERBARU!S117</f>
        <v>42</v>
      </c>
      <c r="F117" s="39"/>
      <c r="G117" s="20"/>
      <c r="H117" s="20"/>
      <c r="I117" s="20"/>
      <c r="J117" s="20"/>
      <c r="K117" s="20"/>
      <c r="L117" s="20"/>
      <c r="M117" s="20"/>
      <c r="N117" s="20"/>
      <c r="O117" s="20"/>
      <c r="P117" s="32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  <c r="CZ117" s="33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  <c r="DL117" s="33"/>
      <c r="DM117" s="33"/>
      <c r="DN117" s="33"/>
      <c r="DO117" s="33"/>
      <c r="DP117" s="33"/>
      <c r="DQ117" s="33"/>
      <c r="DR117" s="33"/>
      <c r="DS117" s="33"/>
      <c r="DT117" s="33"/>
      <c r="DU117" s="33"/>
      <c r="DV117" s="33"/>
      <c r="DW117" s="33"/>
      <c r="DX117" s="33"/>
      <c r="DY117" s="33"/>
      <c r="DZ117" s="33"/>
      <c r="EA117" s="33"/>
      <c r="EB117" s="33"/>
      <c r="EC117" s="33"/>
      <c r="ED117" s="33"/>
      <c r="EE117" s="33"/>
      <c r="EF117" s="33"/>
      <c r="EG117" s="33"/>
      <c r="EH117" s="33"/>
      <c r="EI117" s="33"/>
      <c r="EJ117" s="33"/>
      <c r="EK117" s="33"/>
      <c r="EL117" s="33"/>
      <c r="EM117" s="33"/>
      <c r="EN117" s="33"/>
      <c r="EO117" s="33"/>
      <c r="EP117" s="33"/>
      <c r="EQ117" s="33"/>
      <c r="ER117" s="33"/>
      <c r="ES117" s="33"/>
      <c r="ET117" s="33"/>
      <c r="EU117" s="33"/>
      <c r="EV117" s="33"/>
      <c r="EW117" s="33"/>
      <c r="EX117" s="33"/>
      <c r="EY117" s="33"/>
      <c r="EZ117" s="33"/>
      <c r="FA117" s="33"/>
      <c r="FB117" s="33"/>
      <c r="FC117" s="33"/>
      <c r="FD117" s="33"/>
      <c r="FE117" s="33"/>
      <c r="FF117" s="33"/>
      <c r="FG117" s="33"/>
      <c r="FH117" s="33"/>
      <c r="FI117" s="33"/>
      <c r="FJ117" s="33"/>
      <c r="FK117" s="33"/>
      <c r="FL117" s="33"/>
      <c r="FM117" s="33"/>
      <c r="FN117" s="33"/>
      <c r="FO117" s="33"/>
      <c r="FP117" s="33"/>
      <c r="FQ117" s="33"/>
      <c r="FR117" s="33"/>
      <c r="FS117" s="33"/>
      <c r="FT117" s="33"/>
      <c r="FU117" s="33"/>
      <c r="FV117" s="33"/>
      <c r="FW117" s="33"/>
      <c r="FX117" s="33"/>
      <c r="FY117" s="33"/>
      <c r="FZ117" s="33"/>
      <c r="GA117" s="33"/>
      <c r="GB117" s="33"/>
      <c r="GC117" s="33"/>
      <c r="GD117" s="33"/>
      <c r="GE117" s="33"/>
      <c r="GF117" s="33"/>
      <c r="GG117" s="33"/>
      <c r="GH117" s="33"/>
      <c r="GI117" s="33"/>
      <c r="GJ117" s="33"/>
      <c r="GK117" s="33"/>
      <c r="GL117" s="33"/>
      <c r="GM117" s="33"/>
      <c r="GN117" s="33"/>
      <c r="GO117" s="33"/>
      <c r="GP117" s="33"/>
      <c r="GQ117" s="33"/>
      <c r="GR117" s="33"/>
      <c r="GS117" s="33"/>
      <c r="GT117" s="33"/>
      <c r="GU117" s="33"/>
      <c r="GV117" s="33"/>
      <c r="GW117" s="33"/>
      <c r="GX117" s="33"/>
      <c r="GY117" s="33"/>
      <c r="GZ117" s="33"/>
      <c r="HA117" s="33"/>
      <c r="HB117" s="33"/>
      <c r="HC117" s="33"/>
      <c r="HD117" s="33"/>
      <c r="HE117" s="33"/>
      <c r="HF117" s="33"/>
      <c r="HG117" s="33"/>
      <c r="HH117" s="33"/>
    </row>
    <row r="118" spans="1:216" ht="15.75" customHeight="1" x14ac:dyDescent="0.3">
      <c r="A118" s="11" t="s">
        <v>50</v>
      </c>
      <c r="B118" s="50"/>
      <c r="C118" s="24" t="s">
        <v>162</v>
      </c>
      <c r="D118" s="49"/>
      <c r="E118" s="9">
        <f>ALASMALANG!V118+'BENELAN KIDUL'!S118+CANTUK!T118+GAMBOR!N118+GUMIRIH!S118+KEMIRI!U118+LEMAHBANGKULON!Q118+PADANG!Q118+SINGOJURUH!AC118+SINGOLATREN!T118+SUMBERBARU!S118</f>
        <v>24</v>
      </c>
      <c r="F118" s="39"/>
      <c r="G118" s="20"/>
      <c r="H118" s="20"/>
      <c r="I118" s="20"/>
      <c r="J118" s="20"/>
      <c r="K118" s="20"/>
      <c r="L118" s="20"/>
      <c r="M118" s="20"/>
      <c r="N118" s="20"/>
      <c r="O118" s="20"/>
      <c r="P118" s="32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/>
      <c r="CW118" s="33"/>
      <c r="CX118" s="33"/>
      <c r="CY118" s="33"/>
      <c r="CZ118" s="33"/>
      <c r="DA118" s="33"/>
      <c r="DB118" s="33"/>
      <c r="DC118" s="33"/>
      <c r="DD118" s="33"/>
      <c r="DE118" s="33"/>
      <c r="DF118" s="33"/>
      <c r="DG118" s="33"/>
      <c r="DH118" s="33"/>
      <c r="DI118" s="33"/>
      <c r="DJ118" s="33"/>
      <c r="DK118" s="33"/>
      <c r="DL118" s="33"/>
      <c r="DM118" s="33"/>
      <c r="DN118" s="33"/>
      <c r="DO118" s="33"/>
      <c r="DP118" s="33"/>
      <c r="DQ118" s="33"/>
      <c r="DR118" s="33"/>
      <c r="DS118" s="33"/>
      <c r="DT118" s="33"/>
      <c r="DU118" s="33"/>
      <c r="DV118" s="33"/>
      <c r="DW118" s="33"/>
      <c r="DX118" s="33"/>
      <c r="DY118" s="33"/>
      <c r="DZ118" s="33"/>
      <c r="EA118" s="33"/>
      <c r="EB118" s="33"/>
      <c r="EC118" s="33"/>
      <c r="ED118" s="33"/>
      <c r="EE118" s="33"/>
      <c r="EF118" s="33"/>
      <c r="EG118" s="33"/>
      <c r="EH118" s="33"/>
      <c r="EI118" s="33"/>
      <c r="EJ118" s="33"/>
      <c r="EK118" s="33"/>
      <c r="EL118" s="33"/>
      <c r="EM118" s="33"/>
      <c r="EN118" s="33"/>
      <c r="EO118" s="33"/>
      <c r="EP118" s="33"/>
      <c r="EQ118" s="33"/>
      <c r="ER118" s="33"/>
      <c r="ES118" s="33"/>
      <c r="ET118" s="33"/>
      <c r="EU118" s="33"/>
      <c r="EV118" s="33"/>
      <c r="EW118" s="33"/>
      <c r="EX118" s="33"/>
      <c r="EY118" s="33"/>
      <c r="EZ118" s="33"/>
      <c r="FA118" s="33"/>
      <c r="FB118" s="33"/>
      <c r="FC118" s="33"/>
      <c r="FD118" s="33"/>
      <c r="FE118" s="33"/>
      <c r="FF118" s="33"/>
      <c r="FG118" s="33"/>
      <c r="FH118" s="33"/>
      <c r="FI118" s="33"/>
      <c r="FJ118" s="33"/>
      <c r="FK118" s="33"/>
      <c r="FL118" s="33"/>
      <c r="FM118" s="33"/>
      <c r="FN118" s="33"/>
      <c r="FO118" s="33"/>
      <c r="FP118" s="33"/>
      <c r="FQ118" s="33"/>
      <c r="FR118" s="33"/>
      <c r="FS118" s="33"/>
      <c r="FT118" s="33"/>
      <c r="FU118" s="33"/>
      <c r="FV118" s="33"/>
      <c r="FW118" s="33"/>
      <c r="FX118" s="33"/>
      <c r="FY118" s="33"/>
      <c r="FZ118" s="33"/>
      <c r="GA118" s="33"/>
      <c r="GB118" s="33"/>
      <c r="GC118" s="33"/>
      <c r="GD118" s="33"/>
      <c r="GE118" s="33"/>
      <c r="GF118" s="33"/>
      <c r="GG118" s="33"/>
      <c r="GH118" s="33"/>
      <c r="GI118" s="33"/>
      <c r="GJ118" s="33"/>
      <c r="GK118" s="33"/>
      <c r="GL118" s="33"/>
      <c r="GM118" s="33"/>
      <c r="GN118" s="33"/>
      <c r="GO118" s="33"/>
      <c r="GP118" s="33"/>
      <c r="GQ118" s="33"/>
      <c r="GR118" s="33"/>
      <c r="GS118" s="33"/>
      <c r="GT118" s="33"/>
      <c r="GU118" s="33"/>
      <c r="GV118" s="33"/>
      <c r="GW118" s="33"/>
      <c r="GX118" s="33"/>
      <c r="GY118" s="33"/>
      <c r="GZ118" s="33"/>
      <c r="HA118" s="33"/>
      <c r="HB118" s="33"/>
      <c r="HC118" s="33"/>
      <c r="HD118" s="33"/>
      <c r="HE118" s="33"/>
      <c r="HF118" s="33"/>
      <c r="HG118" s="33"/>
      <c r="HH118" s="33"/>
    </row>
    <row r="119" spans="1:216" ht="15.75" customHeight="1" x14ac:dyDescent="0.3">
      <c r="A119" s="7"/>
      <c r="B119" s="50"/>
      <c r="C119" s="24" t="s">
        <v>163</v>
      </c>
      <c r="D119" s="49"/>
      <c r="E119" s="9">
        <f>ALASMALANG!V119+'BENELAN KIDUL'!S119+CANTUK!T119+GAMBOR!N119+GUMIRIH!S119+KEMIRI!U119+LEMAHBANGKULON!Q119+PADANG!Q119+SINGOJURUH!AC119+SINGOLATREN!T119+SUMBERBARU!S119</f>
        <v>7</v>
      </c>
      <c r="F119" s="39"/>
      <c r="G119" s="20"/>
      <c r="H119" s="20"/>
      <c r="I119" s="20"/>
      <c r="J119" s="20"/>
      <c r="K119" s="20"/>
      <c r="L119" s="20"/>
      <c r="M119" s="20"/>
      <c r="N119" s="20"/>
      <c r="O119" s="20"/>
      <c r="P119" s="32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  <c r="CW119" s="33"/>
      <c r="CX119" s="33"/>
      <c r="CY119" s="33"/>
      <c r="CZ119" s="33"/>
      <c r="DA119" s="33"/>
      <c r="DB119" s="33"/>
      <c r="DC119" s="33"/>
      <c r="DD119" s="33"/>
      <c r="DE119" s="33"/>
      <c r="DF119" s="33"/>
      <c r="DG119" s="33"/>
      <c r="DH119" s="33"/>
      <c r="DI119" s="33"/>
      <c r="DJ119" s="33"/>
      <c r="DK119" s="33"/>
      <c r="DL119" s="33"/>
      <c r="DM119" s="33"/>
      <c r="DN119" s="33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  <c r="ED119" s="33"/>
      <c r="EE119" s="33"/>
      <c r="EF119" s="33"/>
      <c r="EG119" s="33"/>
      <c r="EH119" s="33"/>
      <c r="EI119" s="33"/>
      <c r="EJ119" s="33"/>
      <c r="EK119" s="33"/>
      <c r="EL119" s="33"/>
      <c r="EM119" s="33"/>
      <c r="EN119" s="33"/>
      <c r="EO119" s="33"/>
      <c r="EP119" s="33"/>
      <c r="EQ119" s="33"/>
      <c r="ER119" s="33"/>
      <c r="ES119" s="33"/>
      <c r="ET119" s="33"/>
      <c r="EU119" s="33"/>
      <c r="EV119" s="33"/>
      <c r="EW119" s="33"/>
      <c r="EX119" s="33"/>
      <c r="EY119" s="33"/>
      <c r="EZ119" s="33"/>
      <c r="FA119" s="33"/>
      <c r="FB119" s="33"/>
      <c r="FC119" s="33"/>
      <c r="FD119" s="33"/>
      <c r="FE119" s="33"/>
      <c r="FF119" s="33"/>
      <c r="FG119" s="33"/>
      <c r="FH119" s="33"/>
      <c r="FI119" s="33"/>
      <c r="FJ119" s="33"/>
      <c r="FK119" s="33"/>
      <c r="FL119" s="33"/>
      <c r="FM119" s="33"/>
      <c r="FN119" s="33"/>
      <c r="FO119" s="33"/>
      <c r="FP119" s="33"/>
      <c r="FQ119" s="33"/>
      <c r="FR119" s="33"/>
      <c r="FS119" s="33"/>
      <c r="FT119" s="33"/>
      <c r="FU119" s="33"/>
      <c r="FV119" s="33"/>
      <c r="FW119" s="33"/>
      <c r="FX119" s="33"/>
      <c r="FY119" s="33"/>
      <c r="FZ119" s="33"/>
      <c r="GA119" s="33"/>
      <c r="GB119" s="33"/>
      <c r="GC119" s="33"/>
      <c r="GD119" s="33"/>
      <c r="GE119" s="33"/>
      <c r="GF119" s="33"/>
      <c r="GG119" s="33"/>
      <c r="GH119" s="33"/>
      <c r="GI119" s="33"/>
      <c r="GJ119" s="33"/>
      <c r="GK119" s="33"/>
      <c r="GL119" s="33"/>
      <c r="GM119" s="33"/>
      <c r="GN119" s="33"/>
      <c r="GO119" s="33"/>
      <c r="GP119" s="33"/>
      <c r="GQ119" s="33"/>
      <c r="GR119" s="33"/>
      <c r="GS119" s="33"/>
      <c r="GT119" s="33"/>
      <c r="GU119" s="33"/>
      <c r="GV119" s="33"/>
      <c r="GW119" s="33"/>
      <c r="GX119" s="33"/>
      <c r="GY119" s="33"/>
      <c r="GZ119" s="33"/>
      <c r="HA119" s="33"/>
      <c r="HB119" s="33"/>
      <c r="HC119" s="33"/>
      <c r="HD119" s="33"/>
      <c r="HE119" s="33"/>
      <c r="HF119" s="33"/>
      <c r="HG119" s="33"/>
      <c r="HH119" s="33"/>
    </row>
    <row r="120" spans="1:216" ht="15.75" customHeight="1" x14ac:dyDescent="0.3">
      <c r="A120" s="7"/>
      <c r="B120" s="50"/>
      <c r="C120" s="24" t="s">
        <v>164</v>
      </c>
      <c r="D120" s="49"/>
      <c r="E120" s="9">
        <f>ALASMALANG!V120+'BENELAN KIDUL'!S120+CANTUK!T120+GAMBOR!N120+GUMIRIH!S120+KEMIRI!U120+LEMAHBANGKULON!Q120+PADANG!Q120+SINGOJURUH!AC120+SINGOLATREN!T120+SUMBERBARU!S120</f>
        <v>7</v>
      </c>
      <c r="F120" s="39"/>
      <c r="G120" s="20"/>
      <c r="H120" s="20"/>
      <c r="I120" s="20"/>
      <c r="J120" s="20"/>
      <c r="K120" s="20"/>
      <c r="L120" s="20"/>
      <c r="M120" s="20"/>
      <c r="N120" s="20"/>
      <c r="O120" s="20"/>
      <c r="P120" s="32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3"/>
      <c r="CX120" s="33"/>
      <c r="CY120" s="33"/>
      <c r="CZ120" s="33"/>
      <c r="DA120" s="33"/>
      <c r="DB120" s="33"/>
      <c r="DC120" s="33"/>
      <c r="DD120" s="33"/>
      <c r="DE120" s="33"/>
      <c r="DF120" s="33"/>
      <c r="DG120" s="33"/>
      <c r="DH120" s="33"/>
      <c r="DI120" s="33"/>
      <c r="DJ120" s="33"/>
      <c r="DK120" s="33"/>
      <c r="DL120" s="33"/>
      <c r="DM120" s="33"/>
      <c r="DN120" s="33"/>
      <c r="DO120" s="33"/>
      <c r="DP120" s="33"/>
      <c r="DQ120" s="33"/>
      <c r="DR120" s="33"/>
      <c r="DS120" s="33"/>
      <c r="DT120" s="33"/>
      <c r="DU120" s="33"/>
      <c r="DV120" s="33"/>
      <c r="DW120" s="33"/>
      <c r="DX120" s="33"/>
      <c r="DY120" s="33"/>
      <c r="DZ120" s="33"/>
      <c r="EA120" s="33"/>
      <c r="EB120" s="33"/>
      <c r="EC120" s="33"/>
      <c r="ED120" s="33"/>
      <c r="EE120" s="33"/>
      <c r="EF120" s="33"/>
      <c r="EG120" s="33"/>
      <c r="EH120" s="33"/>
      <c r="EI120" s="33"/>
      <c r="EJ120" s="33"/>
      <c r="EK120" s="33"/>
      <c r="EL120" s="33"/>
      <c r="EM120" s="33"/>
      <c r="EN120" s="33"/>
      <c r="EO120" s="33"/>
      <c r="EP120" s="33"/>
      <c r="EQ120" s="33"/>
      <c r="ER120" s="33"/>
      <c r="ES120" s="33"/>
      <c r="ET120" s="33"/>
      <c r="EU120" s="33"/>
      <c r="EV120" s="33"/>
      <c r="EW120" s="33"/>
      <c r="EX120" s="33"/>
      <c r="EY120" s="33"/>
      <c r="EZ120" s="33"/>
      <c r="FA120" s="33"/>
      <c r="FB120" s="33"/>
      <c r="FC120" s="33"/>
      <c r="FD120" s="33"/>
      <c r="FE120" s="33"/>
      <c r="FF120" s="33"/>
      <c r="FG120" s="33"/>
      <c r="FH120" s="33"/>
      <c r="FI120" s="33"/>
      <c r="FJ120" s="33"/>
      <c r="FK120" s="33"/>
      <c r="FL120" s="33"/>
      <c r="FM120" s="33"/>
      <c r="FN120" s="33"/>
      <c r="FO120" s="33"/>
      <c r="FP120" s="33"/>
      <c r="FQ120" s="33"/>
      <c r="FR120" s="33"/>
      <c r="FS120" s="33"/>
      <c r="FT120" s="33"/>
      <c r="FU120" s="33"/>
      <c r="FV120" s="33"/>
      <c r="FW120" s="33"/>
      <c r="FX120" s="33"/>
      <c r="FY120" s="33"/>
      <c r="FZ120" s="33"/>
      <c r="GA120" s="33"/>
      <c r="GB120" s="33"/>
      <c r="GC120" s="33"/>
      <c r="GD120" s="33"/>
      <c r="GE120" s="33"/>
      <c r="GF120" s="33"/>
      <c r="GG120" s="33"/>
      <c r="GH120" s="33"/>
      <c r="GI120" s="33"/>
      <c r="GJ120" s="33"/>
      <c r="GK120" s="33"/>
      <c r="GL120" s="33"/>
      <c r="GM120" s="33"/>
      <c r="GN120" s="33"/>
      <c r="GO120" s="33"/>
      <c r="GP120" s="33"/>
      <c r="GQ120" s="33"/>
      <c r="GR120" s="33"/>
      <c r="GS120" s="33"/>
      <c r="GT120" s="33"/>
      <c r="GU120" s="33"/>
      <c r="GV120" s="33"/>
      <c r="GW120" s="33"/>
      <c r="GX120" s="33"/>
      <c r="GY120" s="33"/>
      <c r="GZ120" s="33"/>
      <c r="HA120" s="33"/>
      <c r="HB120" s="33"/>
      <c r="HC120" s="33"/>
      <c r="HD120" s="33"/>
      <c r="HE120" s="33"/>
      <c r="HF120" s="33"/>
      <c r="HG120" s="33"/>
      <c r="HH120" s="33"/>
    </row>
    <row r="121" spans="1:216" ht="15.75" customHeight="1" x14ac:dyDescent="0.3">
      <c r="A121" s="7"/>
      <c r="B121" s="50"/>
      <c r="C121" s="24" t="s">
        <v>165</v>
      </c>
      <c r="D121" s="49"/>
      <c r="E121" s="9">
        <f>ALASMALANG!V121+'BENELAN KIDUL'!S121+CANTUK!T121+GAMBOR!N121+GUMIRIH!S121+KEMIRI!U121+LEMAHBANGKULON!Q121+PADANG!Q121+SINGOJURUH!AC121+SINGOLATREN!T121+SUMBERBARU!S121</f>
        <v>4</v>
      </c>
      <c r="F121" s="39"/>
      <c r="G121" s="20"/>
      <c r="H121" s="20"/>
      <c r="I121" s="20"/>
      <c r="J121" s="20"/>
      <c r="K121" s="20"/>
      <c r="L121" s="20"/>
      <c r="M121" s="20"/>
      <c r="N121" s="20"/>
      <c r="O121" s="20"/>
      <c r="P121" s="32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33"/>
      <c r="CX121" s="33"/>
      <c r="CY121" s="33"/>
      <c r="CZ121" s="33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  <c r="DM121" s="33"/>
      <c r="DN121" s="33"/>
      <c r="DO121" s="33"/>
      <c r="DP121" s="33"/>
      <c r="DQ121" s="33"/>
      <c r="DR121" s="33"/>
      <c r="DS121" s="33"/>
      <c r="DT121" s="33"/>
      <c r="DU121" s="33"/>
      <c r="DV121" s="33"/>
      <c r="DW121" s="33"/>
      <c r="DX121" s="33"/>
      <c r="DY121" s="33"/>
      <c r="DZ121" s="33"/>
      <c r="EA121" s="33"/>
      <c r="EB121" s="33"/>
      <c r="EC121" s="33"/>
      <c r="ED121" s="33"/>
      <c r="EE121" s="33"/>
      <c r="EF121" s="33"/>
      <c r="EG121" s="33"/>
      <c r="EH121" s="33"/>
      <c r="EI121" s="33"/>
      <c r="EJ121" s="33"/>
      <c r="EK121" s="33"/>
      <c r="EL121" s="33"/>
      <c r="EM121" s="33"/>
      <c r="EN121" s="33"/>
      <c r="EO121" s="33"/>
      <c r="EP121" s="33"/>
      <c r="EQ121" s="33"/>
      <c r="ER121" s="33"/>
      <c r="ES121" s="33"/>
      <c r="ET121" s="33"/>
      <c r="EU121" s="33"/>
      <c r="EV121" s="33"/>
      <c r="EW121" s="33"/>
      <c r="EX121" s="33"/>
      <c r="EY121" s="33"/>
      <c r="EZ121" s="33"/>
      <c r="FA121" s="33"/>
      <c r="FB121" s="33"/>
      <c r="FC121" s="33"/>
      <c r="FD121" s="33"/>
      <c r="FE121" s="33"/>
      <c r="FF121" s="33"/>
      <c r="FG121" s="33"/>
      <c r="FH121" s="33"/>
      <c r="FI121" s="33"/>
      <c r="FJ121" s="33"/>
      <c r="FK121" s="33"/>
      <c r="FL121" s="33"/>
      <c r="FM121" s="33"/>
      <c r="FN121" s="33"/>
      <c r="FO121" s="33"/>
      <c r="FP121" s="33"/>
      <c r="FQ121" s="33"/>
      <c r="FR121" s="33"/>
      <c r="FS121" s="33"/>
      <c r="FT121" s="33"/>
      <c r="FU121" s="33"/>
      <c r="FV121" s="33"/>
      <c r="FW121" s="33"/>
      <c r="FX121" s="33"/>
      <c r="FY121" s="33"/>
      <c r="FZ121" s="33"/>
      <c r="GA121" s="33"/>
      <c r="GB121" s="33"/>
      <c r="GC121" s="33"/>
      <c r="GD121" s="33"/>
      <c r="GE121" s="33"/>
      <c r="GF121" s="33"/>
      <c r="GG121" s="33"/>
      <c r="GH121" s="33"/>
      <c r="GI121" s="33"/>
      <c r="GJ121" s="33"/>
      <c r="GK121" s="33"/>
      <c r="GL121" s="33"/>
      <c r="GM121" s="33"/>
      <c r="GN121" s="33"/>
      <c r="GO121" s="33"/>
      <c r="GP121" s="33"/>
      <c r="GQ121" s="33"/>
      <c r="GR121" s="33"/>
      <c r="GS121" s="33"/>
      <c r="GT121" s="33"/>
      <c r="GU121" s="33"/>
      <c r="GV121" s="33"/>
      <c r="GW121" s="33"/>
      <c r="GX121" s="33"/>
      <c r="GY121" s="33"/>
      <c r="GZ121" s="33"/>
      <c r="HA121" s="33"/>
      <c r="HB121" s="33"/>
      <c r="HC121" s="33"/>
      <c r="HD121" s="33"/>
      <c r="HE121" s="33"/>
      <c r="HF121" s="33"/>
      <c r="HG121" s="33"/>
      <c r="HH121" s="33"/>
    </row>
    <row r="122" spans="1:216" ht="15.75" customHeight="1" x14ac:dyDescent="0.3">
      <c r="A122" s="7"/>
      <c r="B122" s="50"/>
      <c r="C122" s="24" t="s">
        <v>166</v>
      </c>
      <c r="D122" s="49"/>
      <c r="E122" s="9">
        <f>ALASMALANG!V122+'BENELAN KIDUL'!S122+CANTUK!T122+GAMBOR!N122+GUMIRIH!S122+KEMIRI!U122+LEMAHBANGKULON!Q122+PADANG!Q122+SINGOJURUH!AC122+SINGOLATREN!T122+SUMBERBARU!S122</f>
        <v>5</v>
      </c>
      <c r="F122" s="39"/>
      <c r="G122" s="20"/>
      <c r="H122" s="20"/>
      <c r="I122" s="20"/>
      <c r="J122" s="20"/>
      <c r="K122" s="20"/>
      <c r="L122" s="20"/>
      <c r="M122" s="20"/>
      <c r="N122" s="20"/>
      <c r="O122" s="20"/>
      <c r="P122" s="32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3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  <c r="ED122" s="33"/>
      <c r="EE122" s="33"/>
      <c r="EF122" s="33"/>
      <c r="EG122" s="33"/>
      <c r="EH122" s="33"/>
      <c r="EI122" s="33"/>
      <c r="EJ122" s="33"/>
      <c r="EK122" s="33"/>
      <c r="EL122" s="33"/>
      <c r="EM122" s="33"/>
      <c r="EN122" s="33"/>
      <c r="EO122" s="33"/>
      <c r="EP122" s="33"/>
      <c r="EQ122" s="33"/>
      <c r="ER122" s="33"/>
      <c r="ES122" s="33"/>
      <c r="ET122" s="33"/>
      <c r="EU122" s="33"/>
      <c r="EV122" s="33"/>
      <c r="EW122" s="33"/>
      <c r="EX122" s="33"/>
      <c r="EY122" s="33"/>
      <c r="EZ122" s="33"/>
      <c r="FA122" s="33"/>
      <c r="FB122" s="33"/>
      <c r="FC122" s="33"/>
      <c r="FD122" s="33"/>
      <c r="FE122" s="33"/>
      <c r="FF122" s="33"/>
      <c r="FG122" s="33"/>
      <c r="FH122" s="33"/>
      <c r="FI122" s="33"/>
      <c r="FJ122" s="33"/>
      <c r="FK122" s="33"/>
      <c r="FL122" s="33"/>
      <c r="FM122" s="33"/>
      <c r="FN122" s="33"/>
      <c r="FO122" s="33"/>
      <c r="FP122" s="33"/>
      <c r="FQ122" s="33"/>
      <c r="FR122" s="33"/>
      <c r="FS122" s="33"/>
      <c r="FT122" s="33"/>
      <c r="FU122" s="33"/>
      <c r="FV122" s="33"/>
      <c r="FW122" s="33"/>
      <c r="FX122" s="33"/>
      <c r="FY122" s="33"/>
      <c r="FZ122" s="33"/>
      <c r="GA122" s="33"/>
      <c r="GB122" s="33"/>
      <c r="GC122" s="33"/>
      <c r="GD122" s="33"/>
      <c r="GE122" s="33"/>
      <c r="GF122" s="33"/>
      <c r="GG122" s="33"/>
      <c r="GH122" s="33"/>
      <c r="GI122" s="33"/>
      <c r="GJ122" s="33"/>
      <c r="GK122" s="33"/>
      <c r="GL122" s="33"/>
      <c r="GM122" s="33"/>
      <c r="GN122" s="33"/>
      <c r="GO122" s="33"/>
      <c r="GP122" s="33"/>
      <c r="GQ122" s="33"/>
      <c r="GR122" s="33"/>
      <c r="GS122" s="33"/>
      <c r="GT122" s="33"/>
      <c r="GU122" s="33"/>
      <c r="GV122" s="33"/>
      <c r="GW122" s="33"/>
      <c r="GX122" s="33"/>
      <c r="GY122" s="33"/>
      <c r="GZ122" s="33"/>
      <c r="HA122" s="33"/>
      <c r="HB122" s="33"/>
      <c r="HC122" s="33"/>
      <c r="HD122" s="33"/>
      <c r="HE122" s="33"/>
      <c r="HF122" s="33"/>
      <c r="HG122" s="33"/>
      <c r="HH122" s="33"/>
    </row>
    <row r="123" spans="1:216" ht="15.75" customHeight="1" x14ac:dyDescent="0.3">
      <c r="A123" s="7"/>
      <c r="B123" s="45"/>
      <c r="C123" s="46"/>
      <c r="D123" s="48"/>
      <c r="E123" s="56"/>
      <c r="F123" s="39"/>
      <c r="G123" s="20"/>
      <c r="H123" s="20"/>
      <c r="I123" s="20"/>
      <c r="J123" s="20"/>
      <c r="K123" s="20"/>
      <c r="L123" s="20"/>
      <c r="M123" s="20"/>
      <c r="N123" s="20"/>
      <c r="O123" s="20"/>
      <c r="P123" s="32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  <c r="ED123" s="33"/>
      <c r="EE123" s="33"/>
      <c r="EF123" s="33"/>
      <c r="EG123" s="33"/>
      <c r="EH123" s="33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  <c r="ET123" s="33"/>
      <c r="EU123" s="33"/>
      <c r="EV123" s="33"/>
      <c r="EW123" s="33"/>
      <c r="EX123" s="33"/>
      <c r="EY123" s="33"/>
      <c r="EZ123" s="33"/>
      <c r="FA123" s="33"/>
      <c r="FB123" s="33"/>
      <c r="FC123" s="33"/>
      <c r="FD123" s="33"/>
      <c r="FE123" s="33"/>
      <c r="FF123" s="33"/>
      <c r="FG123" s="33"/>
      <c r="FH123" s="33"/>
      <c r="FI123" s="33"/>
      <c r="FJ123" s="33"/>
      <c r="FK123" s="33"/>
      <c r="FL123" s="33"/>
      <c r="FM123" s="33"/>
      <c r="FN123" s="33"/>
      <c r="FO123" s="33"/>
      <c r="FP123" s="33"/>
      <c r="FQ123" s="33"/>
      <c r="FR123" s="33"/>
      <c r="FS123" s="33"/>
      <c r="FT123" s="33"/>
      <c r="FU123" s="33"/>
      <c r="FV123" s="33"/>
      <c r="FW123" s="33"/>
      <c r="FX123" s="33"/>
      <c r="FY123" s="33"/>
      <c r="FZ123" s="33"/>
      <c r="GA123" s="33"/>
      <c r="GB123" s="33"/>
      <c r="GC123" s="33"/>
      <c r="GD123" s="33"/>
      <c r="GE123" s="33"/>
      <c r="GF123" s="33"/>
      <c r="GG123" s="33"/>
      <c r="GH123" s="33"/>
      <c r="GI123" s="33"/>
      <c r="GJ123" s="33"/>
      <c r="GK123" s="33"/>
      <c r="GL123" s="33"/>
      <c r="GM123" s="33"/>
      <c r="GN123" s="33"/>
      <c r="GO123" s="33"/>
      <c r="GP123" s="33"/>
      <c r="GQ123" s="33"/>
      <c r="GR123" s="33"/>
      <c r="GS123" s="33"/>
      <c r="GT123" s="33"/>
      <c r="GU123" s="33"/>
      <c r="GV123" s="33"/>
      <c r="GW123" s="33"/>
      <c r="GX123" s="33"/>
      <c r="GY123" s="33"/>
      <c r="GZ123" s="33"/>
      <c r="HA123" s="33"/>
      <c r="HB123" s="33"/>
      <c r="HC123" s="33"/>
      <c r="HD123" s="33"/>
      <c r="HE123" s="33"/>
      <c r="HF123" s="33"/>
      <c r="HG123" s="33"/>
      <c r="HH123" s="33"/>
    </row>
    <row r="124" spans="1:216" ht="15.75" customHeight="1" x14ac:dyDescent="0.3">
      <c r="A124" s="7"/>
      <c r="B124" s="45"/>
      <c r="C124" s="46"/>
      <c r="D124" s="48"/>
      <c r="E124" s="56"/>
      <c r="F124" s="39"/>
      <c r="G124" s="20"/>
      <c r="H124" s="20"/>
      <c r="I124" s="20"/>
      <c r="J124" s="20"/>
      <c r="K124" s="20"/>
      <c r="L124" s="20"/>
      <c r="M124" s="20"/>
      <c r="N124" s="20"/>
      <c r="O124" s="20"/>
      <c r="P124" s="32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  <c r="DM124" s="33"/>
      <c r="DN124" s="33"/>
      <c r="DO124" s="33"/>
      <c r="DP124" s="33"/>
      <c r="DQ124" s="33"/>
      <c r="DR124" s="33"/>
      <c r="DS124" s="33"/>
      <c r="DT124" s="33"/>
      <c r="DU124" s="33"/>
      <c r="DV124" s="33"/>
      <c r="DW124" s="33"/>
      <c r="DX124" s="33"/>
      <c r="DY124" s="33"/>
      <c r="DZ124" s="33"/>
      <c r="EA124" s="33"/>
      <c r="EB124" s="33"/>
      <c r="EC124" s="33"/>
      <c r="ED124" s="33"/>
      <c r="EE124" s="33"/>
      <c r="EF124" s="33"/>
      <c r="EG124" s="33"/>
      <c r="EH124" s="33"/>
      <c r="EI124" s="33"/>
      <c r="EJ124" s="33"/>
      <c r="EK124" s="33"/>
      <c r="EL124" s="33"/>
      <c r="EM124" s="33"/>
      <c r="EN124" s="33"/>
      <c r="EO124" s="33"/>
      <c r="EP124" s="33"/>
      <c r="EQ124" s="33"/>
      <c r="ER124" s="33"/>
      <c r="ES124" s="33"/>
      <c r="ET124" s="33"/>
      <c r="EU124" s="33"/>
      <c r="EV124" s="33"/>
      <c r="EW124" s="33"/>
      <c r="EX124" s="33"/>
      <c r="EY124" s="33"/>
      <c r="EZ124" s="33"/>
      <c r="FA124" s="33"/>
      <c r="FB124" s="33"/>
      <c r="FC124" s="33"/>
      <c r="FD124" s="33"/>
      <c r="FE124" s="33"/>
      <c r="FF124" s="33"/>
      <c r="FG124" s="33"/>
      <c r="FH124" s="33"/>
      <c r="FI124" s="33"/>
      <c r="FJ124" s="33"/>
      <c r="FK124" s="33"/>
      <c r="FL124" s="33"/>
      <c r="FM124" s="33"/>
      <c r="FN124" s="33"/>
      <c r="FO124" s="33"/>
      <c r="FP124" s="33"/>
      <c r="FQ124" s="33"/>
      <c r="FR124" s="33"/>
      <c r="FS124" s="33"/>
      <c r="FT124" s="33"/>
      <c r="FU124" s="33"/>
      <c r="FV124" s="33"/>
      <c r="FW124" s="33"/>
      <c r="FX124" s="33"/>
      <c r="FY124" s="33"/>
      <c r="FZ124" s="33"/>
      <c r="GA124" s="33"/>
      <c r="GB124" s="33"/>
      <c r="GC124" s="33"/>
      <c r="GD124" s="33"/>
      <c r="GE124" s="33"/>
      <c r="GF124" s="33"/>
      <c r="GG124" s="33"/>
      <c r="GH124" s="33"/>
      <c r="GI124" s="33"/>
      <c r="GJ124" s="33"/>
      <c r="GK124" s="33"/>
      <c r="GL124" s="33"/>
      <c r="GM124" s="33"/>
      <c r="GN124" s="33"/>
      <c r="GO124" s="33"/>
      <c r="GP124" s="33"/>
      <c r="GQ124" s="33"/>
      <c r="GR124" s="33"/>
      <c r="GS124" s="33"/>
      <c r="GT124" s="33"/>
      <c r="GU124" s="33"/>
      <c r="GV124" s="33"/>
      <c r="GW124" s="33"/>
      <c r="GX124" s="33"/>
      <c r="GY124" s="33"/>
      <c r="GZ124" s="33"/>
      <c r="HA124" s="33"/>
      <c r="HB124" s="33"/>
      <c r="HC124" s="33"/>
      <c r="HD124" s="33"/>
      <c r="HE124" s="33"/>
      <c r="HF124" s="33"/>
      <c r="HG124" s="33"/>
      <c r="HH124" s="33"/>
    </row>
    <row r="125" spans="1:216" ht="15.75" customHeight="1" x14ac:dyDescent="0.3">
      <c r="A125" s="7"/>
      <c r="B125" s="45"/>
      <c r="C125" s="46"/>
      <c r="D125" s="48"/>
      <c r="E125" s="56"/>
      <c r="F125" s="39"/>
      <c r="G125" s="20"/>
      <c r="H125" s="20"/>
      <c r="I125" s="20"/>
      <c r="J125" s="20"/>
      <c r="K125" s="20"/>
      <c r="L125" s="20"/>
      <c r="M125" s="20"/>
      <c r="N125" s="20"/>
      <c r="O125" s="20"/>
      <c r="P125" s="32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3"/>
      <c r="DN125" s="33"/>
      <c r="DO125" s="33"/>
      <c r="DP125" s="33"/>
      <c r="DQ125" s="33"/>
      <c r="DR125" s="33"/>
      <c r="DS125" s="33"/>
      <c r="DT125" s="33"/>
      <c r="DU125" s="33"/>
      <c r="DV125" s="33"/>
      <c r="DW125" s="33"/>
      <c r="DX125" s="33"/>
      <c r="DY125" s="33"/>
      <c r="DZ125" s="33"/>
      <c r="EA125" s="33"/>
      <c r="EB125" s="33"/>
      <c r="EC125" s="33"/>
      <c r="ED125" s="33"/>
      <c r="EE125" s="33"/>
      <c r="EF125" s="33"/>
      <c r="EG125" s="33"/>
      <c r="EH125" s="33"/>
      <c r="EI125" s="33"/>
      <c r="EJ125" s="33"/>
      <c r="EK125" s="33"/>
      <c r="EL125" s="33"/>
      <c r="EM125" s="33"/>
      <c r="EN125" s="33"/>
      <c r="EO125" s="33"/>
      <c r="EP125" s="33"/>
      <c r="EQ125" s="33"/>
      <c r="ER125" s="33"/>
      <c r="ES125" s="33"/>
      <c r="ET125" s="33"/>
      <c r="EU125" s="33"/>
      <c r="EV125" s="33"/>
      <c r="EW125" s="33"/>
      <c r="EX125" s="33"/>
      <c r="EY125" s="33"/>
      <c r="EZ125" s="33"/>
      <c r="FA125" s="33"/>
      <c r="FB125" s="33"/>
      <c r="FC125" s="33"/>
      <c r="FD125" s="33"/>
      <c r="FE125" s="33"/>
      <c r="FF125" s="33"/>
      <c r="FG125" s="33"/>
      <c r="FH125" s="33"/>
      <c r="FI125" s="33"/>
      <c r="FJ125" s="33"/>
      <c r="FK125" s="33"/>
      <c r="FL125" s="33"/>
      <c r="FM125" s="33"/>
      <c r="FN125" s="33"/>
      <c r="FO125" s="33"/>
      <c r="FP125" s="33"/>
      <c r="FQ125" s="33"/>
      <c r="FR125" s="33"/>
      <c r="FS125" s="33"/>
      <c r="FT125" s="33"/>
      <c r="FU125" s="33"/>
      <c r="FV125" s="33"/>
      <c r="FW125" s="33"/>
      <c r="FX125" s="33"/>
      <c r="FY125" s="33"/>
      <c r="FZ125" s="33"/>
      <c r="GA125" s="33"/>
      <c r="GB125" s="33"/>
      <c r="GC125" s="33"/>
      <c r="GD125" s="33"/>
      <c r="GE125" s="33"/>
      <c r="GF125" s="33"/>
      <c r="GG125" s="33"/>
      <c r="GH125" s="33"/>
      <c r="GI125" s="33"/>
      <c r="GJ125" s="33"/>
      <c r="GK125" s="33"/>
      <c r="GL125" s="33"/>
      <c r="GM125" s="33"/>
      <c r="GN125" s="33"/>
      <c r="GO125" s="33"/>
      <c r="GP125" s="33"/>
      <c r="GQ125" s="33"/>
      <c r="GR125" s="33"/>
      <c r="GS125" s="33"/>
      <c r="GT125" s="33"/>
      <c r="GU125" s="33"/>
      <c r="GV125" s="33"/>
      <c r="GW125" s="33"/>
      <c r="GX125" s="33"/>
      <c r="GY125" s="33"/>
      <c r="GZ125" s="33"/>
      <c r="HA125" s="33"/>
      <c r="HB125" s="33"/>
      <c r="HC125" s="33"/>
      <c r="HD125" s="33"/>
      <c r="HE125" s="33"/>
      <c r="HF125" s="33"/>
      <c r="HG125" s="33"/>
      <c r="HH125" s="33"/>
    </row>
    <row r="126" spans="1:216" ht="15.75" customHeight="1" x14ac:dyDescent="0.3">
      <c r="A126" s="7"/>
      <c r="B126" s="45"/>
      <c r="C126" s="46"/>
      <c r="D126" s="48"/>
      <c r="E126" s="56"/>
      <c r="F126" s="39"/>
      <c r="G126" s="20"/>
      <c r="H126" s="20"/>
      <c r="I126" s="20"/>
      <c r="J126" s="20"/>
      <c r="K126" s="20"/>
      <c r="L126" s="20"/>
      <c r="M126" s="20"/>
      <c r="N126" s="20"/>
      <c r="O126" s="20"/>
      <c r="P126" s="32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  <c r="CZ126" s="33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  <c r="DL126" s="33"/>
      <c r="DM126" s="33"/>
      <c r="DN126" s="33"/>
      <c r="DO126" s="33"/>
      <c r="DP126" s="33"/>
      <c r="DQ126" s="33"/>
      <c r="DR126" s="33"/>
      <c r="DS126" s="33"/>
      <c r="DT126" s="33"/>
      <c r="DU126" s="33"/>
      <c r="DV126" s="33"/>
      <c r="DW126" s="33"/>
      <c r="DX126" s="33"/>
      <c r="DY126" s="33"/>
      <c r="DZ126" s="33"/>
      <c r="EA126" s="33"/>
      <c r="EB126" s="33"/>
      <c r="EC126" s="33"/>
      <c r="ED126" s="33"/>
      <c r="EE126" s="33"/>
      <c r="EF126" s="33"/>
      <c r="EG126" s="33"/>
      <c r="EH126" s="33"/>
      <c r="EI126" s="33"/>
      <c r="EJ126" s="33"/>
      <c r="EK126" s="33"/>
      <c r="EL126" s="33"/>
      <c r="EM126" s="33"/>
      <c r="EN126" s="33"/>
      <c r="EO126" s="33"/>
      <c r="EP126" s="33"/>
      <c r="EQ126" s="33"/>
      <c r="ER126" s="33"/>
      <c r="ES126" s="33"/>
      <c r="ET126" s="33"/>
      <c r="EU126" s="33"/>
      <c r="EV126" s="33"/>
      <c r="EW126" s="33"/>
      <c r="EX126" s="33"/>
      <c r="EY126" s="33"/>
      <c r="EZ126" s="33"/>
      <c r="FA126" s="33"/>
      <c r="FB126" s="33"/>
      <c r="FC126" s="33"/>
      <c r="FD126" s="33"/>
      <c r="FE126" s="33"/>
      <c r="FF126" s="33"/>
      <c r="FG126" s="33"/>
      <c r="FH126" s="33"/>
      <c r="FI126" s="33"/>
      <c r="FJ126" s="33"/>
      <c r="FK126" s="33"/>
      <c r="FL126" s="33"/>
      <c r="FM126" s="33"/>
      <c r="FN126" s="33"/>
      <c r="FO126" s="33"/>
      <c r="FP126" s="33"/>
      <c r="FQ126" s="33"/>
      <c r="FR126" s="33"/>
      <c r="FS126" s="33"/>
      <c r="FT126" s="33"/>
      <c r="FU126" s="33"/>
      <c r="FV126" s="33"/>
      <c r="FW126" s="33"/>
      <c r="FX126" s="33"/>
      <c r="FY126" s="33"/>
      <c r="FZ126" s="33"/>
      <c r="GA126" s="33"/>
      <c r="GB126" s="33"/>
      <c r="GC126" s="33"/>
      <c r="GD126" s="33"/>
      <c r="GE126" s="33"/>
      <c r="GF126" s="33"/>
      <c r="GG126" s="33"/>
      <c r="GH126" s="33"/>
      <c r="GI126" s="33"/>
      <c r="GJ126" s="33"/>
      <c r="GK126" s="33"/>
      <c r="GL126" s="33"/>
      <c r="GM126" s="33"/>
      <c r="GN126" s="33"/>
      <c r="GO126" s="33"/>
      <c r="GP126" s="33"/>
      <c r="GQ126" s="33"/>
      <c r="GR126" s="33"/>
      <c r="GS126" s="33"/>
      <c r="GT126" s="33"/>
      <c r="GU126" s="33"/>
      <c r="GV126" s="33"/>
      <c r="GW126" s="33"/>
      <c r="GX126" s="33"/>
      <c r="GY126" s="33"/>
      <c r="GZ126" s="33"/>
      <c r="HA126" s="33"/>
      <c r="HB126" s="33"/>
      <c r="HC126" s="33"/>
      <c r="HD126" s="33"/>
      <c r="HE126" s="33"/>
      <c r="HF126" s="33"/>
      <c r="HG126" s="33"/>
      <c r="HH126" s="33"/>
    </row>
    <row r="127" spans="1:216" ht="15.75" customHeight="1" x14ac:dyDescent="0.3">
      <c r="A127" s="6" t="s">
        <v>26</v>
      </c>
      <c r="B127" s="84" t="s">
        <v>51</v>
      </c>
      <c r="C127" s="87"/>
      <c r="D127" s="88"/>
      <c r="E127" s="5">
        <f>SUM(E117:E126)</f>
        <v>89</v>
      </c>
      <c r="F127" s="39"/>
      <c r="G127" s="20"/>
      <c r="H127" s="20"/>
      <c r="I127" s="20"/>
      <c r="J127" s="20"/>
      <c r="K127" s="20"/>
      <c r="L127" s="20"/>
      <c r="M127" s="20"/>
      <c r="N127" s="20"/>
      <c r="O127" s="20"/>
      <c r="P127" s="32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33"/>
      <c r="CX127" s="33"/>
      <c r="CY127" s="33"/>
      <c r="CZ127" s="33"/>
      <c r="DA127" s="33"/>
      <c r="DB127" s="33"/>
      <c r="DC127" s="33"/>
      <c r="DD127" s="33"/>
      <c r="DE127" s="33"/>
      <c r="DF127" s="33"/>
      <c r="DG127" s="33"/>
      <c r="DH127" s="33"/>
      <c r="DI127" s="33"/>
      <c r="DJ127" s="33"/>
      <c r="DK127" s="33"/>
      <c r="DL127" s="33"/>
      <c r="DM127" s="33"/>
      <c r="DN127" s="33"/>
      <c r="DO127" s="33"/>
      <c r="DP127" s="33"/>
      <c r="DQ127" s="33"/>
      <c r="DR127" s="33"/>
      <c r="DS127" s="33"/>
      <c r="DT127" s="33"/>
      <c r="DU127" s="33"/>
      <c r="DV127" s="33"/>
      <c r="DW127" s="33"/>
      <c r="DX127" s="33"/>
      <c r="DY127" s="33"/>
      <c r="DZ127" s="33"/>
      <c r="EA127" s="33"/>
      <c r="EB127" s="33"/>
      <c r="EC127" s="33"/>
      <c r="ED127" s="33"/>
      <c r="EE127" s="33"/>
      <c r="EF127" s="33"/>
      <c r="EG127" s="33"/>
      <c r="EH127" s="33"/>
      <c r="EI127" s="33"/>
      <c r="EJ127" s="33"/>
      <c r="EK127" s="33"/>
      <c r="EL127" s="33"/>
      <c r="EM127" s="33"/>
      <c r="EN127" s="33"/>
      <c r="EO127" s="33"/>
      <c r="EP127" s="33"/>
      <c r="EQ127" s="33"/>
      <c r="ER127" s="33"/>
      <c r="ES127" s="33"/>
      <c r="ET127" s="33"/>
      <c r="EU127" s="33"/>
      <c r="EV127" s="33"/>
      <c r="EW127" s="33"/>
      <c r="EX127" s="33"/>
      <c r="EY127" s="33"/>
      <c r="EZ127" s="33"/>
      <c r="FA127" s="33"/>
      <c r="FB127" s="33"/>
      <c r="FC127" s="33"/>
      <c r="FD127" s="33"/>
      <c r="FE127" s="33"/>
      <c r="FF127" s="33"/>
      <c r="FG127" s="33"/>
      <c r="FH127" s="33"/>
      <c r="FI127" s="33"/>
      <c r="FJ127" s="33"/>
      <c r="FK127" s="33"/>
      <c r="FL127" s="33"/>
      <c r="FM127" s="33"/>
      <c r="FN127" s="33"/>
      <c r="FO127" s="33"/>
      <c r="FP127" s="33"/>
      <c r="FQ127" s="33"/>
      <c r="FR127" s="33"/>
      <c r="FS127" s="33"/>
      <c r="FT127" s="33"/>
      <c r="FU127" s="33"/>
      <c r="FV127" s="33"/>
      <c r="FW127" s="33"/>
      <c r="FX127" s="33"/>
      <c r="FY127" s="33"/>
      <c r="FZ127" s="33"/>
      <c r="GA127" s="33"/>
      <c r="GB127" s="33"/>
      <c r="GC127" s="33"/>
      <c r="GD127" s="33"/>
      <c r="GE127" s="33"/>
      <c r="GF127" s="33"/>
      <c r="GG127" s="33"/>
      <c r="GH127" s="33"/>
      <c r="GI127" s="33"/>
      <c r="GJ127" s="33"/>
      <c r="GK127" s="33"/>
      <c r="GL127" s="33"/>
      <c r="GM127" s="33"/>
      <c r="GN127" s="33"/>
      <c r="GO127" s="33"/>
      <c r="GP127" s="33"/>
      <c r="GQ127" s="33"/>
      <c r="GR127" s="33"/>
      <c r="GS127" s="33"/>
      <c r="GT127" s="33"/>
      <c r="GU127" s="33"/>
      <c r="GV127" s="33"/>
      <c r="GW127" s="33"/>
      <c r="GX127" s="33"/>
      <c r="GY127" s="33"/>
      <c r="GZ127" s="33"/>
      <c r="HA127" s="33"/>
      <c r="HB127" s="33"/>
      <c r="HC127" s="33"/>
      <c r="HD127" s="33"/>
      <c r="HE127" s="33"/>
      <c r="HF127" s="33"/>
      <c r="HG127" s="33"/>
      <c r="HH127" s="33"/>
    </row>
    <row r="128" spans="1:216" ht="15.75" customHeight="1" x14ac:dyDescent="0.3">
      <c r="A128" s="62"/>
      <c r="B128" s="89"/>
      <c r="C128" s="89"/>
      <c r="D128" s="89"/>
      <c r="E128" s="90"/>
      <c r="F128" s="39"/>
      <c r="G128" s="20"/>
      <c r="H128" s="20"/>
      <c r="I128" s="20"/>
      <c r="J128" s="20"/>
      <c r="K128" s="20"/>
      <c r="L128" s="20"/>
      <c r="M128" s="20"/>
      <c r="N128" s="20"/>
      <c r="O128" s="20"/>
      <c r="P128" s="32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  <c r="CW128" s="33"/>
      <c r="CX128" s="33"/>
      <c r="CY128" s="33"/>
      <c r="CZ128" s="33"/>
      <c r="DA128" s="33"/>
      <c r="DB128" s="33"/>
      <c r="DC128" s="33"/>
      <c r="DD128" s="33"/>
      <c r="DE128" s="33"/>
      <c r="DF128" s="33"/>
      <c r="DG128" s="33"/>
      <c r="DH128" s="33"/>
      <c r="DI128" s="33"/>
      <c r="DJ128" s="33"/>
      <c r="DK128" s="33"/>
      <c r="DL128" s="33"/>
      <c r="DM128" s="33"/>
      <c r="DN128" s="33"/>
      <c r="DO128" s="33"/>
      <c r="DP128" s="33"/>
      <c r="DQ128" s="33"/>
      <c r="DR128" s="33"/>
      <c r="DS128" s="33"/>
      <c r="DT128" s="33"/>
      <c r="DU128" s="33"/>
      <c r="DV128" s="33"/>
      <c r="DW128" s="33"/>
      <c r="DX128" s="33"/>
      <c r="DY128" s="33"/>
      <c r="DZ128" s="33"/>
      <c r="EA128" s="33"/>
      <c r="EB128" s="33"/>
      <c r="EC128" s="33"/>
      <c r="ED128" s="33"/>
      <c r="EE128" s="33"/>
      <c r="EF128" s="33"/>
      <c r="EG128" s="33"/>
      <c r="EH128" s="33"/>
      <c r="EI128" s="33"/>
      <c r="EJ128" s="33"/>
      <c r="EK128" s="33"/>
      <c r="EL128" s="33"/>
      <c r="EM128" s="33"/>
      <c r="EN128" s="33"/>
      <c r="EO128" s="33"/>
      <c r="EP128" s="33"/>
      <c r="EQ128" s="33"/>
      <c r="ER128" s="33"/>
      <c r="ES128" s="33"/>
      <c r="ET128" s="33"/>
      <c r="EU128" s="33"/>
      <c r="EV128" s="33"/>
      <c r="EW128" s="33"/>
      <c r="EX128" s="33"/>
      <c r="EY128" s="33"/>
      <c r="EZ128" s="33"/>
      <c r="FA128" s="33"/>
      <c r="FB128" s="33"/>
      <c r="FC128" s="33"/>
      <c r="FD128" s="33"/>
      <c r="FE128" s="33"/>
      <c r="FF128" s="33"/>
      <c r="FG128" s="33"/>
      <c r="FH128" s="33"/>
      <c r="FI128" s="33"/>
      <c r="FJ128" s="33"/>
      <c r="FK128" s="33"/>
      <c r="FL128" s="33"/>
      <c r="FM128" s="33"/>
      <c r="FN128" s="33"/>
      <c r="FO128" s="33"/>
      <c r="FP128" s="33"/>
      <c r="FQ128" s="33"/>
      <c r="FR128" s="33"/>
      <c r="FS128" s="33"/>
      <c r="FT128" s="33"/>
      <c r="FU128" s="33"/>
      <c r="FV128" s="33"/>
      <c r="FW128" s="33"/>
      <c r="FX128" s="33"/>
      <c r="FY128" s="33"/>
      <c r="FZ128" s="33"/>
      <c r="GA128" s="33"/>
      <c r="GB128" s="33"/>
      <c r="GC128" s="33"/>
      <c r="GD128" s="33"/>
      <c r="GE128" s="33"/>
      <c r="GF128" s="33"/>
      <c r="GG128" s="33"/>
      <c r="GH128" s="33"/>
      <c r="GI128" s="33"/>
      <c r="GJ128" s="33"/>
      <c r="GK128" s="33"/>
      <c r="GL128" s="33"/>
      <c r="GM128" s="33"/>
      <c r="GN128" s="33"/>
      <c r="GO128" s="33"/>
      <c r="GP128" s="33"/>
      <c r="GQ128" s="33"/>
      <c r="GR128" s="33"/>
      <c r="GS128" s="33"/>
      <c r="GT128" s="33"/>
      <c r="GU128" s="33"/>
      <c r="GV128" s="33"/>
      <c r="GW128" s="33"/>
      <c r="GX128" s="33"/>
      <c r="GY128" s="33"/>
      <c r="GZ128" s="33"/>
      <c r="HA128" s="33"/>
      <c r="HB128" s="33"/>
      <c r="HC128" s="33"/>
      <c r="HD128" s="33"/>
      <c r="HE128" s="33"/>
      <c r="HF128" s="33"/>
      <c r="HG128" s="33"/>
      <c r="HH128" s="33"/>
    </row>
    <row r="129" spans="1:216" ht="15.75" customHeight="1" x14ac:dyDescent="0.3">
      <c r="A129" s="11" t="s">
        <v>48</v>
      </c>
      <c r="B129" s="17" t="s">
        <v>61</v>
      </c>
      <c r="C129" s="86" t="s">
        <v>62</v>
      </c>
      <c r="D129" s="64"/>
      <c r="E129" s="9">
        <f>ALASMALANG!V129+'BENELAN KIDUL'!S129+CANTUK!T129+GAMBOR!N129+GUMIRIH!S129+KEMIRI!U129+LEMAHBANGKULON!Q129+PADANG!Q129+SINGOJURUH!AC129+SINGOLATREN!T129+SUMBERBARU!S129</f>
        <v>75</v>
      </c>
      <c r="F129" s="40"/>
      <c r="G129" s="1"/>
      <c r="H129" s="1"/>
      <c r="I129" s="1"/>
      <c r="J129" s="1"/>
      <c r="K129" s="1"/>
      <c r="L129" s="1"/>
      <c r="M129" s="1"/>
      <c r="N129" s="1"/>
      <c r="O129" s="1"/>
      <c r="P129" s="34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  <c r="CX129" s="31"/>
      <c r="CY129" s="31"/>
      <c r="CZ129" s="31"/>
      <c r="DA129" s="31"/>
      <c r="DB129" s="31"/>
      <c r="DC129" s="31"/>
      <c r="DD129" s="31"/>
      <c r="DE129" s="31"/>
      <c r="DF129" s="31"/>
      <c r="DG129" s="31"/>
      <c r="DH129" s="31"/>
      <c r="DI129" s="31"/>
      <c r="DJ129" s="31"/>
      <c r="DK129" s="31"/>
      <c r="DL129" s="31"/>
      <c r="DM129" s="31"/>
      <c r="DN129" s="31"/>
      <c r="DO129" s="31"/>
      <c r="DP129" s="31"/>
      <c r="DQ129" s="31"/>
      <c r="DR129" s="31"/>
      <c r="DS129" s="31"/>
      <c r="DT129" s="31"/>
      <c r="DU129" s="31"/>
      <c r="DV129" s="31"/>
      <c r="DW129" s="31"/>
      <c r="DX129" s="31"/>
      <c r="DY129" s="31"/>
      <c r="DZ129" s="31"/>
      <c r="EA129" s="31"/>
      <c r="EB129" s="31"/>
      <c r="EC129" s="31"/>
      <c r="ED129" s="31"/>
      <c r="EE129" s="31"/>
      <c r="EF129" s="31"/>
      <c r="EG129" s="31"/>
      <c r="EH129" s="31"/>
      <c r="EI129" s="31"/>
      <c r="EJ129" s="31"/>
      <c r="EK129" s="31"/>
      <c r="EL129" s="31"/>
      <c r="EM129" s="31"/>
      <c r="EN129" s="31"/>
      <c r="EO129" s="31"/>
      <c r="EP129" s="31"/>
      <c r="EQ129" s="31"/>
      <c r="ER129" s="31"/>
      <c r="ES129" s="31"/>
      <c r="ET129" s="31"/>
      <c r="EU129" s="31"/>
      <c r="EV129" s="31"/>
      <c r="EW129" s="31"/>
      <c r="EX129" s="31"/>
      <c r="EY129" s="31"/>
      <c r="EZ129" s="31"/>
      <c r="FA129" s="31"/>
      <c r="FB129" s="31"/>
      <c r="FC129" s="31"/>
      <c r="FD129" s="31"/>
      <c r="FE129" s="31"/>
      <c r="FF129" s="31"/>
      <c r="FG129" s="31"/>
      <c r="FH129" s="31"/>
      <c r="FI129" s="31"/>
      <c r="FJ129" s="31"/>
      <c r="FK129" s="31"/>
      <c r="FL129" s="31"/>
      <c r="FM129" s="31"/>
      <c r="FN129" s="31"/>
      <c r="FO129" s="31"/>
      <c r="FP129" s="31"/>
      <c r="FQ129" s="31"/>
      <c r="FR129" s="31"/>
      <c r="FS129" s="31"/>
      <c r="FT129" s="31"/>
      <c r="FU129" s="31"/>
      <c r="FV129" s="31"/>
      <c r="FW129" s="31"/>
      <c r="FX129" s="31"/>
      <c r="FY129" s="31"/>
      <c r="FZ129" s="31"/>
      <c r="GA129" s="31"/>
      <c r="GB129" s="31"/>
      <c r="GC129" s="31"/>
      <c r="GD129" s="31"/>
      <c r="GE129" s="31"/>
      <c r="GF129" s="31"/>
      <c r="GG129" s="31"/>
      <c r="GH129" s="31"/>
      <c r="GI129" s="31"/>
      <c r="GJ129" s="31"/>
      <c r="GK129" s="31"/>
      <c r="GL129" s="31"/>
      <c r="GM129" s="31"/>
      <c r="GN129" s="31"/>
      <c r="GO129" s="31"/>
      <c r="GP129" s="31"/>
      <c r="GQ129" s="31"/>
      <c r="GR129" s="31"/>
      <c r="GS129" s="31"/>
      <c r="GT129" s="31"/>
      <c r="GU129" s="31"/>
      <c r="GV129" s="31"/>
      <c r="GW129" s="31"/>
      <c r="GX129" s="31"/>
      <c r="GY129" s="31"/>
      <c r="GZ129" s="31"/>
      <c r="HA129" s="31"/>
      <c r="HB129" s="31"/>
      <c r="HC129" s="31"/>
      <c r="HD129" s="31"/>
      <c r="HE129" s="31"/>
      <c r="HF129" s="31"/>
      <c r="HG129" s="31"/>
      <c r="HH129" s="31"/>
    </row>
    <row r="130" spans="1:216" ht="15.75" customHeight="1" x14ac:dyDescent="0.3">
      <c r="A130" s="11" t="s">
        <v>50</v>
      </c>
      <c r="B130" s="50"/>
      <c r="C130" s="24" t="s">
        <v>167</v>
      </c>
      <c r="D130" s="49"/>
      <c r="E130" s="9">
        <f>ALASMALANG!V130+'BENELAN KIDUL'!S130+CANTUK!T130+GAMBOR!N130+GUMIRIH!S130+KEMIRI!U130+LEMAHBANGKULON!Q130+PADANG!Q130+SINGOJURUH!AC130+SINGOLATREN!T130+SUMBERBARU!S130</f>
        <v>139</v>
      </c>
      <c r="F130" s="42"/>
      <c r="G130" s="27"/>
      <c r="H130" s="27"/>
      <c r="I130" s="27"/>
      <c r="J130" s="27"/>
      <c r="K130" s="27"/>
      <c r="L130" s="27"/>
      <c r="M130" s="27"/>
      <c r="N130" s="27"/>
      <c r="O130" s="27"/>
      <c r="P130" s="37"/>
      <c r="Q130" s="30"/>
      <c r="R130" s="30"/>
      <c r="S130" s="30"/>
      <c r="T130" s="30"/>
      <c r="U130" s="30"/>
      <c r="V130" s="30"/>
      <c r="W130" s="38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0"/>
      <c r="BM130" s="30"/>
      <c r="BN130" s="30"/>
      <c r="BO130" s="30"/>
      <c r="BP130" s="30"/>
      <c r="BQ130" s="30"/>
      <c r="BR130" s="38"/>
      <c r="BS130" s="30"/>
      <c r="BT130" s="30"/>
      <c r="BU130" s="30"/>
      <c r="BV130" s="30"/>
      <c r="BW130" s="30"/>
      <c r="BX130" s="30"/>
      <c r="BY130" s="30"/>
      <c r="BZ130" s="30"/>
      <c r="CA130" s="38"/>
      <c r="CB130" s="38"/>
      <c r="CC130" s="38"/>
      <c r="CD130" s="38"/>
      <c r="CE130" s="38"/>
      <c r="CF130" s="38"/>
      <c r="CG130" s="38"/>
      <c r="CH130" s="38"/>
      <c r="CI130" s="38"/>
      <c r="CJ130" s="38"/>
      <c r="CK130" s="38"/>
      <c r="CL130" s="38"/>
      <c r="CM130" s="38"/>
      <c r="CN130" s="38"/>
      <c r="CO130" s="38"/>
      <c r="CP130" s="38"/>
      <c r="CQ130" s="38"/>
      <c r="CR130" s="38"/>
      <c r="CS130" s="38"/>
      <c r="CT130" s="38"/>
      <c r="CU130" s="38"/>
      <c r="CV130" s="38"/>
      <c r="CW130" s="38"/>
      <c r="CX130" s="38"/>
      <c r="CY130" s="38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8"/>
      <c r="DL130" s="38"/>
      <c r="DM130" s="38"/>
      <c r="DN130" s="38"/>
      <c r="DO130" s="38"/>
      <c r="DP130" s="38"/>
      <c r="DQ130" s="38"/>
      <c r="DR130" s="38"/>
      <c r="DS130" s="38"/>
      <c r="DT130" s="38"/>
      <c r="DU130" s="38"/>
      <c r="DV130" s="38"/>
      <c r="DW130" s="38"/>
      <c r="DX130" s="38"/>
      <c r="DY130" s="38"/>
      <c r="DZ130" s="38"/>
      <c r="EA130" s="38"/>
      <c r="EB130" s="38"/>
      <c r="EC130" s="38"/>
      <c r="ED130" s="38"/>
      <c r="EE130" s="38"/>
      <c r="EF130" s="38"/>
      <c r="EG130" s="38"/>
      <c r="EH130" s="38"/>
      <c r="EI130" s="38"/>
      <c r="EJ130" s="38"/>
      <c r="EK130" s="38"/>
      <c r="EL130" s="38"/>
      <c r="EM130" s="30"/>
      <c r="EN130" s="30"/>
      <c r="EO130" s="30"/>
      <c r="EP130" s="30"/>
      <c r="EQ130" s="30"/>
      <c r="ER130" s="30"/>
      <c r="ES130" s="30"/>
      <c r="ET130" s="30"/>
      <c r="EU130" s="30"/>
      <c r="EV130" s="30"/>
      <c r="EW130" s="30"/>
      <c r="EX130" s="30"/>
      <c r="EY130" s="38"/>
      <c r="EZ130" s="38"/>
      <c r="FA130" s="38"/>
      <c r="FB130" s="38"/>
      <c r="FC130" s="38"/>
      <c r="FD130" s="38"/>
      <c r="FE130" s="38"/>
      <c r="FF130" s="30"/>
      <c r="FG130" s="30"/>
      <c r="FH130" s="30"/>
      <c r="FI130" s="30"/>
      <c r="FJ130" s="38"/>
      <c r="FK130" s="38"/>
      <c r="FL130" s="38"/>
      <c r="FM130" s="38"/>
      <c r="FN130" s="38"/>
      <c r="FO130" s="38"/>
      <c r="FP130" s="38"/>
      <c r="FQ130" s="38"/>
      <c r="FR130" s="38"/>
      <c r="FS130" s="38"/>
      <c r="FT130" s="38"/>
      <c r="FU130" s="38"/>
      <c r="FV130" s="38"/>
      <c r="FW130" s="38"/>
      <c r="FX130" s="38"/>
      <c r="FY130" s="38"/>
      <c r="FZ130" s="38"/>
      <c r="GA130" s="38"/>
      <c r="GB130" s="38"/>
      <c r="GC130" s="38"/>
      <c r="GD130" s="38"/>
      <c r="GE130" s="38"/>
      <c r="GF130" s="38"/>
      <c r="GG130" s="38"/>
      <c r="GH130" s="38"/>
      <c r="GI130" s="38"/>
      <c r="GJ130" s="38"/>
      <c r="GK130" s="38"/>
      <c r="GL130" s="38"/>
      <c r="GM130" s="38"/>
      <c r="GN130" s="38"/>
      <c r="GO130" s="38"/>
      <c r="GP130" s="38"/>
      <c r="GQ130" s="38"/>
      <c r="GR130" s="38"/>
      <c r="GS130" s="38"/>
      <c r="GT130" s="38"/>
      <c r="GU130" s="38"/>
      <c r="GV130" s="38"/>
      <c r="GW130" s="38"/>
      <c r="GX130" s="38"/>
      <c r="GY130" s="38"/>
      <c r="GZ130" s="38"/>
      <c r="HA130" s="38"/>
      <c r="HB130" s="38"/>
      <c r="HC130" s="38"/>
      <c r="HD130" s="38"/>
      <c r="HE130" s="38"/>
      <c r="HF130" s="38"/>
      <c r="HG130" s="38"/>
      <c r="HH130" s="38"/>
    </row>
    <row r="131" spans="1:216" ht="15.75" customHeight="1" x14ac:dyDescent="0.3">
      <c r="A131" s="7"/>
      <c r="B131" s="50"/>
      <c r="C131" s="24" t="s">
        <v>168</v>
      </c>
      <c r="D131" s="49"/>
      <c r="E131" s="9">
        <f>ALASMALANG!V131+'BENELAN KIDUL'!S131+CANTUK!T131+GAMBOR!N131+GUMIRIH!S131+KEMIRI!U131+LEMAHBANGKULON!Q131+PADANG!Q131+SINGOJURUH!AC131+SINGOLATREN!T131+SUMBERBARU!S131</f>
        <v>35</v>
      </c>
      <c r="F131" s="39"/>
      <c r="G131" s="20"/>
      <c r="H131" s="20"/>
      <c r="I131" s="20"/>
      <c r="J131" s="20"/>
      <c r="K131" s="20"/>
      <c r="L131" s="20"/>
      <c r="M131" s="20"/>
      <c r="N131" s="20"/>
      <c r="O131" s="20"/>
      <c r="P131" s="32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3"/>
      <c r="CX131" s="33"/>
      <c r="CY131" s="33"/>
      <c r="CZ131" s="33"/>
      <c r="DA131" s="33"/>
      <c r="DB131" s="33"/>
      <c r="DC131" s="33"/>
      <c r="DD131" s="33"/>
      <c r="DE131" s="33"/>
      <c r="DF131" s="33"/>
      <c r="DG131" s="33"/>
      <c r="DH131" s="33"/>
      <c r="DI131" s="33"/>
      <c r="DJ131" s="33"/>
      <c r="DK131" s="33"/>
      <c r="DL131" s="33"/>
      <c r="DM131" s="33"/>
      <c r="DN131" s="33"/>
      <c r="DO131" s="33"/>
      <c r="DP131" s="33"/>
      <c r="DQ131" s="33"/>
      <c r="DR131" s="33"/>
      <c r="DS131" s="33"/>
      <c r="DT131" s="33"/>
      <c r="DU131" s="33"/>
      <c r="DV131" s="33"/>
      <c r="DW131" s="33"/>
      <c r="DX131" s="33"/>
      <c r="DY131" s="33"/>
      <c r="DZ131" s="33"/>
      <c r="EA131" s="33"/>
      <c r="EB131" s="33"/>
      <c r="EC131" s="33"/>
      <c r="ED131" s="33"/>
      <c r="EE131" s="33"/>
      <c r="EF131" s="33"/>
      <c r="EG131" s="33"/>
      <c r="EH131" s="33"/>
      <c r="EI131" s="33"/>
      <c r="EJ131" s="33"/>
      <c r="EK131" s="33"/>
      <c r="EL131" s="33"/>
      <c r="EM131" s="33"/>
      <c r="EN131" s="33"/>
      <c r="EO131" s="33"/>
      <c r="EP131" s="33"/>
      <c r="EQ131" s="33"/>
      <c r="ER131" s="33"/>
      <c r="ES131" s="33"/>
      <c r="ET131" s="33"/>
      <c r="EU131" s="33"/>
      <c r="EV131" s="33"/>
      <c r="EW131" s="33"/>
      <c r="EX131" s="33"/>
      <c r="EY131" s="33"/>
      <c r="EZ131" s="33"/>
      <c r="FA131" s="33"/>
      <c r="FB131" s="33"/>
      <c r="FC131" s="33"/>
      <c r="FD131" s="33"/>
      <c r="FE131" s="33"/>
      <c r="FF131" s="33"/>
      <c r="FG131" s="33"/>
      <c r="FH131" s="33"/>
      <c r="FI131" s="33"/>
      <c r="FJ131" s="33"/>
      <c r="FK131" s="33"/>
      <c r="FL131" s="33"/>
      <c r="FM131" s="33"/>
      <c r="FN131" s="33"/>
      <c r="FO131" s="33"/>
      <c r="FP131" s="33"/>
      <c r="FQ131" s="33"/>
      <c r="FR131" s="33"/>
      <c r="FS131" s="33"/>
      <c r="FT131" s="33"/>
      <c r="FU131" s="33"/>
      <c r="FV131" s="33"/>
      <c r="FW131" s="33"/>
      <c r="FX131" s="33"/>
      <c r="FY131" s="33"/>
      <c r="FZ131" s="33"/>
      <c r="GA131" s="33"/>
      <c r="GB131" s="33"/>
      <c r="GC131" s="33"/>
      <c r="GD131" s="33"/>
      <c r="GE131" s="33"/>
      <c r="GF131" s="33"/>
      <c r="GG131" s="33"/>
      <c r="GH131" s="33"/>
      <c r="GI131" s="33"/>
      <c r="GJ131" s="33"/>
      <c r="GK131" s="33"/>
      <c r="GL131" s="33"/>
      <c r="GM131" s="33"/>
      <c r="GN131" s="33"/>
      <c r="GO131" s="33"/>
      <c r="GP131" s="33"/>
      <c r="GQ131" s="33"/>
      <c r="GR131" s="33"/>
      <c r="GS131" s="33"/>
      <c r="GT131" s="33"/>
      <c r="GU131" s="33"/>
      <c r="GV131" s="33"/>
      <c r="GW131" s="33"/>
      <c r="GX131" s="33"/>
      <c r="GY131" s="33"/>
      <c r="GZ131" s="33"/>
      <c r="HA131" s="33"/>
      <c r="HB131" s="33"/>
      <c r="HC131" s="33"/>
      <c r="HD131" s="33"/>
      <c r="HE131" s="33"/>
      <c r="HF131" s="33"/>
      <c r="HG131" s="33"/>
      <c r="HH131" s="33"/>
    </row>
    <row r="132" spans="1:216" ht="15.75" customHeight="1" x14ac:dyDescent="0.3">
      <c r="A132" s="7"/>
      <c r="B132" s="50"/>
      <c r="C132" s="24" t="s">
        <v>169</v>
      </c>
      <c r="D132" s="49"/>
      <c r="E132" s="9">
        <f>ALASMALANG!V132+'BENELAN KIDUL'!S132+CANTUK!T132+GAMBOR!N132+GUMIRIH!S132+KEMIRI!U132+LEMAHBANGKULON!Q132+PADANG!Q132+SINGOJURUH!AC132+SINGOLATREN!T132+SUMBERBARU!S132</f>
        <v>24</v>
      </c>
      <c r="F132" s="39"/>
      <c r="G132" s="20"/>
      <c r="H132" s="20"/>
      <c r="I132" s="20"/>
      <c r="J132" s="20"/>
      <c r="K132" s="20"/>
      <c r="L132" s="20"/>
      <c r="M132" s="20"/>
      <c r="N132" s="20"/>
      <c r="O132" s="20"/>
      <c r="P132" s="32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3"/>
      <c r="DO132" s="33"/>
      <c r="DP132" s="33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3"/>
      <c r="EC132" s="33"/>
      <c r="ED132" s="33"/>
      <c r="EE132" s="33"/>
      <c r="EF132" s="33"/>
      <c r="EG132" s="33"/>
      <c r="EH132" s="33"/>
      <c r="EI132" s="33"/>
      <c r="EJ132" s="33"/>
      <c r="EK132" s="33"/>
      <c r="EL132" s="33"/>
      <c r="EM132" s="33"/>
      <c r="EN132" s="33"/>
      <c r="EO132" s="33"/>
      <c r="EP132" s="33"/>
      <c r="EQ132" s="33"/>
      <c r="ER132" s="33"/>
      <c r="ES132" s="33"/>
      <c r="ET132" s="33"/>
      <c r="EU132" s="33"/>
      <c r="EV132" s="33"/>
      <c r="EW132" s="33"/>
      <c r="EX132" s="33"/>
      <c r="EY132" s="33"/>
      <c r="EZ132" s="33"/>
      <c r="FA132" s="33"/>
      <c r="FB132" s="33"/>
      <c r="FC132" s="33"/>
      <c r="FD132" s="33"/>
      <c r="FE132" s="33"/>
      <c r="FF132" s="33"/>
      <c r="FG132" s="33"/>
      <c r="FH132" s="33"/>
      <c r="FI132" s="33"/>
      <c r="FJ132" s="33"/>
      <c r="FK132" s="33"/>
      <c r="FL132" s="33"/>
      <c r="FM132" s="33"/>
      <c r="FN132" s="33"/>
      <c r="FO132" s="33"/>
      <c r="FP132" s="33"/>
      <c r="FQ132" s="33"/>
      <c r="FR132" s="33"/>
      <c r="FS132" s="33"/>
      <c r="FT132" s="33"/>
      <c r="FU132" s="33"/>
      <c r="FV132" s="33"/>
      <c r="FW132" s="33"/>
      <c r="FX132" s="33"/>
      <c r="FY132" s="33"/>
      <c r="FZ132" s="33"/>
      <c r="GA132" s="33"/>
      <c r="GB132" s="33"/>
      <c r="GC132" s="33"/>
      <c r="GD132" s="33"/>
      <c r="GE132" s="33"/>
      <c r="GF132" s="33"/>
      <c r="GG132" s="33"/>
      <c r="GH132" s="33"/>
      <c r="GI132" s="33"/>
      <c r="GJ132" s="33"/>
      <c r="GK132" s="33"/>
      <c r="GL132" s="33"/>
      <c r="GM132" s="33"/>
      <c r="GN132" s="33"/>
      <c r="GO132" s="33"/>
      <c r="GP132" s="33"/>
      <c r="GQ132" s="33"/>
      <c r="GR132" s="33"/>
      <c r="GS132" s="33"/>
      <c r="GT132" s="33"/>
      <c r="GU132" s="33"/>
      <c r="GV132" s="33"/>
      <c r="GW132" s="33"/>
      <c r="GX132" s="33"/>
      <c r="GY132" s="33"/>
      <c r="GZ132" s="33"/>
      <c r="HA132" s="33"/>
      <c r="HB132" s="33"/>
      <c r="HC132" s="33"/>
      <c r="HD132" s="33"/>
      <c r="HE132" s="33"/>
      <c r="HF132" s="33"/>
      <c r="HG132" s="33"/>
      <c r="HH132" s="33"/>
    </row>
    <row r="133" spans="1:216" ht="15.75" customHeight="1" x14ac:dyDescent="0.3">
      <c r="A133" s="7"/>
      <c r="B133" s="50"/>
      <c r="C133" s="24" t="s">
        <v>170</v>
      </c>
      <c r="D133" s="49"/>
      <c r="E133" s="9">
        <f>ALASMALANG!V133+'BENELAN KIDUL'!S133+CANTUK!T133+GAMBOR!N133+GUMIRIH!S133+KEMIRI!U133+LEMAHBANGKULON!Q133+PADANG!Q133+SINGOJURUH!AC133+SINGOLATREN!T133+SUMBERBARU!S133</f>
        <v>6</v>
      </c>
      <c r="F133" s="39"/>
      <c r="G133" s="20"/>
      <c r="H133" s="20"/>
      <c r="I133" s="20"/>
      <c r="J133" s="20"/>
      <c r="K133" s="20"/>
      <c r="L133" s="20"/>
      <c r="M133" s="20"/>
      <c r="N133" s="20"/>
      <c r="O133" s="20"/>
      <c r="P133" s="32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3"/>
      <c r="DN133" s="33"/>
      <c r="DO133" s="33"/>
      <c r="DP133" s="33"/>
      <c r="DQ133" s="33"/>
      <c r="DR133" s="33"/>
      <c r="DS133" s="33"/>
      <c r="DT133" s="33"/>
      <c r="DU133" s="33"/>
      <c r="DV133" s="33"/>
      <c r="DW133" s="33"/>
      <c r="DX133" s="33"/>
      <c r="DY133" s="33"/>
      <c r="DZ133" s="33"/>
      <c r="EA133" s="33"/>
      <c r="EB133" s="33"/>
      <c r="EC133" s="33"/>
      <c r="ED133" s="33"/>
      <c r="EE133" s="33"/>
      <c r="EF133" s="33"/>
      <c r="EG133" s="33"/>
      <c r="EH133" s="33"/>
      <c r="EI133" s="33"/>
      <c r="EJ133" s="33"/>
      <c r="EK133" s="33"/>
      <c r="EL133" s="33"/>
      <c r="EM133" s="33"/>
      <c r="EN133" s="33"/>
      <c r="EO133" s="33"/>
      <c r="EP133" s="33"/>
      <c r="EQ133" s="33"/>
      <c r="ER133" s="33"/>
      <c r="ES133" s="33"/>
      <c r="ET133" s="33"/>
      <c r="EU133" s="33"/>
      <c r="EV133" s="33"/>
      <c r="EW133" s="33"/>
      <c r="EX133" s="33"/>
      <c r="EY133" s="33"/>
      <c r="EZ133" s="33"/>
      <c r="FA133" s="33"/>
      <c r="FB133" s="33"/>
      <c r="FC133" s="33"/>
      <c r="FD133" s="33"/>
      <c r="FE133" s="33"/>
      <c r="FF133" s="33"/>
      <c r="FG133" s="33"/>
      <c r="FH133" s="33"/>
      <c r="FI133" s="33"/>
      <c r="FJ133" s="33"/>
      <c r="FK133" s="33"/>
      <c r="FL133" s="33"/>
      <c r="FM133" s="33"/>
      <c r="FN133" s="33"/>
      <c r="FO133" s="33"/>
      <c r="FP133" s="33"/>
      <c r="FQ133" s="33"/>
      <c r="FR133" s="33"/>
      <c r="FS133" s="33"/>
      <c r="FT133" s="33"/>
      <c r="FU133" s="33"/>
      <c r="FV133" s="33"/>
      <c r="FW133" s="33"/>
      <c r="FX133" s="33"/>
      <c r="FY133" s="33"/>
      <c r="FZ133" s="33"/>
      <c r="GA133" s="33"/>
      <c r="GB133" s="33"/>
      <c r="GC133" s="33"/>
      <c r="GD133" s="33"/>
      <c r="GE133" s="33"/>
      <c r="GF133" s="33"/>
      <c r="GG133" s="33"/>
      <c r="GH133" s="33"/>
      <c r="GI133" s="33"/>
      <c r="GJ133" s="33"/>
      <c r="GK133" s="33"/>
      <c r="GL133" s="33"/>
      <c r="GM133" s="33"/>
      <c r="GN133" s="33"/>
      <c r="GO133" s="33"/>
      <c r="GP133" s="33"/>
      <c r="GQ133" s="33"/>
      <c r="GR133" s="33"/>
      <c r="GS133" s="33"/>
      <c r="GT133" s="33"/>
      <c r="GU133" s="33"/>
      <c r="GV133" s="33"/>
      <c r="GW133" s="33"/>
      <c r="GX133" s="33"/>
      <c r="GY133" s="33"/>
      <c r="GZ133" s="33"/>
      <c r="HA133" s="33"/>
      <c r="HB133" s="33"/>
      <c r="HC133" s="33"/>
      <c r="HD133" s="33"/>
      <c r="HE133" s="33"/>
      <c r="HF133" s="33"/>
      <c r="HG133" s="33"/>
      <c r="HH133" s="33"/>
    </row>
    <row r="134" spans="1:216" ht="15.75" customHeight="1" x14ac:dyDescent="0.3">
      <c r="A134" s="7"/>
      <c r="B134" s="50"/>
      <c r="C134" s="24" t="s">
        <v>171</v>
      </c>
      <c r="D134" s="49"/>
      <c r="E134" s="9">
        <f>ALASMALANG!V134+'BENELAN KIDUL'!S134+CANTUK!T134+GAMBOR!N134+GUMIRIH!S134+KEMIRI!U134+LEMAHBANGKULON!Q134+PADANG!Q134+SINGOJURUH!AC134+SINGOLATREN!T134+SUMBERBARU!S134</f>
        <v>33</v>
      </c>
      <c r="F134" s="39"/>
      <c r="G134" s="20"/>
      <c r="H134" s="20"/>
      <c r="I134" s="20"/>
      <c r="J134" s="20"/>
      <c r="K134" s="20"/>
      <c r="L134" s="20"/>
      <c r="M134" s="20"/>
      <c r="N134" s="20"/>
      <c r="O134" s="20"/>
      <c r="P134" s="32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3"/>
      <c r="DL134" s="33"/>
      <c r="DM134" s="33"/>
      <c r="DN134" s="33"/>
      <c r="DO134" s="33"/>
      <c r="DP134" s="33"/>
      <c r="DQ134" s="33"/>
      <c r="DR134" s="33"/>
      <c r="DS134" s="33"/>
      <c r="DT134" s="33"/>
      <c r="DU134" s="33"/>
      <c r="DV134" s="33"/>
      <c r="DW134" s="33"/>
      <c r="DX134" s="33"/>
      <c r="DY134" s="33"/>
      <c r="DZ134" s="33"/>
      <c r="EA134" s="33"/>
      <c r="EB134" s="33"/>
      <c r="EC134" s="33"/>
      <c r="ED134" s="33"/>
      <c r="EE134" s="33"/>
      <c r="EF134" s="33"/>
      <c r="EG134" s="33"/>
      <c r="EH134" s="33"/>
      <c r="EI134" s="33"/>
      <c r="EJ134" s="33"/>
      <c r="EK134" s="33"/>
      <c r="EL134" s="33"/>
      <c r="EM134" s="33"/>
      <c r="EN134" s="33"/>
      <c r="EO134" s="33"/>
      <c r="EP134" s="33"/>
      <c r="EQ134" s="33"/>
      <c r="ER134" s="33"/>
      <c r="ES134" s="33"/>
      <c r="ET134" s="33"/>
      <c r="EU134" s="33"/>
      <c r="EV134" s="33"/>
      <c r="EW134" s="33"/>
      <c r="EX134" s="33"/>
      <c r="EY134" s="33"/>
      <c r="EZ134" s="33"/>
      <c r="FA134" s="33"/>
      <c r="FB134" s="33"/>
      <c r="FC134" s="33"/>
      <c r="FD134" s="33"/>
      <c r="FE134" s="33"/>
      <c r="FF134" s="33"/>
      <c r="FG134" s="33"/>
      <c r="FH134" s="33"/>
      <c r="FI134" s="33"/>
      <c r="FJ134" s="33"/>
      <c r="FK134" s="33"/>
      <c r="FL134" s="33"/>
      <c r="FM134" s="33"/>
      <c r="FN134" s="33"/>
      <c r="FO134" s="33"/>
      <c r="FP134" s="33"/>
      <c r="FQ134" s="33"/>
      <c r="FR134" s="33"/>
      <c r="FS134" s="33"/>
      <c r="FT134" s="33"/>
      <c r="FU134" s="33"/>
      <c r="FV134" s="33"/>
      <c r="FW134" s="33"/>
      <c r="FX134" s="33"/>
      <c r="FY134" s="33"/>
      <c r="FZ134" s="33"/>
      <c r="GA134" s="33"/>
      <c r="GB134" s="33"/>
      <c r="GC134" s="33"/>
      <c r="GD134" s="33"/>
      <c r="GE134" s="33"/>
      <c r="GF134" s="33"/>
      <c r="GG134" s="33"/>
      <c r="GH134" s="33"/>
      <c r="GI134" s="33"/>
      <c r="GJ134" s="33"/>
      <c r="GK134" s="33"/>
      <c r="GL134" s="33"/>
      <c r="GM134" s="33"/>
      <c r="GN134" s="33"/>
      <c r="GO134" s="33"/>
      <c r="GP134" s="33"/>
      <c r="GQ134" s="33"/>
      <c r="GR134" s="33"/>
      <c r="GS134" s="33"/>
      <c r="GT134" s="33"/>
      <c r="GU134" s="33"/>
      <c r="GV134" s="33"/>
      <c r="GW134" s="33"/>
      <c r="GX134" s="33"/>
      <c r="GY134" s="33"/>
      <c r="GZ134" s="33"/>
      <c r="HA134" s="33"/>
      <c r="HB134" s="33"/>
      <c r="HC134" s="33"/>
      <c r="HD134" s="33"/>
      <c r="HE134" s="33"/>
      <c r="HF134" s="33"/>
      <c r="HG134" s="33"/>
      <c r="HH134" s="33"/>
    </row>
    <row r="135" spans="1:216" ht="15.75" customHeight="1" x14ac:dyDescent="0.3">
      <c r="A135" s="7"/>
      <c r="B135" s="50"/>
      <c r="C135" s="24" t="s">
        <v>172</v>
      </c>
      <c r="D135" s="49"/>
      <c r="E135" s="9">
        <f>ALASMALANG!V135+'BENELAN KIDUL'!S135+CANTUK!T135+GAMBOR!N135+GUMIRIH!S135+KEMIRI!U135+LEMAHBANGKULON!Q135+PADANG!Q135+SINGOJURUH!AC135+SINGOLATREN!T135+SUMBERBARU!S135</f>
        <v>10</v>
      </c>
      <c r="F135" s="39"/>
      <c r="G135" s="20"/>
      <c r="H135" s="20"/>
      <c r="I135" s="20"/>
      <c r="J135" s="20"/>
      <c r="K135" s="20"/>
      <c r="L135" s="20"/>
      <c r="M135" s="20"/>
      <c r="N135" s="20"/>
      <c r="O135" s="20"/>
      <c r="P135" s="32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3"/>
      <c r="CX135" s="33"/>
      <c r="CY135" s="33"/>
      <c r="CZ135" s="33"/>
      <c r="DA135" s="33"/>
      <c r="DB135" s="33"/>
      <c r="DC135" s="33"/>
      <c r="DD135" s="33"/>
      <c r="DE135" s="33"/>
      <c r="DF135" s="33"/>
      <c r="DG135" s="33"/>
      <c r="DH135" s="33"/>
      <c r="DI135" s="33"/>
      <c r="DJ135" s="33"/>
      <c r="DK135" s="33"/>
      <c r="DL135" s="33"/>
      <c r="DM135" s="33"/>
      <c r="DN135" s="33"/>
      <c r="DO135" s="33"/>
      <c r="DP135" s="33"/>
      <c r="DQ135" s="33"/>
      <c r="DR135" s="33"/>
      <c r="DS135" s="33"/>
      <c r="DT135" s="33"/>
      <c r="DU135" s="33"/>
      <c r="DV135" s="33"/>
      <c r="DW135" s="33"/>
      <c r="DX135" s="33"/>
      <c r="DY135" s="33"/>
      <c r="DZ135" s="33"/>
      <c r="EA135" s="33"/>
      <c r="EB135" s="33"/>
      <c r="EC135" s="33"/>
      <c r="ED135" s="33"/>
      <c r="EE135" s="33"/>
      <c r="EF135" s="33"/>
      <c r="EG135" s="33"/>
      <c r="EH135" s="33"/>
      <c r="EI135" s="33"/>
      <c r="EJ135" s="33"/>
      <c r="EK135" s="33"/>
      <c r="EL135" s="33"/>
      <c r="EM135" s="33"/>
      <c r="EN135" s="33"/>
      <c r="EO135" s="33"/>
      <c r="EP135" s="33"/>
      <c r="EQ135" s="33"/>
      <c r="ER135" s="33"/>
      <c r="ES135" s="33"/>
      <c r="ET135" s="33"/>
      <c r="EU135" s="33"/>
      <c r="EV135" s="33"/>
      <c r="EW135" s="33"/>
      <c r="EX135" s="33"/>
      <c r="EY135" s="33"/>
      <c r="EZ135" s="33"/>
      <c r="FA135" s="33"/>
      <c r="FB135" s="33"/>
      <c r="FC135" s="33"/>
      <c r="FD135" s="33"/>
      <c r="FE135" s="33"/>
      <c r="FF135" s="33"/>
      <c r="FG135" s="33"/>
      <c r="FH135" s="33"/>
      <c r="FI135" s="33"/>
      <c r="FJ135" s="33"/>
      <c r="FK135" s="33"/>
      <c r="FL135" s="33"/>
      <c r="FM135" s="33"/>
      <c r="FN135" s="33"/>
      <c r="FO135" s="33"/>
      <c r="FP135" s="33"/>
      <c r="FQ135" s="33"/>
      <c r="FR135" s="33"/>
      <c r="FS135" s="33"/>
      <c r="FT135" s="33"/>
      <c r="FU135" s="33"/>
      <c r="FV135" s="33"/>
      <c r="FW135" s="33"/>
      <c r="FX135" s="33"/>
      <c r="FY135" s="33"/>
      <c r="FZ135" s="33"/>
      <c r="GA135" s="33"/>
      <c r="GB135" s="33"/>
      <c r="GC135" s="33"/>
      <c r="GD135" s="33"/>
      <c r="GE135" s="33"/>
      <c r="GF135" s="33"/>
      <c r="GG135" s="33"/>
      <c r="GH135" s="33"/>
      <c r="GI135" s="33"/>
      <c r="GJ135" s="33"/>
      <c r="GK135" s="33"/>
      <c r="GL135" s="33"/>
      <c r="GM135" s="33"/>
      <c r="GN135" s="33"/>
      <c r="GO135" s="33"/>
      <c r="GP135" s="33"/>
      <c r="GQ135" s="33"/>
      <c r="GR135" s="33"/>
      <c r="GS135" s="33"/>
      <c r="GT135" s="33"/>
      <c r="GU135" s="33"/>
      <c r="GV135" s="33"/>
      <c r="GW135" s="33"/>
      <c r="GX135" s="33"/>
      <c r="GY135" s="33"/>
      <c r="GZ135" s="33"/>
      <c r="HA135" s="33"/>
      <c r="HB135" s="33"/>
      <c r="HC135" s="33"/>
      <c r="HD135" s="33"/>
      <c r="HE135" s="33"/>
      <c r="HF135" s="33"/>
      <c r="HG135" s="33"/>
      <c r="HH135" s="33"/>
    </row>
    <row r="136" spans="1:216" ht="15.75" customHeight="1" x14ac:dyDescent="0.3">
      <c r="A136" s="7"/>
      <c r="B136" s="50"/>
      <c r="C136" s="24" t="s">
        <v>173</v>
      </c>
      <c r="D136" s="49"/>
      <c r="E136" s="9">
        <f>ALASMALANG!V136+'BENELAN KIDUL'!S136+CANTUK!T136+GAMBOR!N136+GUMIRIH!S136+KEMIRI!U136+LEMAHBANGKULON!Q136+PADANG!Q136+SINGOJURUH!AC136+SINGOLATREN!T136+SUMBERBARU!S136</f>
        <v>1</v>
      </c>
      <c r="F136" s="39"/>
      <c r="G136" s="20"/>
      <c r="H136" s="20"/>
      <c r="I136" s="20"/>
      <c r="J136" s="20"/>
      <c r="K136" s="20"/>
      <c r="L136" s="20"/>
      <c r="M136" s="20"/>
      <c r="N136" s="20"/>
      <c r="O136" s="20"/>
      <c r="P136" s="32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/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  <c r="CS136" s="33"/>
      <c r="CT136" s="33"/>
      <c r="CU136" s="33"/>
      <c r="CV136" s="33"/>
      <c r="CW136" s="33"/>
      <c r="CX136" s="33"/>
      <c r="CY136" s="33"/>
      <c r="CZ136" s="33"/>
      <c r="DA136" s="33"/>
      <c r="DB136" s="33"/>
      <c r="DC136" s="33"/>
      <c r="DD136" s="33"/>
      <c r="DE136" s="33"/>
      <c r="DF136" s="33"/>
      <c r="DG136" s="33"/>
      <c r="DH136" s="33"/>
      <c r="DI136" s="33"/>
      <c r="DJ136" s="33"/>
      <c r="DK136" s="33"/>
      <c r="DL136" s="33"/>
      <c r="DM136" s="33"/>
      <c r="DN136" s="33"/>
      <c r="DO136" s="33"/>
      <c r="DP136" s="33"/>
      <c r="DQ136" s="33"/>
      <c r="DR136" s="33"/>
      <c r="DS136" s="33"/>
      <c r="DT136" s="33"/>
      <c r="DU136" s="33"/>
      <c r="DV136" s="33"/>
      <c r="DW136" s="33"/>
      <c r="DX136" s="33"/>
      <c r="DY136" s="33"/>
      <c r="DZ136" s="33"/>
      <c r="EA136" s="33"/>
      <c r="EB136" s="33"/>
      <c r="EC136" s="33"/>
      <c r="ED136" s="33"/>
      <c r="EE136" s="33"/>
      <c r="EF136" s="33"/>
      <c r="EG136" s="33"/>
      <c r="EH136" s="33"/>
      <c r="EI136" s="33"/>
      <c r="EJ136" s="33"/>
      <c r="EK136" s="33"/>
      <c r="EL136" s="33"/>
      <c r="EM136" s="33"/>
      <c r="EN136" s="33"/>
      <c r="EO136" s="33"/>
      <c r="EP136" s="33"/>
      <c r="EQ136" s="33"/>
      <c r="ER136" s="33"/>
      <c r="ES136" s="33"/>
      <c r="ET136" s="33"/>
      <c r="EU136" s="33"/>
      <c r="EV136" s="33"/>
      <c r="EW136" s="33"/>
      <c r="EX136" s="33"/>
      <c r="EY136" s="33"/>
      <c r="EZ136" s="33"/>
      <c r="FA136" s="33"/>
      <c r="FB136" s="33"/>
      <c r="FC136" s="33"/>
      <c r="FD136" s="33"/>
      <c r="FE136" s="33"/>
      <c r="FF136" s="33"/>
      <c r="FG136" s="33"/>
      <c r="FH136" s="33"/>
      <c r="FI136" s="33"/>
      <c r="FJ136" s="33"/>
      <c r="FK136" s="33"/>
      <c r="FL136" s="33"/>
      <c r="FM136" s="33"/>
      <c r="FN136" s="33"/>
      <c r="FO136" s="33"/>
      <c r="FP136" s="33"/>
      <c r="FQ136" s="33"/>
      <c r="FR136" s="33"/>
      <c r="FS136" s="33"/>
      <c r="FT136" s="33"/>
      <c r="FU136" s="33"/>
      <c r="FV136" s="33"/>
      <c r="FW136" s="33"/>
      <c r="FX136" s="33"/>
      <c r="FY136" s="33"/>
      <c r="FZ136" s="33"/>
      <c r="GA136" s="33"/>
      <c r="GB136" s="33"/>
      <c r="GC136" s="33"/>
      <c r="GD136" s="33"/>
      <c r="GE136" s="33"/>
      <c r="GF136" s="33"/>
      <c r="GG136" s="33"/>
      <c r="GH136" s="33"/>
      <c r="GI136" s="33"/>
      <c r="GJ136" s="33"/>
      <c r="GK136" s="33"/>
      <c r="GL136" s="33"/>
      <c r="GM136" s="33"/>
      <c r="GN136" s="33"/>
      <c r="GO136" s="33"/>
      <c r="GP136" s="33"/>
      <c r="GQ136" s="33"/>
      <c r="GR136" s="33"/>
      <c r="GS136" s="33"/>
      <c r="GT136" s="33"/>
      <c r="GU136" s="33"/>
      <c r="GV136" s="33"/>
      <c r="GW136" s="33"/>
      <c r="GX136" s="33"/>
      <c r="GY136" s="33"/>
      <c r="GZ136" s="33"/>
      <c r="HA136" s="33"/>
      <c r="HB136" s="33"/>
      <c r="HC136" s="33"/>
      <c r="HD136" s="33"/>
      <c r="HE136" s="33"/>
      <c r="HF136" s="33"/>
      <c r="HG136" s="33"/>
      <c r="HH136" s="33"/>
    </row>
    <row r="137" spans="1:216" ht="15.75" customHeight="1" x14ac:dyDescent="0.3">
      <c r="A137" s="7"/>
      <c r="B137" s="50"/>
      <c r="C137" s="24" t="s">
        <v>174</v>
      </c>
      <c r="D137" s="49"/>
      <c r="E137" s="9">
        <f>ALASMALANG!V137+'BENELAN KIDUL'!S137+CANTUK!T137+GAMBOR!N137+GUMIRIH!S137+KEMIRI!U137+LEMAHBANGKULON!Q137+PADANG!Q137+SINGOJURUH!AC137+SINGOLATREN!T137+SUMBERBARU!S137</f>
        <v>7</v>
      </c>
      <c r="F137" s="39"/>
      <c r="G137" s="20"/>
      <c r="H137" s="20"/>
      <c r="I137" s="20"/>
      <c r="J137" s="20"/>
      <c r="K137" s="20"/>
      <c r="L137" s="20"/>
      <c r="M137" s="20"/>
      <c r="N137" s="20"/>
      <c r="O137" s="20"/>
      <c r="P137" s="32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  <c r="DM137" s="33"/>
      <c r="DN137" s="33"/>
      <c r="DO137" s="33"/>
      <c r="DP137" s="33"/>
      <c r="DQ137" s="33"/>
      <c r="DR137" s="33"/>
      <c r="DS137" s="33"/>
      <c r="DT137" s="33"/>
      <c r="DU137" s="33"/>
      <c r="DV137" s="33"/>
      <c r="DW137" s="33"/>
      <c r="DX137" s="33"/>
      <c r="DY137" s="33"/>
      <c r="DZ137" s="33"/>
      <c r="EA137" s="33"/>
      <c r="EB137" s="33"/>
      <c r="EC137" s="33"/>
      <c r="ED137" s="33"/>
      <c r="EE137" s="33"/>
      <c r="EF137" s="33"/>
      <c r="EG137" s="33"/>
      <c r="EH137" s="33"/>
      <c r="EI137" s="33"/>
      <c r="EJ137" s="33"/>
      <c r="EK137" s="33"/>
      <c r="EL137" s="33"/>
      <c r="EM137" s="33"/>
      <c r="EN137" s="33"/>
      <c r="EO137" s="33"/>
      <c r="EP137" s="33"/>
      <c r="EQ137" s="33"/>
      <c r="ER137" s="33"/>
      <c r="ES137" s="33"/>
      <c r="ET137" s="33"/>
      <c r="EU137" s="33"/>
      <c r="EV137" s="33"/>
      <c r="EW137" s="33"/>
      <c r="EX137" s="33"/>
      <c r="EY137" s="33"/>
      <c r="EZ137" s="33"/>
      <c r="FA137" s="33"/>
      <c r="FB137" s="33"/>
      <c r="FC137" s="33"/>
      <c r="FD137" s="33"/>
      <c r="FE137" s="33"/>
      <c r="FF137" s="33"/>
      <c r="FG137" s="33"/>
      <c r="FH137" s="33"/>
      <c r="FI137" s="33"/>
      <c r="FJ137" s="33"/>
      <c r="FK137" s="33"/>
      <c r="FL137" s="33"/>
      <c r="FM137" s="33"/>
      <c r="FN137" s="33"/>
      <c r="FO137" s="33"/>
      <c r="FP137" s="33"/>
      <c r="FQ137" s="33"/>
      <c r="FR137" s="33"/>
      <c r="FS137" s="33"/>
      <c r="FT137" s="33"/>
      <c r="FU137" s="33"/>
      <c r="FV137" s="33"/>
      <c r="FW137" s="33"/>
      <c r="FX137" s="33"/>
      <c r="FY137" s="33"/>
      <c r="FZ137" s="33"/>
      <c r="GA137" s="33"/>
      <c r="GB137" s="33"/>
      <c r="GC137" s="33"/>
      <c r="GD137" s="33"/>
      <c r="GE137" s="33"/>
      <c r="GF137" s="33"/>
      <c r="GG137" s="33"/>
      <c r="GH137" s="33"/>
      <c r="GI137" s="33"/>
      <c r="GJ137" s="33"/>
      <c r="GK137" s="33"/>
      <c r="GL137" s="33"/>
      <c r="GM137" s="33"/>
      <c r="GN137" s="33"/>
      <c r="GO137" s="33"/>
      <c r="GP137" s="33"/>
      <c r="GQ137" s="33"/>
      <c r="GR137" s="33"/>
      <c r="GS137" s="33"/>
      <c r="GT137" s="33"/>
      <c r="GU137" s="33"/>
      <c r="GV137" s="33"/>
      <c r="GW137" s="33"/>
      <c r="GX137" s="33"/>
      <c r="GY137" s="33"/>
      <c r="GZ137" s="33"/>
      <c r="HA137" s="33"/>
      <c r="HB137" s="33"/>
      <c r="HC137" s="33"/>
      <c r="HD137" s="33"/>
      <c r="HE137" s="33"/>
      <c r="HF137" s="33"/>
      <c r="HG137" s="33"/>
      <c r="HH137" s="33"/>
    </row>
    <row r="138" spans="1:216" ht="15.75" customHeight="1" x14ac:dyDescent="0.3">
      <c r="A138" s="7"/>
      <c r="B138" s="50"/>
      <c r="C138" s="24" t="s">
        <v>175</v>
      </c>
      <c r="D138" s="49"/>
      <c r="E138" s="9">
        <f>ALASMALANG!V138+'BENELAN KIDUL'!S138+CANTUK!T138+GAMBOR!N138+GUMIRIH!S138+KEMIRI!U138+LEMAHBANGKULON!Q138+PADANG!Q138+SINGOJURUH!AC138+SINGOLATREN!T138+SUMBERBARU!S138</f>
        <v>2</v>
      </c>
      <c r="F138" s="39"/>
      <c r="G138" s="20"/>
      <c r="H138" s="20"/>
      <c r="I138" s="20"/>
      <c r="J138" s="20"/>
      <c r="K138" s="20"/>
      <c r="L138" s="20"/>
      <c r="M138" s="20"/>
      <c r="N138" s="20"/>
      <c r="O138" s="20"/>
      <c r="P138" s="32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3"/>
      <c r="DL138" s="33"/>
      <c r="DM138" s="33"/>
      <c r="DN138" s="33"/>
      <c r="DO138" s="33"/>
      <c r="DP138" s="33"/>
      <c r="DQ138" s="33"/>
      <c r="DR138" s="33"/>
      <c r="DS138" s="33"/>
      <c r="DT138" s="33"/>
      <c r="DU138" s="33"/>
      <c r="DV138" s="33"/>
      <c r="DW138" s="33"/>
      <c r="DX138" s="33"/>
      <c r="DY138" s="33"/>
      <c r="DZ138" s="33"/>
      <c r="EA138" s="33"/>
      <c r="EB138" s="33"/>
      <c r="EC138" s="33"/>
      <c r="ED138" s="33"/>
      <c r="EE138" s="33"/>
      <c r="EF138" s="33"/>
      <c r="EG138" s="33"/>
      <c r="EH138" s="33"/>
      <c r="EI138" s="33"/>
      <c r="EJ138" s="33"/>
      <c r="EK138" s="33"/>
      <c r="EL138" s="33"/>
      <c r="EM138" s="33"/>
      <c r="EN138" s="33"/>
      <c r="EO138" s="33"/>
      <c r="EP138" s="33"/>
      <c r="EQ138" s="33"/>
      <c r="ER138" s="33"/>
      <c r="ES138" s="33"/>
      <c r="ET138" s="33"/>
      <c r="EU138" s="33"/>
      <c r="EV138" s="33"/>
      <c r="EW138" s="33"/>
      <c r="EX138" s="33"/>
      <c r="EY138" s="33"/>
      <c r="EZ138" s="33"/>
      <c r="FA138" s="33"/>
      <c r="FB138" s="33"/>
      <c r="FC138" s="33"/>
      <c r="FD138" s="33"/>
      <c r="FE138" s="33"/>
      <c r="FF138" s="33"/>
      <c r="FG138" s="33"/>
      <c r="FH138" s="33"/>
      <c r="FI138" s="33"/>
      <c r="FJ138" s="33"/>
      <c r="FK138" s="33"/>
      <c r="FL138" s="33"/>
      <c r="FM138" s="33"/>
      <c r="FN138" s="33"/>
      <c r="FO138" s="33"/>
      <c r="FP138" s="33"/>
      <c r="FQ138" s="33"/>
      <c r="FR138" s="33"/>
      <c r="FS138" s="33"/>
      <c r="FT138" s="33"/>
      <c r="FU138" s="33"/>
      <c r="FV138" s="33"/>
      <c r="FW138" s="33"/>
      <c r="FX138" s="33"/>
      <c r="FY138" s="33"/>
      <c r="FZ138" s="33"/>
      <c r="GA138" s="33"/>
      <c r="GB138" s="33"/>
      <c r="GC138" s="33"/>
      <c r="GD138" s="33"/>
      <c r="GE138" s="33"/>
      <c r="GF138" s="33"/>
      <c r="GG138" s="33"/>
      <c r="GH138" s="33"/>
      <c r="GI138" s="33"/>
      <c r="GJ138" s="33"/>
      <c r="GK138" s="33"/>
      <c r="GL138" s="33"/>
      <c r="GM138" s="33"/>
      <c r="GN138" s="33"/>
      <c r="GO138" s="33"/>
      <c r="GP138" s="33"/>
      <c r="GQ138" s="33"/>
      <c r="GR138" s="33"/>
      <c r="GS138" s="33"/>
      <c r="GT138" s="33"/>
      <c r="GU138" s="33"/>
      <c r="GV138" s="33"/>
      <c r="GW138" s="33"/>
      <c r="GX138" s="33"/>
      <c r="GY138" s="33"/>
      <c r="GZ138" s="33"/>
      <c r="HA138" s="33"/>
      <c r="HB138" s="33"/>
      <c r="HC138" s="33"/>
      <c r="HD138" s="33"/>
      <c r="HE138" s="33"/>
      <c r="HF138" s="33"/>
      <c r="HG138" s="33"/>
      <c r="HH138" s="33"/>
    </row>
    <row r="139" spans="1:216" ht="15.75" customHeight="1" x14ac:dyDescent="0.3">
      <c r="A139" s="6" t="s">
        <v>26</v>
      </c>
      <c r="B139" s="84" t="s">
        <v>51</v>
      </c>
      <c r="C139" s="87"/>
      <c r="D139" s="88"/>
      <c r="E139" s="5">
        <f>SUM(E129:E138)</f>
        <v>332</v>
      </c>
      <c r="F139" s="39"/>
      <c r="G139" s="20"/>
      <c r="H139" s="20"/>
      <c r="I139" s="20"/>
      <c r="J139" s="20"/>
      <c r="K139" s="20"/>
      <c r="L139" s="20"/>
      <c r="M139" s="20"/>
      <c r="N139" s="20"/>
      <c r="O139" s="20"/>
      <c r="P139" s="32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  <c r="DM139" s="33"/>
      <c r="DN139" s="33"/>
      <c r="DO139" s="33"/>
      <c r="DP139" s="33"/>
      <c r="DQ139" s="33"/>
      <c r="DR139" s="33"/>
      <c r="DS139" s="33"/>
      <c r="DT139" s="33"/>
      <c r="DU139" s="33"/>
      <c r="DV139" s="33"/>
      <c r="DW139" s="33"/>
      <c r="DX139" s="33"/>
      <c r="DY139" s="33"/>
      <c r="DZ139" s="33"/>
      <c r="EA139" s="33"/>
      <c r="EB139" s="33"/>
      <c r="EC139" s="33"/>
      <c r="ED139" s="33"/>
      <c r="EE139" s="33"/>
      <c r="EF139" s="33"/>
      <c r="EG139" s="33"/>
      <c r="EH139" s="33"/>
      <c r="EI139" s="33"/>
      <c r="EJ139" s="33"/>
      <c r="EK139" s="33"/>
      <c r="EL139" s="33"/>
      <c r="EM139" s="33"/>
      <c r="EN139" s="33"/>
      <c r="EO139" s="33"/>
      <c r="EP139" s="33"/>
      <c r="EQ139" s="33"/>
      <c r="ER139" s="33"/>
      <c r="ES139" s="33"/>
      <c r="ET139" s="33"/>
      <c r="EU139" s="33"/>
      <c r="EV139" s="33"/>
      <c r="EW139" s="33"/>
      <c r="EX139" s="33"/>
      <c r="EY139" s="33"/>
      <c r="EZ139" s="33"/>
      <c r="FA139" s="33"/>
      <c r="FB139" s="33"/>
      <c r="FC139" s="33"/>
      <c r="FD139" s="33"/>
      <c r="FE139" s="33"/>
      <c r="FF139" s="33"/>
      <c r="FG139" s="33"/>
      <c r="FH139" s="33"/>
      <c r="FI139" s="33"/>
      <c r="FJ139" s="33"/>
      <c r="FK139" s="33"/>
      <c r="FL139" s="33"/>
      <c r="FM139" s="33"/>
      <c r="FN139" s="33"/>
      <c r="FO139" s="33"/>
      <c r="FP139" s="33"/>
      <c r="FQ139" s="33"/>
      <c r="FR139" s="33"/>
      <c r="FS139" s="33"/>
      <c r="FT139" s="33"/>
      <c r="FU139" s="33"/>
      <c r="FV139" s="33"/>
      <c r="FW139" s="33"/>
      <c r="FX139" s="33"/>
      <c r="FY139" s="33"/>
      <c r="FZ139" s="33"/>
      <c r="GA139" s="33"/>
      <c r="GB139" s="33"/>
      <c r="GC139" s="33"/>
      <c r="GD139" s="33"/>
      <c r="GE139" s="33"/>
      <c r="GF139" s="33"/>
      <c r="GG139" s="33"/>
      <c r="GH139" s="33"/>
      <c r="GI139" s="33"/>
      <c r="GJ139" s="33"/>
      <c r="GK139" s="33"/>
      <c r="GL139" s="33"/>
      <c r="GM139" s="33"/>
      <c r="GN139" s="33"/>
      <c r="GO139" s="33"/>
      <c r="GP139" s="33"/>
      <c r="GQ139" s="33"/>
      <c r="GR139" s="33"/>
      <c r="GS139" s="33"/>
      <c r="GT139" s="33"/>
      <c r="GU139" s="33"/>
      <c r="GV139" s="33"/>
      <c r="GW139" s="33"/>
      <c r="GX139" s="33"/>
      <c r="GY139" s="33"/>
      <c r="GZ139" s="33"/>
      <c r="HA139" s="33"/>
      <c r="HB139" s="33"/>
      <c r="HC139" s="33"/>
      <c r="HD139" s="33"/>
      <c r="HE139" s="33"/>
      <c r="HF139" s="33"/>
      <c r="HG139" s="33"/>
      <c r="HH139" s="33"/>
    </row>
    <row r="140" spans="1:216" ht="15.75" customHeight="1" x14ac:dyDescent="0.3">
      <c r="A140" s="62"/>
      <c r="B140" s="89"/>
      <c r="C140" s="89"/>
      <c r="D140" s="89"/>
      <c r="E140" s="90"/>
      <c r="F140" s="39"/>
      <c r="G140" s="20"/>
      <c r="H140" s="20"/>
      <c r="I140" s="20"/>
      <c r="J140" s="20"/>
      <c r="K140" s="20"/>
      <c r="L140" s="20"/>
      <c r="M140" s="20"/>
      <c r="N140" s="20"/>
      <c r="O140" s="20"/>
      <c r="P140" s="32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  <c r="CZ140" s="33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  <c r="DL140" s="33"/>
      <c r="DM140" s="33"/>
      <c r="DN140" s="33"/>
      <c r="DO140" s="33"/>
      <c r="DP140" s="33"/>
      <c r="DQ140" s="33"/>
      <c r="DR140" s="33"/>
      <c r="DS140" s="33"/>
      <c r="DT140" s="33"/>
      <c r="DU140" s="33"/>
      <c r="DV140" s="33"/>
      <c r="DW140" s="33"/>
      <c r="DX140" s="33"/>
      <c r="DY140" s="33"/>
      <c r="DZ140" s="33"/>
      <c r="EA140" s="33"/>
      <c r="EB140" s="33"/>
      <c r="EC140" s="33"/>
      <c r="ED140" s="33"/>
      <c r="EE140" s="33"/>
      <c r="EF140" s="33"/>
      <c r="EG140" s="33"/>
      <c r="EH140" s="33"/>
      <c r="EI140" s="33"/>
      <c r="EJ140" s="33"/>
      <c r="EK140" s="33"/>
      <c r="EL140" s="33"/>
      <c r="EM140" s="33"/>
      <c r="EN140" s="33"/>
      <c r="EO140" s="33"/>
      <c r="EP140" s="33"/>
      <c r="EQ140" s="33"/>
      <c r="ER140" s="33"/>
      <c r="ES140" s="33"/>
      <c r="ET140" s="33"/>
      <c r="EU140" s="33"/>
      <c r="EV140" s="33"/>
      <c r="EW140" s="33"/>
      <c r="EX140" s="33"/>
      <c r="EY140" s="33"/>
      <c r="EZ140" s="33"/>
      <c r="FA140" s="33"/>
      <c r="FB140" s="33"/>
      <c r="FC140" s="33"/>
      <c r="FD140" s="33"/>
      <c r="FE140" s="33"/>
      <c r="FF140" s="33"/>
      <c r="FG140" s="33"/>
      <c r="FH140" s="33"/>
      <c r="FI140" s="33"/>
      <c r="FJ140" s="33"/>
      <c r="FK140" s="33"/>
      <c r="FL140" s="33"/>
      <c r="FM140" s="33"/>
      <c r="FN140" s="33"/>
      <c r="FO140" s="33"/>
      <c r="FP140" s="33"/>
      <c r="FQ140" s="33"/>
      <c r="FR140" s="33"/>
      <c r="FS140" s="33"/>
      <c r="FT140" s="33"/>
      <c r="FU140" s="33"/>
      <c r="FV140" s="33"/>
      <c r="FW140" s="33"/>
      <c r="FX140" s="33"/>
      <c r="FY140" s="33"/>
      <c r="FZ140" s="33"/>
      <c r="GA140" s="33"/>
      <c r="GB140" s="33"/>
      <c r="GC140" s="33"/>
      <c r="GD140" s="33"/>
      <c r="GE140" s="33"/>
      <c r="GF140" s="33"/>
      <c r="GG140" s="33"/>
      <c r="GH140" s="33"/>
      <c r="GI140" s="33"/>
      <c r="GJ140" s="33"/>
      <c r="GK140" s="33"/>
      <c r="GL140" s="33"/>
      <c r="GM140" s="33"/>
      <c r="GN140" s="33"/>
      <c r="GO140" s="33"/>
      <c r="GP140" s="33"/>
      <c r="GQ140" s="33"/>
      <c r="GR140" s="33"/>
      <c r="GS140" s="33"/>
      <c r="GT140" s="33"/>
      <c r="GU140" s="33"/>
      <c r="GV140" s="33"/>
      <c r="GW140" s="33"/>
      <c r="GX140" s="33"/>
      <c r="GY140" s="33"/>
      <c r="GZ140" s="33"/>
      <c r="HA140" s="33"/>
      <c r="HB140" s="33"/>
      <c r="HC140" s="33"/>
      <c r="HD140" s="33"/>
      <c r="HE140" s="33"/>
      <c r="HF140" s="33"/>
      <c r="HG140" s="33"/>
      <c r="HH140" s="33"/>
    </row>
    <row r="141" spans="1:216" ht="15.75" customHeight="1" x14ac:dyDescent="0.3">
      <c r="A141" s="11" t="s">
        <v>48</v>
      </c>
      <c r="B141" s="17" t="s">
        <v>63</v>
      </c>
      <c r="C141" s="86" t="s">
        <v>64</v>
      </c>
      <c r="D141" s="64"/>
      <c r="E141" s="9">
        <f>ALASMALANG!V141+'BENELAN KIDUL'!S141+CANTUK!T141+GAMBOR!N141+GUMIRIH!S141+KEMIRI!U141+LEMAHBANGKULON!Q141+PADANG!Q141+SINGOJURUH!AC141+SINGOLATREN!T141+SUMBERBARU!S141</f>
        <v>7</v>
      </c>
      <c r="F141" s="40"/>
      <c r="G141" s="1"/>
      <c r="H141" s="1"/>
      <c r="I141" s="1"/>
      <c r="J141" s="1"/>
      <c r="K141" s="1"/>
      <c r="L141" s="1"/>
      <c r="M141" s="1"/>
      <c r="N141" s="1"/>
      <c r="O141" s="1"/>
      <c r="P141" s="34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31"/>
      <c r="DL141" s="31"/>
      <c r="DM141" s="31"/>
      <c r="DN141" s="31"/>
      <c r="DO141" s="31"/>
      <c r="DP141" s="31"/>
      <c r="DQ141" s="31"/>
      <c r="DR141" s="31"/>
      <c r="DS141" s="31"/>
      <c r="DT141" s="31"/>
      <c r="DU141" s="31"/>
      <c r="DV141" s="31"/>
      <c r="DW141" s="31"/>
      <c r="DX141" s="31"/>
      <c r="DY141" s="31"/>
      <c r="DZ141" s="31"/>
      <c r="EA141" s="31"/>
      <c r="EB141" s="31"/>
      <c r="EC141" s="31"/>
      <c r="ED141" s="31"/>
      <c r="EE141" s="31"/>
      <c r="EF141" s="31"/>
      <c r="EG141" s="31"/>
      <c r="EH141" s="31"/>
      <c r="EI141" s="31"/>
      <c r="EJ141" s="31"/>
      <c r="EK141" s="31"/>
      <c r="EL141" s="31"/>
      <c r="EM141" s="31"/>
      <c r="EN141" s="31"/>
      <c r="EO141" s="31"/>
      <c r="EP141" s="31"/>
      <c r="EQ141" s="31"/>
      <c r="ER141" s="31"/>
      <c r="ES141" s="31"/>
      <c r="ET141" s="31"/>
      <c r="EU141" s="31"/>
      <c r="EV141" s="31"/>
      <c r="EW141" s="31"/>
      <c r="EX141" s="31"/>
      <c r="EY141" s="31"/>
      <c r="EZ141" s="31"/>
      <c r="FA141" s="31"/>
      <c r="FB141" s="31"/>
      <c r="FC141" s="31"/>
      <c r="FD141" s="31"/>
      <c r="FE141" s="31"/>
      <c r="FF141" s="31"/>
      <c r="FG141" s="31"/>
      <c r="FH141" s="31"/>
      <c r="FI141" s="31"/>
      <c r="FJ141" s="31"/>
      <c r="FK141" s="31"/>
      <c r="FL141" s="31"/>
      <c r="FM141" s="31"/>
      <c r="FN141" s="31"/>
      <c r="FO141" s="31"/>
      <c r="FP141" s="31"/>
      <c r="FQ141" s="31"/>
      <c r="FR141" s="31"/>
      <c r="FS141" s="31"/>
      <c r="FT141" s="31"/>
      <c r="FU141" s="31"/>
      <c r="FV141" s="31"/>
      <c r="FW141" s="31"/>
      <c r="FX141" s="31"/>
      <c r="FY141" s="31"/>
      <c r="FZ141" s="31"/>
      <c r="GA141" s="31"/>
      <c r="GB141" s="31"/>
      <c r="GC141" s="31"/>
      <c r="GD141" s="31"/>
      <c r="GE141" s="31"/>
      <c r="GF141" s="31"/>
      <c r="GG141" s="31"/>
      <c r="GH141" s="31"/>
      <c r="GI141" s="31"/>
      <c r="GJ141" s="31"/>
      <c r="GK141" s="31"/>
      <c r="GL141" s="31"/>
      <c r="GM141" s="31"/>
      <c r="GN141" s="31"/>
      <c r="GO141" s="31"/>
      <c r="GP141" s="31"/>
      <c r="GQ141" s="31"/>
      <c r="GR141" s="31"/>
      <c r="GS141" s="31"/>
      <c r="GT141" s="31"/>
      <c r="GU141" s="31"/>
      <c r="GV141" s="31"/>
      <c r="GW141" s="31"/>
      <c r="GX141" s="31"/>
      <c r="GY141" s="31"/>
      <c r="GZ141" s="31"/>
      <c r="HA141" s="31"/>
      <c r="HB141" s="31"/>
      <c r="HC141" s="31"/>
      <c r="HD141" s="31"/>
      <c r="HE141" s="31"/>
      <c r="HF141" s="31"/>
      <c r="HG141" s="31"/>
      <c r="HH141" s="31"/>
    </row>
    <row r="142" spans="1:216" ht="15.75" customHeight="1" x14ac:dyDescent="0.3">
      <c r="A142" s="11" t="s">
        <v>50</v>
      </c>
      <c r="B142" s="50"/>
      <c r="C142" s="24" t="s">
        <v>176</v>
      </c>
      <c r="D142" s="49"/>
      <c r="E142" s="9">
        <f>ALASMALANG!V142+'BENELAN KIDUL'!S142+CANTUK!T142+GAMBOR!N142+GUMIRIH!S142+KEMIRI!U142+LEMAHBANGKULON!Q142+PADANG!Q142+SINGOJURUH!AC142+SINGOLATREN!T142+SUMBERBARU!S142</f>
        <v>7</v>
      </c>
      <c r="F142" s="42"/>
      <c r="G142" s="27"/>
      <c r="H142" s="27"/>
      <c r="I142" s="27"/>
      <c r="J142" s="27"/>
      <c r="K142" s="27"/>
      <c r="L142" s="27"/>
      <c r="M142" s="27"/>
      <c r="N142" s="27"/>
      <c r="O142" s="27"/>
      <c r="P142" s="37"/>
      <c r="Q142" s="30"/>
      <c r="R142" s="30"/>
      <c r="S142" s="30"/>
      <c r="T142" s="30"/>
      <c r="U142" s="30"/>
      <c r="V142" s="30"/>
      <c r="W142" s="38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0"/>
      <c r="BM142" s="30"/>
      <c r="BN142" s="30"/>
      <c r="BO142" s="30"/>
      <c r="BP142" s="30"/>
      <c r="BQ142" s="30"/>
      <c r="BR142" s="38"/>
      <c r="BS142" s="30"/>
      <c r="BT142" s="30"/>
      <c r="BU142" s="30"/>
      <c r="BV142" s="30"/>
      <c r="BW142" s="30"/>
      <c r="BX142" s="30"/>
      <c r="BY142" s="30"/>
      <c r="BZ142" s="30"/>
      <c r="CA142" s="38"/>
      <c r="CB142" s="38"/>
      <c r="CC142" s="38"/>
      <c r="CD142" s="38"/>
      <c r="CE142" s="38"/>
      <c r="CF142" s="38"/>
      <c r="CG142" s="38"/>
      <c r="CH142" s="38"/>
      <c r="CI142" s="38"/>
      <c r="CJ142" s="38"/>
      <c r="CK142" s="38"/>
      <c r="CL142" s="38"/>
      <c r="CM142" s="38"/>
      <c r="CN142" s="38"/>
      <c r="CO142" s="38"/>
      <c r="CP142" s="38"/>
      <c r="CQ142" s="38"/>
      <c r="CR142" s="38"/>
      <c r="CS142" s="38"/>
      <c r="CT142" s="38"/>
      <c r="CU142" s="38"/>
      <c r="CV142" s="38"/>
      <c r="CW142" s="38"/>
      <c r="CX142" s="38"/>
      <c r="CY142" s="38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8"/>
      <c r="DL142" s="38"/>
      <c r="DM142" s="38"/>
      <c r="DN142" s="38"/>
      <c r="DO142" s="38"/>
      <c r="DP142" s="38"/>
      <c r="DQ142" s="38"/>
      <c r="DR142" s="38"/>
      <c r="DS142" s="38"/>
      <c r="DT142" s="38"/>
      <c r="DU142" s="38"/>
      <c r="DV142" s="38"/>
      <c r="DW142" s="38"/>
      <c r="DX142" s="38"/>
      <c r="DY142" s="38"/>
      <c r="DZ142" s="38"/>
      <c r="EA142" s="38"/>
      <c r="EB142" s="38"/>
      <c r="EC142" s="38"/>
      <c r="ED142" s="38"/>
      <c r="EE142" s="38"/>
      <c r="EF142" s="38"/>
      <c r="EG142" s="38"/>
      <c r="EH142" s="38"/>
      <c r="EI142" s="38"/>
      <c r="EJ142" s="38"/>
      <c r="EK142" s="38"/>
      <c r="EL142" s="38"/>
      <c r="EM142" s="30"/>
      <c r="EN142" s="30"/>
      <c r="EO142" s="30"/>
      <c r="EP142" s="30"/>
      <c r="EQ142" s="30"/>
      <c r="ER142" s="30"/>
      <c r="ES142" s="30"/>
      <c r="ET142" s="30"/>
      <c r="EU142" s="30"/>
      <c r="EV142" s="30"/>
      <c r="EW142" s="30"/>
      <c r="EX142" s="30"/>
      <c r="EY142" s="38"/>
      <c r="EZ142" s="38"/>
      <c r="FA142" s="38"/>
      <c r="FB142" s="38"/>
      <c r="FC142" s="38"/>
      <c r="FD142" s="38"/>
      <c r="FE142" s="38"/>
      <c r="FF142" s="30"/>
      <c r="FG142" s="30"/>
      <c r="FH142" s="30"/>
      <c r="FI142" s="30"/>
      <c r="FJ142" s="38"/>
      <c r="FK142" s="38"/>
      <c r="FL142" s="38"/>
      <c r="FM142" s="38"/>
      <c r="FN142" s="38"/>
      <c r="FO142" s="38"/>
      <c r="FP142" s="38"/>
      <c r="FQ142" s="38"/>
      <c r="FR142" s="38"/>
      <c r="FS142" s="38"/>
      <c r="FT142" s="38"/>
      <c r="FU142" s="38"/>
      <c r="FV142" s="38"/>
      <c r="FW142" s="38"/>
      <c r="FX142" s="38"/>
      <c r="FY142" s="38"/>
      <c r="FZ142" s="38"/>
      <c r="GA142" s="38"/>
      <c r="GB142" s="38"/>
      <c r="GC142" s="38"/>
      <c r="GD142" s="38"/>
      <c r="GE142" s="38"/>
      <c r="GF142" s="38"/>
      <c r="GG142" s="38"/>
      <c r="GH142" s="38"/>
      <c r="GI142" s="38"/>
      <c r="GJ142" s="38"/>
      <c r="GK142" s="38"/>
      <c r="GL142" s="38"/>
      <c r="GM142" s="38"/>
      <c r="GN142" s="38"/>
      <c r="GO142" s="38"/>
      <c r="GP142" s="38"/>
      <c r="GQ142" s="38"/>
      <c r="GR142" s="38"/>
      <c r="GS142" s="38"/>
      <c r="GT142" s="38"/>
      <c r="GU142" s="38"/>
      <c r="GV142" s="38"/>
      <c r="GW142" s="38"/>
      <c r="GX142" s="38"/>
      <c r="GY142" s="38"/>
      <c r="GZ142" s="38"/>
      <c r="HA142" s="38"/>
      <c r="HB142" s="38"/>
      <c r="HC142" s="38"/>
      <c r="HD142" s="38"/>
      <c r="HE142" s="38"/>
      <c r="HF142" s="38"/>
      <c r="HG142" s="38"/>
      <c r="HH142" s="38"/>
    </row>
    <row r="143" spans="1:216" ht="15.75" customHeight="1" x14ac:dyDescent="0.3">
      <c r="A143" s="7"/>
      <c r="B143" s="50"/>
      <c r="C143" s="24" t="s">
        <v>177</v>
      </c>
      <c r="D143" s="49"/>
      <c r="E143" s="9">
        <f>ALASMALANG!V143+'BENELAN KIDUL'!S143+CANTUK!T143+GAMBOR!N143+GUMIRIH!S143+KEMIRI!U143+LEMAHBANGKULON!Q143+PADANG!Q143+SINGOJURUH!AC143+SINGOLATREN!T143+SUMBERBARU!S143</f>
        <v>4</v>
      </c>
      <c r="F143" s="39"/>
      <c r="G143" s="20"/>
      <c r="H143" s="20"/>
      <c r="I143" s="20"/>
      <c r="J143" s="20"/>
      <c r="K143" s="20"/>
      <c r="L143" s="20"/>
      <c r="M143" s="20"/>
      <c r="N143" s="20"/>
      <c r="O143" s="20"/>
      <c r="P143" s="32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  <c r="CZ143" s="33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3"/>
      <c r="DL143" s="33"/>
      <c r="DM143" s="33"/>
      <c r="DN143" s="33"/>
      <c r="DO143" s="33"/>
      <c r="DP143" s="33"/>
      <c r="DQ143" s="33"/>
      <c r="DR143" s="33"/>
      <c r="DS143" s="33"/>
      <c r="DT143" s="33"/>
      <c r="DU143" s="33"/>
      <c r="DV143" s="33"/>
      <c r="DW143" s="33"/>
      <c r="DX143" s="33"/>
      <c r="DY143" s="33"/>
      <c r="DZ143" s="33"/>
      <c r="EA143" s="33"/>
      <c r="EB143" s="33"/>
      <c r="EC143" s="33"/>
      <c r="ED143" s="33"/>
      <c r="EE143" s="33"/>
      <c r="EF143" s="33"/>
      <c r="EG143" s="33"/>
      <c r="EH143" s="33"/>
      <c r="EI143" s="33"/>
      <c r="EJ143" s="33"/>
      <c r="EK143" s="33"/>
      <c r="EL143" s="33"/>
      <c r="EM143" s="33"/>
      <c r="EN143" s="33"/>
      <c r="EO143" s="33"/>
      <c r="EP143" s="33"/>
      <c r="EQ143" s="33"/>
      <c r="ER143" s="33"/>
      <c r="ES143" s="33"/>
      <c r="ET143" s="33"/>
      <c r="EU143" s="33"/>
      <c r="EV143" s="33"/>
      <c r="EW143" s="33"/>
      <c r="EX143" s="33"/>
      <c r="EY143" s="33"/>
      <c r="EZ143" s="33"/>
      <c r="FA143" s="33"/>
      <c r="FB143" s="33"/>
      <c r="FC143" s="33"/>
      <c r="FD143" s="33"/>
      <c r="FE143" s="33"/>
      <c r="FF143" s="33"/>
      <c r="FG143" s="33"/>
      <c r="FH143" s="33"/>
      <c r="FI143" s="33"/>
      <c r="FJ143" s="33"/>
      <c r="FK143" s="33"/>
      <c r="FL143" s="33"/>
      <c r="FM143" s="33"/>
      <c r="FN143" s="33"/>
      <c r="FO143" s="33"/>
      <c r="FP143" s="33"/>
      <c r="FQ143" s="33"/>
      <c r="FR143" s="33"/>
      <c r="FS143" s="33"/>
      <c r="FT143" s="33"/>
      <c r="FU143" s="33"/>
      <c r="FV143" s="33"/>
      <c r="FW143" s="33"/>
      <c r="FX143" s="33"/>
      <c r="FY143" s="33"/>
      <c r="FZ143" s="33"/>
      <c r="GA143" s="33"/>
      <c r="GB143" s="33"/>
      <c r="GC143" s="33"/>
      <c r="GD143" s="33"/>
      <c r="GE143" s="33"/>
      <c r="GF143" s="33"/>
      <c r="GG143" s="33"/>
      <c r="GH143" s="33"/>
      <c r="GI143" s="33"/>
      <c r="GJ143" s="33"/>
      <c r="GK143" s="33"/>
      <c r="GL143" s="33"/>
      <c r="GM143" s="33"/>
      <c r="GN143" s="33"/>
      <c r="GO143" s="33"/>
      <c r="GP143" s="33"/>
      <c r="GQ143" s="33"/>
      <c r="GR143" s="33"/>
      <c r="GS143" s="33"/>
      <c r="GT143" s="33"/>
      <c r="GU143" s="33"/>
      <c r="GV143" s="33"/>
      <c r="GW143" s="33"/>
      <c r="GX143" s="33"/>
      <c r="GY143" s="33"/>
      <c r="GZ143" s="33"/>
      <c r="HA143" s="33"/>
      <c r="HB143" s="33"/>
      <c r="HC143" s="33"/>
      <c r="HD143" s="33"/>
      <c r="HE143" s="33"/>
      <c r="HF143" s="33"/>
      <c r="HG143" s="33"/>
      <c r="HH143" s="33"/>
    </row>
    <row r="144" spans="1:216" ht="15.75" customHeight="1" x14ac:dyDescent="0.3">
      <c r="A144" s="7"/>
      <c r="B144" s="50"/>
      <c r="C144" s="24" t="s">
        <v>178</v>
      </c>
      <c r="D144" s="49"/>
      <c r="E144" s="9">
        <f>ALASMALANG!V144+'BENELAN KIDUL'!S144+CANTUK!T144+GAMBOR!N144+GUMIRIH!S144+KEMIRI!U144+LEMAHBANGKULON!Q144+PADANG!Q144+SINGOJURUH!AC144+SINGOLATREN!T144+SUMBERBARU!S144</f>
        <v>1</v>
      </c>
      <c r="F144" s="39"/>
      <c r="G144" s="20"/>
      <c r="H144" s="20"/>
      <c r="I144" s="20"/>
      <c r="J144" s="20"/>
      <c r="K144" s="20"/>
      <c r="L144" s="20"/>
      <c r="M144" s="20"/>
      <c r="N144" s="20"/>
      <c r="O144" s="20"/>
      <c r="P144" s="32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/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  <c r="CW144" s="33"/>
      <c r="CX144" s="33"/>
      <c r="CY144" s="33"/>
      <c r="CZ144" s="33"/>
      <c r="DA144" s="33"/>
      <c r="DB144" s="33"/>
      <c r="DC144" s="33"/>
      <c r="DD144" s="33"/>
      <c r="DE144" s="33"/>
      <c r="DF144" s="33"/>
      <c r="DG144" s="33"/>
      <c r="DH144" s="33"/>
      <c r="DI144" s="33"/>
      <c r="DJ144" s="33"/>
      <c r="DK144" s="33"/>
      <c r="DL144" s="33"/>
      <c r="DM144" s="33"/>
      <c r="DN144" s="33"/>
      <c r="DO144" s="33"/>
      <c r="DP144" s="33"/>
      <c r="DQ144" s="33"/>
      <c r="DR144" s="33"/>
      <c r="DS144" s="33"/>
      <c r="DT144" s="33"/>
      <c r="DU144" s="33"/>
      <c r="DV144" s="33"/>
      <c r="DW144" s="33"/>
      <c r="DX144" s="33"/>
      <c r="DY144" s="33"/>
      <c r="DZ144" s="33"/>
      <c r="EA144" s="33"/>
      <c r="EB144" s="33"/>
      <c r="EC144" s="33"/>
      <c r="ED144" s="33"/>
      <c r="EE144" s="33"/>
      <c r="EF144" s="33"/>
      <c r="EG144" s="33"/>
      <c r="EH144" s="33"/>
      <c r="EI144" s="33"/>
      <c r="EJ144" s="33"/>
      <c r="EK144" s="33"/>
      <c r="EL144" s="33"/>
      <c r="EM144" s="33"/>
      <c r="EN144" s="33"/>
      <c r="EO144" s="33"/>
      <c r="EP144" s="33"/>
      <c r="EQ144" s="33"/>
      <c r="ER144" s="33"/>
      <c r="ES144" s="33"/>
      <c r="ET144" s="33"/>
      <c r="EU144" s="33"/>
      <c r="EV144" s="33"/>
      <c r="EW144" s="33"/>
      <c r="EX144" s="33"/>
      <c r="EY144" s="33"/>
      <c r="EZ144" s="33"/>
      <c r="FA144" s="33"/>
      <c r="FB144" s="33"/>
      <c r="FC144" s="33"/>
      <c r="FD144" s="33"/>
      <c r="FE144" s="33"/>
      <c r="FF144" s="33"/>
      <c r="FG144" s="33"/>
      <c r="FH144" s="33"/>
      <c r="FI144" s="33"/>
      <c r="FJ144" s="33"/>
      <c r="FK144" s="33"/>
      <c r="FL144" s="33"/>
      <c r="FM144" s="33"/>
      <c r="FN144" s="33"/>
      <c r="FO144" s="33"/>
      <c r="FP144" s="33"/>
      <c r="FQ144" s="33"/>
      <c r="FR144" s="33"/>
      <c r="FS144" s="33"/>
      <c r="FT144" s="33"/>
      <c r="FU144" s="33"/>
      <c r="FV144" s="33"/>
      <c r="FW144" s="33"/>
      <c r="FX144" s="33"/>
      <c r="FY144" s="33"/>
      <c r="FZ144" s="33"/>
      <c r="GA144" s="33"/>
      <c r="GB144" s="33"/>
      <c r="GC144" s="33"/>
      <c r="GD144" s="33"/>
      <c r="GE144" s="33"/>
      <c r="GF144" s="33"/>
      <c r="GG144" s="33"/>
      <c r="GH144" s="33"/>
      <c r="GI144" s="33"/>
      <c r="GJ144" s="33"/>
      <c r="GK144" s="33"/>
      <c r="GL144" s="33"/>
      <c r="GM144" s="33"/>
      <c r="GN144" s="33"/>
      <c r="GO144" s="33"/>
      <c r="GP144" s="33"/>
      <c r="GQ144" s="33"/>
      <c r="GR144" s="33"/>
      <c r="GS144" s="33"/>
      <c r="GT144" s="33"/>
      <c r="GU144" s="33"/>
      <c r="GV144" s="33"/>
      <c r="GW144" s="33"/>
      <c r="GX144" s="33"/>
      <c r="GY144" s="33"/>
      <c r="GZ144" s="33"/>
      <c r="HA144" s="33"/>
      <c r="HB144" s="33"/>
      <c r="HC144" s="33"/>
      <c r="HD144" s="33"/>
      <c r="HE144" s="33"/>
      <c r="HF144" s="33"/>
      <c r="HG144" s="33"/>
      <c r="HH144" s="33"/>
    </row>
    <row r="145" spans="1:216" ht="15.75" customHeight="1" x14ac:dyDescent="0.3">
      <c r="A145" s="7"/>
      <c r="B145" s="45"/>
      <c r="C145" s="46"/>
      <c r="D145" s="48"/>
      <c r="E145" s="54"/>
      <c r="F145" s="39"/>
      <c r="G145" s="20"/>
      <c r="H145" s="20"/>
      <c r="I145" s="20"/>
      <c r="J145" s="20"/>
      <c r="K145" s="20"/>
      <c r="L145" s="20"/>
      <c r="M145" s="20"/>
      <c r="N145" s="20"/>
      <c r="O145" s="20"/>
      <c r="P145" s="32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  <c r="DM145" s="33"/>
      <c r="DN145" s="33"/>
      <c r="DO145" s="33"/>
      <c r="DP145" s="33"/>
      <c r="DQ145" s="33"/>
      <c r="DR145" s="33"/>
      <c r="DS145" s="33"/>
      <c r="DT145" s="33"/>
      <c r="DU145" s="33"/>
      <c r="DV145" s="33"/>
      <c r="DW145" s="33"/>
      <c r="DX145" s="33"/>
      <c r="DY145" s="33"/>
      <c r="DZ145" s="33"/>
      <c r="EA145" s="33"/>
      <c r="EB145" s="33"/>
      <c r="EC145" s="33"/>
      <c r="ED145" s="33"/>
      <c r="EE145" s="33"/>
      <c r="EF145" s="33"/>
      <c r="EG145" s="33"/>
      <c r="EH145" s="33"/>
      <c r="EI145" s="33"/>
      <c r="EJ145" s="33"/>
      <c r="EK145" s="33"/>
      <c r="EL145" s="33"/>
      <c r="EM145" s="33"/>
      <c r="EN145" s="33"/>
      <c r="EO145" s="33"/>
      <c r="EP145" s="33"/>
      <c r="EQ145" s="33"/>
      <c r="ER145" s="33"/>
      <c r="ES145" s="33"/>
      <c r="ET145" s="33"/>
      <c r="EU145" s="33"/>
      <c r="EV145" s="33"/>
      <c r="EW145" s="33"/>
      <c r="EX145" s="33"/>
      <c r="EY145" s="33"/>
      <c r="EZ145" s="33"/>
      <c r="FA145" s="33"/>
      <c r="FB145" s="33"/>
      <c r="FC145" s="33"/>
      <c r="FD145" s="33"/>
      <c r="FE145" s="33"/>
      <c r="FF145" s="33"/>
      <c r="FG145" s="33"/>
      <c r="FH145" s="33"/>
      <c r="FI145" s="33"/>
      <c r="FJ145" s="33"/>
      <c r="FK145" s="33"/>
      <c r="FL145" s="33"/>
      <c r="FM145" s="33"/>
      <c r="FN145" s="33"/>
      <c r="FO145" s="33"/>
      <c r="FP145" s="33"/>
      <c r="FQ145" s="33"/>
      <c r="FR145" s="33"/>
      <c r="FS145" s="33"/>
      <c r="FT145" s="33"/>
      <c r="FU145" s="33"/>
      <c r="FV145" s="33"/>
      <c r="FW145" s="33"/>
      <c r="FX145" s="33"/>
      <c r="FY145" s="33"/>
      <c r="FZ145" s="33"/>
      <c r="GA145" s="33"/>
      <c r="GB145" s="33"/>
      <c r="GC145" s="33"/>
      <c r="GD145" s="33"/>
      <c r="GE145" s="33"/>
      <c r="GF145" s="33"/>
      <c r="GG145" s="33"/>
      <c r="GH145" s="33"/>
      <c r="GI145" s="33"/>
      <c r="GJ145" s="33"/>
      <c r="GK145" s="33"/>
      <c r="GL145" s="33"/>
      <c r="GM145" s="33"/>
      <c r="GN145" s="33"/>
      <c r="GO145" s="33"/>
      <c r="GP145" s="33"/>
      <c r="GQ145" s="33"/>
      <c r="GR145" s="33"/>
      <c r="GS145" s="33"/>
      <c r="GT145" s="33"/>
      <c r="GU145" s="33"/>
      <c r="GV145" s="33"/>
      <c r="GW145" s="33"/>
      <c r="GX145" s="33"/>
      <c r="GY145" s="33"/>
      <c r="GZ145" s="33"/>
      <c r="HA145" s="33"/>
      <c r="HB145" s="33"/>
      <c r="HC145" s="33"/>
      <c r="HD145" s="33"/>
      <c r="HE145" s="33"/>
      <c r="HF145" s="33"/>
      <c r="HG145" s="33"/>
      <c r="HH145" s="33"/>
    </row>
    <row r="146" spans="1:216" ht="15.75" customHeight="1" x14ac:dyDescent="0.3">
      <c r="A146" s="7"/>
      <c r="B146" s="45"/>
      <c r="C146" s="46"/>
      <c r="D146" s="48"/>
      <c r="E146" s="54"/>
      <c r="F146" s="39"/>
      <c r="G146" s="20"/>
      <c r="H146" s="20"/>
      <c r="I146" s="20"/>
      <c r="J146" s="20"/>
      <c r="K146" s="20"/>
      <c r="L146" s="20"/>
      <c r="M146" s="20"/>
      <c r="N146" s="20"/>
      <c r="O146" s="20"/>
      <c r="P146" s="32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33"/>
      <c r="CX146" s="33"/>
      <c r="CY146" s="33"/>
      <c r="CZ146" s="33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3"/>
      <c r="DL146" s="33"/>
      <c r="DM146" s="33"/>
      <c r="DN146" s="33"/>
      <c r="DO146" s="33"/>
      <c r="DP146" s="33"/>
      <c r="DQ146" s="33"/>
      <c r="DR146" s="33"/>
      <c r="DS146" s="33"/>
      <c r="DT146" s="33"/>
      <c r="DU146" s="33"/>
      <c r="DV146" s="33"/>
      <c r="DW146" s="33"/>
      <c r="DX146" s="33"/>
      <c r="DY146" s="33"/>
      <c r="DZ146" s="33"/>
      <c r="EA146" s="33"/>
      <c r="EB146" s="33"/>
      <c r="EC146" s="33"/>
      <c r="ED146" s="33"/>
      <c r="EE146" s="33"/>
      <c r="EF146" s="33"/>
      <c r="EG146" s="33"/>
      <c r="EH146" s="33"/>
      <c r="EI146" s="33"/>
      <c r="EJ146" s="33"/>
      <c r="EK146" s="33"/>
      <c r="EL146" s="33"/>
      <c r="EM146" s="33"/>
      <c r="EN146" s="33"/>
      <c r="EO146" s="33"/>
      <c r="EP146" s="33"/>
      <c r="EQ146" s="33"/>
      <c r="ER146" s="33"/>
      <c r="ES146" s="33"/>
      <c r="ET146" s="33"/>
      <c r="EU146" s="33"/>
      <c r="EV146" s="33"/>
      <c r="EW146" s="33"/>
      <c r="EX146" s="33"/>
      <c r="EY146" s="33"/>
      <c r="EZ146" s="33"/>
      <c r="FA146" s="33"/>
      <c r="FB146" s="33"/>
      <c r="FC146" s="33"/>
      <c r="FD146" s="33"/>
      <c r="FE146" s="33"/>
      <c r="FF146" s="33"/>
      <c r="FG146" s="33"/>
      <c r="FH146" s="33"/>
      <c r="FI146" s="33"/>
      <c r="FJ146" s="33"/>
      <c r="FK146" s="33"/>
      <c r="FL146" s="33"/>
      <c r="FM146" s="33"/>
      <c r="FN146" s="33"/>
      <c r="FO146" s="33"/>
      <c r="FP146" s="33"/>
      <c r="FQ146" s="33"/>
      <c r="FR146" s="33"/>
      <c r="FS146" s="33"/>
      <c r="FT146" s="33"/>
      <c r="FU146" s="33"/>
      <c r="FV146" s="33"/>
      <c r="FW146" s="33"/>
      <c r="FX146" s="33"/>
      <c r="FY146" s="33"/>
      <c r="FZ146" s="33"/>
      <c r="GA146" s="33"/>
      <c r="GB146" s="33"/>
      <c r="GC146" s="33"/>
      <c r="GD146" s="33"/>
      <c r="GE146" s="33"/>
      <c r="GF146" s="33"/>
      <c r="GG146" s="33"/>
      <c r="GH146" s="33"/>
      <c r="GI146" s="33"/>
      <c r="GJ146" s="33"/>
      <c r="GK146" s="33"/>
      <c r="GL146" s="33"/>
      <c r="GM146" s="33"/>
      <c r="GN146" s="33"/>
      <c r="GO146" s="33"/>
      <c r="GP146" s="33"/>
      <c r="GQ146" s="33"/>
      <c r="GR146" s="33"/>
      <c r="GS146" s="33"/>
      <c r="GT146" s="33"/>
      <c r="GU146" s="33"/>
      <c r="GV146" s="33"/>
      <c r="GW146" s="33"/>
      <c r="GX146" s="33"/>
      <c r="GY146" s="33"/>
      <c r="GZ146" s="33"/>
      <c r="HA146" s="33"/>
      <c r="HB146" s="33"/>
      <c r="HC146" s="33"/>
      <c r="HD146" s="33"/>
      <c r="HE146" s="33"/>
      <c r="HF146" s="33"/>
      <c r="HG146" s="33"/>
      <c r="HH146" s="33"/>
    </row>
    <row r="147" spans="1:216" ht="15.75" customHeight="1" x14ac:dyDescent="0.3">
      <c r="A147" s="7"/>
      <c r="B147" s="45"/>
      <c r="C147" s="46"/>
      <c r="D147" s="48"/>
      <c r="E147" s="54"/>
      <c r="F147" s="39"/>
      <c r="G147" s="20"/>
      <c r="H147" s="20"/>
      <c r="I147" s="20"/>
      <c r="J147" s="20"/>
      <c r="K147" s="20"/>
      <c r="L147" s="20"/>
      <c r="M147" s="20"/>
      <c r="N147" s="20"/>
      <c r="O147" s="20"/>
      <c r="P147" s="32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  <c r="CW147" s="33"/>
      <c r="CX147" s="33"/>
      <c r="CY147" s="33"/>
      <c r="CZ147" s="33"/>
      <c r="DA147" s="33"/>
      <c r="DB147" s="33"/>
      <c r="DC147" s="33"/>
      <c r="DD147" s="33"/>
      <c r="DE147" s="33"/>
      <c r="DF147" s="33"/>
      <c r="DG147" s="33"/>
      <c r="DH147" s="33"/>
      <c r="DI147" s="33"/>
      <c r="DJ147" s="33"/>
      <c r="DK147" s="33"/>
      <c r="DL147" s="33"/>
      <c r="DM147" s="33"/>
      <c r="DN147" s="33"/>
      <c r="DO147" s="33"/>
      <c r="DP147" s="33"/>
      <c r="DQ147" s="33"/>
      <c r="DR147" s="33"/>
      <c r="DS147" s="33"/>
      <c r="DT147" s="33"/>
      <c r="DU147" s="33"/>
      <c r="DV147" s="33"/>
      <c r="DW147" s="33"/>
      <c r="DX147" s="33"/>
      <c r="DY147" s="33"/>
      <c r="DZ147" s="33"/>
      <c r="EA147" s="33"/>
      <c r="EB147" s="33"/>
      <c r="EC147" s="33"/>
      <c r="ED147" s="33"/>
      <c r="EE147" s="33"/>
      <c r="EF147" s="33"/>
      <c r="EG147" s="33"/>
      <c r="EH147" s="33"/>
      <c r="EI147" s="33"/>
      <c r="EJ147" s="33"/>
      <c r="EK147" s="33"/>
      <c r="EL147" s="33"/>
      <c r="EM147" s="33"/>
      <c r="EN147" s="33"/>
      <c r="EO147" s="33"/>
      <c r="EP147" s="33"/>
      <c r="EQ147" s="33"/>
      <c r="ER147" s="33"/>
      <c r="ES147" s="33"/>
      <c r="ET147" s="33"/>
      <c r="EU147" s="33"/>
      <c r="EV147" s="33"/>
      <c r="EW147" s="33"/>
      <c r="EX147" s="33"/>
      <c r="EY147" s="33"/>
      <c r="EZ147" s="33"/>
      <c r="FA147" s="33"/>
      <c r="FB147" s="33"/>
      <c r="FC147" s="33"/>
      <c r="FD147" s="33"/>
      <c r="FE147" s="33"/>
      <c r="FF147" s="33"/>
      <c r="FG147" s="33"/>
      <c r="FH147" s="33"/>
      <c r="FI147" s="33"/>
      <c r="FJ147" s="33"/>
      <c r="FK147" s="33"/>
      <c r="FL147" s="33"/>
      <c r="FM147" s="33"/>
      <c r="FN147" s="33"/>
      <c r="FO147" s="33"/>
      <c r="FP147" s="33"/>
      <c r="FQ147" s="33"/>
      <c r="FR147" s="33"/>
      <c r="FS147" s="33"/>
      <c r="FT147" s="33"/>
      <c r="FU147" s="33"/>
      <c r="FV147" s="33"/>
      <c r="FW147" s="33"/>
      <c r="FX147" s="33"/>
      <c r="FY147" s="33"/>
      <c r="FZ147" s="33"/>
      <c r="GA147" s="33"/>
      <c r="GB147" s="33"/>
      <c r="GC147" s="33"/>
      <c r="GD147" s="33"/>
      <c r="GE147" s="33"/>
      <c r="GF147" s="33"/>
      <c r="GG147" s="33"/>
      <c r="GH147" s="33"/>
      <c r="GI147" s="33"/>
      <c r="GJ147" s="33"/>
      <c r="GK147" s="33"/>
      <c r="GL147" s="33"/>
      <c r="GM147" s="33"/>
      <c r="GN147" s="33"/>
      <c r="GO147" s="33"/>
      <c r="GP147" s="33"/>
      <c r="GQ147" s="33"/>
      <c r="GR147" s="33"/>
      <c r="GS147" s="33"/>
      <c r="GT147" s="33"/>
      <c r="GU147" s="33"/>
      <c r="GV147" s="33"/>
      <c r="GW147" s="33"/>
      <c r="GX147" s="33"/>
      <c r="GY147" s="33"/>
      <c r="GZ147" s="33"/>
      <c r="HA147" s="33"/>
      <c r="HB147" s="33"/>
      <c r="HC147" s="33"/>
      <c r="HD147" s="33"/>
      <c r="HE147" s="33"/>
      <c r="HF147" s="33"/>
      <c r="HG147" s="33"/>
      <c r="HH147" s="33"/>
    </row>
    <row r="148" spans="1:216" ht="15.75" customHeight="1" x14ac:dyDescent="0.3">
      <c r="A148" s="7"/>
      <c r="B148" s="45"/>
      <c r="C148" s="46"/>
      <c r="D148" s="48"/>
      <c r="E148" s="54"/>
      <c r="F148" s="39"/>
      <c r="G148" s="20"/>
      <c r="H148" s="20"/>
      <c r="I148" s="20"/>
      <c r="J148" s="20"/>
      <c r="K148" s="20"/>
      <c r="L148" s="20"/>
      <c r="M148" s="20"/>
      <c r="N148" s="20"/>
      <c r="O148" s="20"/>
      <c r="P148" s="32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  <c r="DL148" s="33"/>
      <c r="DM148" s="33"/>
      <c r="DN148" s="33"/>
      <c r="DO148" s="33"/>
      <c r="DP148" s="33"/>
      <c r="DQ148" s="33"/>
      <c r="DR148" s="33"/>
      <c r="DS148" s="33"/>
      <c r="DT148" s="33"/>
      <c r="DU148" s="33"/>
      <c r="DV148" s="33"/>
      <c r="DW148" s="33"/>
      <c r="DX148" s="33"/>
      <c r="DY148" s="33"/>
      <c r="DZ148" s="33"/>
      <c r="EA148" s="33"/>
      <c r="EB148" s="33"/>
      <c r="EC148" s="33"/>
      <c r="ED148" s="33"/>
      <c r="EE148" s="33"/>
      <c r="EF148" s="33"/>
      <c r="EG148" s="33"/>
      <c r="EH148" s="33"/>
      <c r="EI148" s="33"/>
      <c r="EJ148" s="33"/>
      <c r="EK148" s="33"/>
      <c r="EL148" s="33"/>
      <c r="EM148" s="33"/>
      <c r="EN148" s="33"/>
      <c r="EO148" s="33"/>
      <c r="EP148" s="33"/>
      <c r="EQ148" s="33"/>
      <c r="ER148" s="33"/>
      <c r="ES148" s="33"/>
      <c r="ET148" s="33"/>
      <c r="EU148" s="33"/>
      <c r="EV148" s="33"/>
      <c r="EW148" s="33"/>
      <c r="EX148" s="33"/>
      <c r="EY148" s="33"/>
      <c r="EZ148" s="33"/>
      <c r="FA148" s="33"/>
      <c r="FB148" s="33"/>
      <c r="FC148" s="33"/>
      <c r="FD148" s="33"/>
      <c r="FE148" s="33"/>
      <c r="FF148" s="33"/>
      <c r="FG148" s="33"/>
      <c r="FH148" s="33"/>
      <c r="FI148" s="33"/>
      <c r="FJ148" s="33"/>
      <c r="FK148" s="33"/>
      <c r="FL148" s="33"/>
      <c r="FM148" s="33"/>
      <c r="FN148" s="33"/>
      <c r="FO148" s="33"/>
      <c r="FP148" s="33"/>
      <c r="FQ148" s="33"/>
      <c r="FR148" s="33"/>
      <c r="FS148" s="33"/>
      <c r="FT148" s="33"/>
      <c r="FU148" s="33"/>
      <c r="FV148" s="33"/>
      <c r="FW148" s="33"/>
      <c r="FX148" s="33"/>
      <c r="FY148" s="33"/>
      <c r="FZ148" s="33"/>
      <c r="GA148" s="33"/>
      <c r="GB148" s="33"/>
      <c r="GC148" s="33"/>
      <c r="GD148" s="33"/>
      <c r="GE148" s="33"/>
      <c r="GF148" s="33"/>
      <c r="GG148" s="33"/>
      <c r="GH148" s="33"/>
      <c r="GI148" s="33"/>
      <c r="GJ148" s="33"/>
      <c r="GK148" s="33"/>
      <c r="GL148" s="33"/>
      <c r="GM148" s="33"/>
      <c r="GN148" s="33"/>
      <c r="GO148" s="33"/>
      <c r="GP148" s="33"/>
      <c r="GQ148" s="33"/>
      <c r="GR148" s="33"/>
      <c r="GS148" s="33"/>
      <c r="GT148" s="33"/>
      <c r="GU148" s="33"/>
      <c r="GV148" s="33"/>
      <c r="GW148" s="33"/>
      <c r="GX148" s="33"/>
      <c r="GY148" s="33"/>
      <c r="GZ148" s="33"/>
      <c r="HA148" s="33"/>
      <c r="HB148" s="33"/>
      <c r="HC148" s="33"/>
      <c r="HD148" s="33"/>
      <c r="HE148" s="33"/>
      <c r="HF148" s="33"/>
      <c r="HG148" s="33"/>
      <c r="HH148" s="33"/>
    </row>
    <row r="149" spans="1:216" ht="15.75" customHeight="1" x14ac:dyDescent="0.3">
      <c r="A149" s="7"/>
      <c r="B149" s="45"/>
      <c r="C149" s="46"/>
      <c r="D149" s="48"/>
      <c r="E149" s="54"/>
      <c r="F149" s="39"/>
      <c r="G149" s="20"/>
      <c r="H149" s="20"/>
      <c r="I149" s="20"/>
      <c r="J149" s="20"/>
      <c r="K149" s="20"/>
      <c r="L149" s="20"/>
      <c r="M149" s="20"/>
      <c r="N149" s="20"/>
      <c r="O149" s="20"/>
      <c r="P149" s="32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/>
      <c r="CW149" s="33"/>
      <c r="CX149" s="33"/>
      <c r="CY149" s="33"/>
      <c r="CZ149" s="33"/>
      <c r="DA149" s="33"/>
      <c r="DB149" s="33"/>
      <c r="DC149" s="33"/>
      <c r="DD149" s="33"/>
      <c r="DE149" s="33"/>
      <c r="DF149" s="33"/>
      <c r="DG149" s="33"/>
      <c r="DH149" s="33"/>
      <c r="DI149" s="33"/>
      <c r="DJ149" s="33"/>
      <c r="DK149" s="33"/>
      <c r="DL149" s="33"/>
      <c r="DM149" s="33"/>
      <c r="DN149" s="33"/>
      <c r="DO149" s="33"/>
      <c r="DP149" s="33"/>
      <c r="DQ149" s="33"/>
      <c r="DR149" s="33"/>
      <c r="DS149" s="33"/>
      <c r="DT149" s="33"/>
      <c r="DU149" s="33"/>
      <c r="DV149" s="33"/>
      <c r="DW149" s="33"/>
      <c r="DX149" s="33"/>
      <c r="DY149" s="33"/>
      <c r="DZ149" s="33"/>
      <c r="EA149" s="33"/>
      <c r="EB149" s="33"/>
      <c r="EC149" s="33"/>
      <c r="ED149" s="33"/>
      <c r="EE149" s="33"/>
      <c r="EF149" s="33"/>
      <c r="EG149" s="33"/>
      <c r="EH149" s="33"/>
      <c r="EI149" s="33"/>
      <c r="EJ149" s="33"/>
      <c r="EK149" s="33"/>
      <c r="EL149" s="33"/>
      <c r="EM149" s="33"/>
      <c r="EN149" s="33"/>
      <c r="EO149" s="33"/>
      <c r="EP149" s="33"/>
      <c r="EQ149" s="33"/>
      <c r="ER149" s="33"/>
      <c r="ES149" s="33"/>
      <c r="ET149" s="33"/>
      <c r="EU149" s="33"/>
      <c r="EV149" s="33"/>
      <c r="EW149" s="33"/>
      <c r="EX149" s="33"/>
      <c r="EY149" s="33"/>
      <c r="EZ149" s="33"/>
      <c r="FA149" s="33"/>
      <c r="FB149" s="33"/>
      <c r="FC149" s="33"/>
      <c r="FD149" s="33"/>
      <c r="FE149" s="33"/>
      <c r="FF149" s="33"/>
      <c r="FG149" s="33"/>
      <c r="FH149" s="33"/>
      <c r="FI149" s="33"/>
      <c r="FJ149" s="33"/>
      <c r="FK149" s="33"/>
      <c r="FL149" s="33"/>
      <c r="FM149" s="33"/>
      <c r="FN149" s="33"/>
      <c r="FO149" s="33"/>
      <c r="FP149" s="33"/>
      <c r="FQ149" s="33"/>
      <c r="FR149" s="33"/>
      <c r="FS149" s="33"/>
      <c r="FT149" s="33"/>
      <c r="FU149" s="33"/>
      <c r="FV149" s="33"/>
      <c r="FW149" s="33"/>
      <c r="FX149" s="33"/>
      <c r="FY149" s="33"/>
      <c r="FZ149" s="33"/>
      <c r="GA149" s="33"/>
      <c r="GB149" s="33"/>
      <c r="GC149" s="33"/>
      <c r="GD149" s="33"/>
      <c r="GE149" s="33"/>
      <c r="GF149" s="33"/>
      <c r="GG149" s="33"/>
      <c r="GH149" s="33"/>
      <c r="GI149" s="33"/>
      <c r="GJ149" s="33"/>
      <c r="GK149" s="33"/>
      <c r="GL149" s="33"/>
      <c r="GM149" s="33"/>
      <c r="GN149" s="33"/>
      <c r="GO149" s="33"/>
      <c r="GP149" s="33"/>
      <c r="GQ149" s="33"/>
      <c r="GR149" s="33"/>
      <c r="GS149" s="33"/>
      <c r="GT149" s="33"/>
      <c r="GU149" s="33"/>
      <c r="GV149" s="33"/>
      <c r="GW149" s="33"/>
      <c r="GX149" s="33"/>
      <c r="GY149" s="33"/>
      <c r="GZ149" s="33"/>
      <c r="HA149" s="33"/>
      <c r="HB149" s="33"/>
      <c r="HC149" s="33"/>
      <c r="HD149" s="33"/>
      <c r="HE149" s="33"/>
      <c r="HF149" s="33"/>
      <c r="HG149" s="33"/>
      <c r="HH149" s="33"/>
    </row>
    <row r="150" spans="1:216" ht="15.75" customHeight="1" x14ac:dyDescent="0.3">
      <c r="A150" s="7"/>
      <c r="B150" s="45"/>
      <c r="C150" s="46"/>
      <c r="D150" s="48"/>
      <c r="E150" s="54"/>
      <c r="F150" s="39"/>
      <c r="G150" s="20"/>
      <c r="H150" s="20"/>
      <c r="I150" s="20"/>
      <c r="J150" s="20"/>
      <c r="K150" s="20"/>
      <c r="L150" s="20"/>
      <c r="M150" s="20"/>
      <c r="N150" s="20"/>
      <c r="O150" s="20"/>
      <c r="P150" s="32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3"/>
      <c r="CC150" s="33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/>
      <c r="CW150" s="33"/>
      <c r="CX150" s="33"/>
      <c r="CY150" s="33"/>
      <c r="CZ150" s="33"/>
      <c r="DA150" s="33"/>
      <c r="DB150" s="33"/>
      <c r="DC150" s="33"/>
      <c r="DD150" s="33"/>
      <c r="DE150" s="33"/>
      <c r="DF150" s="33"/>
      <c r="DG150" s="33"/>
      <c r="DH150" s="33"/>
      <c r="DI150" s="33"/>
      <c r="DJ150" s="33"/>
      <c r="DK150" s="33"/>
      <c r="DL150" s="33"/>
      <c r="DM150" s="33"/>
      <c r="DN150" s="33"/>
      <c r="DO150" s="33"/>
      <c r="DP150" s="33"/>
      <c r="DQ150" s="33"/>
      <c r="DR150" s="33"/>
      <c r="DS150" s="33"/>
      <c r="DT150" s="33"/>
      <c r="DU150" s="33"/>
      <c r="DV150" s="33"/>
      <c r="DW150" s="33"/>
      <c r="DX150" s="33"/>
      <c r="DY150" s="33"/>
      <c r="DZ150" s="33"/>
      <c r="EA150" s="33"/>
      <c r="EB150" s="33"/>
      <c r="EC150" s="33"/>
      <c r="ED150" s="33"/>
      <c r="EE150" s="33"/>
      <c r="EF150" s="33"/>
      <c r="EG150" s="33"/>
      <c r="EH150" s="33"/>
      <c r="EI150" s="33"/>
      <c r="EJ150" s="33"/>
      <c r="EK150" s="33"/>
      <c r="EL150" s="33"/>
      <c r="EM150" s="33"/>
      <c r="EN150" s="33"/>
      <c r="EO150" s="33"/>
      <c r="EP150" s="33"/>
      <c r="EQ150" s="33"/>
      <c r="ER150" s="33"/>
      <c r="ES150" s="33"/>
      <c r="ET150" s="33"/>
      <c r="EU150" s="33"/>
      <c r="EV150" s="33"/>
      <c r="EW150" s="33"/>
      <c r="EX150" s="33"/>
      <c r="EY150" s="33"/>
      <c r="EZ150" s="33"/>
      <c r="FA150" s="33"/>
      <c r="FB150" s="33"/>
      <c r="FC150" s="33"/>
      <c r="FD150" s="33"/>
      <c r="FE150" s="33"/>
      <c r="FF150" s="33"/>
      <c r="FG150" s="33"/>
      <c r="FH150" s="33"/>
      <c r="FI150" s="33"/>
      <c r="FJ150" s="33"/>
      <c r="FK150" s="33"/>
      <c r="FL150" s="33"/>
      <c r="FM150" s="33"/>
      <c r="FN150" s="33"/>
      <c r="FO150" s="33"/>
      <c r="FP150" s="33"/>
      <c r="FQ150" s="33"/>
      <c r="FR150" s="33"/>
      <c r="FS150" s="33"/>
      <c r="FT150" s="33"/>
      <c r="FU150" s="33"/>
      <c r="FV150" s="33"/>
      <c r="FW150" s="33"/>
      <c r="FX150" s="33"/>
      <c r="FY150" s="33"/>
      <c r="FZ150" s="33"/>
      <c r="GA150" s="33"/>
      <c r="GB150" s="33"/>
      <c r="GC150" s="33"/>
      <c r="GD150" s="33"/>
      <c r="GE150" s="33"/>
      <c r="GF150" s="33"/>
      <c r="GG150" s="33"/>
      <c r="GH150" s="33"/>
      <c r="GI150" s="33"/>
      <c r="GJ150" s="33"/>
      <c r="GK150" s="33"/>
      <c r="GL150" s="33"/>
      <c r="GM150" s="33"/>
      <c r="GN150" s="33"/>
      <c r="GO150" s="33"/>
      <c r="GP150" s="33"/>
      <c r="GQ150" s="33"/>
      <c r="GR150" s="33"/>
      <c r="GS150" s="33"/>
      <c r="GT150" s="33"/>
      <c r="GU150" s="33"/>
      <c r="GV150" s="33"/>
      <c r="GW150" s="33"/>
      <c r="GX150" s="33"/>
      <c r="GY150" s="33"/>
      <c r="GZ150" s="33"/>
      <c r="HA150" s="33"/>
      <c r="HB150" s="33"/>
      <c r="HC150" s="33"/>
      <c r="HD150" s="33"/>
      <c r="HE150" s="33"/>
      <c r="HF150" s="33"/>
      <c r="HG150" s="33"/>
      <c r="HH150" s="33"/>
    </row>
    <row r="151" spans="1:216" ht="15.75" customHeight="1" x14ac:dyDescent="0.3">
      <c r="A151" s="6" t="s">
        <v>26</v>
      </c>
      <c r="B151" s="84" t="s">
        <v>51</v>
      </c>
      <c r="C151" s="87"/>
      <c r="D151" s="88"/>
      <c r="E151" s="5">
        <f>SUM(E141:E150)</f>
        <v>19</v>
      </c>
      <c r="F151" s="39"/>
      <c r="G151" s="20"/>
      <c r="H151" s="20"/>
      <c r="I151" s="20"/>
      <c r="J151" s="20"/>
      <c r="K151" s="20"/>
      <c r="L151" s="20"/>
      <c r="M151" s="20"/>
      <c r="N151" s="20"/>
      <c r="O151" s="20"/>
      <c r="P151" s="32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3"/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33"/>
      <c r="CT151" s="33"/>
      <c r="CU151" s="33"/>
      <c r="CV151" s="33"/>
      <c r="CW151" s="33"/>
      <c r="CX151" s="33"/>
      <c r="CY151" s="33"/>
      <c r="CZ151" s="33"/>
      <c r="DA151" s="33"/>
      <c r="DB151" s="33"/>
      <c r="DC151" s="33"/>
      <c r="DD151" s="33"/>
      <c r="DE151" s="33"/>
      <c r="DF151" s="33"/>
      <c r="DG151" s="33"/>
      <c r="DH151" s="33"/>
      <c r="DI151" s="33"/>
      <c r="DJ151" s="33"/>
      <c r="DK151" s="33"/>
      <c r="DL151" s="33"/>
      <c r="DM151" s="33"/>
      <c r="DN151" s="33"/>
      <c r="DO151" s="33"/>
      <c r="DP151" s="33"/>
      <c r="DQ151" s="33"/>
      <c r="DR151" s="33"/>
      <c r="DS151" s="33"/>
      <c r="DT151" s="33"/>
      <c r="DU151" s="33"/>
      <c r="DV151" s="33"/>
      <c r="DW151" s="33"/>
      <c r="DX151" s="33"/>
      <c r="DY151" s="33"/>
      <c r="DZ151" s="33"/>
      <c r="EA151" s="33"/>
      <c r="EB151" s="33"/>
      <c r="EC151" s="33"/>
      <c r="ED151" s="33"/>
      <c r="EE151" s="33"/>
      <c r="EF151" s="33"/>
      <c r="EG151" s="33"/>
      <c r="EH151" s="33"/>
      <c r="EI151" s="33"/>
      <c r="EJ151" s="33"/>
      <c r="EK151" s="33"/>
      <c r="EL151" s="33"/>
      <c r="EM151" s="33"/>
      <c r="EN151" s="33"/>
      <c r="EO151" s="33"/>
      <c r="EP151" s="33"/>
      <c r="EQ151" s="33"/>
      <c r="ER151" s="33"/>
      <c r="ES151" s="33"/>
      <c r="ET151" s="33"/>
      <c r="EU151" s="33"/>
      <c r="EV151" s="33"/>
      <c r="EW151" s="33"/>
      <c r="EX151" s="33"/>
      <c r="EY151" s="33"/>
      <c r="EZ151" s="33"/>
      <c r="FA151" s="33"/>
      <c r="FB151" s="33"/>
      <c r="FC151" s="33"/>
      <c r="FD151" s="33"/>
      <c r="FE151" s="33"/>
      <c r="FF151" s="33"/>
      <c r="FG151" s="33"/>
      <c r="FH151" s="33"/>
      <c r="FI151" s="33"/>
      <c r="FJ151" s="33"/>
      <c r="FK151" s="33"/>
      <c r="FL151" s="33"/>
      <c r="FM151" s="33"/>
      <c r="FN151" s="33"/>
      <c r="FO151" s="33"/>
      <c r="FP151" s="33"/>
      <c r="FQ151" s="33"/>
      <c r="FR151" s="33"/>
      <c r="FS151" s="33"/>
      <c r="FT151" s="33"/>
      <c r="FU151" s="33"/>
      <c r="FV151" s="33"/>
      <c r="FW151" s="33"/>
      <c r="FX151" s="33"/>
      <c r="FY151" s="33"/>
      <c r="FZ151" s="33"/>
      <c r="GA151" s="33"/>
      <c r="GB151" s="33"/>
      <c r="GC151" s="33"/>
      <c r="GD151" s="33"/>
      <c r="GE151" s="33"/>
      <c r="GF151" s="33"/>
      <c r="GG151" s="33"/>
      <c r="GH151" s="33"/>
      <c r="GI151" s="33"/>
      <c r="GJ151" s="33"/>
      <c r="GK151" s="33"/>
      <c r="GL151" s="33"/>
      <c r="GM151" s="33"/>
      <c r="GN151" s="33"/>
      <c r="GO151" s="33"/>
      <c r="GP151" s="33"/>
      <c r="GQ151" s="33"/>
      <c r="GR151" s="33"/>
      <c r="GS151" s="33"/>
      <c r="GT151" s="33"/>
      <c r="GU151" s="33"/>
      <c r="GV151" s="33"/>
      <c r="GW151" s="33"/>
      <c r="GX151" s="33"/>
      <c r="GY151" s="33"/>
      <c r="GZ151" s="33"/>
      <c r="HA151" s="33"/>
      <c r="HB151" s="33"/>
      <c r="HC151" s="33"/>
      <c r="HD151" s="33"/>
      <c r="HE151" s="33"/>
      <c r="HF151" s="33"/>
      <c r="HG151" s="33"/>
      <c r="HH151" s="33"/>
    </row>
    <row r="152" spans="1:216" ht="15.75" customHeight="1" x14ac:dyDescent="0.3">
      <c r="A152" s="62"/>
      <c r="B152" s="89"/>
      <c r="C152" s="89"/>
      <c r="D152" s="89"/>
      <c r="E152" s="90"/>
      <c r="F152" s="40"/>
      <c r="G152" s="1"/>
      <c r="H152" s="1"/>
      <c r="I152" s="1"/>
      <c r="J152" s="1"/>
      <c r="K152" s="1"/>
      <c r="L152" s="1"/>
      <c r="M152" s="1"/>
      <c r="N152" s="1"/>
      <c r="O152" s="1"/>
      <c r="P152" s="34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  <c r="DY152" s="31"/>
      <c r="DZ152" s="31"/>
      <c r="EA152" s="31"/>
      <c r="EB152" s="31"/>
      <c r="EC152" s="31"/>
      <c r="ED152" s="31"/>
      <c r="EE152" s="31"/>
      <c r="EF152" s="31"/>
      <c r="EG152" s="31"/>
      <c r="EH152" s="31"/>
      <c r="EI152" s="31"/>
      <c r="EJ152" s="31"/>
      <c r="EK152" s="31"/>
      <c r="EL152" s="31"/>
      <c r="EM152" s="31"/>
      <c r="EN152" s="31"/>
      <c r="EO152" s="31"/>
      <c r="EP152" s="31"/>
      <c r="EQ152" s="31"/>
      <c r="ER152" s="31"/>
      <c r="ES152" s="31"/>
      <c r="ET152" s="31"/>
      <c r="EU152" s="31"/>
      <c r="EV152" s="31"/>
      <c r="EW152" s="31"/>
      <c r="EX152" s="31"/>
      <c r="EY152" s="31"/>
      <c r="EZ152" s="31"/>
      <c r="FA152" s="31"/>
      <c r="FB152" s="31"/>
      <c r="FC152" s="31"/>
      <c r="FD152" s="31"/>
      <c r="FE152" s="31"/>
      <c r="FF152" s="31"/>
      <c r="FG152" s="31"/>
      <c r="FH152" s="31"/>
      <c r="FI152" s="31"/>
      <c r="FJ152" s="31"/>
      <c r="FK152" s="31"/>
      <c r="FL152" s="31"/>
      <c r="FM152" s="31"/>
      <c r="FN152" s="31"/>
      <c r="FO152" s="31"/>
      <c r="FP152" s="31"/>
      <c r="FQ152" s="31"/>
      <c r="FR152" s="31"/>
      <c r="FS152" s="31"/>
      <c r="FT152" s="31"/>
      <c r="FU152" s="31"/>
      <c r="FV152" s="31"/>
      <c r="FW152" s="31"/>
      <c r="FX152" s="31"/>
      <c r="FY152" s="31"/>
      <c r="FZ152" s="31"/>
      <c r="GA152" s="31"/>
      <c r="GB152" s="31"/>
      <c r="GC152" s="31"/>
      <c r="GD152" s="31"/>
      <c r="GE152" s="31"/>
      <c r="GF152" s="31"/>
      <c r="GG152" s="31"/>
      <c r="GH152" s="31"/>
      <c r="GI152" s="31"/>
      <c r="GJ152" s="31"/>
      <c r="GK152" s="31"/>
      <c r="GL152" s="31"/>
      <c r="GM152" s="31"/>
      <c r="GN152" s="31"/>
      <c r="GO152" s="31"/>
      <c r="GP152" s="31"/>
      <c r="GQ152" s="31"/>
      <c r="GR152" s="31"/>
      <c r="GS152" s="31"/>
      <c r="GT152" s="31"/>
      <c r="GU152" s="31"/>
      <c r="GV152" s="31"/>
      <c r="GW152" s="31"/>
      <c r="GX152" s="31"/>
      <c r="GY152" s="31"/>
      <c r="GZ152" s="31"/>
      <c r="HA152" s="31"/>
      <c r="HB152" s="31"/>
      <c r="HC152" s="31"/>
      <c r="HD152" s="31"/>
      <c r="HE152" s="31"/>
      <c r="HF152" s="31"/>
      <c r="HG152" s="31"/>
      <c r="HH152" s="31"/>
    </row>
    <row r="153" spans="1:216" ht="15.75" customHeight="1" x14ac:dyDescent="0.3">
      <c r="A153" s="11" t="s">
        <v>48</v>
      </c>
      <c r="B153" s="44" t="s">
        <v>65</v>
      </c>
      <c r="C153" s="91" t="s">
        <v>66</v>
      </c>
      <c r="D153" s="78"/>
      <c r="E153" s="9">
        <f>ALASMALANG!V153+'BENELAN KIDUL'!S153+CANTUK!T153+GAMBOR!N153+GUMIRIH!S153+KEMIRI!U153+LEMAHBANGKULON!Q153+PADANG!Q153+SINGOJURUH!AC153+SINGOLATREN!T153+SUMBERBARU!S153</f>
        <v>21</v>
      </c>
      <c r="F153" s="42"/>
      <c r="G153" s="27"/>
      <c r="H153" s="27"/>
      <c r="I153" s="27"/>
      <c r="J153" s="27"/>
      <c r="K153" s="27"/>
      <c r="L153" s="27"/>
      <c r="M153" s="27"/>
      <c r="N153" s="27"/>
      <c r="O153" s="27"/>
      <c r="P153" s="37"/>
      <c r="Q153" s="30"/>
      <c r="R153" s="30"/>
      <c r="S153" s="30"/>
      <c r="T153" s="30"/>
      <c r="U153" s="30"/>
      <c r="V153" s="30"/>
      <c r="W153" s="38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0"/>
      <c r="BM153" s="30"/>
      <c r="BN153" s="30"/>
      <c r="BO153" s="30"/>
      <c r="BP153" s="30"/>
      <c r="BQ153" s="30"/>
      <c r="BR153" s="38"/>
      <c r="BS153" s="30"/>
      <c r="BT153" s="30"/>
      <c r="BU153" s="30"/>
      <c r="BV153" s="30"/>
      <c r="BW153" s="30"/>
      <c r="BX153" s="30"/>
      <c r="BY153" s="30"/>
      <c r="BZ153" s="30"/>
      <c r="CA153" s="38"/>
      <c r="CB153" s="38"/>
      <c r="CC153" s="38"/>
      <c r="CD153" s="38"/>
      <c r="CE153" s="38"/>
      <c r="CF153" s="38"/>
      <c r="CG153" s="38"/>
      <c r="CH153" s="38"/>
      <c r="CI153" s="38"/>
      <c r="CJ153" s="38"/>
      <c r="CK153" s="38"/>
      <c r="CL153" s="38"/>
      <c r="CM153" s="38"/>
      <c r="CN153" s="38"/>
      <c r="CO153" s="38"/>
      <c r="CP153" s="38"/>
      <c r="CQ153" s="38"/>
      <c r="CR153" s="38"/>
      <c r="CS153" s="38"/>
      <c r="CT153" s="38"/>
      <c r="CU153" s="38"/>
      <c r="CV153" s="38"/>
      <c r="CW153" s="38"/>
      <c r="CX153" s="38"/>
      <c r="CY153" s="38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8"/>
      <c r="DL153" s="38"/>
      <c r="DM153" s="38"/>
      <c r="DN153" s="38"/>
      <c r="DO153" s="38"/>
      <c r="DP153" s="38"/>
      <c r="DQ153" s="38"/>
      <c r="DR153" s="38"/>
      <c r="DS153" s="38"/>
      <c r="DT153" s="38"/>
      <c r="DU153" s="38"/>
      <c r="DV153" s="38"/>
      <c r="DW153" s="38"/>
      <c r="DX153" s="38"/>
      <c r="DY153" s="38"/>
      <c r="DZ153" s="38"/>
      <c r="EA153" s="38"/>
      <c r="EB153" s="38"/>
      <c r="EC153" s="38"/>
      <c r="ED153" s="38"/>
      <c r="EE153" s="38"/>
      <c r="EF153" s="38"/>
      <c r="EG153" s="38"/>
      <c r="EH153" s="38"/>
      <c r="EI153" s="38"/>
      <c r="EJ153" s="38"/>
      <c r="EK153" s="38"/>
      <c r="EL153" s="38"/>
      <c r="EM153" s="30"/>
      <c r="EN153" s="30"/>
      <c r="EO153" s="30"/>
      <c r="EP153" s="30"/>
      <c r="EQ153" s="30"/>
      <c r="ER153" s="30"/>
      <c r="ES153" s="30"/>
      <c r="ET153" s="30"/>
      <c r="EU153" s="30"/>
      <c r="EV153" s="30"/>
      <c r="EW153" s="30"/>
      <c r="EX153" s="30"/>
      <c r="EY153" s="38"/>
      <c r="EZ153" s="38"/>
      <c r="FA153" s="38"/>
      <c r="FB153" s="38"/>
      <c r="FC153" s="38"/>
      <c r="FD153" s="38"/>
      <c r="FE153" s="38"/>
      <c r="FF153" s="30"/>
      <c r="FG153" s="30"/>
      <c r="FH153" s="30"/>
      <c r="FI153" s="30"/>
      <c r="FJ153" s="38"/>
      <c r="FK153" s="38"/>
      <c r="FL153" s="38"/>
      <c r="FM153" s="38"/>
      <c r="FN153" s="38"/>
      <c r="FO153" s="38"/>
      <c r="FP153" s="38"/>
      <c r="FQ153" s="38"/>
      <c r="FR153" s="38"/>
      <c r="FS153" s="38"/>
      <c r="FT153" s="38"/>
      <c r="FU153" s="38"/>
      <c r="FV153" s="38"/>
      <c r="FW153" s="38"/>
      <c r="FX153" s="38"/>
      <c r="FY153" s="38"/>
      <c r="FZ153" s="38"/>
      <c r="GA153" s="38"/>
      <c r="GB153" s="38"/>
      <c r="GC153" s="38"/>
      <c r="GD153" s="38"/>
      <c r="GE153" s="38"/>
      <c r="GF153" s="38"/>
      <c r="GG153" s="38"/>
      <c r="GH153" s="38"/>
      <c r="GI153" s="38"/>
      <c r="GJ153" s="38"/>
      <c r="GK153" s="38"/>
      <c r="GL153" s="38"/>
      <c r="GM153" s="38"/>
      <c r="GN153" s="38"/>
      <c r="GO153" s="38"/>
      <c r="GP153" s="38"/>
      <c r="GQ153" s="38"/>
      <c r="GR153" s="38"/>
      <c r="GS153" s="38"/>
      <c r="GT153" s="38"/>
      <c r="GU153" s="38"/>
      <c r="GV153" s="38"/>
      <c r="GW153" s="38"/>
      <c r="GX153" s="38"/>
      <c r="GY153" s="38"/>
      <c r="GZ153" s="38"/>
      <c r="HA153" s="38"/>
      <c r="HB153" s="38"/>
      <c r="HC153" s="38"/>
      <c r="HD153" s="38"/>
      <c r="HE153" s="38"/>
      <c r="HF153" s="38"/>
      <c r="HG153" s="38"/>
      <c r="HH153" s="38"/>
    </row>
    <row r="154" spans="1:216" ht="15.75" customHeight="1" x14ac:dyDescent="0.3">
      <c r="A154" s="52" t="s">
        <v>50</v>
      </c>
      <c r="B154" s="50"/>
      <c r="C154" s="24" t="s">
        <v>179</v>
      </c>
      <c r="D154" s="49"/>
      <c r="E154" s="9">
        <f>ALASMALANG!V154+'BENELAN KIDUL'!S154+CANTUK!T154+GAMBOR!N154+GUMIRIH!S154+KEMIRI!U154+LEMAHBANGKULON!Q154+PADANG!Q154+SINGOJURUH!AC154+SINGOLATREN!T154+SUMBERBARU!S154</f>
        <v>38</v>
      </c>
      <c r="F154" s="39"/>
      <c r="G154" s="20"/>
      <c r="H154" s="20"/>
      <c r="I154" s="20"/>
      <c r="J154" s="20"/>
      <c r="K154" s="20"/>
      <c r="L154" s="20"/>
      <c r="M154" s="20"/>
      <c r="N154" s="20"/>
      <c r="O154" s="20"/>
      <c r="P154" s="32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/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33"/>
      <c r="CX154" s="33"/>
      <c r="CY154" s="33"/>
      <c r="CZ154" s="33"/>
      <c r="DA154" s="33"/>
      <c r="DB154" s="33"/>
      <c r="DC154" s="33"/>
      <c r="DD154" s="33"/>
      <c r="DE154" s="33"/>
      <c r="DF154" s="33"/>
      <c r="DG154" s="33"/>
      <c r="DH154" s="33"/>
      <c r="DI154" s="33"/>
      <c r="DJ154" s="33"/>
      <c r="DK154" s="33"/>
      <c r="DL154" s="33"/>
      <c r="DM154" s="33"/>
      <c r="DN154" s="33"/>
      <c r="DO154" s="33"/>
      <c r="DP154" s="33"/>
      <c r="DQ154" s="33"/>
      <c r="DR154" s="33"/>
      <c r="DS154" s="33"/>
      <c r="DT154" s="33"/>
      <c r="DU154" s="33"/>
      <c r="DV154" s="33"/>
      <c r="DW154" s="33"/>
      <c r="DX154" s="33"/>
      <c r="DY154" s="33"/>
      <c r="DZ154" s="33"/>
      <c r="EA154" s="33"/>
      <c r="EB154" s="33"/>
      <c r="EC154" s="33"/>
      <c r="ED154" s="33"/>
      <c r="EE154" s="33"/>
      <c r="EF154" s="33"/>
      <c r="EG154" s="33"/>
      <c r="EH154" s="33"/>
      <c r="EI154" s="33"/>
      <c r="EJ154" s="33"/>
      <c r="EK154" s="33"/>
      <c r="EL154" s="33"/>
      <c r="EM154" s="33"/>
      <c r="EN154" s="33"/>
      <c r="EO154" s="33"/>
      <c r="EP154" s="33"/>
      <c r="EQ154" s="33"/>
      <c r="ER154" s="33"/>
      <c r="ES154" s="33"/>
      <c r="ET154" s="33"/>
      <c r="EU154" s="33"/>
      <c r="EV154" s="33"/>
      <c r="EW154" s="33"/>
      <c r="EX154" s="33"/>
      <c r="EY154" s="33"/>
      <c r="EZ154" s="33"/>
      <c r="FA154" s="33"/>
      <c r="FB154" s="33"/>
      <c r="FC154" s="33"/>
      <c r="FD154" s="33"/>
      <c r="FE154" s="33"/>
      <c r="FF154" s="33"/>
      <c r="FG154" s="33"/>
      <c r="FH154" s="33"/>
      <c r="FI154" s="33"/>
      <c r="FJ154" s="33"/>
      <c r="FK154" s="33"/>
      <c r="FL154" s="33"/>
      <c r="FM154" s="33"/>
      <c r="FN154" s="33"/>
      <c r="FO154" s="33"/>
      <c r="FP154" s="33"/>
      <c r="FQ154" s="33"/>
      <c r="FR154" s="33"/>
      <c r="FS154" s="33"/>
      <c r="FT154" s="33"/>
      <c r="FU154" s="33"/>
      <c r="FV154" s="33"/>
      <c r="FW154" s="33"/>
      <c r="FX154" s="33"/>
      <c r="FY154" s="33"/>
      <c r="FZ154" s="33"/>
      <c r="GA154" s="33"/>
      <c r="GB154" s="33"/>
      <c r="GC154" s="33"/>
      <c r="GD154" s="33"/>
      <c r="GE154" s="33"/>
      <c r="GF154" s="33"/>
      <c r="GG154" s="33"/>
      <c r="GH154" s="33"/>
      <c r="GI154" s="33"/>
      <c r="GJ154" s="33"/>
      <c r="GK154" s="33"/>
      <c r="GL154" s="33"/>
      <c r="GM154" s="33"/>
      <c r="GN154" s="33"/>
      <c r="GO154" s="33"/>
      <c r="GP154" s="33"/>
      <c r="GQ154" s="33"/>
      <c r="GR154" s="33"/>
      <c r="GS154" s="33"/>
      <c r="GT154" s="33"/>
      <c r="GU154" s="33"/>
      <c r="GV154" s="33"/>
      <c r="GW154" s="33"/>
      <c r="GX154" s="33"/>
      <c r="GY154" s="33"/>
      <c r="GZ154" s="33"/>
      <c r="HA154" s="33"/>
      <c r="HB154" s="33"/>
      <c r="HC154" s="33"/>
      <c r="HD154" s="33"/>
      <c r="HE154" s="33"/>
      <c r="HF154" s="33"/>
      <c r="HG154" s="33"/>
      <c r="HH154" s="33"/>
    </row>
    <row r="155" spans="1:216" ht="15.75" customHeight="1" x14ac:dyDescent="0.3">
      <c r="A155" s="7"/>
      <c r="B155" s="50"/>
      <c r="C155" s="24" t="s">
        <v>180</v>
      </c>
      <c r="D155" s="49"/>
      <c r="E155" s="9">
        <f>ALASMALANG!V155+'BENELAN KIDUL'!S155+CANTUK!T155+GAMBOR!N155+GUMIRIH!S155+KEMIRI!U155+LEMAHBANGKULON!Q155+PADANG!Q155+SINGOJURUH!AC155+SINGOLATREN!T155+SUMBERBARU!S155</f>
        <v>10</v>
      </c>
      <c r="F155" s="39"/>
      <c r="G155" s="20"/>
      <c r="H155" s="20"/>
      <c r="I155" s="20"/>
      <c r="J155" s="20"/>
      <c r="K155" s="20"/>
      <c r="L155" s="20"/>
      <c r="M155" s="20"/>
      <c r="N155" s="20"/>
      <c r="O155" s="20"/>
      <c r="P155" s="32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  <c r="DM155" s="33"/>
      <c r="DN155" s="33"/>
      <c r="DO155" s="33"/>
      <c r="DP155" s="33"/>
      <c r="DQ155" s="33"/>
      <c r="DR155" s="33"/>
      <c r="DS155" s="33"/>
      <c r="DT155" s="33"/>
      <c r="DU155" s="33"/>
      <c r="DV155" s="33"/>
      <c r="DW155" s="33"/>
      <c r="DX155" s="33"/>
      <c r="DY155" s="33"/>
      <c r="DZ155" s="33"/>
      <c r="EA155" s="33"/>
      <c r="EB155" s="33"/>
      <c r="EC155" s="33"/>
      <c r="ED155" s="33"/>
      <c r="EE155" s="33"/>
      <c r="EF155" s="33"/>
      <c r="EG155" s="33"/>
      <c r="EH155" s="33"/>
      <c r="EI155" s="33"/>
      <c r="EJ155" s="33"/>
      <c r="EK155" s="33"/>
      <c r="EL155" s="33"/>
      <c r="EM155" s="33"/>
      <c r="EN155" s="33"/>
      <c r="EO155" s="33"/>
      <c r="EP155" s="33"/>
      <c r="EQ155" s="33"/>
      <c r="ER155" s="33"/>
      <c r="ES155" s="33"/>
      <c r="ET155" s="33"/>
      <c r="EU155" s="33"/>
      <c r="EV155" s="33"/>
      <c r="EW155" s="33"/>
      <c r="EX155" s="33"/>
      <c r="EY155" s="33"/>
      <c r="EZ155" s="33"/>
      <c r="FA155" s="33"/>
      <c r="FB155" s="33"/>
      <c r="FC155" s="33"/>
      <c r="FD155" s="33"/>
      <c r="FE155" s="33"/>
      <c r="FF155" s="33"/>
      <c r="FG155" s="33"/>
      <c r="FH155" s="33"/>
      <c r="FI155" s="33"/>
      <c r="FJ155" s="33"/>
      <c r="FK155" s="33"/>
      <c r="FL155" s="33"/>
      <c r="FM155" s="33"/>
      <c r="FN155" s="33"/>
      <c r="FO155" s="33"/>
      <c r="FP155" s="33"/>
      <c r="FQ155" s="33"/>
      <c r="FR155" s="33"/>
      <c r="FS155" s="33"/>
      <c r="FT155" s="33"/>
      <c r="FU155" s="33"/>
      <c r="FV155" s="33"/>
      <c r="FW155" s="33"/>
      <c r="FX155" s="33"/>
      <c r="FY155" s="33"/>
      <c r="FZ155" s="33"/>
      <c r="GA155" s="33"/>
      <c r="GB155" s="33"/>
      <c r="GC155" s="33"/>
      <c r="GD155" s="33"/>
      <c r="GE155" s="33"/>
      <c r="GF155" s="33"/>
      <c r="GG155" s="33"/>
      <c r="GH155" s="33"/>
      <c r="GI155" s="33"/>
      <c r="GJ155" s="33"/>
      <c r="GK155" s="33"/>
      <c r="GL155" s="33"/>
      <c r="GM155" s="33"/>
      <c r="GN155" s="33"/>
      <c r="GO155" s="33"/>
      <c r="GP155" s="33"/>
      <c r="GQ155" s="33"/>
      <c r="GR155" s="33"/>
      <c r="GS155" s="33"/>
      <c r="GT155" s="33"/>
      <c r="GU155" s="33"/>
      <c r="GV155" s="33"/>
      <c r="GW155" s="33"/>
      <c r="GX155" s="33"/>
      <c r="GY155" s="33"/>
      <c r="GZ155" s="33"/>
      <c r="HA155" s="33"/>
      <c r="HB155" s="33"/>
      <c r="HC155" s="33"/>
      <c r="HD155" s="33"/>
      <c r="HE155" s="33"/>
      <c r="HF155" s="33"/>
      <c r="HG155" s="33"/>
      <c r="HH155" s="33"/>
    </row>
    <row r="156" spans="1:216" ht="15.75" customHeight="1" x14ac:dyDescent="0.3">
      <c r="A156" s="7"/>
      <c r="B156" s="50"/>
      <c r="C156" s="24" t="s">
        <v>181</v>
      </c>
      <c r="D156" s="49"/>
      <c r="E156" s="9">
        <f>ALASMALANG!V156+'BENELAN KIDUL'!S156+CANTUK!T156+GAMBOR!N156+GUMIRIH!S156+KEMIRI!U156+LEMAHBANGKULON!Q156+PADANG!Q156+SINGOJURUH!AC156+SINGOLATREN!T156+SUMBERBARU!S156</f>
        <v>8</v>
      </c>
      <c r="F156" s="39"/>
      <c r="G156" s="20"/>
      <c r="H156" s="20"/>
      <c r="I156" s="20"/>
      <c r="J156" s="20"/>
      <c r="K156" s="20"/>
      <c r="L156" s="20"/>
      <c r="M156" s="20"/>
      <c r="N156" s="20"/>
      <c r="O156" s="20"/>
      <c r="P156" s="32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3"/>
      <c r="CX156" s="33"/>
      <c r="CY156" s="33"/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  <c r="DL156" s="33"/>
      <c r="DM156" s="33"/>
      <c r="DN156" s="33"/>
      <c r="DO156" s="33"/>
      <c r="DP156" s="33"/>
      <c r="DQ156" s="33"/>
      <c r="DR156" s="33"/>
      <c r="DS156" s="33"/>
      <c r="DT156" s="33"/>
      <c r="DU156" s="33"/>
      <c r="DV156" s="33"/>
      <c r="DW156" s="33"/>
      <c r="DX156" s="33"/>
      <c r="DY156" s="33"/>
      <c r="DZ156" s="33"/>
      <c r="EA156" s="33"/>
      <c r="EB156" s="33"/>
      <c r="EC156" s="33"/>
      <c r="ED156" s="33"/>
      <c r="EE156" s="33"/>
      <c r="EF156" s="33"/>
      <c r="EG156" s="33"/>
      <c r="EH156" s="33"/>
      <c r="EI156" s="33"/>
      <c r="EJ156" s="33"/>
      <c r="EK156" s="33"/>
      <c r="EL156" s="33"/>
      <c r="EM156" s="33"/>
      <c r="EN156" s="33"/>
      <c r="EO156" s="33"/>
      <c r="EP156" s="33"/>
      <c r="EQ156" s="33"/>
      <c r="ER156" s="33"/>
      <c r="ES156" s="33"/>
      <c r="ET156" s="33"/>
      <c r="EU156" s="33"/>
      <c r="EV156" s="33"/>
      <c r="EW156" s="33"/>
      <c r="EX156" s="33"/>
      <c r="EY156" s="33"/>
      <c r="EZ156" s="33"/>
      <c r="FA156" s="33"/>
      <c r="FB156" s="33"/>
      <c r="FC156" s="33"/>
      <c r="FD156" s="33"/>
      <c r="FE156" s="33"/>
      <c r="FF156" s="33"/>
      <c r="FG156" s="33"/>
      <c r="FH156" s="33"/>
      <c r="FI156" s="33"/>
      <c r="FJ156" s="33"/>
      <c r="FK156" s="33"/>
      <c r="FL156" s="33"/>
      <c r="FM156" s="33"/>
      <c r="FN156" s="33"/>
      <c r="FO156" s="33"/>
      <c r="FP156" s="33"/>
      <c r="FQ156" s="33"/>
      <c r="FR156" s="33"/>
      <c r="FS156" s="33"/>
      <c r="FT156" s="33"/>
      <c r="FU156" s="33"/>
      <c r="FV156" s="33"/>
      <c r="FW156" s="33"/>
      <c r="FX156" s="33"/>
      <c r="FY156" s="33"/>
      <c r="FZ156" s="33"/>
      <c r="GA156" s="33"/>
      <c r="GB156" s="33"/>
      <c r="GC156" s="33"/>
      <c r="GD156" s="33"/>
      <c r="GE156" s="33"/>
      <c r="GF156" s="33"/>
      <c r="GG156" s="33"/>
      <c r="GH156" s="33"/>
      <c r="GI156" s="33"/>
      <c r="GJ156" s="33"/>
      <c r="GK156" s="33"/>
      <c r="GL156" s="33"/>
      <c r="GM156" s="33"/>
      <c r="GN156" s="33"/>
      <c r="GO156" s="33"/>
      <c r="GP156" s="33"/>
      <c r="GQ156" s="33"/>
      <c r="GR156" s="33"/>
      <c r="GS156" s="33"/>
      <c r="GT156" s="33"/>
      <c r="GU156" s="33"/>
      <c r="GV156" s="33"/>
      <c r="GW156" s="33"/>
      <c r="GX156" s="33"/>
      <c r="GY156" s="33"/>
      <c r="GZ156" s="33"/>
      <c r="HA156" s="33"/>
      <c r="HB156" s="33"/>
      <c r="HC156" s="33"/>
      <c r="HD156" s="33"/>
      <c r="HE156" s="33"/>
      <c r="HF156" s="33"/>
      <c r="HG156" s="33"/>
      <c r="HH156" s="33"/>
    </row>
    <row r="157" spans="1:216" ht="15.75" customHeight="1" x14ac:dyDescent="0.3">
      <c r="A157" s="7"/>
      <c r="B157" s="50"/>
      <c r="C157" s="24" t="s">
        <v>182</v>
      </c>
      <c r="D157" s="49"/>
      <c r="E157" s="9">
        <f>ALASMALANG!V157+'BENELAN KIDUL'!S157+CANTUK!T157+GAMBOR!N157+GUMIRIH!S157+KEMIRI!U157+LEMAHBANGKULON!Q157+PADANG!Q157+SINGOJURUH!AC157+SINGOLATREN!T157+SUMBERBARU!S157</f>
        <v>10</v>
      </c>
      <c r="F157" s="39"/>
      <c r="G157" s="20"/>
      <c r="H157" s="20"/>
      <c r="I157" s="20"/>
      <c r="J157" s="20"/>
      <c r="K157" s="20"/>
      <c r="L157" s="20"/>
      <c r="M157" s="20"/>
      <c r="N157" s="20"/>
      <c r="O157" s="20"/>
      <c r="P157" s="32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  <c r="DM157" s="33"/>
      <c r="DN157" s="33"/>
      <c r="DO157" s="33"/>
      <c r="DP157" s="33"/>
      <c r="DQ157" s="33"/>
      <c r="DR157" s="33"/>
      <c r="DS157" s="33"/>
      <c r="DT157" s="33"/>
      <c r="DU157" s="33"/>
      <c r="DV157" s="33"/>
      <c r="DW157" s="33"/>
      <c r="DX157" s="33"/>
      <c r="DY157" s="33"/>
      <c r="DZ157" s="33"/>
      <c r="EA157" s="33"/>
      <c r="EB157" s="33"/>
      <c r="EC157" s="33"/>
      <c r="ED157" s="33"/>
      <c r="EE157" s="33"/>
      <c r="EF157" s="33"/>
      <c r="EG157" s="33"/>
      <c r="EH157" s="33"/>
      <c r="EI157" s="33"/>
      <c r="EJ157" s="33"/>
      <c r="EK157" s="33"/>
      <c r="EL157" s="33"/>
      <c r="EM157" s="33"/>
      <c r="EN157" s="33"/>
      <c r="EO157" s="33"/>
      <c r="EP157" s="33"/>
      <c r="EQ157" s="33"/>
      <c r="ER157" s="33"/>
      <c r="ES157" s="33"/>
      <c r="ET157" s="33"/>
      <c r="EU157" s="33"/>
      <c r="EV157" s="33"/>
      <c r="EW157" s="33"/>
      <c r="EX157" s="33"/>
      <c r="EY157" s="33"/>
      <c r="EZ157" s="33"/>
      <c r="FA157" s="33"/>
      <c r="FB157" s="33"/>
      <c r="FC157" s="33"/>
      <c r="FD157" s="33"/>
      <c r="FE157" s="33"/>
      <c r="FF157" s="33"/>
      <c r="FG157" s="33"/>
      <c r="FH157" s="33"/>
      <c r="FI157" s="33"/>
      <c r="FJ157" s="33"/>
      <c r="FK157" s="33"/>
      <c r="FL157" s="33"/>
      <c r="FM157" s="33"/>
      <c r="FN157" s="33"/>
      <c r="FO157" s="33"/>
      <c r="FP157" s="33"/>
      <c r="FQ157" s="33"/>
      <c r="FR157" s="33"/>
      <c r="FS157" s="33"/>
      <c r="FT157" s="33"/>
      <c r="FU157" s="33"/>
      <c r="FV157" s="33"/>
      <c r="FW157" s="33"/>
      <c r="FX157" s="33"/>
      <c r="FY157" s="33"/>
      <c r="FZ157" s="33"/>
      <c r="GA157" s="33"/>
      <c r="GB157" s="33"/>
      <c r="GC157" s="33"/>
      <c r="GD157" s="33"/>
      <c r="GE157" s="33"/>
      <c r="GF157" s="33"/>
      <c r="GG157" s="33"/>
      <c r="GH157" s="33"/>
      <c r="GI157" s="33"/>
      <c r="GJ157" s="33"/>
      <c r="GK157" s="33"/>
      <c r="GL157" s="33"/>
      <c r="GM157" s="33"/>
      <c r="GN157" s="33"/>
      <c r="GO157" s="33"/>
      <c r="GP157" s="33"/>
      <c r="GQ157" s="33"/>
      <c r="GR157" s="33"/>
      <c r="GS157" s="33"/>
      <c r="GT157" s="33"/>
      <c r="GU157" s="33"/>
      <c r="GV157" s="33"/>
      <c r="GW157" s="33"/>
      <c r="GX157" s="33"/>
      <c r="GY157" s="33"/>
      <c r="GZ157" s="33"/>
      <c r="HA157" s="33"/>
      <c r="HB157" s="33"/>
      <c r="HC157" s="33"/>
      <c r="HD157" s="33"/>
      <c r="HE157" s="33"/>
      <c r="HF157" s="33"/>
      <c r="HG157" s="33"/>
      <c r="HH157" s="33"/>
    </row>
    <row r="158" spans="1:216" ht="15.75" customHeight="1" x14ac:dyDescent="0.3">
      <c r="A158" s="7"/>
      <c r="B158" s="50"/>
      <c r="C158" s="24" t="s">
        <v>183</v>
      </c>
      <c r="D158" s="49"/>
      <c r="E158" s="9">
        <f>ALASMALANG!V158+'BENELAN KIDUL'!S158+CANTUK!T158+GAMBOR!N158+GUMIRIH!S158+KEMIRI!U158+LEMAHBANGKULON!Q158+PADANG!Q158+SINGOJURUH!AC158+SINGOLATREN!T158+SUMBERBARU!S158</f>
        <v>1</v>
      </c>
      <c r="F158" s="39"/>
      <c r="G158" s="20"/>
      <c r="H158" s="20"/>
      <c r="I158" s="20"/>
      <c r="J158" s="20"/>
      <c r="K158" s="20"/>
      <c r="L158" s="20"/>
      <c r="M158" s="20"/>
      <c r="N158" s="20"/>
      <c r="O158" s="20"/>
      <c r="P158" s="32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3"/>
      <c r="BZ158" s="33"/>
      <c r="CA158" s="33"/>
      <c r="CB158" s="33"/>
      <c r="CC158" s="33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  <c r="CW158" s="33"/>
      <c r="CX158" s="33"/>
      <c r="CY158" s="33"/>
      <c r="CZ158" s="33"/>
      <c r="DA158" s="33"/>
      <c r="DB158" s="33"/>
      <c r="DC158" s="33"/>
      <c r="DD158" s="33"/>
      <c r="DE158" s="33"/>
      <c r="DF158" s="33"/>
      <c r="DG158" s="33"/>
      <c r="DH158" s="33"/>
      <c r="DI158" s="33"/>
      <c r="DJ158" s="33"/>
      <c r="DK158" s="33"/>
      <c r="DL158" s="33"/>
      <c r="DM158" s="33"/>
      <c r="DN158" s="33"/>
      <c r="DO158" s="33"/>
      <c r="DP158" s="33"/>
      <c r="DQ158" s="33"/>
      <c r="DR158" s="33"/>
      <c r="DS158" s="33"/>
      <c r="DT158" s="33"/>
      <c r="DU158" s="33"/>
      <c r="DV158" s="33"/>
      <c r="DW158" s="33"/>
      <c r="DX158" s="33"/>
      <c r="DY158" s="33"/>
      <c r="DZ158" s="33"/>
      <c r="EA158" s="33"/>
      <c r="EB158" s="33"/>
      <c r="EC158" s="33"/>
      <c r="ED158" s="33"/>
      <c r="EE158" s="33"/>
      <c r="EF158" s="33"/>
      <c r="EG158" s="33"/>
      <c r="EH158" s="33"/>
      <c r="EI158" s="33"/>
      <c r="EJ158" s="33"/>
      <c r="EK158" s="33"/>
      <c r="EL158" s="33"/>
      <c r="EM158" s="33"/>
      <c r="EN158" s="33"/>
      <c r="EO158" s="33"/>
      <c r="EP158" s="33"/>
      <c r="EQ158" s="33"/>
      <c r="ER158" s="33"/>
      <c r="ES158" s="33"/>
      <c r="ET158" s="33"/>
      <c r="EU158" s="33"/>
      <c r="EV158" s="33"/>
      <c r="EW158" s="33"/>
      <c r="EX158" s="33"/>
      <c r="EY158" s="33"/>
      <c r="EZ158" s="33"/>
      <c r="FA158" s="33"/>
      <c r="FB158" s="33"/>
      <c r="FC158" s="33"/>
      <c r="FD158" s="33"/>
      <c r="FE158" s="33"/>
      <c r="FF158" s="33"/>
      <c r="FG158" s="33"/>
      <c r="FH158" s="33"/>
      <c r="FI158" s="33"/>
      <c r="FJ158" s="33"/>
      <c r="FK158" s="33"/>
      <c r="FL158" s="33"/>
      <c r="FM158" s="33"/>
      <c r="FN158" s="33"/>
      <c r="FO158" s="33"/>
      <c r="FP158" s="33"/>
      <c r="FQ158" s="33"/>
      <c r="FR158" s="33"/>
      <c r="FS158" s="33"/>
      <c r="FT158" s="33"/>
      <c r="FU158" s="33"/>
      <c r="FV158" s="33"/>
      <c r="FW158" s="33"/>
      <c r="FX158" s="33"/>
      <c r="FY158" s="33"/>
      <c r="FZ158" s="33"/>
      <c r="GA158" s="33"/>
      <c r="GB158" s="33"/>
      <c r="GC158" s="33"/>
      <c r="GD158" s="33"/>
      <c r="GE158" s="33"/>
      <c r="GF158" s="33"/>
      <c r="GG158" s="33"/>
      <c r="GH158" s="33"/>
      <c r="GI158" s="33"/>
      <c r="GJ158" s="33"/>
      <c r="GK158" s="33"/>
      <c r="GL158" s="33"/>
      <c r="GM158" s="33"/>
      <c r="GN158" s="33"/>
      <c r="GO158" s="33"/>
      <c r="GP158" s="33"/>
      <c r="GQ158" s="33"/>
      <c r="GR158" s="33"/>
      <c r="GS158" s="33"/>
      <c r="GT158" s="33"/>
      <c r="GU158" s="33"/>
      <c r="GV158" s="33"/>
      <c r="GW158" s="33"/>
      <c r="GX158" s="33"/>
      <c r="GY158" s="33"/>
      <c r="GZ158" s="33"/>
      <c r="HA158" s="33"/>
      <c r="HB158" s="33"/>
      <c r="HC158" s="33"/>
      <c r="HD158" s="33"/>
      <c r="HE158" s="33"/>
      <c r="HF158" s="33"/>
      <c r="HG158" s="33"/>
      <c r="HH158" s="33"/>
    </row>
    <row r="159" spans="1:216" ht="15.75" customHeight="1" x14ac:dyDescent="0.3">
      <c r="A159" s="7"/>
      <c r="B159" s="50"/>
      <c r="C159" s="24" t="s">
        <v>184</v>
      </c>
      <c r="D159" s="49"/>
      <c r="E159" s="9">
        <f>ALASMALANG!V159+'BENELAN KIDUL'!S159+CANTUK!T159+GAMBOR!N159+GUMIRIH!S159+KEMIRI!U159+LEMAHBANGKULON!Q159+PADANG!Q159+SINGOJURUH!AC159+SINGOLATREN!T159+SUMBERBARU!S159</f>
        <v>8</v>
      </c>
      <c r="F159" s="39"/>
      <c r="G159" s="20"/>
      <c r="H159" s="20"/>
      <c r="I159" s="20"/>
      <c r="J159" s="20"/>
      <c r="K159" s="20"/>
      <c r="L159" s="20"/>
      <c r="M159" s="20"/>
      <c r="N159" s="20"/>
      <c r="O159" s="20"/>
      <c r="P159" s="32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3"/>
      <c r="CX159" s="33"/>
      <c r="CY159" s="33"/>
      <c r="CZ159" s="33"/>
      <c r="DA159" s="33"/>
      <c r="DB159" s="33"/>
      <c r="DC159" s="33"/>
      <c r="DD159" s="33"/>
      <c r="DE159" s="33"/>
      <c r="DF159" s="33"/>
      <c r="DG159" s="33"/>
      <c r="DH159" s="33"/>
      <c r="DI159" s="33"/>
      <c r="DJ159" s="33"/>
      <c r="DK159" s="33"/>
      <c r="DL159" s="33"/>
      <c r="DM159" s="33"/>
      <c r="DN159" s="33"/>
      <c r="DO159" s="33"/>
      <c r="DP159" s="33"/>
      <c r="DQ159" s="33"/>
      <c r="DR159" s="33"/>
      <c r="DS159" s="33"/>
      <c r="DT159" s="33"/>
      <c r="DU159" s="33"/>
      <c r="DV159" s="33"/>
      <c r="DW159" s="33"/>
      <c r="DX159" s="33"/>
      <c r="DY159" s="33"/>
      <c r="DZ159" s="33"/>
      <c r="EA159" s="33"/>
      <c r="EB159" s="33"/>
      <c r="EC159" s="33"/>
      <c r="ED159" s="33"/>
      <c r="EE159" s="33"/>
      <c r="EF159" s="33"/>
      <c r="EG159" s="33"/>
      <c r="EH159" s="33"/>
      <c r="EI159" s="33"/>
      <c r="EJ159" s="33"/>
      <c r="EK159" s="33"/>
      <c r="EL159" s="33"/>
      <c r="EM159" s="33"/>
      <c r="EN159" s="33"/>
      <c r="EO159" s="33"/>
      <c r="EP159" s="33"/>
      <c r="EQ159" s="33"/>
      <c r="ER159" s="33"/>
      <c r="ES159" s="33"/>
      <c r="ET159" s="33"/>
      <c r="EU159" s="33"/>
      <c r="EV159" s="33"/>
      <c r="EW159" s="33"/>
      <c r="EX159" s="33"/>
      <c r="EY159" s="33"/>
      <c r="EZ159" s="33"/>
      <c r="FA159" s="33"/>
      <c r="FB159" s="33"/>
      <c r="FC159" s="33"/>
      <c r="FD159" s="33"/>
      <c r="FE159" s="33"/>
      <c r="FF159" s="33"/>
      <c r="FG159" s="33"/>
      <c r="FH159" s="33"/>
      <c r="FI159" s="33"/>
      <c r="FJ159" s="33"/>
      <c r="FK159" s="33"/>
      <c r="FL159" s="33"/>
      <c r="FM159" s="33"/>
      <c r="FN159" s="33"/>
      <c r="FO159" s="33"/>
      <c r="FP159" s="33"/>
      <c r="FQ159" s="33"/>
      <c r="FR159" s="33"/>
      <c r="FS159" s="33"/>
      <c r="FT159" s="33"/>
      <c r="FU159" s="33"/>
      <c r="FV159" s="33"/>
      <c r="FW159" s="33"/>
      <c r="FX159" s="33"/>
      <c r="FY159" s="33"/>
      <c r="FZ159" s="33"/>
      <c r="GA159" s="33"/>
      <c r="GB159" s="33"/>
      <c r="GC159" s="33"/>
      <c r="GD159" s="33"/>
      <c r="GE159" s="33"/>
      <c r="GF159" s="33"/>
      <c r="GG159" s="33"/>
      <c r="GH159" s="33"/>
      <c r="GI159" s="33"/>
      <c r="GJ159" s="33"/>
      <c r="GK159" s="33"/>
      <c r="GL159" s="33"/>
      <c r="GM159" s="33"/>
      <c r="GN159" s="33"/>
      <c r="GO159" s="33"/>
      <c r="GP159" s="33"/>
      <c r="GQ159" s="33"/>
      <c r="GR159" s="33"/>
      <c r="GS159" s="33"/>
      <c r="GT159" s="33"/>
      <c r="GU159" s="33"/>
      <c r="GV159" s="33"/>
      <c r="GW159" s="33"/>
      <c r="GX159" s="33"/>
      <c r="GY159" s="33"/>
      <c r="GZ159" s="33"/>
      <c r="HA159" s="33"/>
      <c r="HB159" s="33"/>
      <c r="HC159" s="33"/>
      <c r="HD159" s="33"/>
      <c r="HE159" s="33"/>
      <c r="HF159" s="33"/>
      <c r="HG159" s="33"/>
      <c r="HH159" s="33"/>
    </row>
    <row r="160" spans="1:216" ht="15.75" customHeight="1" x14ac:dyDescent="0.3">
      <c r="A160" s="7"/>
      <c r="B160" s="50"/>
      <c r="C160" s="24" t="s">
        <v>185</v>
      </c>
      <c r="D160" s="49"/>
      <c r="E160" s="9">
        <f>ALASMALANG!V160+'BENELAN KIDUL'!S160+CANTUK!T160+GAMBOR!N160+GUMIRIH!S160+KEMIRI!U160+LEMAHBANGKULON!Q160+PADANG!Q160+SINGOJURUH!AC160+SINGOLATREN!T160+SUMBERBARU!S160</f>
        <v>3</v>
      </c>
      <c r="F160" s="39"/>
      <c r="G160" s="20"/>
      <c r="H160" s="20"/>
      <c r="I160" s="20"/>
      <c r="J160" s="20"/>
      <c r="K160" s="20"/>
      <c r="L160" s="20"/>
      <c r="M160" s="20"/>
      <c r="N160" s="20"/>
      <c r="O160" s="20"/>
      <c r="P160" s="32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  <c r="CW160" s="33"/>
      <c r="CX160" s="33"/>
      <c r="CY160" s="33"/>
      <c r="CZ160" s="33"/>
      <c r="DA160" s="33"/>
      <c r="DB160" s="33"/>
      <c r="DC160" s="33"/>
      <c r="DD160" s="33"/>
      <c r="DE160" s="33"/>
      <c r="DF160" s="33"/>
      <c r="DG160" s="33"/>
      <c r="DH160" s="33"/>
      <c r="DI160" s="33"/>
      <c r="DJ160" s="33"/>
      <c r="DK160" s="33"/>
      <c r="DL160" s="33"/>
      <c r="DM160" s="33"/>
      <c r="DN160" s="33"/>
      <c r="DO160" s="33"/>
      <c r="DP160" s="33"/>
      <c r="DQ160" s="33"/>
      <c r="DR160" s="33"/>
      <c r="DS160" s="33"/>
      <c r="DT160" s="33"/>
      <c r="DU160" s="33"/>
      <c r="DV160" s="33"/>
      <c r="DW160" s="33"/>
      <c r="DX160" s="33"/>
      <c r="DY160" s="33"/>
      <c r="DZ160" s="33"/>
      <c r="EA160" s="33"/>
      <c r="EB160" s="33"/>
      <c r="EC160" s="33"/>
      <c r="ED160" s="33"/>
      <c r="EE160" s="33"/>
      <c r="EF160" s="33"/>
      <c r="EG160" s="33"/>
      <c r="EH160" s="33"/>
      <c r="EI160" s="33"/>
      <c r="EJ160" s="33"/>
      <c r="EK160" s="33"/>
      <c r="EL160" s="33"/>
      <c r="EM160" s="33"/>
      <c r="EN160" s="33"/>
      <c r="EO160" s="33"/>
      <c r="EP160" s="33"/>
      <c r="EQ160" s="33"/>
      <c r="ER160" s="33"/>
      <c r="ES160" s="33"/>
      <c r="ET160" s="33"/>
      <c r="EU160" s="33"/>
      <c r="EV160" s="33"/>
      <c r="EW160" s="33"/>
      <c r="EX160" s="33"/>
      <c r="EY160" s="33"/>
      <c r="EZ160" s="33"/>
      <c r="FA160" s="33"/>
      <c r="FB160" s="33"/>
      <c r="FC160" s="33"/>
      <c r="FD160" s="33"/>
      <c r="FE160" s="33"/>
      <c r="FF160" s="33"/>
      <c r="FG160" s="33"/>
      <c r="FH160" s="33"/>
      <c r="FI160" s="33"/>
      <c r="FJ160" s="33"/>
      <c r="FK160" s="33"/>
      <c r="FL160" s="33"/>
      <c r="FM160" s="33"/>
      <c r="FN160" s="33"/>
      <c r="FO160" s="33"/>
      <c r="FP160" s="33"/>
      <c r="FQ160" s="33"/>
      <c r="FR160" s="33"/>
      <c r="FS160" s="33"/>
      <c r="FT160" s="33"/>
      <c r="FU160" s="33"/>
      <c r="FV160" s="33"/>
      <c r="FW160" s="33"/>
      <c r="FX160" s="33"/>
      <c r="FY160" s="33"/>
      <c r="FZ160" s="33"/>
      <c r="GA160" s="33"/>
      <c r="GB160" s="33"/>
      <c r="GC160" s="33"/>
      <c r="GD160" s="33"/>
      <c r="GE160" s="33"/>
      <c r="GF160" s="33"/>
      <c r="GG160" s="33"/>
      <c r="GH160" s="33"/>
      <c r="GI160" s="33"/>
      <c r="GJ160" s="33"/>
      <c r="GK160" s="33"/>
      <c r="GL160" s="33"/>
      <c r="GM160" s="33"/>
      <c r="GN160" s="33"/>
      <c r="GO160" s="33"/>
      <c r="GP160" s="33"/>
      <c r="GQ160" s="33"/>
      <c r="GR160" s="33"/>
      <c r="GS160" s="33"/>
      <c r="GT160" s="33"/>
      <c r="GU160" s="33"/>
      <c r="GV160" s="33"/>
      <c r="GW160" s="33"/>
      <c r="GX160" s="33"/>
      <c r="GY160" s="33"/>
      <c r="GZ160" s="33"/>
      <c r="HA160" s="33"/>
      <c r="HB160" s="33"/>
      <c r="HC160" s="33"/>
      <c r="HD160" s="33"/>
      <c r="HE160" s="33"/>
      <c r="HF160" s="33"/>
      <c r="HG160" s="33"/>
      <c r="HH160" s="33"/>
    </row>
    <row r="161" spans="1:216" ht="15.75" customHeight="1" x14ac:dyDescent="0.3">
      <c r="A161" s="7"/>
      <c r="B161" s="57"/>
      <c r="C161" s="58"/>
      <c r="D161" s="59"/>
      <c r="E161" s="56"/>
      <c r="F161" s="39"/>
      <c r="G161" s="20"/>
      <c r="H161" s="20"/>
      <c r="I161" s="20"/>
      <c r="J161" s="20"/>
      <c r="K161" s="20"/>
      <c r="L161" s="20"/>
      <c r="M161" s="20"/>
      <c r="N161" s="20"/>
      <c r="O161" s="20"/>
      <c r="P161" s="32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  <c r="ED161" s="33"/>
      <c r="EE161" s="33"/>
      <c r="EF161" s="33"/>
      <c r="EG161" s="33"/>
      <c r="EH161" s="33"/>
      <c r="EI161" s="33"/>
      <c r="EJ161" s="33"/>
      <c r="EK161" s="33"/>
      <c r="EL161" s="33"/>
      <c r="EM161" s="33"/>
      <c r="EN161" s="33"/>
      <c r="EO161" s="33"/>
      <c r="EP161" s="33"/>
      <c r="EQ161" s="33"/>
      <c r="ER161" s="33"/>
      <c r="ES161" s="33"/>
      <c r="ET161" s="33"/>
      <c r="EU161" s="33"/>
      <c r="EV161" s="33"/>
      <c r="EW161" s="33"/>
      <c r="EX161" s="33"/>
      <c r="EY161" s="33"/>
      <c r="EZ161" s="33"/>
      <c r="FA161" s="33"/>
      <c r="FB161" s="33"/>
      <c r="FC161" s="33"/>
      <c r="FD161" s="33"/>
      <c r="FE161" s="33"/>
      <c r="FF161" s="33"/>
      <c r="FG161" s="33"/>
      <c r="FH161" s="33"/>
      <c r="FI161" s="33"/>
      <c r="FJ161" s="33"/>
      <c r="FK161" s="33"/>
      <c r="FL161" s="33"/>
      <c r="FM161" s="33"/>
      <c r="FN161" s="33"/>
      <c r="FO161" s="33"/>
      <c r="FP161" s="33"/>
      <c r="FQ161" s="33"/>
      <c r="FR161" s="33"/>
      <c r="FS161" s="33"/>
      <c r="FT161" s="33"/>
      <c r="FU161" s="33"/>
      <c r="FV161" s="33"/>
      <c r="FW161" s="33"/>
      <c r="FX161" s="33"/>
      <c r="FY161" s="33"/>
      <c r="FZ161" s="33"/>
      <c r="GA161" s="33"/>
      <c r="GB161" s="33"/>
      <c r="GC161" s="33"/>
      <c r="GD161" s="33"/>
      <c r="GE161" s="33"/>
      <c r="GF161" s="33"/>
      <c r="GG161" s="33"/>
      <c r="GH161" s="33"/>
      <c r="GI161" s="33"/>
      <c r="GJ161" s="33"/>
      <c r="GK161" s="33"/>
      <c r="GL161" s="33"/>
      <c r="GM161" s="33"/>
      <c r="GN161" s="33"/>
      <c r="GO161" s="33"/>
      <c r="GP161" s="33"/>
      <c r="GQ161" s="33"/>
      <c r="GR161" s="33"/>
      <c r="GS161" s="33"/>
      <c r="GT161" s="33"/>
      <c r="GU161" s="33"/>
      <c r="GV161" s="33"/>
      <c r="GW161" s="33"/>
      <c r="GX161" s="33"/>
      <c r="GY161" s="33"/>
      <c r="GZ161" s="33"/>
      <c r="HA161" s="33"/>
      <c r="HB161" s="33"/>
      <c r="HC161" s="33"/>
      <c r="HD161" s="33"/>
      <c r="HE161" s="33"/>
      <c r="HF161" s="33"/>
      <c r="HG161" s="33"/>
      <c r="HH161" s="33"/>
    </row>
    <row r="162" spans="1:216" ht="15.75" customHeight="1" x14ac:dyDescent="0.3">
      <c r="A162" s="7"/>
      <c r="B162" s="57"/>
      <c r="C162" s="58"/>
      <c r="D162" s="59"/>
      <c r="E162" s="56"/>
      <c r="F162" s="39"/>
      <c r="G162" s="20"/>
      <c r="H162" s="20"/>
      <c r="I162" s="20"/>
      <c r="J162" s="20"/>
      <c r="K162" s="20"/>
      <c r="L162" s="20"/>
      <c r="M162" s="20"/>
      <c r="N162" s="20"/>
      <c r="O162" s="20"/>
      <c r="P162" s="32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DN162" s="33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  <c r="ED162" s="33"/>
      <c r="EE162" s="33"/>
      <c r="EF162" s="33"/>
      <c r="EG162" s="33"/>
      <c r="EH162" s="33"/>
      <c r="EI162" s="33"/>
      <c r="EJ162" s="33"/>
      <c r="EK162" s="33"/>
      <c r="EL162" s="33"/>
      <c r="EM162" s="33"/>
      <c r="EN162" s="33"/>
      <c r="EO162" s="33"/>
      <c r="EP162" s="33"/>
      <c r="EQ162" s="33"/>
      <c r="ER162" s="33"/>
      <c r="ES162" s="33"/>
      <c r="ET162" s="33"/>
      <c r="EU162" s="33"/>
      <c r="EV162" s="33"/>
      <c r="EW162" s="33"/>
      <c r="EX162" s="33"/>
      <c r="EY162" s="33"/>
      <c r="EZ162" s="33"/>
      <c r="FA162" s="33"/>
      <c r="FB162" s="33"/>
      <c r="FC162" s="33"/>
      <c r="FD162" s="33"/>
      <c r="FE162" s="33"/>
      <c r="FF162" s="33"/>
      <c r="FG162" s="33"/>
      <c r="FH162" s="33"/>
      <c r="FI162" s="33"/>
      <c r="FJ162" s="33"/>
      <c r="FK162" s="33"/>
      <c r="FL162" s="33"/>
      <c r="FM162" s="33"/>
      <c r="FN162" s="33"/>
      <c r="FO162" s="33"/>
      <c r="FP162" s="33"/>
      <c r="FQ162" s="33"/>
      <c r="FR162" s="33"/>
      <c r="FS162" s="33"/>
      <c r="FT162" s="33"/>
      <c r="FU162" s="33"/>
      <c r="FV162" s="33"/>
      <c r="FW162" s="33"/>
      <c r="FX162" s="33"/>
      <c r="FY162" s="33"/>
      <c r="FZ162" s="33"/>
      <c r="GA162" s="33"/>
      <c r="GB162" s="33"/>
      <c r="GC162" s="33"/>
      <c r="GD162" s="33"/>
      <c r="GE162" s="33"/>
      <c r="GF162" s="33"/>
      <c r="GG162" s="33"/>
      <c r="GH162" s="33"/>
      <c r="GI162" s="33"/>
      <c r="GJ162" s="33"/>
      <c r="GK162" s="33"/>
      <c r="GL162" s="33"/>
      <c r="GM162" s="33"/>
      <c r="GN162" s="33"/>
      <c r="GO162" s="33"/>
      <c r="GP162" s="33"/>
      <c r="GQ162" s="33"/>
      <c r="GR162" s="33"/>
      <c r="GS162" s="33"/>
      <c r="GT162" s="33"/>
      <c r="GU162" s="33"/>
      <c r="GV162" s="33"/>
      <c r="GW162" s="33"/>
      <c r="GX162" s="33"/>
      <c r="GY162" s="33"/>
      <c r="GZ162" s="33"/>
      <c r="HA162" s="33"/>
      <c r="HB162" s="33"/>
      <c r="HC162" s="33"/>
      <c r="HD162" s="33"/>
      <c r="HE162" s="33"/>
      <c r="HF162" s="33"/>
      <c r="HG162" s="33"/>
      <c r="HH162" s="33"/>
    </row>
    <row r="163" spans="1:216" ht="15.75" customHeight="1" x14ac:dyDescent="0.3">
      <c r="A163" s="6" t="s">
        <v>26</v>
      </c>
      <c r="B163" s="92" t="s">
        <v>51</v>
      </c>
      <c r="C163" s="93"/>
      <c r="D163" s="94"/>
      <c r="E163" s="5">
        <f>SUM(E153:E162)</f>
        <v>99</v>
      </c>
      <c r="F163" s="39"/>
      <c r="G163" s="20"/>
      <c r="H163" s="20"/>
      <c r="I163" s="20"/>
      <c r="J163" s="20"/>
      <c r="K163" s="20"/>
      <c r="L163" s="20"/>
      <c r="M163" s="20"/>
      <c r="N163" s="20"/>
      <c r="O163" s="20"/>
      <c r="P163" s="32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  <c r="DM163" s="33"/>
      <c r="DN163" s="33"/>
      <c r="DO163" s="33"/>
      <c r="DP163" s="33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  <c r="ED163" s="33"/>
      <c r="EE163" s="33"/>
      <c r="EF163" s="33"/>
      <c r="EG163" s="33"/>
      <c r="EH163" s="33"/>
      <c r="EI163" s="33"/>
      <c r="EJ163" s="33"/>
      <c r="EK163" s="33"/>
      <c r="EL163" s="33"/>
      <c r="EM163" s="33"/>
      <c r="EN163" s="33"/>
      <c r="EO163" s="33"/>
      <c r="EP163" s="33"/>
      <c r="EQ163" s="33"/>
      <c r="ER163" s="33"/>
      <c r="ES163" s="33"/>
      <c r="ET163" s="33"/>
      <c r="EU163" s="33"/>
      <c r="EV163" s="33"/>
      <c r="EW163" s="33"/>
      <c r="EX163" s="33"/>
      <c r="EY163" s="33"/>
      <c r="EZ163" s="33"/>
      <c r="FA163" s="33"/>
      <c r="FB163" s="33"/>
      <c r="FC163" s="33"/>
      <c r="FD163" s="33"/>
      <c r="FE163" s="33"/>
      <c r="FF163" s="33"/>
      <c r="FG163" s="33"/>
      <c r="FH163" s="33"/>
      <c r="FI163" s="33"/>
      <c r="FJ163" s="33"/>
      <c r="FK163" s="33"/>
      <c r="FL163" s="33"/>
      <c r="FM163" s="33"/>
      <c r="FN163" s="33"/>
      <c r="FO163" s="33"/>
      <c r="FP163" s="33"/>
      <c r="FQ163" s="33"/>
      <c r="FR163" s="33"/>
      <c r="FS163" s="33"/>
      <c r="FT163" s="33"/>
      <c r="FU163" s="33"/>
      <c r="FV163" s="33"/>
      <c r="FW163" s="33"/>
      <c r="FX163" s="33"/>
      <c r="FY163" s="33"/>
      <c r="FZ163" s="33"/>
      <c r="GA163" s="33"/>
      <c r="GB163" s="33"/>
      <c r="GC163" s="33"/>
      <c r="GD163" s="33"/>
      <c r="GE163" s="33"/>
      <c r="GF163" s="33"/>
      <c r="GG163" s="33"/>
      <c r="GH163" s="33"/>
      <c r="GI163" s="33"/>
      <c r="GJ163" s="33"/>
      <c r="GK163" s="33"/>
      <c r="GL163" s="33"/>
      <c r="GM163" s="33"/>
      <c r="GN163" s="33"/>
      <c r="GO163" s="33"/>
      <c r="GP163" s="33"/>
      <c r="GQ163" s="33"/>
      <c r="GR163" s="33"/>
      <c r="GS163" s="33"/>
      <c r="GT163" s="33"/>
      <c r="GU163" s="33"/>
      <c r="GV163" s="33"/>
      <c r="GW163" s="33"/>
      <c r="GX163" s="33"/>
      <c r="GY163" s="33"/>
      <c r="GZ163" s="33"/>
      <c r="HA163" s="33"/>
      <c r="HB163" s="33"/>
      <c r="HC163" s="33"/>
      <c r="HD163" s="33"/>
      <c r="HE163" s="33"/>
      <c r="HF163" s="33"/>
      <c r="HG163" s="33"/>
      <c r="HH163" s="33"/>
    </row>
    <row r="164" spans="1:216" ht="15.75" customHeight="1" x14ac:dyDescent="0.3">
      <c r="A164" s="62"/>
      <c r="B164" s="89"/>
      <c r="C164" s="89"/>
      <c r="D164" s="89"/>
      <c r="E164" s="90"/>
      <c r="F164" s="39"/>
      <c r="G164" s="20"/>
      <c r="H164" s="20"/>
      <c r="I164" s="20"/>
      <c r="J164" s="20"/>
      <c r="K164" s="20"/>
      <c r="L164" s="20"/>
      <c r="M164" s="20"/>
      <c r="N164" s="20"/>
      <c r="O164" s="20"/>
      <c r="P164" s="32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3"/>
      <c r="DN164" s="33"/>
      <c r="DO164" s="33"/>
      <c r="DP164" s="33"/>
      <c r="DQ164" s="33"/>
      <c r="DR164" s="33"/>
      <c r="DS164" s="33"/>
      <c r="DT164" s="33"/>
      <c r="DU164" s="33"/>
      <c r="DV164" s="33"/>
      <c r="DW164" s="33"/>
      <c r="DX164" s="33"/>
      <c r="DY164" s="33"/>
      <c r="DZ164" s="33"/>
      <c r="EA164" s="33"/>
      <c r="EB164" s="33"/>
      <c r="EC164" s="33"/>
      <c r="ED164" s="33"/>
      <c r="EE164" s="33"/>
      <c r="EF164" s="33"/>
      <c r="EG164" s="33"/>
      <c r="EH164" s="33"/>
      <c r="EI164" s="33"/>
      <c r="EJ164" s="33"/>
      <c r="EK164" s="33"/>
      <c r="EL164" s="33"/>
      <c r="EM164" s="33"/>
      <c r="EN164" s="33"/>
      <c r="EO164" s="33"/>
      <c r="EP164" s="33"/>
      <c r="EQ164" s="33"/>
      <c r="ER164" s="33"/>
      <c r="ES164" s="33"/>
      <c r="ET164" s="33"/>
      <c r="EU164" s="33"/>
      <c r="EV164" s="33"/>
      <c r="EW164" s="33"/>
      <c r="EX164" s="33"/>
      <c r="EY164" s="33"/>
      <c r="EZ164" s="33"/>
      <c r="FA164" s="33"/>
      <c r="FB164" s="33"/>
      <c r="FC164" s="33"/>
      <c r="FD164" s="33"/>
      <c r="FE164" s="33"/>
      <c r="FF164" s="33"/>
      <c r="FG164" s="33"/>
      <c r="FH164" s="33"/>
      <c r="FI164" s="33"/>
      <c r="FJ164" s="33"/>
      <c r="FK164" s="33"/>
      <c r="FL164" s="33"/>
      <c r="FM164" s="33"/>
      <c r="FN164" s="33"/>
      <c r="FO164" s="33"/>
      <c r="FP164" s="33"/>
      <c r="FQ164" s="33"/>
      <c r="FR164" s="33"/>
      <c r="FS164" s="33"/>
      <c r="FT164" s="33"/>
      <c r="FU164" s="33"/>
      <c r="FV164" s="33"/>
      <c r="FW164" s="33"/>
      <c r="FX164" s="33"/>
      <c r="FY164" s="33"/>
      <c r="FZ164" s="33"/>
      <c r="GA164" s="33"/>
      <c r="GB164" s="33"/>
      <c r="GC164" s="33"/>
      <c r="GD164" s="33"/>
      <c r="GE164" s="33"/>
      <c r="GF164" s="33"/>
      <c r="GG164" s="33"/>
      <c r="GH164" s="33"/>
      <c r="GI164" s="33"/>
      <c r="GJ164" s="33"/>
      <c r="GK164" s="33"/>
      <c r="GL164" s="33"/>
      <c r="GM164" s="33"/>
      <c r="GN164" s="33"/>
      <c r="GO164" s="33"/>
      <c r="GP164" s="33"/>
      <c r="GQ164" s="33"/>
      <c r="GR164" s="33"/>
      <c r="GS164" s="33"/>
      <c r="GT164" s="33"/>
      <c r="GU164" s="33"/>
      <c r="GV164" s="33"/>
      <c r="GW164" s="33"/>
      <c r="GX164" s="33"/>
      <c r="GY164" s="33"/>
      <c r="GZ164" s="33"/>
      <c r="HA164" s="33"/>
      <c r="HB164" s="33"/>
      <c r="HC164" s="33"/>
      <c r="HD164" s="33"/>
      <c r="HE164" s="33"/>
      <c r="HF164" s="33"/>
      <c r="HG164" s="33"/>
      <c r="HH164" s="33"/>
    </row>
    <row r="165" spans="1:216" ht="15.75" customHeight="1" x14ac:dyDescent="0.3">
      <c r="A165" s="11" t="s">
        <v>48</v>
      </c>
      <c r="B165" s="17" t="s">
        <v>67</v>
      </c>
      <c r="C165" s="86" t="s">
        <v>68</v>
      </c>
      <c r="D165" s="64"/>
      <c r="E165" s="9">
        <f>ALASMALANG!V165+'BENELAN KIDUL'!S165+CANTUK!T165+GAMBOR!N165+GUMIRIH!S165+KEMIRI!U165+LEMAHBANGKULON!Q165+PADANG!Q165+SINGOJURUH!AC165+SINGOLATREN!T165+SUMBERBARU!S165</f>
        <v>26</v>
      </c>
      <c r="F165" s="40"/>
      <c r="G165" s="1"/>
      <c r="H165" s="1"/>
      <c r="I165" s="1"/>
      <c r="J165" s="1"/>
      <c r="K165" s="1"/>
      <c r="L165" s="1"/>
      <c r="M165" s="1"/>
      <c r="N165" s="1"/>
      <c r="O165" s="1"/>
      <c r="P165" s="34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  <c r="DY165" s="31"/>
      <c r="DZ165" s="31"/>
      <c r="EA165" s="31"/>
      <c r="EB165" s="31"/>
      <c r="EC165" s="31"/>
      <c r="ED165" s="31"/>
      <c r="EE165" s="31"/>
      <c r="EF165" s="31"/>
      <c r="EG165" s="31"/>
      <c r="EH165" s="31"/>
      <c r="EI165" s="31"/>
      <c r="EJ165" s="31"/>
      <c r="EK165" s="31"/>
      <c r="EL165" s="31"/>
      <c r="EM165" s="31"/>
      <c r="EN165" s="31"/>
      <c r="EO165" s="31"/>
      <c r="EP165" s="31"/>
      <c r="EQ165" s="31"/>
      <c r="ER165" s="31"/>
      <c r="ES165" s="31"/>
      <c r="ET165" s="31"/>
      <c r="EU165" s="31"/>
      <c r="EV165" s="31"/>
      <c r="EW165" s="31"/>
      <c r="EX165" s="31"/>
      <c r="EY165" s="31"/>
      <c r="EZ165" s="31"/>
      <c r="FA165" s="31"/>
      <c r="FB165" s="31"/>
      <c r="FC165" s="31"/>
      <c r="FD165" s="31"/>
      <c r="FE165" s="31"/>
      <c r="FF165" s="31"/>
      <c r="FG165" s="31"/>
      <c r="FH165" s="31"/>
      <c r="FI165" s="31"/>
      <c r="FJ165" s="31"/>
      <c r="FK165" s="31"/>
      <c r="FL165" s="31"/>
      <c r="FM165" s="31"/>
      <c r="FN165" s="31"/>
      <c r="FO165" s="31"/>
      <c r="FP165" s="31"/>
      <c r="FQ165" s="31"/>
      <c r="FR165" s="31"/>
      <c r="FS165" s="31"/>
      <c r="FT165" s="31"/>
      <c r="FU165" s="31"/>
      <c r="FV165" s="31"/>
      <c r="FW165" s="31"/>
      <c r="FX165" s="31"/>
      <c r="FY165" s="31"/>
      <c r="FZ165" s="31"/>
      <c r="GA165" s="31"/>
      <c r="GB165" s="31"/>
      <c r="GC165" s="31"/>
      <c r="GD165" s="31"/>
      <c r="GE165" s="31"/>
      <c r="GF165" s="31"/>
      <c r="GG165" s="31"/>
      <c r="GH165" s="31"/>
      <c r="GI165" s="31"/>
      <c r="GJ165" s="31"/>
      <c r="GK165" s="31"/>
      <c r="GL165" s="31"/>
      <c r="GM165" s="31"/>
      <c r="GN165" s="31"/>
      <c r="GO165" s="31"/>
      <c r="GP165" s="31"/>
      <c r="GQ165" s="31"/>
      <c r="GR165" s="31"/>
      <c r="GS165" s="31"/>
      <c r="GT165" s="31"/>
      <c r="GU165" s="31"/>
      <c r="GV165" s="31"/>
      <c r="GW165" s="31"/>
      <c r="GX165" s="31"/>
      <c r="GY165" s="31"/>
      <c r="GZ165" s="31"/>
      <c r="HA165" s="31"/>
      <c r="HB165" s="31"/>
      <c r="HC165" s="31"/>
      <c r="HD165" s="31"/>
      <c r="HE165" s="31"/>
      <c r="HF165" s="31"/>
      <c r="HG165" s="31"/>
      <c r="HH165" s="31"/>
    </row>
    <row r="166" spans="1:216" ht="15.75" customHeight="1" x14ac:dyDescent="0.3">
      <c r="A166" s="11" t="s">
        <v>50</v>
      </c>
      <c r="B166" s="50"/>
      <c r="C166" s="24" t="s">
        <v>186</v>
      </c>
      <c r="D166" s="49"/>
      <c r="E166" s="9">
        <f>ALASMALANG!V166+'BENELAN KIDUL'!S166+CANTUK!T166+GAMBOR!N166+GUMIRIH!S166+KEMIRI!U166+LEMAHBANGKULON!Q166+PADANG!Q166+SINGOJURUH!AC166+SINGOLATREN!T166+SUMBERBARU!S166</f>
        <v>25</v>
      </c>
      <c r="F166" s="42"/>
      <c r="G166" s="27"/>
      <c r="H166" s="27"/>
      <c r="I166" s="27"/>
      <c r="J166" s="27"/>
      <c r="K166" s="27"/>
      <c r="L166" s="27"/>
      <c r="M166" s="27"/>
      <c r="N166" s="27"/>
      <c r="O166" s="27"/>
      <c r="P166" s="37"/>
      <c r="Q166" s="30"/>
      <c r="R166" s="30"/>
      <c r="S166" s="30"/>
      <c r="T166" s="30"/>
      <c r="U166" s="30"/>
      <c r="V166" s="30"/>
      <c r="W166" s="38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30"/>
      <c r="BM166" s="30"/>
      <c r="BN166" s="30"/>
      <c r="BO166" s="30"/>
      <c r="BP166" s="30"/>
      <c r="BQ166" s="30"/>
      <c r="BR166" s="38"/>
      <c r="BS166" s="30"/>
      <c r="BT166" s="30"/>
      <c r="BU166" s="30"/>
      <c r="BV166" s="30"/>
      <c r="BW166" s="30"/>
      <c r="BX166" s="30"/>
      <c r="BY166" s="30"/>
      <c r="BZ166" s="30"/>
      <c r="CA166" s="38"/>
      <c r="CB166" s="38"/>
      <c r="CC166" s="38"/>
      <c r="CD166" s="38"/>
      <c r="CE166" s="38"/>
      <c r="CF166" s="38"/>
      <c r="CG166" s="38"/>
      <c r="CH166" s="38"/>
      <c r="CI166" s="38"/>
      <c r="CJ166" s="38"/>
      <c r="CK166" s="38"/>
      <c r="CL166" s="38"/>
      <c r="CM166" s="38"/>
      <c r="CN166" s="38"/>
      <c r="CO166" s="38"/>
      <c r="CP166" s="38"/>
      <c r="CQ166" s="38"/>
      <c r="CR166" s="38"/>
      <c r="CS166" s="38"/>
      <c r="CT166" s="38"/>
      <c r="CU166" s="38"/>
      <c r="CV166" s="38"/>
      <c r="CW166" s="38"/>
      <c r="CX166" s="38"/>
      <c r="CY166" s="38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8"/>
      <c r="DL166" s="38"/>
      <c r="DM166" s="38"/>
      <c r="DN166" s="38"/>
      <c r="DO166" s="38"/>
      <c r="DP166" s="38"/>
      <c r="DQ166" s="38"/>
      <c r="DR166" s="38"/>
      <c r="DS166" s="38"/>
      <c r="DT166" s="38"/>
      <c r="DU166" s="38"/>
      <c r="DV166" s="38"/>
      <c r="DW166" s="38"/>
      <c r="DX166" s="38"/>
      <c r="DY166" s="38"/>
      <c r="DZ166" s="38"/>
      <c r="EA166" s="38"/>
      <c r="EB166" s="38"/>
      <c r="EC166" s="38"/>
      <c r="ED166" s="38"/>
      <c r="EE166" s="38"/>
      <c r="EF166" s="38"/>
      <c r="EG166" s="38"/>
      <c r="EH166" s="38"/>
      <c r="EI166" s="38"/>
      <c r="EJ166" s="38"/>
      <c r="EK166" s="38"/>
      <c r="EL166" s="38"/>
      <c r="EM166" s="30"/>
      <c r="EN166" s="30"/>
      <c r="EO166" s="30"/>
      <c r="EP166" s="30"/>
      <c r="EQ166" s="30"/>
      <c r="ER166" s="30"/>
      <c r="ES166" s="30"/>
      <c r="ET166" s="30"/>
      <c r="EU166" s="30"/>
      <c r="EV166" s="30"/>
      <c r="EW166" s="30"/>
      <c r="EX166" s="30"/>
      <c r="EY166" s="38"/>
      <c r="EZ166" s="38"/>
      <c r="FA166" s="38"/>
      <c r="FB166" s="38"/>
      <c r="FC166" s="38"/>
      <c r="FD166" s="38"/>
      <c r="FE166" s="38"/>
      <c r="FF166" s="30"/>
      <c r="FG166" s="30"/>
      <c r="FH166" s="30"/>
      <c r="FI166" s="30"/>
      <c r="FJ166" s="38"/>
      <c r="FK166" s="38"/>
      <c r="FL166" s="38"/>
      <c r="FM166" s="38"/>
      <c r="FN166" s="38"/>
      <c r="FO166" s="38"/>
      <c r="FP166" s="38"/>
      <c r="FQ166" s="38"/>
      <c r="FR166" s="38"/>
      <c r="FS166" s="38"/>
      <c r="FT166" s="38"/>
      <c r="FU166" s="38"/>
      <c r="FV166" s="38"/>
      <c r="FW166" s="38"/>
      <c r="FX166" s="38"/>
      <c r="FY166" s="38"/>
      <c r="FZ166" s="38"/>
      <c r="GA166" s="38"/>
      <c r="GB166" s="38"/>
      <c r="GC166" s="38"/>
      <c r="GD166" s="38"/>
      <c r="GE166" s="38"/>
      <c r="GF166" s="38"/>
      <c r="GG166" s="38"/>
      <c r="GH166" s="38"/>
      <c r="GI166" s="38"/>
      <c r="GJ166" s="38"/>
      <c r="GK166" s="38"/>
      <c r="GL166" s="38"/>
      <c r="GM166" s="38"/>
      <c r="GN166" s="38"/>
      <c r="GO166" s="38"/>
      <c r="GP166" s="38"/>
      <c r="GQ166" s="38"/>
      <c r="GR166" s="38"/>
      <c r="GS166" s="38"/>
      <c r="GT166" s="38"/>
      <c r="GU166" s="38"/>
      <c r="GV166" s="38"/>
      <c r="GW166" s="38"/>
      <c r="GX166" s="38"/>
      <c r="GY166" s="38"/>
      <c r="GZ166" s="38"/>
      <c r="HA166" s="38"/>
      <c r="HB166" s="38"/>
      <c r="HC166" s="38"/>
      <c r="HD166" s="38"/>
      <c r="HE166" s="38"/>
      <c r="HF166" s="38"/>
      <c r="HG166" s="38"/>
      <c r="HH166" s="38"/>
    </row>
    <row r="167" spans="1:216" ht="15.75" customHeight="1" x14ac:dyDescent="0.3">
      <c r="A167" s="7"/>
      <c r="B167" s="45"/>
      <c r="C167" s="46"/>
      <c r="D167" s="48"/>
      <c r="E167" s="54"/>
      <c r="F167" s="39"/>
      <c r="G167" s="20"/>
      <c r="H167" s="20"/>
      <c r="I167" s="20"/>
      <c r="J167" s="20"/>
      <c r="K167" s="20"/>
      <c r="L167" s="20"/>
      <c r="M167" s="20"/>
      <c r="N167" s="20"/>
      <c r="O167" s="20"/>
      <c r="P167" s="32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3"/>
      <c r="DP167" s="33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3"/>
      <c r="EC167" s="33"/>
      <c r="ED167" s="33"/>
      <c r="EE167" s="33"/>
      <c r="EF167" s="33"/>
      <c r="EG167" s="33"/>
      <c r="EH167" s="33"/>
      <c r="EI167" s="33"/>
      <c r="EJ167" s="33"/>
      <c r="EK167" s="33"/>
      <c r="EL167" s="33"/>
      <c r="EM167" s="33"/>
      <c r="EN167" s="33"/>
      <c r="EO167" s="33"/>
      <c r="EP167" s="33"/>
      <c r="EQ167" s="33"/>
      <c r="ER167" s="33"/>
      <c r="ES167" s="33"/>
      <c r="ET167" s="33"/>
      <c r="EU167" s="33"/>
      <c r="EV167" s="33"/>
      <c r="EW167" s="33"/>
      <c r="EX167" s="33"/>
      <c r="EY167" s="33"/>
      <c r="EZ167" s="33"/>
      <c r="FA167" s="33"/>
      <c r="FB167" s="33"/>
      <c r="FC167" s="33"/>
      <c r="FD167" s="33"/>
      <c r="FE167" s="33"/>
      <c r="FF167" s="33"/>
      <c r="FG167" s="33"/>
      <c r="FH167" s="33"/>
      <c r="FI167" s="33"/>
      <c r="FJ167" s="33"/>
      <c r="FK167" s="33"/>
      <c r="FL167" s="33"/>
      <c r="FM167" s="33"/>
      <c r="FN167" s="33"/>
      <c r="FO167" s="33"/>
      <c r="FP167" s="33"/>
      <c r="FQ167" s="33"/>
      <c r="FR167" s="33"/>
      <c r="FS167" s="33"/>
      <c r="FT167" s="33"/>
      <c r="FU167" s="33"/>
      <c r="FV167" s="33"/>
      <c r="FW167" s="33"/>
      <c r="FX167" s="33"/>
      <c r="FY167" s="33"/>
      <c r="FZ167" s="33"/>
      <c r="GA167" s="33"/>
      <c r="GB167" s="33"/>
      <c r="GC167" s="33"/>
      <c r="GD167" s="33"/>
      <c r="GE167" s="33"/>
      <c r="GF167" s="33"/>
      <c r="GG167" s="33"/>
      <c r="GH167" s="33"/>
      <c r="GI167" s="33"/>
      <c r="GJ167" s="33"/>
      <c r="GK167" s="33"/>
      <c r="GL167" s="33"/>
      <c r="GM167" s="33"/>
      <c r="GN167" s="33"/>
      <c r="GO167" s="33"/>
      <c r="GP167" s="33"/>
      <c r="GQ167" s="33"/>
      <c r="GR167" s="33"/>
      <c r="GS167" s="33"/>
      <c r="GT167" s="33"/>
      <c r="GU167" s="33"/>
      <c r="GV167" s="33"/>
      <c r="GW167" s="33"/>
      <c r="GX167" s="33"/>
      <c r="GY167" s="33"/>
      <c r="GZ167" s="33"/>
      <c r="HA167" s="33"/>
      <c r="HB167" s="33"/>
      <c r="HC167" s="33"/>
      <c r="HD167" s="33"/>
      <c r="HE167" s="33"/>
      <c r="HF167" s="33"/>
      <c r="HG167" s="33"/>
      <c r="HH167" s="33"/>
    </row>
    <row r="168" spans="1:216" ht="15.75" customHeight="1" x14ac:dyDescent="0.3">
      <c r="A168" s="7"/>
      <c r="B168" s="45"/>
      <c r="C168" s="46"/>
      <c r="D168" s="48"/>
      <c r="E168" s="54"/>
      <c r="F168" s="39"/>
      <c r="G168" s="20"/>
      <c r="H168" s="20"/>
      <c r="I168" s="20"/>
      <c r="J168" s="20"/>
      <c r="K168" s="20"/>
      <c r="L168" s="20"/>
      <c r="M168" s="20"/>
      <c r="N168" s="20"/>
      <c r="O168" s="20"/>
      <c r="P168" s="32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  <c r="DM168" s="33"/>
      <c r="DN168" s="33"/>
      <c r="DO168" s="33"/>
      <c r="DP168" s="33"/>
      <c r="DQ168" s="33"/>
      <c r="DR168" s="33"/>
      <c r="DS168" s="33"/>
      <c r="DT168" s="33"/>
      <c r="DU168" s="33"/>
      <c r="DV168" s="33"/>
      <c r="DW168" s="33"/>
      <c r="DX168" s="33"/>
      <c r="DY168" s="33"/>
      <c r="DZ168" s="33"/>
      <c r="EA168" s="33"/>
      <c r="EB168" s="33"/>
      <c r="EC168" s="33"/>
      <c r="ED168" s="33"/>
      <c r="EE168" s="33"/>
      <c r="EF168" s="33"/>
      <c r="EG168" s="33"/>
      <c r="EH168" s="33"/>
      <c r="EI168" s="33"/>
      <c r="EJ168" s="33"/>
      <c r="EK168" s="33"/>
      <c r="EL168" s="33"/>
      <c r="EM168" s="33"/>
      <c r="EN168" s="33"/>
      <c r="EO168" s="33"/>
      <c r="EP168" s="33"/>
      <c r="EQ168" s="33"/>
      <c r="ER168" s="33"/>
      <c r="ES168" s="33"/>
      <c r="ET168" s="33"/>
      <c r="EU168" s="33"/>
      <c r="EV168" s="33"/>
      <c r="EW168" s="33"/>
      <c r="EX168" s="33"/>
      <c r="EY168" s="33"/>
      <c r="EZ168" s="33"/>
      <c r="FA168" s="33"/>
      <c r="FB168" s="33"/>
      <c r="FC168" s="33"/>
      <c r="FD168" s="33"/>
      <c r="FE168" s="33"/>
      <c r="FF168" s="33"/>
      <c r="FG168" s="33"/>
      <c r="FH168" s="33"/>
      <c r="FI168" s="33"/>
      <c r="FJ168" s="33"/>
      <c r="FK168" s="33"/>
      <c r="FL168" s="33"/>
      <c r="FM168" s="33"/>
      <c r="FN168" s="33"/>
      <c r="FO168" s="33"/>
      <c r="FP168" s="33"/>
      <c r="FQ168" s="33"/>
      <c r="FR168" s="33"/>
      <c r="FS168" s="33"/>
      <c r="FT168" s="33"/>
      <c r="FU168" s="33"/>
      <c r="FV168" s="33"/>
      <c r="FW168" s="33"/>
      <c r="FX168" s="33"/>
      <c r="FY168" s="33"/>
      <c r="FZ168" s="33"/>
      <c r="GA168" s="33"/>
      <c r="GB168" s="33"/>
      <c r="GC168" s="33"/>
      <c r="GD168" s="33"/>
      <c r="GE168" s="33"/>
      <c r="GF168" s="33"/>
      <c r="GG168" s="33"/>
      <c r="GH168" s="33"/>
      <c r="GI168" s="33"/>
      <c r="GJ168" s="33"/>
      <c r="GK168" s="33"/>
      <c r="GL168" s="33"/>
      <c r="GM168" s="33"/>
      <c r="GN168" s="33"/>
      <c r="GO168" s="33"/>
      <c r="GP168" s="33"/>
      <c r="GQ168" s="33"/>
      <c r="GR168" s="33"/>
      <c r="GS168" s="33"/>
      <c r="GT168" s="33"/>
      <c r="GU168" s="33"/>
      <c r="GV168" s="33"/>
      <c r="GW168" s="33"/>
      <c r="GX168" s="33"/>
      <c r="GY168" s="33"/>
      <c r="GZ168" s="33"/>
      <c r="HA168" s="33"/>
      <c r="HB168" s="33"/>
      <c r="HC168" s="33"/>
      <c r="HD168" s="33"/>
      <c r="HE168" s="33"/>
      <c r="HF168" s="33"/>
      <c r="HG168" s="33"/>
      <c r="HH168" s="33"/>
    </row>
    <row r="169" spans="1:216" ht="15.75" customHeight="1" x14ac:dyDescent="0.3">
      <c r="A169" s="7"/>
      <c r="B169" s="45"/>
      <c r="C169" s="46"/>
      <c r="D169" s="48"/>
      <c r="E169" s="54"/>
      <c r="F169" s="39"/>
      <c r="G169" s="20"/>
      <c r="H169" s="20"/>
      <c r="I169" s="20"/>
      <c r="J169" s="20"/>
      <c r="K169" s="20"/>
      <c r="L169" s="20"/>
      <c r="M169" s="20"/>
      <c r="N169" s="20"/>
      <c r="O169" s="20"/>
      <c r="P169" s="32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  <c r="DN169" s="33"/>
      <c r="DO169" s="33"/>
      <c r="DP169" s="33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3"/>
      <c r="EC169" s="33"/>
      <c r="ED169" s="33"/>
      <c r="EE169" s="33"/>
      <c r="EF169" s="33"/>
      <c r="EG169" s="33"/>
      <c r="EH169" s="33"/>
      <c r="EI169" s="33"/>
      <c r="EJ169" s="33"/>
      <c r="EK169" s="33"/>
      <c r="EL169" s="33"/>
      <c r="EM169" s="33"/>
      <c r="EN169" s="33"/>
      <c r="EO169" s="33"/>
      <c r="EP169" s="33"/>
      <c r="EQ169" s="33"/>
      <c r="ER169" s="33"/>
      <c r="ES169" s="33"/>
      <c r="ET169" s="33"/>
      <c r="EU169" s="33"/>
      <c r="EV169" s="33"/>
      <c r="EW169" s="33"/>
      <c r="EX169" s="33"/>
      <c r="EY169" s="33"/>
      <c r="EZ169" s="33"/>
      <c r="FA169" s="33"/>
      <c r="FB169" s="33"/>
      <c r="FC169" s="33"/>
      <c r="FD169" s="33"/>
      <c r="FE169" s="33"/>
      <c r="FF169" s="33"/>
      <c r="FG169" s="33"/>
      <c r="FH169" s="33"/>
      <c r="FI169" s="33"/>
      <c r="FJ169" s="33"/>
      <c r="FK169" s="33"/>
      <c r="FL169" s="33"/>
      <c r="FM169" s="33"/>
      <c r="FN169" s="33"/>
      <c r="FO169" s="33"/>
      <c r="FP169" s="33"/>
      <c r="FQ169" s="33"/>
      <c r="FR169" s="33"/>
      <c r="FS169" s="33"/>
      <c r="FT169" s="33"/>
      <c r="FU169" s="33"/>
      <c r="FV169" s="33"/>
      <c r="FW169" s="33"/>
      <c r="FX169" s="33"/>
      <c r="FY169" s="33"/>
      <c r="FZ169" s="33"/>
      <c r="GA169" s="33"/>
      <c r="GB169" s="33"/>
      <c r="GC169" s="33"/>
      <c r="GD169" s="33"/>
      <c r="GE169" s="33"/>
      <c r="GF169" s="33"/>
      <c r="GG169" s="33"/>
      <c r="GH169" s="33"/>
      <c r="GI169" s="33"/>
      <c r="GJ169" s="33"/>
      <c r="GK169" s="33"/>
      <c r="GL169" s="33"/>
      <c r="GM169" s="33"/>
      <c r="GN169" s="33"/>
      <c r="GO169" s="33"/>
      <c r="GP169" s="33"/>
      <c r="GQ169" s="33"/>
      <c r="GR169" s="33"/>
      <c r="GS169" s="33"/>
      <c r="GT169" s="33"/>
      <c r="GU169" s="33"/>
      <c r="GV169" s="33"/>
      <c r="GW169" s="33"/>
      <c r="GX169" s="33"/>
      <c r="GY169" s="33"/>
      <c r="GZ169" s="33"/>
      <c r="HA169" s="33"/>
      <c r="HB169" s="33"/>
      <c r="HC169" s="33"/>
      <c r="HD169" s="33"/>
      <c r="HE169" s="33"/>
      <c r="HF169" s="33"/>
      <c r="HG169" s="33"/>
      <c r="HH169" s="33"/>
    </row>
    <row r="170" spans="1:216" ht="15.75" customHeight="1" x14ac:dyDescent="0.3">
      <c r="A170" s="7"/>
      <c r="B170" s="45"/>
      <c r="C170" s="46"/>
      <c r="D170" s="48"/>
      <c r="E170" s="54"/>
      <c r="F170" s="39"/>
      <c r="G170" s="20"/>
      <c r="H170" s="20"/>
      <c r="I170" s="20"/>
      <c r="J170" s="20"/>
      <c r="K170" s="20"/>
      <c r="L170" s="20"/>
      <c r="M170" s="20"/>
      <c r="N170" s="20"/>
      <c r="O170" s="20"/>
      <c r="P170" s="32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3"/>
      <c r="DN170" s="33"/>
      <c r="DO170" s="33"/>
      <c r="DP170" s="33"/>
      <c r="DQ170" s="33"/>
      <c r="DR170" s="33"/>
      <c r="DS170" s="33"/>
      <c r="DT170" s="33"/>
      <c r="DU170" s="33"/>
      <c r="DV170" s="33"/>
      <c r="DW170" s="33"/>
      <c r="DX170" s="33"/>
      <c r="DY170" s="33"/>
      <c r="DZ170" s="33"/>
      <c r="EA170" s="33"/>
      <c r="EB170" s="33"/>
      <c r="EC170" s="33"/>
      <c r="ED170" s="33"/>
      <c r="EE170" s="33"/>
      <c r="EF170" s="33"/>
      <c r="EG170" s="33"/>
      <c r="EH170" s="33"/>
      <c r="EI170" s="33"/>
      <c r="EJ170" s="33"/>
      <c r="EK170" s="33"/>
      <c r="EL170" s="33"/>
      <c r="EM170" s="33"/>
      <c r="EN170" s="33"/>
      <c r="EO170" s="33"/>
      <c r="EP170" s="33"/>
      <c r="EQ170" s="33"/>
      <c r="ER170" s="33"/>
      <c r="ES170" s="33"/>
      <c r="ET170" s="33"/>
      <c r="EU170" s="33"/>
      <c r="EV170" s="33"/>
      <c r="EW170" s="33"/>
      <c r="EX170" s="33"/>
      <c r="EY170" s="33"/>
      <c r="EZ170" s="33"/>
      <c r="FA170" s="33"/>
      <c r="FB170" s="33"/>
      <c r="FC170" s="33"/>
      <c r="FD170" s="33"/>
      <c r="FE170" s="33"/>
      <c r="FF170" s="33"/>
      <c r="FG170" s="33"/>
      <c r="FH170" s="33"/>
      <c r="FI170" s="33"/>
      <c r="FJ170" s="33"/>
      <c r="FK170" s="33"/>
      <c r="FL170" s="33"/>
      <c r="FM170" s="33"/>
      <c r="FN170" s="33"/>
      <c r="FO170" s="33"/>
      <c r="FP170" s="33"/>
      <c r="FQ170" s="33"/>
      <c r="FR170" s="33"/>
      <c r="FS170" s="33"/>
      <c r="FT170" s="33"/>
      <c r="FU170" s="33"/>
      <c r="FV170" s="33"/>
      <c r="FW170" s="33"/>
      <c r="FX170" s="33"/>
      <c r="FY170" s="33"/>
      <c r="FZ170" s="33"/>
      <c r="GA170" s="33"/>
      <c r="GB170" s="33"/>
      <c r="GC170" s="33"/>
      <c r="GD170" s="33"/>
      <c r="GE170" s="33"/>
      <c r="GF170" s="33"/>
      <c r="GG170" s="33"/>
      <c r="GH170" s="33"/>
      <c r="GI170" s="33"/>
      <c r="GJ170" s="33"/>
      <c r="GK170" s="33"/>
      <c r="GL170" s="33"/>
      <c r="GM170" s="33"/>
      <c r="GN170" s="33"/>
      <c r="GO170" s="33"/>
      <c r="GP170" s="33"/>
      <c r="GQ170" s="33"/>
      <c r="GR170" s="33"/>
      <c r="GS170" s="33"/>
      <c r="GT170" s="33"/>
      <c r="GU170" s="33"/>
      <c r="GV170" s="33"/>
      <c r="GW170" s="33"/>
      <c r="GX170" s="33"/>
      <c r="GY170" s="33"/>
      <c r="GZ170" s="33"/>
      <c r="HA170" s="33"/>
      <c r="HB170" s="33"/>
      <c r="HC170" s="33"/>
      <c r="HD170" s="33"/>
      <c r="HE170" s="33"/>
      <c r="HF170" s="33"/>
      <c r="HG170" s="33"/>
      <c r="HH170" s="33"/>
    </row>
    <row r="171" spans="1:216" ht="15.75" customHeight="1" x14ac:dyDescent="0.3">
      <c r="A171" s="7"/>
      <c r="B171" s="45"/>
      <c r="C171" s="46"/>
      <c r="D171" s="48"/>
      <c r="E171" s="54"/>
      <c r="F171" s="39"/>
      <c r="G171" s="20"/>
      <c r="H171" s="20"/>
      <c r="I171" s="20"/>
      <c r="J171" s="20"/>
      <c r="K171" s="20"/>
      <c r="L171" s="20"/>
      <c r="M171" s="20"/>
      <c r="N171" s="20"/>
      <c r="O171" s="20"/>
      <c r="P171" s="32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DN171" s="33"/>
      <c r="DO171" s="33"/>
      <c r="DP171" s="33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3"/>
      <c r="EC171" s="33"/>
      <c r="ED171" s="33"/>
      <c r="EE171" s="33"/>
      <c r="EF171" s="33"/>
      <c r="EG171" s="33"/>
      <c r="EH171" s="33"/>
      <c r="EI171" s="33"/>
      <c r="EJ171" s="33"/>
      <c r="EK171" s="33"/>
      <c r="EL171" s="33"/>
      <c r="EM171" s="33"/>
      <c r="EN171" s="33"/>
      <c r="EO171" s="33"/>
      <c r="EP171" s="33"/>
      <c r="EQ171" s="33"/>
      <c r="ER171" s="33"/>
      <c r="ES171" s="33"/>
      <c r="ET171" s="33"/>
      <c r="EU171" s="33"/>
      <c r="EV171" s="33"/>
      <c r="EW171" s="33"/>
      <c r="EX171" s="33"/>
      <c r="EY171" s="33"/>
      <c r="EZ171" s="33"/>
      <c r="FA171" s="33"/>
      <c r="FB171" s="33"/>
      <c r="FC171" s="33"/>
      <c r="FD171" s="33"/>
      <c r="FE171" s="33"/>
      <c r="FF171" s="33"/>
      <c r="FG171" s="33"/>
      <c r="FH171" s="33"/>
      <c r="FI171" s="33"/>
      <c r="FJ171" s="33"/>
      <c r="FK171" s="33"/>
      <c r="FL171" s="33"/>
      <c r="FM171" s="33"/>
      <c r="FN171" s="33"/>
      <c r="FO171" s="33"/>
      <c r="FP171" s="33"/>
      <c r="FQ171" s="33"/>
      <c r="FR171" s="33"/>
      <c r="FS171" s="33"/>
      <c r="FT171" s="33"/>
      <c r="FU171" s="33"/>
      <c r="FV171" s="33"/>
      <c r="FW171" s="33"/>
      <c r="FX171" s="33"/>
      <c r="FY171" s="33"/>
      <c r="FZ171" s="33"/>
      <c r="GA171" s="33"/>
      <c r="GB171" s="33"/>
      <c r="GC171" s="33"/>
      <c r="GD171" s="33"/>
      <c r="GE171" s="33"/>
      <c r="GF171" s="33"/>
      <c r="GG171" s="33"/>
      <c r="GH171" s="33"/>
      <c r="GI171" s="33"/>
      <c r="GJ171" s="33"/>
      <c r="GK171" s="33"/>
      <c r="GL171" s="33"/>
      <c r="GM171" s="33"/>
      <c r="GN171" s="33"/>
      <c r="GO171" s="33"/>
      <c r="GP171" s="33"/>
      <c r="GQ171" s="33"/>
      <c r="GR171" s="33"/>
      <c r="GS171" s="33"/>
      <c r="GT171" s="33"/>
      <c r="GU171" s="33"/>
      <c r="GV171" s="33"/>
      <c r="GW171" s="33"/>
      <c r="GX171" s="33"/>
      <c r="GY171" s="33"/>
      <c r="GZ171" s="33"/>
      <c r="HA171" s="33"/>
      <c r="HB171" s="33"/>
      <c r="HC171" s="33"/>
      <c r="HD171" s="33"/>
      <c r="HE171" s="33"/>
      <c r="HF171" s="33"/>
      <c r="HG171" s="33"/>
      <c r="HH171" s="33"/>
    </row>
    <row r="172" spans="1:216" ht="15.75" customHeight="1" x14ac:dyDescent="0.3">
      <c r="A172" s="7"/>
      <c r="B172" s="45"/>
      <c r="C172" s="46"/>
      <c r="D172" s="48"/>
      <c r="E172" s="54"/>
      <c r="F172" s="39"/>
      <c r="G172" s="20"/>
      <c r="H172" s="20"/>
      <c r="I172" s="20"/>
      <c r="J172" s="20"/>
      <c r="K172" s="20"/>
      <c r="L172" s="20"/>
      <c r="M172" s="20"/>
      <c r="N172" s="20"/>
      <c r="O172" s="20"/>
      <c r="P172" s="32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3"/>
      <c r="CU172" s="33"/>
      <c r="CV172" s="33"/>
      <c r="CW172" s="33"/>
      <c r="CX172" s="33"/>
      <c r="CY172" s="33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  <c r="DL172" s="33"/>
      <c r="DM172" s="33"/>
      <c r="DN172" s="33"/>
      <c r="DO172" s="33"/>
      <c r="DP172" s="33"/>
      <c r="DQ172" s="33"/>
      <c r="DR172" s="33"/>
      <c r="DS172" s="33"/>
      <c r="DT172" s="33"/>
      <c r="DU172" s="33"/>
      <c r="DV172" s="33"/>
      <c r="DW172" s="33"/>
      <c r="DX172" s="33"/>
      <c r="DY172" s="33"/>
      <c r="DZ172" s="33"/>
      <c r="EA172" s="33"/>
      <c r="EB172" s="33"/>
      <c r="EC172" s="33"/>
      <c r="ED172" s="33"/>
      <c r="EE172" s="33"/>
      <c r="EF172" s="33"/>
      <c r="EG172" s="33"/>
      <c r="EH172" s="33"/>
      <c r="EI172" s="33"/>
      <c r="EJ172" s="33"/>
      <c r="EK172" s="33"/>
      <c r="EL172" s="33"/>
      <c r="EM172" s="33"/>
      <c r="EN172" s="33"/>
      <c r="EO172" s="33"/>
      <c r="EP172" s="33"/>
      <c r="EQ172" s="33"/>
      <c r="ER172" s="33"/>
      <c r="ES172" s="33"/>
      <c r="ET172" s="33"/>
      <c r="EU172" s="33"/>
      <c r="EV172" s="33"/>
      <c r="EW172" s="33"/>
      <c r="EX172" s="33"/>
      <c r="EY172" s="33"/>
      <c r="EZ172" s="33"/>
      <c r="FA172" s="33"/>
      <c r="FB172" s="33"/>
      <c r="FC172" s="33"/>
      <c r="FD172" s="33"/>
      <c r="FE172" s="33"/>
      <c r="FF172" s="33"/>
      <c r="FG172" s="33"/>
      <c r="FH172" s="33"/>
      <c r="FI172" s="33"/>
      <c r="FJ172" s="33"/>
      <c r="FK172" s="33"/>
      <c r="FL172" s="33"/>
      <c r="FM172" s="33"/>
      <c r="FN172" s="33"/>
      <c r="FO172" s="33"/>
      <c r="FP172" s="33"/>
      <c r="FQ172" s="33"/>
      <c r="FR172" s="33"/>
      <c r="FS172" s="33"/>
      <c r="FT172" s="33"/>
      <c r="FU172" s="33"/>
      <c r="FV172" s="33"/>
      <c r="FW172" s="33"/>
      <c r="FX172" s="33"/>
      <c r="FY172" s="33"/>
      <c r="FZ172" s="33"/>
      <c r="GA172" s="33"/>
      <c r="GB172" s="33"/>
      <c r="GC172" s="33"/>
      <c r="GD172" s="33"/>
      <c r="GE172" s="33"/>
      <c r="GF172" s="33"/>
      <c r="GG172" s="33"/>
      <c r="GH172" s="33"/>
      <c r="GI172" s="33"/>
      <c r="GJ172" s="33"/>
      <c r="GK172" s="33"/>
      <c r="GL172" s="33"/>
      <c r="GM172" s="33"/>
      <c r="GN172" s="33"/>
      <c r="GO172" s="33"/>
      <c r="GP172" s="33"/>
      <c r="GQ172" s="33"/>
      <c r="GR172" s="33"/>
      <c r="GS172" s="33"/>
      <c r="GT172" s="33"/>
      <c r="GU172" s="33"/>
      <c r="GV172" s="33"/>
      <c r="GW172" s="33"/>
      <c r="GX172" s="33"/>
      <c r="GY172" s="33"/>
      <c r="GZ172" s="33"/>
      <c r="HA172" s="33"/>
      <c r="HB172" s="33"/>
      <c r="HC172" s="33"/>
      <c r="HD172" s="33"/>
      <c r="HE172" s="33"/>
      <c r="HF172" s="33"/>
      <c r="HG172" s="33"/>
      <c r="HH172" s="33"/>
    </row>
    <row r="173" spans="1:216" ht="15.75" customHeight="1" x14ac:dyDescent="0.3">
      <c r="A173" s="7"/>
      <c r="B173" s="45"/>
      <c r="C173" s="46"/>
      <c r="D173" s="48"/>
      <c r="E173" s="54"/>
      <c r="F173" s="39"/>
      <c r="G173" s="20"/>
      <c r="H173" s="20"/>
      <c r="I173" s="20"/>
      <c r="J173" s="20"/>
      <c r="K173" s="20"/>
      <c r="L173" s="20"/>
      <c r="M173" s="20"/>
      <c r="N173" s="20"/>
      <c r="O173" s="20"/>
      <c r="P173" s="32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  <c r="BY173" s="33"/>
      <c r="BZ173" s="33"/>
      <c r="CA173" s="33"/>
      <c r="CB173" s="33"/>
      <c r="CC173" s="33"/>
      <c r="CD173" s="33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33"/>
      <c r="CT173" s="33"/>
      <c r="CU173" s="33"/>
      <c r="CV173" s="33"/>
      <c r="CW173" s="33"/>
      <c r="CX173" s="33"/>
      <c r="CY173" s="33"/>
      <c r="CZ173" s="33"/>
      <c r="DA173" s="33"/>
      <c r="DB173" s="33"/>
      <c r="DC173" s="33"/>
      <c r="DD173" s="33"/>
      <c r="DE173" s="33"/>
      <c r="DF173" s="33"/>
      <c r="DG173" s="33"/>
      <c r="DH173" s="33"/>
      <c r="DI173" s="33"/>
      <c r="DJ173" s="33"/>
      <c r="DK173" s="33"/>
      <c r="DL173" s="33"/>
      <c r="DM173" s="33"/>
      <c r="DN173" s="33"/>
      <c r="DO173" s="33"/>
      <c r="DP173" s="33"/>
      <c r="DQ173" s="33"/>
      <c r="DR173" s="33"/>
      <c r="DS173" s="33"/>
      <c r="DT173" s="33"/>
      <c r="DU173" s="33"/>
      <c r="DV173" s="33"/>
      <c r="DW173" s="33"/>
      <c r="DX173" s="33"/>
      <c r="DY173" s="33"/>
      <c r="DZ173" s="33"/>
      <c r="EA173" s="33"/>
      <c r="EB173" s="33"/>
      <c r="EC173" s="33"/>
      <c r="ED173" s="33"/>
      <c r="EE173" s="33"/>
      <c r="EF173" s="33"/>
      <c r="EG173" s="33"/>
      <c r="EH173" s="33"/>
      <c r="EI173" s="33"/>
      <c r="EJ173" s="33"/>
      <c r="EK173" s="33"/>
      <c r="EL173" s="33"/>
      <c r="EM173" s="33"/>
      <c r="EN173" s="33"/>
      <c r="EO173" s="33"/>
      <c r="EP173" s="33"/>
      <c r="EQ173" s="33"/>
      <c r="ER173" s="33"/>
      <c r="ES173" s="33"/>
      <c r="ET173" s="33"/>
      <c r="EU173" s="33"/>
      <c r="EV173" s="33"/>
      <c r="EW173" s="33"/>
      <c r="EX173" s="33"/>
      <c r="EY173" s="33"/>
      <c r="EZ173" s="33"/>
      <c r="FA173" s="33"/>
      <c r="FB173" s="33"/>
      <c r="FC173" s="33"/>
      <c r="FD173" s="33"/>
      <c r="FE173" s="33"/>
      <c r="FF173" s="33"/>
      <c r="FG173" s="33"/>
      <c r="FH173" s="33"/>
      <c r="FI173" s="33"/>
      <c r="FJ173" s="33"/>
      <c r="FK173" s="33"/>
      <c r="FL173" s="33"/>
      <c r="FM173" s="33"/>
      <c r="FN173" s="33"/>
      <c r="FO173" s="33"/>
      <c r="FP173" s="33"/>
      <c r="FQ173" s="33"/>
      <c r="FR173" s="33"/>
      <c r="FS173" s="33"/>
      <c r="FT173" s="33"/>
      <c r="FU173" s="33"/>
      <c r="FV173" s="33"/>
      <c r="FW173" s="33"/>
      <c r="FX173" s="33"/>
      <c r="FY173" s="33"/>
      <c r="FZ173" s="33"/>
      <c r="GA173" s="33"/>
      <c r="GB173" s="33"/>
      <c r="GC173" s="33"/>
      <c r="GD173" s="33"/>
      <c r="GE173" s="33"/>
      <c r="GF173" s="33"/>
      <c r="GG173" s="33"/>
      <c r="GH173" s="33"/>
      <c r="GI173" s="33"/>
      <c r="GJ173" s="33"/>
      <c r="GK173" s="33"/>
      <c r="GL173" s="33"/>
      <c r="GM173" s="33"/>
      <c r="GN173" s="33"/>
      <c r="GO173" s="33"/>
      <c r="GP173" s="33"/>
      <c r="GQ173" s="33"/>
      <c r="GR173" s="33"/>
      <c r="GS173" s="33"/>
      <c r="GT173" s="33"/>
      <c r="GU173" s="33"/>
      <c r="GV173" s="33"/>
      <c r="GW173" s="33"/>
      <c r="GX173" s="33"/>
      <c r="GY173" s="33"/>
      <c r="GZ173" s="33"/>
      <c r="HA173" s="33"/>
      <c r="HB173" s="33"/>
      <c r="HC173" s="33"/>
      <c r="HD173" s="33"/>
      <c r="HE173" s="33"/>
      <c r="HF173" s="33"/>
      <c r="HG173" s="33"/>
      <c r="HH173" s="33"/>
    </row>
    <row r="174" spans="1:216" ht="15.75" customHeight="1" x14ac:dyDescent="0.3">
      <c r="A174" s="7"/>
      <c r="B174" s="45"/>
      <c r="C174" s="46"/>
      <c r="D174" s="48"/>
      <c r="E174" s="54"/>
      <c r="F174" s="39"/>
      <c r="G174" s="20"/>
      <c r="H174" s="20"/>
      <c r="I174" s="20"/>
      <c r="J174" s="20"/>
      <c r="K174" s="20"/>
      <c r="L174" s="20"/>
      <c r="M174" s="20"/>
      <c r="N174" s="20"/>
      <c r="O174" s="20"/>
      <c r="P174" s="32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  <c r="BW174" s="33"/>
      <c r="BX174" s="33"/>
      <c r="BY174" s="33"/>
      <c r="BZ174" s="33"/>
      <c r="CA174" s="33"/>
      <c r="CB174" s="33"/>
      <c r="CC174" s="33"/>
      <c r="CD174" s="33"/>
      <c r="CE174" s="33"/>
      <c r="CF174" s="33"/>
      <c r="CG174" s="33"/>
      <c r="CH174" s="33"/>
      <c r="CI174" s="33"/>
      <c r="CJ174" s="33"/>
      <c r="CK174" s="33"/>
      <c r="CL174" s="33"/>
      <c r="CM174" s="33"/>
      <c r="CN174" s="33"/>
      <c r="CO174" s="33"/>
      <c r="CP174" s="33"/>
      <c r="CQ174" s="33"/>
      <c r="CR174" s="33"/>
      <c r="CS174" s="33"/>
      <c r="CT174" s="33"/>
      <c r="CU174" s="33"/>
      <c r="CV174" s="33"/>
      <c r="CW174" s="33"/>
      <c r="CX174" s="33"/>
      <c r="CY174" s="33"/>
      <c r="CZ174" s="33"/>
      <c r="DA174" s="33"/>
      <c r="DB174" s="33"/>
      <c r="DC174" s="33"/>
      <c r="DD174" s="33"/>
      <c r="DE174" s="33"/>
      <c r="DF174" s="33"/>
      <c r="DG174" s="33"/>
      <c r="DH174" s="33"/>
      <c r="DI174" s="33"/>
      <c r="DJ174" s="33"/>
      <c r="DK174" s="33"/>
      <c r="DL174" s="33"/>
      <c r="DM174" s="33"/>
      <c r="DN174" s="33"/>
      <c r="DO174" s="33"/>
      <c r="DP174" s="33"/>
      <c r="DQ174" s="33"/>
      <c r="DR174" s="33"/>
      <c r="DS174" s="33"/>
      <c r="DT174" s="33"/>
      <c r="DU174" s="33"/>
      <c r="DV174" s="33"/>
      <c r="DW174" s="33"/>
      <c r="DX174" s="33"/>
      <c r="DY174" s="33"/>
      <c r="DZ174" s="33"/>
      <c r="EA174" s="33"/>
      <c r="EB174" s="33"/>
      <c r="EC174" s="33"/>
      <c r="ED174" s="33"/>
      <c r="EE174" s="33"/>
      <c r="EF174" s="33"/>
      <c r="EG174" s="33"/>
      <c r="EH174" s="33"/>
      <c r="EI174" s="33"/>
      <c r="EJ174" s="33"/>
      <c r="EK174" s="33"/>
      <c r="EL174" s="33"/>
      <c r="EM174" s="33"/>
      <c r="EN174" s="33"/>
      <c r="EO174" s="33"/>
      <c r="EP174" s="33"/>
      <c r="EQ174" s="33"/>
      <c r="ER174" s="33"/>
      <c r="ES174" s="33"/>
      <c r="ET174" s="33"/>
      <c r="EU174" s="33"/>
      <c r="EV174" s="33"/>
      <c r="EW174" s="33"/>
      <c r="EX174" s="33"/>
      <c r="EY174" s="33"/>
      <c r="EZ174" s="33"/>
      <c r="FA174" s="33"/>
      <c r="FB174" s="33"/>
      <c r="FC174" s="33"/>
      <c r="FD174" s="33"/>
      <c r="FE174" s="33"/>
      <c r="FF174" s="33"/>
      <c r="FG174" s="33"/>
      <c r="FH174" s="33"/>
      <c r="FI174" s="33"/>
      <c r="FJ174" s="33"/>
      <c r="FK174" s="33"/>
      <c r="FL174" s="33"/>
      <c r="FM174" s="33"/>
      <c r="FN174" s="33"/>
      <c r="FO174" s="33"/>
      <c r="FP174" s="33"/>
      <c r="FQ174" s="33"/>
      <c r="FR174" s="33"/>
      <c r="FS174" s="33"/>
      <c r="FT174" s="33"/>
      <c r="FU174" s="33"/>
      <c r="FV174" s="33"/>
      <c r="FW174" s="33"/>
      <c r="FX174" s="33"/>
      <c r="FY174" s="33"/>
      <c r="FZ174" s="33"/>
      <c r="GA174" s="33"/>
      <c r="GB174" s="33"/>
      <c r="GC174" s="33"/>
      <c r="GD174" s="33"/>
      <c r="GE174" s="33"/>
      <c r="GF174" s="33"/>
      <c r="GG174" s="33"/>
      <c r="GH174" s="33"/>
      <c r="GI174" s="33"/>
      <c r="GJ174" s="33"/>
      <c r="GK174" s="33"/>
      <c r="GL174" s="33"/>
      <c r="GM174" s="33"/>
      <c r="GN174" s="33"/>
      <c r="GO174" s="33"/>
      <c r="GP174" s="33"/>
      <c r="GQ174" s="33"/>
      <c r="GR174" s="33"/>
      <c r="GS174" s="33"/>
      <c r="GT174" s="33"/>
      <c r="GU174" s="33"/>
      <c r="GV174" s="33"/>
      <c r="GW174" s="33"/>
      <c r="GX174" s="33"/>
      <c r="GY174" s="33"/>
      <c r="GZ174" s="33"/>
      <c r="HA174" s="33"/>
      <c r="HB174" s="33"/>
      <c r="HC174" s="33"/>
      <c r="HD174" s="33"/>
      <c r="HE174" s="33"/>
      <c r="HF174" s="33"/>
      <c r="HG174" s="33"/>
      <c r="HH174" s="33"/>
    </row>
    <row r="175" spans="1:216" ht="15.75" customHeight="1" x14ac:dyDescent="0.3">
      <c r="A175" s="6" t="s">
        <v>26</v>
      </c>
      <c r="B175" s="84" t="s">
        <v>51</v>
      </c>
      <c r="C175" s="87"/>
      <c r="D175" s="88"/>
      <c r="E175" s="5">
        <f>SUM(E165:E174)</f>
        <v>51</v>
      </c>
      <c r="F175" s="39"/>
      <c r="G175" s="20"/>
      <c r="H175" s="20"/>
      <c r="I175" s="20"/>
      <c r="J175" s="20"/>
      <c r="K175" s="20"/>
      <c r="L175" s="20"/>
      <c r="M175" s="20"/>
      <c r="N175" s="20"/>
      <c r="O175" s="20"/>
      <c r="P175" s="32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33"/>
      <c r="BX175" s="33"/>
      <c r="BY175" s="33"/>
      <c r="BZ175" s="33"/>
      <c r="CA175" s="33"/>
      <c r="CB175" s="33"/>
      <c r="CC175" s="33"/>
      <c r="CD175" s="33"/>
      <c r="CE175" s="33"/>
      <c r="CF175" s="33"/>
      <c r="CG175" s="33"/>
      <c r="CH175" s="33"/>
      <c r="CI175" s="33"/>
      <c r="CJ175" s="33"/>
      <c r="CK175" s="33"/>
      <c r="CL175" s="33"/>
      <c r="CM175" s="33"/>
      <c r="CN175" s="33"/>
      <c r="CO175" s="33"/>
      <c r="CP175" s="33"/>
      <c r="CQ175" s="33"/>
      <c r="CR175" s="33"/>
      <c r="CS175" s="33"/>
      <c r="CT175" s="33"/>
      <c r="CU175" s="33"/>
      <c r="CV175" s="33"/>
      <c r="CW175" s="33"/>
      <c r="CX175" s="33"/>
      <c r="CY175" s="33"/>
      <c r="CZ175" s="33"/>
      <c r="DA175" s="33"/>
      <c r="DB175" s="33"/>
      <c r="DC175" s="33"/>
      <c r="DD175" s="33"/>
      <c r="DE175" s="33"/>
      <c r="DF175" s="33"/>
      <c r="DG175" s="33"/>
      <c r="DH175" s="33"/>
      <c r="DI175" s="33"/>
      <c r="DJ175" s="33"/>
      <c r="DK175" s="33"/>
      <c r="DL175" s="33"/>
      <c r="DM175" s="33"/>
      <c r="DN175" s="33"/>
      <c r="DO175" s="33"/>
      <c r="DP175" s="33"/>
      <c r="DQ175" s="33"/>
      <c r="DR175" s="33"/>
      <c r="DS175" s="33"/>
      <c r="DT175" s="33"/>
      <c r="DU175" s="33"/>
      <c r="DV175" s="33"/>
      <c r="DW175" s="33"/>
      <c r="DX175" s="33"/>
      <c r="DY175" s="33"/>
      <c r="DZ175" s="33"/>
      <c r="EA175" s="33"/>
      <c r="EB175" s="33"/>
      <c r="EC175" s="33"/>
      <c r="ED175" s="33"/>
      <c r="EE175" s="33"/>
      <c r="EF175" s="33"/>
      <c r="EG175" s="33"/>
      <c r="EH175" s="33"/>
      <c r="EI175" s="33"/>
      <c r="EJ175" s="33"/>
      <c r="EK175" s="33"/>
      <c r="EL175" s="33"/>
      <c r="EM175" s="33"/>
      <c r="EN175" s="33"/>
      <c r="EO175" s="33"/>
      <c r="EP175" s="33"/>
      <c r="EQ175" s="33"/>
      <c r="ER175" s="33"/>
      <c r="ES175" s="33"/>
      <c r="ET175" s="33"/>
      <c r="EU175" s="33"/>
      <c r="EV175" s="33"/>
      <c r="EW175" s="33"/>
      <c r="EX175" s="33"/>
      <c r="EY175" s="33"/>
      <c r="EZ175" s="33"/>
      <c r="FA175" s="33"/>
      <c r="FB175" s="33"/>
      <c r="FC175" s="33"/>
      <c r="FD175" s="33"/>
      <c r="FE175" s="33"/>
      <c r="FF175" s="33"/>
      <c r="FG175" s="33"/>
      <c r="FH175" s="33"/>
      <c r="FI175" s="33"/>
      <c r="FJ175" s="33"/>
      <c r="FK175" s="33"/>
      <c r="FL175" s="33"/>
      <c r="FM175" s="33"/>
      <c r="FN175" s="33"/>
      <c r="FO175" s="33"/>
      <c r="FP175" s="33"/>
      <c r="FQ175" s="33"/>
      <c r="FR175" s="33"/>
      <c r="FS175" s="33"/>
      <c r="FT175" s="33"/>
      <c r="FU175" s="33"/>
      <c r="FV175" s="33"/>
      <c r="FW175" s="33"/>
      <c r="FX175" s="33"/>
      <c r="FY175" s="33"/>
      <c r="FZ175" s="33"/>
      <c r="GA175" s="33"/>
      <c r="GB175" s="33"/>
      <c r="GC175" s="33"/>
      <c r="GD175" s="33"/>
      <c r="GE175" s="33"/>
      <c r="GF175" s="33"/>
      <c r="GG175" s="33"/>
      <c r="GH175" s="33"/>
      <c r="GI175" s="33"/>
      <c r="GJ175" s="33"/>
      <c r="GK175" s="33"/>
      <c r="GL175" s="33"/>
      <c r="GM175" s="33"/>
      <c r="GN175" s="33"/>
      <c r="GO175" s="33"/>
      <c r="GP175" s="33"/>
      <c r="GQ175" s="33"/>
      <c r="GR175" s="33"/>
      <c r="GS175" s="33"/>
      <c r="GT175" s="33"/>
      <c r="GU175" s="33"/>
      <c r="GV175" s="33"/>
      <c r="GW175" s="33"/>
      <c r="GX175" s="33"/>
      <c r="GY175" s="33"/>
      <c r="GZ175" s="33"/>
      <c r="HA175" s="33"/>
      <c r="HB175" s="33"/>
      <c r="HC175" s="33"/>
      <c r="HD175" s="33"/>
      <c r="HE175" s="33"/>
      <c r="HF175" s="33"/>
      <c r="HG175" s="33"/>
      <c r="HH175" s="33"/>
    </row>
    <row r="176" spans="1:216" ht="15.75" customHeight="1" x14ac:dyDescent="0.3">
      <c r="A176" s="62"/>
      <c r="B176" s="89"/>
      <c r="C176" s="89"/>
      <c r="D176" s="89"/>
      <c r="E176" s="90"/>
      <c r="F176" s="39"/>
      <c r="G176" s="20"/>
      <c r="H176" s="20"/>
      <c r="I176" s="20"/>
      <c r="J176" s="20"/>
      <c r="K176" s="20"/>
      <c r="L176" s="20"/>
      <c r="M176" s="20"/>
      <c r="N176" s="20"/>
      <c r="O176" s="20"/>
      <c r="P176" s="32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33"/>
      <c r="CT176" s="33"/>
      <c r="CU176" s="33"/>
      <c r="CV176" s="33"/>
      <c r="CW176" s="33"/>
      <c r="CX176" s="33"/>
      <c r="CY176" s="33"/>
      <c r="CZ176" s="33"/>
      <c r="DA176" s="33"/>
      <c r="DB176" s="33"/>
      <c r="DC176" s="33"/>
      <c r="DD176" s="33"/>
      <c r="DE176" s="33"/>
      <c r="DF176" s="33"/>
      <c r="DG176" s="33"/>
      <c r="DH176" s="33"/>
      <c r="DI176" s="33"/>
      <c r="DJ176" s="33"/>
      <c r="DK176" s="33"/>
      <c r="DL176" s="33"/>
      <c r="DM176" s="33"/>
      <c r="DN176" s="33"/>
      <c r="DO176" s="33"/>
      <c r="DP176" s="33"/>
      <c r="DQ176" s="33"/>
      <c r="DR176" s="33"/>
      <c r="DS176" s="33"/>
      <c r="DT176" s="33"/>
      <c r="DU176" s="33"/>
      <c r="DV176" s="33"/>
      <c r="DW176" s="33"/>
      <c r="DX176" s="33"/>
      <c r="DY176" s="33"/>
      <c r="DZ176" s="33"/>
      <c r="EA176" s="33"/>
      <c r="EB176" s="33"/>
      <c r="EC176" s="33"/>
      <c r="ED176" s="33"/>
      <c r="EE176" s="33"/>
      <c r="EF176" s="33"/>
      <c r="EG176" s="33"/>
      <c r="EH176" s="33"/>
      <c r="EI176" s="33"/>
      <c r="EJ176" s="33"/>
      <c r="EK176" s="33"/>
      <c r="EL176" s="33"/>
      <c r="EM176" s="33"/>
      <c r="EN176" s="33"/>
      <c r="EO176" s="33"/>
      <c r="EP176" s="33"/>
      <c r="EQ176" s="33"/>
      <c r="ER176" s="33"/>
      <c r="ES176" s="33"/>
      <c r="ET176" s="33"/>
      <c r="EU176" s="33"/>
      <c r="EV176" s="33"/>
      <c r="EW176" s="33"/>
      <c r="EX176" s="33"/>
      <c r="EY176" s="33"/>
      <c r="EZ176" s="33"/>
      <c r="FA176" s="33"/>
      <c r="FB176" s="33"/>
      <c r="FC176" s="33"/>
      <c r="FD176" s="33"/>
      <c r="FE176" s="33"/>
      <c r="FF176" s="33"/>
      <c r="FG176" s="33"/>
      <c r="FH176" s="33"/>
      <c r="FI176" s="33"/>
      <c r="FJ176" s="33"/>
      <c r="FK176" s="33"/>
      <c r="FL176" s="33"/>
      <c r="FM176" s="33"/>
      <c r="FN176" s="33"/>
      <c r="FO176" s="33"/>
      <c r="FP176" s="33"/>
      <c r="FQ176" s="33"/>
      <c r="FR176" s="33"/>
      <c r="FS176" s="33"/>
      <c r="FT176" s="33"/>
      <c r="FU176" s="33"/>
      <c r="FV176" s="33"/>
      <c r="FW176" s="33"/>
      <c r="FX176" s="33"/>
      <c r="FY176" s="33"/>
      <c r="FZ176" s="33"/>
      <c r="GA176" s="33"/>
      <c r="GB176" s="33"/>
      <c r="GC176" s="33"/>
      <c r="GD176" s="33"/>
      <c r="GE176" s="33"/>
      <c r="GF176" s="33"/>
      <c r="GG176" s="33"/>
      <c r="GH176" s="33"/>
      <c r="GI176" s="33"/>
      <c r="GJ176" s="33"/>
      <c r="GK176" s="33"/>
      <c r="GL176" s="33"/>
      <c r="GM176" s="33"/>
      <c r="GN176" s="33"/>
      <c r="GO176" s="33"/>
      <c r="GP176" s="33"/>
      <c r="GQ176" s="33"/>
      <c r="GR176" s="33"/>
      <c r="GS176" s="33"/>
      <c r="GT176" s="33"/>
      <c r="GU176" s="33"/>
      <c r="GV176" s="33"/>
      <c r="GW176" s="33"/>
      <c r="GX176" s="33"/>
      <c r="GY176" s="33"/>
      <c r="GZ176" s="33"/>
      <c r="HA176" s="33"/>
      <c r="HB176" s="33"/>
      <c r="HC176" s="33"/>
      <c r="HD176" s="33"/>
      <c r="HE176" s="33"/>
      <c r="HF176" s="33"/>
      <c r="HG176" s="33"/>
      <c r="HH176" s="33"/>
    </row>
    <row r="177" spans="1:216" ht="15.75" customHeight="1" x14ac:dyDescent="0.3">
      <c r="A177" s="11" t="s">
        <v>48</v>
      </c>
      <c r="B177" s="17" t="s">
        <v>69</v>
      </c>
      <c r="C177" s="86" t="s">
        <v>70</v>
      </c>
      <c r="D177" s="64"/>
      <c r="E177" s="9">
        <f>ALASMALANG!V177+'BENELAN KIDUL'!S177+CANTUK!T177+GAMBOR!N177+GUMIRIH!S177+KEMIRI!U177+LEMAHBANGKULON!Q177+PADANG!Q177+SINGOJURUH!AC177+SINGOLATREN!T177+SUMBERBARU!S177</f>
        <v>53</v>
      </c>
      <c r="F177" s="40"/>
      <c r="G177" s="1"/>
      <c r="H177" s="1"/>
      <c r="I177" s="1"/>
      <c r="J177" s="1"/>
      <c r="K177" s="1"/>
      <c r="L177" s="1"/>
      <c r="M177" s="1"/>
      <c r="N177" s="1"/>
      <c r="O177" s="1"/>
      <c r="P177" s="34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  <c r="CW177" s="31"/>
      <c r="CX177" s="31"/>
      <c r="CY177" s="31"/>
      <c r="CZ177" s="31"/>
      <c r="DA177" s="31"/>
      <c r="DB177" s="31"/>
      <c r="DC177" s="31"/>
      <c r="DD177" s="31"/>
      <c r="DE177" s="31"/>
      <c r="DF177" s="31"/>
      <c r="DG177" s="31"/>
      <c r="DH177" s="31"/>
      <c r="DI177" s="31"/>
      <c r="DJ177" s="31"/>
      <c r="DK177" s="31"/>
      <c r="DL177" s="31"/>
      <c r="DM177" s="31"/>
      <c r="DN177" s="31"/>
      <c r="DO177" s="31"/>
      <c r="DP177" s="31"/>
      <c r="DQ177" s="31"/>
      <c r="DR177" s="31"/>
      <c r="DS177" s="31"/>
      <c r="DT177" s="31"/>
      <c r="DU177" s="31"/>
      <c r="DV177" s="31"/>
      <c r="DW177" s="31"/>
      <c r="DX177" s="31"/>
      <c r="DY177" s="31"/>
      <c r="DZ177" s="31"/>
      <c r="EA177" s="31"/>
      <c r="EB177" s="31"/>
      <c r="EC177" s="31"/>
      <c r="ED177" s="31"/>
      <c r="EE177" s="31"/>
      <c r="EF177" s="31"/>
      <c r="EG177" s="31"/>
      <c r="EH177" s="31"/>
      <c r="EI177" s="31"/>
      <c r="EJ177" s="31"/>
      <c r="EK177" s="31"/>
      <c r="EL177" s="31"/>
      <c r="EM177" s="31"/>
      <c r="EN177" s="31"/>
      <c r="EO177" s="31"/>
      <c r="EP177" s="31"/>
      <c r="EQ177" s="31"/>
      <c r="ER177" s="31"/>
      <c r="ES177" s="31"/>
      <c r="ET177" s="31"/>
      <c r="EU177" s="31"/>
      <c r="EV177" s="31"/>
      <c r="EW177" s="31"/>
      <c r="EX177" s="31"/>
      <c r="EY177" s="31"/>
      <c r="EZ177" s="31"/>
      <c r="FA177" s="31"/>
      <c r="FB177" s="31"/>
      <c r="FC177" s="31"/>
      <c r="FD177" s="31"/>
      <c r="FE177" s="31"/>
      <c r="FF177" s="31"/>
      <c r="FG177" s="31"/>
      <c r="FH177" s="31"/>
      <c r="FI177" s="31"/>
      <c r="FJ177" s="31"/>
      <c r="FK177" s="31"/>
      <c r="FL177" s="31"/>
      <c r="FM177" s="31"/>
      <c r="FN177" s="31"/>
      <c r="FO177" s="31"/>
      <c r="FP177" s="31"/>
      <c r="FQ177" s="31"/>
      <c r="FR177" s="31"/>
      <c r="FS177" s="31"/>
      <c r="FT177" s="31"/>
      <c r="FU177" s="31"/>
      <c r="FV177" s="31"/>
      <c r="FW177" s="31"/>
      <c r="FX177" s="31"/>
      <c r="FY177" s="31"/>
      <c r="FZ177" s="31"/>
      <c r="GA177" s="31"/>
      <c r="GB177" s="31"/>
      <c r="GC177" s="31"/>
      <c r="GD177" s="31"/>
      <c r="GE177" s="31"/>
      <c r="GF177" s="31"/>
      <c r="GG177" s="31"/>
      <c r="GH177" s="31"/>
      <c r="GI177" s="31"/>
      <c r="GJ177" s="31"/>
      <c r="GK177" s="31"/>
      <c r="GL177" s="31"/>
      <c r="GM177" s="31"/>
      <c r="GN177" s="31"/>
      <c r="GO177" s="31"/>
      <c r="GP177" s="31"/>
      <c r="GQ177" s="31"/>
      <c r="GR177" s="31"/>
      <c r="GS177" s="31"/>
      <c r="GT177" s="31"/>
      <c r="GU177" s="31"/>
      <c r="GV177" s="31"/>
      <c r="GW177" s="31"/>
      <c r="GX177" s="31"/>
      <c r="GY177" s="31"/>
      <c r="GZ177" s="31"/>
      <c r="HA177" s="31"/>
      <c r="HB177" s="31"/>
      <c r="HC177" s="31"/>
      <c r="HD177" s="31"/>
      <c r="HE177" s="31"/>
      <c r="HF177" s="31"/>
      <c r="HG177" s="31"/>
      <c r="HH177" s="31"/>
    </row>
    <row r="178" spans="1:216" ht="15.75" customHeight="1" x14ac:dyDescent="0.3">
      <c r="A178" s="11" t="s">
        <v>50</v>
      </c>
      <c r="B178" s="50"/>
      <c r="C178" s="24" t="s">
        <v>187</v>
      </c>
      <c r="D178" s="49"/>
      <c r="E178" s="9">
        <f>ALASMALANG!V178+'BENELAN KIDUL'!S178+CANTUK!T178+GAMBOR!N178+GUMIRIH!S178+KEMIRI!U178+LEMAHBANGKULON!Q178+PADANG!Q178+SINGOJURUH!AC178+SINGOLATREN!T178+SUMBERBARU!S178</f>
        <v>100</v>
      </c>
      <c r="F178" s="42"/>
      <c r="G178" s="27"/>
      <c r="H178" s="27"/>
      <c r="I178" s="27"/>
      <c r="J178" s="27"/>
      <c r="K178" s="27"/>
      <c r="L178" s="27"/>
      <c r="M178" s="27"/>
      <c r="N178" s="27"/>
      <c r="O178" s="27"/>
      <c r="P178" s="37"/>
      <c r="Q178" s="30"/>
      <c r="R178" s="30"/>
      <c r="S178" s="30"/>
      <c r="T178" s="30"/>
      <c r="U178" s="30"/>
      <c r="V178" s="30"/>
      <c r="W178" s="38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0"/>
      <c r="BM178" s="30"/>
      <c r="BN178" s="30"/>
      <c r="BO178" s="30"/>
      <c r="BP178" s="30"/>
      <c r="BQ178" s="30"/>
      <c r="BR178" s="38"/>
      <c r="BS178" s="30"/>
      <c r="BT178" s="30"/>
      <c r="BU178" s="30"/>
      <c r="BV178" s="30"/>
      <c r="BW178" s="30"/>
      <c r="BX178" s="30"/>
      <c r="BY178" s="30"/>
      <c r="BZ178" s="30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0"/>
      <c r="EN178" s="30"/>
      <c r="EO178" s="30"/>
      <c r="EP178" s="30"/>
      <c r="EQ178" s="30"/>
      <c r="ER178" s="30"/>
      <c r="ES178" s="30"/>
      <c r="ET178" s="30"/>
      <c r="EU178" s="30"/>
      <c r="EV178" s="30"/>
      <c r="EW178" s="30"/>
      <c r="EX178" s="30"/>
      <c r="EY178" s="38"/>
      <c r="EZ178" s="38"/>
      <c r="FA178" s="38"/>
      <c r="FB178" s="38"/>
      <c r="FC178" s="38"/>
      <c r="FD178" s="38"/>
      <c r="FE178" s="38"/>
      <c r="FF178" s="30"/>
      <c r="FG178" s="30"/>
      <c r="FH178" s="30"/>
      <c r="FI178" s="30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</row>
    <row r="179" spans="1:216" ht="15.75" customHeight="1" x14ac:dyDescent="0.3">
      <c r="A179" s="7"/>
      <c r="B179" s="50"/>
      <c r="C179" s="24" t="s">
        <v>188</v>
      </c>
      <c r="D179" s="49"/>
      <c r="E179" s="9">
        <f>ALASMALANG!V179+'BENELAN KIDUL'!S179+CANTUK!T179+GAMBOR!N179+GUMIRIH!S179+KEMIRI!U179+LEMAHBANGKULON!Q179+PADANG!Q179+SINGOJURUH!AC179+SINGOLATREN!T179+SUMBERBARU!S179</f>
        <v>19</v>
      </c>
      <c r="F179" s="39"/>
      <c r="G179" s="20"/>
      <c r="H179" s="20"/>
      <c r="I179" s="20"/>
      <c r="J179" s="20"/>
      <c r="K179" s="20"/>
      <c r="L179" s="20"/>
      <c r="M179" s="20"/>
      <c r="N179" s="20"/>
      <c r="O179" s="20"/>
      <c r="P179" s="32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3"/>
      <c r="DP179" s="33"/>
      <c r="DQ179" s="33"/>
      <c r="DR179" s="33"/>
      <c r="DS179" s="33"/>
      <c r="DT179" s="33"/>
      <c r="DU179" s="33"/>
      <c r="DV179" s="33"/>
      <c r="DW179" s="33"/>
      <c r="DX179" s="33"/>
      <c r="DY179" s="33"/>
      <c r="DZ179" s="33"/>
      <c r="EA179" s="33"/>
      <c r="EB179" s="33"/>
      <c r="EC179" s="33"/>
      <c r="ED179" s="33"/>
      <c r="EE179" s="33"/>
      <c r="EF179" s="33"/>
      <c r="EG179" s="33"/>
      <c r="EH179" s="33"/>
      <c r="EI179" s="33"/>
      <c r="EJ179" s="33"/>
      <c r="EK179" s="33"/>
      <c r="EL179" s="33"/>
      <c r="EM179" s="33"/>
      <c r="EN179" s="33"/>
      <c r="EO179" s="33"/>
      <c r="EP179" s="33"/>
      <c r="EQ179" s="33"/>
      <c r="ER179" s="33"/>
      <c r="ES179" s="33"/>
      <c r="ET179" s="33"/>
      <c r="EU179" s="33"/>
      <c r="EV179" s="33"/>
      <c r="EW179" s="33"/>
      <c r="EX179" s="33"/>
      <c r="EY179" s="33"/>
      <c r="EZ179" s="33"/>
      <c r="FA179" s="33"/>
      <c r="FB179" s="33"/>
      <c r="FC179" s="33"/>
      <c r="FD179" s="33"/>
      <c r="FE179" s="33"/>
      <c r="FF179" s="33"/>
      <c r="FG179" s="33"/>
      <c r="FH179" s="33"/>
      <c r="FI179" s="33"/>
      <c r="FJ179" s="33"/>
      <c r="FK179" s="33"/>
      <c r="FL179" s="33"/>
      <c r="FM179" s="33"/>
      <c r="FN179" s="33"/>
      <c r="FO179" s="33"/>
      <c r="FP179" s="33"/>
      <c r="FQ179" s="33"/>
      <c r="FR179" s="33"/>
      <c r="FS179" s="33"/>
      <c r="FT179" s="33"/>
      <c r="FU179" s="33"/>
      <c r="FV179" s="33"/>
      <c r="FW179" s="33"/>
      <c r="FX179" s="33"/>
      <c r="FY179" s="33"/>
      <c r="FZ179" s="33"/>
      <c r="GA179" s="33"/>
      <c r="GB179" s="33"/>
      <c r="GC179" s="33"/>
      <c r="GD179" s="33"/>
      <c r="GE179" s="33"/>
      <c r="GF179" s="33"/>
      <c r="GG179" s="33"/>
      <c r="GH179" s="33"/>
      <c r="GI179" s="33"/>
      <c r="GJ179" s="33"/>
      <c r="GK179" s="33"/>
      <c r="GL179" s="33"/>
      <c r="GM179" s="33"/>
      <c r="GN179" s="33"/>
      <c r="GO179" s="33"/>
      <c r="GP179" s="33"/>
      <c r="GQ179" s="33"/>
      <c r="GR179" s="33"/>
      <c r="GS179" s="33"/>
      <c r="GT179" s="33"/>
      <c r="GU179" s="33"/>
      <c r="GV179" s="33"/>
      <c r="GW179" s="33"/>
      <c r="GX179" s="33"/>
      <c r="GY179" s="33"/>
      <c r="GZ179" s="33"/>
      <c r="HA179" s="33"/>
      <c r="HB179" s="33"/>
      <c r="HC179" s="33"/>
      <c r="HD179" s="33"/>
      <c r="HE179" s="33"/>
      <c r="HF179" s="33"/>
      <c r="HG179" s="33"/>
      <c r="HH179" s="33"/>
    </row>
    <row r="180" spans="1:216" ht="15.75" customHeight="1" x14ac:dyDescent="0.3">
      <c r="A180" s="7"/>
      <c r="B180" s="50"/>
      <c r="C180" s="24" t="s">
        <v>189</v>
      </c>
      <c r="D180" s="49"/>
      <c r="E180" s="9">
        <f>ALASMALANG!V180+'BENELAN KIDUL'!S180+CANTUK!T180+GAMBOR!N180+GUMIRIH!S180+KEMIRI!U180+LEMAHBANGKULON!Q180+PADANG!Q180+SINGOJURUH!AC180+SINGOLATREN!T180+SUMBERBARU!S180</f>
        <v>39</v>
      </c>
      <c r="F180" s="39"/>
      <c r="G180" s="20"/>
      <c r="H180" s="20"/>
      <c r="I180" s="20"/>
      <c r="J180" s="20"/>
      <c r="K180" s="20"/>
      <c r="L180" s="20"/>
      <c r="M180" s="20"/>
      <c r="N180" s="20"/>
      <c r="O180" s="20"/>
      <c r="P180" s="32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  <c r="CW180" s="33"/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  <c r="DM180" s="33"/>
      <c r="DN180" s="33"/>
      <c r="DO180" s="33"/>
      <c r="DP180" s="33"/>
      <c r="DQ180" s="33"/>
      <c r="DR180" s="33"/>
      <c r="DS180" s="33"/>
      <c r="DT180" s="33"/>
      <c r="DU180" s="33"/>
      <c r="DV180" s="33"/>
      <c r="DW180" s="33"/>
      <c r="DX180" s="33"/>
      <c r="DY180" s="33"/>
      <c r="DZ180" s="33"/>
      <c r="EA180" s="33"/>
      <c r="EB180" s="33"/>
      <c r="EC180" s="33"/>
      <c r="ED180" s="33"/>
      <c r="EE180" s="33"/>
      <c r="EF180" s="33"/>
      <c r="EG180" s="33"/>
      <c r="EH180" s="33"/>
      <c r="EI180" s="33"/>
      <c r="EJ180" s="33"/>
      <c r="EK180" s="33"/>
      <c r="EL180" s="33"/>
      <c r="EM180" s="33"/>
      <c r="EN180" s="33"/>
      <c r="EO180" s="33"/>
      <c r="EP180" s="33"/>
      <c r="EQ180" s="33"/>
      <c r="ER180" s="33"/>
      <c r="ES180" s="33"/>
      <c r="ET180" s="33"/>
      <c r="EU180" s="33"/>
      <c r="EV180" s="33"/>
      <c r="EW180" s="33"/>
      <c r="EX180" s="33"/>
      <c r="EY180" s="33"/>
      <c r="EZ180" s="33"/>
      <c r="FA180" s="33"/>
      <c r="FB180" s="33"/>
      <c r="FC180" s="33"/>
      <c r="FD180" s="33"/>
      <c r="FE180" s="33"/>
      <c r="FF180" s="33"/>
      <c r="FG180" s="33"/>
      <c r="FH180" s="33"/>
      <c r="FI180" s="33"/>
      <c r="FJ180" s="33"/>
      <c r="FK180" s="33"/>
      <c r="FL180" s="33"/>
      <c r="FM180" s="33"/>
      <c r="FN180" s="33"/>
      <c r="FO180" s="33"/>
      <c r="FP180" s="33"/>
      <c r="FQ180" s="33"/>
      <c r="FR180" s="33"/>
      <c r="FS180" s="33"/>
      <c r="FT180" s="33"/>
      <c r="FU180" s="33"/>
      <c r="FV180" s="33"/>
      <c r="FW180" s="33"/>
      <c r="FX180" s="33"/>
      <c r="FY180" s="33"/>
      <c r="FZ180" s="33"/>
      <c r="GA180" s="33"/>
      <c r="GB180" s="33"/>
      <c r="GC180" s="33"/>
      <c r="GD180" s="33"/>
      <c r="GE180" s="33"/>
      <c r="GF180" s="33"/>
      <c r="GG180" s="33"/>
      <c r="GH180" s="33"/>
      <c r="GI180" s="33"/>
      <c r="GJ180" s="33"/>
      <c r="GK180" s="33"/>
      <c r="GL180" s="33"/>
      <c r="GM180" s="33"/>
      <c r="GN180" s="33"/>
      <c r="GO180" s="33"/>
      <c r="GP180" s="33"/>
      <c r="GQ180" s="33"/>
      <c r="GR180" s="33"/>
      <c r="GS180" s="33"/>
      <c r="GT180" s="33"/>
      <c r="GU180" s="33"/>
      <c r="GV180" s="33"/>
      <c r="GW180" s="33"/>
      <c r="GX180" s="33"/>
      <c r="GY180" s="33"/>
      <c r="GZ180" s="33"/>
      <c r="HA180" s="33"/>
      <c r="HB180" s="33"/>
      <c r="HC180" s="33"/>
      <c r="HD180" s="33"/>
      <c r="HE180" s="33"/>
      <c r="HF180" s="33"/>
      <c r="HG180" s="33"/>
      <c r="HH180" s="33"/>
    </row>
    <row r="181" spans="1:216" ht="15.75" customHeight="1" x14ac:dyDescent="0.3">
      <c r="A181" s="7"/>
      <c r="B181" s="50"/>
      <c r="C181" s="24" t="s">
        <v>190</v>
      </c>
      <c r="D181" s="49"/>
      <c r="E181" s="9">
        <f>ALASMALANG!V181+'BENELAN KIDUL'!S181+CANTUK!T181+GAMBOR!N181+GUMIRIH!S181+KEMIRI!U181+LEMAHBANGKULON!Q181+PADANG!Q181+SINGOJURUH!AC181+SINGOLATREN!T181+SUMBERBARU!S181</f>
        <v>15</v>
      </c>
      <c r="F181" s="39"/>
      <c r="G181" s="20"/>
      <c r="H181" s="20"/>
      <c r="I181" s="20"/>
      <c r="J181" s="20"/>
      <c r="K181" s="20"/>
      <c r="L181" s="20"/>
      <c r="M181" s="20"/>
      <c r="N181" s="20"/>
      <c r="O181" s="20"/>
      <c r="P181" s="32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33"/>
      <c r="CX181" s="33"/>
      <c r="CY181" s="33"/>
      <c r="CZ181" s="33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3"/>
      <c r="DL181" s="33"/>
      <c r="DM181" s="33"/>
      <c r="DN181" s="33"/>
      <c r="DO181" s="33"/>
      <c r="DP181" s="33"/>
      <c r="DQ181" s="33"/>
      <c r="DR181" s="33"/>
      <c r="DS181" s="33"/>
      <c r="DT181" s="33"/>
      <c r="DU181" s="33"/>
      <c r="DV181" s="33"/>
      <c r="DW181" s="33"/>
      <c r="DX181" s="33"/>
      <c r="DY181" s="33"/>
      <c r="DZ181" s="33"/>
      <c r="EA181" s="33"/>
      <c r="EB181" s="33"/>
      <c r="EC181" s="33"/>
      <c r="ED181" s="33"/>
      <c r="EE181" s="33"/>
      <c r="EF181" s="33"/>
      <c r="EG181" s="33"/>
      <c r="EH181" s="33"/>
      <c r="EI181" s="33"/>
      <c r="EJ181" s="33"/>
      <c r="EK181" s="33"/>
      <c r="EL181" s="33"/>
      <c r="EM181" s="33"/>
      <c r="EN181" s="33"/>
      <c r="EO181" s="33"/>
      <c r="EP181" s="33"/>
      <c r="EQ181" s="33"/>
      <c r="ER181" s="33"/>
      <c r="ES181" s="33"/>
      <c r="ET181" s="33"/>
      <c r="EU181" s="33"/>
      <c r="EV181" s="33"/>
      <c r="EW181" s="33"/>
      <c r="EX181" s="33"/>
      <c r="EY181" s="33"/>
      <c r="EZ181" s="33"/>
      <c r="FA181" s="33"/>
      <c r="FB181" s="33"/>
      <c r="FC181" s="33"/>
      <c r="FD181" s="33"/>
      <c r="FE181" s="33"/>
      <c r="FF181" s="33"/>
      <c r="FG181" s="33"/>
      <c r="FH181" s="33"/>
      <c r="FI181" s="33"/>
      <c r="FJ181" s="33"/>
      <c r="FK181" s="33"/>
      <c r="FL181" s="33"/>
      <c r="FM181" s="33"/>
      <c r="FN181" s="33"/>
      <c r="FO181" s="33"/>
      <c r="FP181" s="33"/>
      <c r="FQ181" s="33"/>
      <c r="FR181" s="33"/>
      <c r="FS181" s="33"/>
      <c r="FT181" s="33"/>
      <c r="FU181" s="33"/>
      <c r="FV181" s="33"/>
      <c r="FW181" s="33"/>
      <c r="FX181" s="33"/>
      <c r="FY181" s="33"/>
      <c r="FZ181" s="33"/>
      <c r="GA181" s="33"/>
      <c r="GB181" s="33"/>
      <c r="GC181" s="33"/>
      <c r="GD181" s="33"/>
      <c r="GE181" s="33"/>
      <c r="GF181" s="33"/>
      <c r="GG181" s="33"/>
      <c r="GH181" s="33"/>
      <c r="GI181" s="33"/>
      <c r="GJ181" s="33"/>
      <c r="GK181" s="33"/>
      <c r="GL181" s="33"/>
      <c r="GM181" s="33"/>
      <c r="GN181" s="33"/>
      <c r="GO181" s="33"/>
      <c r="GP181" s="33"/>
      <c r="GQ181" s="33"/>
      <c r="GR181" s="33"/>
      <c r="GS181" s="33"/>
      <c r="GT181" s="33"/>
      <c r="GU181" s="33"/>
      <c r="GV181" s="33"/>
      <c r="GW181" s="33"/>
      <c r="GX181" s="33"/>
      <c r="GY181" s="33"/>
      <c r="GZ181" s="33"/>
      <c r="HA181" s="33"/>
      <c r="HB181" s="33"/>
      <c r="HC181" s="33"/>
      <c r="HD181" s="33"/>
      <c r="HE181" s="33"/>
      <c r="HF181" s="33"/>
      <c r="HG181" s="33"/>
      <c r="HH181" s="33"/>
    </row>
    <row r="182" spans="1:216" ht="15.75" customHeight="1" x14ac:dyDescent="0.3">
      <c r="A182" s="7"/>
      <c r="B182" s="50"/>
      <c r="C182" s="24" t="s">
        <v>191</v>
      </c>
      <c r="D182" s="49"/>
      <c r="E182" s="9">
        <f>ALASMALANG!V182+'BENELAN KIDUL'!S182+CANTUK!T182+GAMBOR!N182+GUMIRIH!S182+KEMIRI!U182+LEMAHBANGKULON!Q182+PADANG!Q182+SINGOJURUH!AC182+SINGOLATREN!T182+SUMBERBARU!S182</f>
        <v>6</v>
      </c>
      <c r="F182" s="39"/>
      <c r="G182" s="20"/>
      <c r="H182" s="20"/>
      <c r="I182" s="20"/>
      <c r="J182" s="20"/>
      <c r="K182" s="20"/>
      <c r="L182" s="20"/>
      <c r="M182" s="20"/>
      <c r="N182" s="20"/>
      <c r="O182" s="20"/>
      <c r="P182" s="32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  <c r="BW182" s="33"/>
      <c r="BX182" s="33"/>
      <c r="BY182" s="33"/>
      <c r="BZ182" s="33"/>
      <c r="CA182" s="33"/>
      <c r="CB182" s="33"/>
      <c r="CC182" s="33"/>
      <c r="CD182" s="33"/>
      <c r="CE182" s="33"/>
      <c r="CF182" s="33"/>
      <c r="CG182" s="33"/>
      <c r="CH182" s="33"/>
      <c r="CI182" s="33"/>
      <c r="CJ182" s="33"/>
      <c r="CK182" s="33"/>
      <c r="CL182" s="33"/>
      <c r="CM182" s="33"/>
      <c r="CN182" s="33"/>
      <c r="CO182" s="33"/>
      <c r="CP182" s="33"/>
      <c r="CQ182" s="33"/>
      <c r="CR182" s="33"/>
      <c r="CS182" s="33"/>
      <c r="CT182" s="33"/>
      <c r="CU182" s="33"/>
      <c r="CV182" s="33"/>
      <c r="CW182" s="33"/>
      <c r="CX182" s="33"/>
      <c r="CY182" s="33"/>
      <c r="CZ182" s="33"/>
      <c r="DA182" s="33"/>
      <c r="DB182" s="33"/>
      <c r="DC182" s="33"/>
      <c r="DD182" s="33"/>
      <c r="DE182" s="33"/>
      <c r="DF182" s="33"/>
      <c r="DG182" s="33"/>
      <c r="DH182" s="33"/>
      <c r="DI182" s="33"/>
      <c r="DJ182" s="33"/>
      <c r="DK182" s="33"/>
      <c r="DL182" s="33"/>
      <c r="DM182" s="33"/>
      <c r="DN182" s="33"/>
      <c r="DO182" s="33"/>
      <c r="DP182" s="33"/>
      <c r="DQ182" s="33"/>
      <c r="DR182" s="33"/>
      <c r="DS182" s="33"/>
      <c r="DT182" s="33"/>
      <c r="DU182" s="33"/>
      <c r="DV182" s="33"/>
      <c r="DW182" s="33"/>
      <c r="DX182" s="33"/>
      <c r="DY182" s="33"/>
      <c r="DZ182" s="33"/>
      <c r="EA182" s="33"/>
      <c r="EB182" s="33"/>
      <c r="EC182" s="33"/>
      <c r="ED182" s="33"/>
      <c r="EE182" s="33"/>
      <c r="EF182" s="33"/>
      <c r="EG182" s="33"/>
      <c r="EH182" s="33"/>
      <c r="EI182" s="33"/>
      <c r="EJ182" s="33"/>
      <c r="EK182" s="33"/>
      <c r="EL182" s="33"/>
      <c r="EM182" s="33"/>
      <c r="EN182" s="33"/>
      <c r="EO182" s="33"/>
      <c r="EP182" s="33"/>
      <c r="EQ182" s="33"/>
      <c r="ER182" s="33"/>
      <c r="ES182" s="33"/>
      <c r="ET182" s="33"/>
      <c r="EU182" s="33"/>
      <c r="EV182" s="33"/>
      <c r="EW182" s="33"/>
      <c r="EX182" s="33"/>
      <c r="EY182" s="33"/>
      <c r="EZ182" s="33"/>
      <c r="FA182" s="33"/>
      <c r="FB182" s="33"/>
      <c r="FC182" s="33"/>
      <c r="FD182" s="33"/>
      <c r="FE182" s="33"/>
      <c r="FF182" s="33"/>
      <c r="FG182" s="33"/>
      <c r="FH182" s="33"/>
      <c r="FI182" s="33"/>
      <c r="FJ182" s="33"/>
      <c r="FK182" s="33"/>
      <c r="FL182" s="33"/>
      <c r="FM182" s="33"/>
      <c r="FN182" s="33"/>
      <c r="FO182" s="33"/>
      <c r="FP182" s="33"/>
      <c r="FQ182" s="33"/>
      <c r="FR182" s="33"/>
      <c r="FS182" s="33"/>
      <c r="FT182" s="33"/>
      <c r="FU182" s="33"/>
      <c r="FV182" s="33"/>
      <c r="FW182" s="33"/>
      <c r="FX182" s="33"/>
      <c r="FY182" s="33"/>
      <c r="FZ182" s="33"/>
      <c r="GA182" s="33"/>
      <c r="GB182" s="33"/>
      <c r="GC182" s="33"/>
      <c r="GD182" s="33"/>
      <c r="GE182" s="33"/>
      <c r="GF182" s="33"/>
      <c r="GG182" s="33"/>
      <c r="GH182" s="33"/>
      <c r="GI182" s="33"/>
      <c r="GJ182" s="33"/>
      <c r="GK182" s="33"/>
      <c r="GL182" s="33"/>
      <c r="GM182" s="33"/>
      <c r="GN182" s="33"/>
      <c r="GO182" s="33"/>
      <c r="GP182" s="33"/>
      <c r="GQ182" s="33"/>
      <c r="GR182" s="33"/>
      <c r="GS182" s="33"/>
      <c r="GT182" s="33"/>
      <c r="GU182" s="33"/>
      <c r="GV182" s="33"/>
      <c r="GW182" s="33"/>
      <c r="GX182" s="33"/>
      <c r="GY182" s="33"/>
      <c r="GZ182" s="33"/>
      <c r="HA182" s="33"/>
      <c r="HB182" s="33"/>
      <c r="HC182" s="33"/>
      <c r="HD182" s="33"/>
      <c r="HE182" s="33"/>
      <c r="HF182" s="33"/>
      <c r="HG182" s="33"/>
      <c r="HH182" s="33"/>
    </row>
    <row r="183" spans="1:216" ht="15.75" customHeight="1" x14ac:dyDescent="0.3">
      <c r="A183" s="7"/>
      <c r="B183" s="50"/>
      <c r="C183" s="24" t="s">
        <v>192</v>
      </c>
      <c r="D183" s="49"/>
      <c r="E183" s="9">
        <f>ALASMALANG!V183+'BENELAN KIDUL'!S183+CANTUK!T183+GAMBOR!N183+GUMIRIH!S183+KEMIRI!U183+LEMAHBANGKULON!Q183+PADANG!Q183+SINGOJURUH!AC183+SINGOLATREN!T183+SUMBERBARU!S183</f>
        <v>2</v>
      </c>
      <c r="F183" s="39"/>
      <c r="G183" s="20"/>
      <c r="H183" s="20"/>
      <c r="I183" s="20"/>
      <c r="J183" s="20"/>
      <c r="K183" s="20"/>
      <c r="L183" s="20"/>
      <c r="M183" s="20"/>
      <c r="N183" s="20"/>
      <c r="O183" s="20"/>
      <c r="P183" s="32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  <c r="BY183" s="33"/>
      <c r="BZ183" s="33"/>
      <c r="CA183" s="33"/>
      <c r="CB183" s="33"/>
      <c r="CC183" s="33"/>
      <c r="CD183" s="33"/>
      <c r="CE183" s="33"/>
      <c r="CF183" s="33"/>
      <c r="CG183" s="33"/>
      <c r="CH183" s="33"/>
      <c r="CI183" s="33"/>
      <c r="CJ183" s="33"/>
      <c r="CK183" s="33"/>
      <c r="CL183" s="33"/>
      <c r="CM183" s="33"/>
      <c r="CN183" s="33"/>
      <c r="CO183" s="33"/>
      <c r="CP183" s="33"/>
      <c r="CQ183" s="33"/>
      <c r="CR183" s="33"/>
      <c r="CS183" s="33"/>
      <c r="CT183" s="33"/>
      <c r="CU183" s="33"/>
      <c r="CV183" s="33"/>
      <c r="CW183" s="33"/>
      <c r="CX183" s="33"/>
      <c r="CY183" s="33"/>
      <c r="CZ183" s="33"/>
      <c r="DA183" s="33"/>
      <c r="DB183" s="33"/>
      <c r="DC183" s="33"/>
      <c r="DD183" s="33"/>
      <c r="DE183" s="33"/>
      <c r="DF183" s="33"/>
      <c r="DG183" s="33"/>
      <c r="DH183" s="33"/>
      <c r="DI183" s="33"/>
      <c r="DJ183" s="33"/>
      <c r="DK183" s="33"/>
      <c r="DL183" s="33"/>
      <c r="DM183" s="33"/>
      <c r="DN183" s="33"/>
      <c r="DO183" s="33"/>
      <c r="DP183" s="33"/>
      <c r="DQ183" s="33"/>
      <c r="DR183" s="33"/>
      <c r="DS183" s="33"/>
      <c r="DT183" s="33"/>
      <c r="DU183" s="33"/>
      <c r="DV183" s="33"/>
      <c r="DW183" s="33"/>
      <c r="DX183" s="33"/>
      <c r="DY183" s="33"/>
      <c r="DZ183" s="33"/>
      <c r="EA183" s="33"/>
      <c r="EB183" s="33"/>
      <c r="EC183" s="33"/>
      <c r="ED183" s="33"/>
      <c r="EE183" s="33"/>
      <c r="EF183" s="33"/>
      <c r="EG183" s="33"/>
      <c r="EH183" s="33"/>
      <c r="EI183" s="33"/>
      <c r="EJ183" s="33"/>
      <c r="EK183" s="33"/>
      <c r="EL183" s="33"/>
      <c r="EM183" s="33"/>
      <c r="EN183" s="33"/>
      <c r="EO183" s="33"/>
      <c r="EP183" s="33"/>
      <c r="EQ183" s="33"/>
      <c r="ER183" s="33"/>
      <c r="ES183" s="33"/>
      <c r="ET183" s="33"/>
      <c r="EU183" s="33"/>
      <c r="EV183" s="33"/>
      <c r="EW183" s="33"/>
      <c r="EX183" s="33"/>
      <c r="EY183" s="33"/>
      <c r="EZ183" s="33"/>
      <c r="FA183" s="33"/>
      <c r="FB183" s="33"/>
      <c r="FC183" s="33"/>
      <c r="FD183" s="33"/>
      <c r="FE183" s="33"/>
      <c r="FF183" s="33"/>
      <c r="FG183" s="33"/>
      <c r="FH183" s="33"/>
      <c r="FI183" s="33"/>
      <c r="FJ183" s="33"/>
      <c r="FK183" s="33"/>
      <c r="FL183" s="33"/>
      <c r="FM183" s="33"/>
      <c r="FN183" s="33"/>
      <c r="FO183" s="33"/>
      <c r="FP183" s="33"/>
      <c r="FQ183" s="33"/>
      <c r="FR183" s="33"/>
      <c r="FS183" s="33"/>
      <c r="FT183" s="33"/>
      <c r="FU183" s="33"/>
      <c r="FV183" s="33"/>
      <c r="FW183" s="33"/>
      <c r="FX183" s="33"/>
      <c r="FY183" s="33"/>
      <c r="FZ183" s="33"/>
      <c r="GA183" s="33"/>
      <c r="GB183" s="33"/>
      <c r="GC183" s="33"/>
      <c r="GD183" s="33"/>
      <c r="GE183" s="33"/>
      <c r="GF183" s="33"/>
      <c r="GG183" s="33"/>
      <c r="GH183" s="33"/>
      <c r="GI183" s="33"/>
      <c r="GJ183" s="33"/>
      <c r="GK183" s="33"/>
      <c r="GL183" s="33"/>
      <c r="GM183" s="33"/>
      <c r="GN183" s="33"/>
      <c r="GO183" s="33"/>
      <c r="GP183" s="33"/>
      <c r="GQ183" s="33"/>
      <c r="GR183" s="33"/>
      <c r="GS183" s="33"/>
      <c r="GT183" s="33"/>
      <c r="GU183" s="33"/>
      <c r="GV183" s="33"/>
      <c r="GW183" s="33"/>
      <c r="GX183" s="33"/>
      <c r="GY183" s="33"/>
      <c r="GZ183" s="33"/>
      <c r="HA183" s="33"/>
      <c r="HB183" s="33"/>
      <c r="HC183" s="33"/>
      <c r="HD183" s="33"/>
      <c r="HE183" s="33"/>
      <c r="HF183" s="33"/>
      <c r="HG183" s="33"/>
      <c r="HH183" s="33"/>
    </row>
    <row r="184" spans="1:216" ht="15.75" customHeight="1" x14ac:dyDescent="0.3">
      <c r="A184" s="7"/>
      <c r="B184" s="50"/>
      <c r="C184" s="24" t="s">
        <v>193</v>
      </c>
      <c r="D184" s="49"/>
      <c r="E184" s="9">
        <f>ALASMALANG!V184+'BENELAN KIDUL'!S184+CANTUK!T184+GAMBOR!N184+GUMIRIH!S184+KEMIRI!U184+LEMAHBANGKULON!Q184+PADANG!Q184+SINGOJURUH!AC184+SINGOLATREN!T184+SUMBERBARU!S184</f>
        <v>5</v>
      </c>
      <c r="F184" s="39"/>
      <c r="G184" s="20"/>
      <c r="H184" s="20"/>
      <c r="I184" s="20"/>
      <c r="J184" s="20"/>
      <c r="K184" s="20"/>
      <c r="L184" s="20"/>
      <c r="M184" s="20"/>
      <c r="N184" s="20"/>
      <c r="O184" s="20"/>
      <c r="P184" s="32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3"/>
      <c r="CA184" s="33"/>
      <c r="CB184" s="33"/>
      <c r="CC184" s="33"/>
      <c r="CD184" s="33"/>
      <c r="CE184" s="33"/>
      <c r="CF184" s="33"/>
      <c r="CG184" s="33"/>
      <c r="CH184" s="33"/>
      <c r="CI184" s="33"/>
      <c r="CJ184" s="33"/>
      <c r="CK184" s="33"/>
      <c r="CL184" s="33"/>
      <c r="CM184" s="33"/>
      <c r="CN184" s="33"/>
      <c r="CO184" s="33"/>
      <c r="CP184" s="33"/>
      <c r="CQ184" s="33"/>
      <c r="CR184" s="33"/>
      <c r="CS184" s="33"/>
      <c r="CT184" s="33"/>
      <c r="CU184" s="33"/>
      <c r="CV184" s="33"/>
      <c r="CW184" s="33"/>
      <c r="CX184" s="33"/>
      <c r="CY184" s="33"/>
      <c r="CZ184" s="33"/>
      <c r="DA184" s="33"/>
      <c r="DB184" s="33"/>
      <c r="DC184" s="33"/>
      <c r="DD184" s="33"/>
      <c r="DE184" s="33"/>
      <c r="DF184" s="33"/>
      <c r="DG184" s="33"/>
      <c r="DH184" s="33"/>
      <c r="DI184" s="33"/>
      <c r="DJ184" s="33"/>
      <c r="DK184" s="33"/>
      <c r="DL184" s="33"/>
      <c r="DM184" s="33"/>
      <c r="DN184" s="33"/>
      <c r="DO184" s="33"/>
      <c r="DP184" s="33"/>
      <c r="DQ184" s="33"/>
      <c r="DR184" s="33"/>
      <c r="DS184" s="33"/>
      <c r="DT184" s="33"/>
      <c r="DU184" s="33"/>
      <c r="DV184" s="33"/>
      <c r="DW184" s="33"/>
      <c r="DX184" s="33"/>
      <c r="DY184" s="33"/>
      <c r="DZ184" s="33"/>
      <c r="EA184" s="33"/>
      <c r="EB184" s="33"/>
      <c r="EC184" s="33"/>
      <c r="ED184" s="33"/>
      <c r="EE184" s="33"/>
      <c r="EF184" s="33"/>
      <c r="EG184" s="33"/>
      <c r="EH184" s="33"/>
      <c r="EI184" s="33"/>
      <c r="EJ184" s="33"/>
      <c r="EK184" s="33"/>
      <c r="EL184" s="33"/>
      <c r="EM184" s="33"/>
      <c r="EN184" s="33"/>
      <c r="EO184" s="33"/>
      <c r="EP184" s="33"/>
      <c r="EQ184" s="33"/>
      <c r="ER184" s="33"/>
      <c r="ES184" s="33"/>
      <c r="ET184" s="33"/>
      <c r="EU184" s="33"/>
      <c r="EV184" s="33"/>
      <c r="EW184" s="33"/>
      <c r="EX184" s="33"/>
      <c r="EY184" s="33"/>
      <c r="EZ184" s="33"/>
      <c r="FA184" s="33"/>
      <c r="FB184" s="33"/>
      <c r="FC184" s="33"/>
      <c r="FD184" s="33"/>
      <c r="FE184" s="33"/>
      <c r="FF184" s="33"/>
      <c r="FG184" s="33"/>
      <c r="FH184" s="33"/>
      <c r="FI184" s="33"/>
      <c r="FJ184" s="33"/>
      <c r="FK184" s="33"/>
      <c r="FL184" s="33"/>
      <c r="FM184" s="33"/>
      <c r="FN184" s="33"/>
      <c r="FO184" s="33"/>
      <c r="FP184" s="33"/>
      <c r="FQ184" s="33"/>
      <c r="FR184" s="33"/>
      <c r="FS184" s="33"/>
      <c r="FT184" s="33"/>
      <c r="FU184" s="33"/>
      <c r="FV184" s="33"/>
      <c r="FW184" s="33"/>
      <c r="FX184" s="33"/>
      <c r="FY184" s="33"/>
      <c r="FZ184" s="33"/>
      <c r="GA184" s="33"/>
      <c r="GB184" s="33"/>
      <c r="GC184" s="33"/>
      <c r="GD184" s="33"/>
      <c r="GE184" s="33"/>
      <c r="GF184" s="33"/>
      <c r="GG184" s="33"/>
      <c r="GH184" s="33"/>
      <c r="GI184" s="33"/>
      <c r="GJ184" s="33"/>
      <c r="GK184" s="33"/>
      <c r="GL184" s="33"/>
      <c r="GM184" s="33"/>
      <c r="GN184" s="33"/>
      <c r="GO184" s="33"/>
      <c r="GP184" s="33"/>
      <c r="GQ184" s="33"/>
      <c r="GR184" s="33"/>
      <c r="GS184" s="33"/>
      <c r="GT184" s="33"/>
      <c r="GU184" s="33"/>
      <c r="GV184" s="33"/>
      <c r="GW184" s="33"/>
      <c r="GX184" s="33"/>
      <c r="GY184" s="33"/>
      <c r="GZ184" s="33"/>
      <c r="HA184" s="33"/>
      <c r="HB184" s="33"/>
      <c r="HC184" s="33"/>
      <c r="HD184" s="33"/>
      <c r="HE184" s="33"/>
      <c r="HF184" s="33"/>
      <c r="HG184" s="33"/>
      <c r="HH184" s="33"/>
    </row>
    <row r="185" spans="1:216" ht="15.75" customHeight="1" x14ac:dyDescent="0.3">
      <c r="A185" s="7"/>
      <c r="B185" s="50"/>
      <c r="C185" s="24" t="s">
        <v>194</v>
      </c>
      <c r="D185" s="49"/>
      <c r="E185" s="9">
        <f>ALASMALANG!V185+'BENELAN KIDUL'!S185+CANTUK!T185+GAMBOR!N185+GUMIRIH!S185+KEMIRI!U185+LEMAHBANGKULON!Q185+PADANG!Q185+SINGOJURUH!AC185+SINGOLATREN!T185+SUMBERBARU!S185</f>
        <v>9</v>
      </c>
      <c r="F185" s="39"/>
      <c r="G185" s="20"/>
      <c r="H185" s="20"/>
      <c r="I185" s="20"/>
      <c r="J185" s="20"/>
      <c r="K185" s="20"/>
      <c r="L185" s="20"/>
      <c r="M185" s="20"/>
      <c r="N185" s="20"/>
      <c r="O185" s="20"/>
      <c r="P185" s="32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3"/>
      <c r="CA185" s="33"/>
      <c r="CB185" s="33"/>
      <c r="CC185" s="33"/>
      <c r="CD185" s="33"/>
      <c r="CE185" s="33"/>
      <c r="CF185" s="33"/>
      <c r="CG185" s="33"/>
      <c r="CH185" s="33"/>
      <c r="CI185" s="33"/>
      <c r="CJ185" s="33"/>
      <c r="CK185" s="33"/>
      <c r="CL185" s="33"/>
      <c r="CM185" s="33"/>
      <c r="CN185" s="33"/>
      <c r="CO185" s="33"/>
      <c r="CP185" s="33"/>
      <c r="CQ185" s="33"/>
      <c r="CR185" s="33"/>
      <c r="CS185" s="33"/>
      <c r="CT185" s="33"/>
      <c r="CU185" s="33"/>
      <c r="CV185" s="33"/>
      <c r="CW185" s="33"/>
      <c r="CX185" s="33"/>
      <c r="CY185" s="33"/>
      <c r="CZ185" s="33"/>
      <c r="DA185" s="33"/>
      <c r="DB185" s="33"/>
      <c r="DC185" s="33"/>
      <c r="DD185" s="33"/>
      <c r="DE185" s="33"/>
      <c r="DF185" s="33"/>
      <c r="DG185" s="33"/>
      <c r="DH185" s="33"/>
      <c r="DI185" s="33"/>
      <c r="DJ185" s="33"/>
      <c r="DK185" s="33"/>
      <c r="DL185" s="33"/>
      <c r="DM185" s="33"/>
      <c r="DN185" s="33"/>
      <c r="DO185" s="33"/>
      <c r="DP185" s="33"/>
      <c r="DQ185" s="33"/>
      <c r="DR185" s="33"/>
      <c r="DS185" s="33"/>
      <c r="DT185" s="33"/>
      <c r="DU185" s="33"/>
      <c r="DV185" s="33"/>
      <c r="DW185" s="33"/>
      <c r="DX185" s="33"/>
      <c r="DY185" s="33"/>
      <c r="DZ185" s="33"/>
      <c r="EA185" s="33"/>
      <c r="EB185" s="33"/>
      <c r="EC185" s="33"/>
      <c r="ED185" s="33"/>
      <c r="EE185" s="33"/>
      <c r="EF185" s="33"/>
      <c r="EG185" s="33"/>
      <c r="EH185" s="33"/>
      <c r="EI185" s="33"/>
      <c r="EJ185" s="33"/>
      <c r="EK185" s="33"/>
      <c r="EL185" s="33"/>
      <c r="EM185" s="33"/>
      <c r="EN185" s="33"/>
      <c r="EO185" s="33"/>
      <c r="EP185" s="33"/>
      <c r="EQ185" s="33"/>
      <c r="ER185" s="33"/>
      <c r="ES185" s="33"/>
      <c r="ET185" s="33"/>
      <c r="EU185" s="33"/>
      <c r="EV185" s="33"/>
      <c r="EW185" s="33"/>
      <c r="EX185" s="33"/>
      <c r="EY185" s="33"/>
      <c r="EZ185" s="33"/>
      <c r="FA185" s="33"/>
      <c r="FB185" s="33"/>
      <c r="FC185" s="33"/>
      <c r="FD185" s="33"/>
      <c r="FE185" s="33"/>
      <c r="FF185" s="33"/>
      <c r="FG185" s="33"/>
      <c r="FH185" s="33"/>
      <c r="FI185" s="33"/>
      <c r="FJ185" s="33"/>
      <c r="FK185" s="33"/>
      <c r="FL185" s="33"/>
      <c r="FM185" s="33"/>
      <c r="FN185" s="33"/>
      <c r="FO185" s="33"/>
      <c r="FP185" s="33"/>
      <c r="FQ185" s="33"/>
      <c r="FR185" s="33"/>
      <c r="FS185" s="33"/>
      <c r="FT185" s="33"/>
      <c r="FU185" s="33"/>
      <c r="FV185" s="33"/>
      <c r="FW185" s="33"/>
      <c r="FX185" s="33"/>
      <c r="FY185" s="33"/>
      <c r="FZ185" s="33"/>
      <c r="GA185" s="33"/>
      <c r="GB185" s="33"/>
      <c r="GC185" s="33"/>
      <c r="GD185" s="33"/>
      <c r="GE185" s="33"/>
      <c r="GF185" s="33"/>
      <c r="GG185" s="33"/>
      <c r="GH185" s="33"/>
      <c r="GI185" s="33"/>
      <c r="GJ185" s="33"/>
      <c r="GK185" s="33"/>
      <c r="GL185" s="33"/>
      <c r="GM185" s="33"/>
      <c r="GN185" s="33"/>
      <c r="GO185" s="33"/>
      <c r="GP185" s="33"/>
      <c r="GQ185" s="33"/>
      <c r="GR185" s="33"/>
      <c r="GS185" s="33"/>
      <c r="GT185" s="33"/>
      <c r="GU185" s="33"/>
      <c r="GV185" s="33"/>
      <c r="GW185" s="33"/>
      <c r="GX185" s="33"/>
      <c r="GY185" s="33"/>
      <c r="GZ185" s="33"/>
      <c r="HA185" s="33"/>
      <c r="HB185" s="33"/>
      <c r="HC185" s="33"/>
      <c r="HD185" s="33"/>
      <c r="HE185" s="33"/>
      <c r="HF185" s="33"/>
      <c r="HG185" s="33"/>
      <c r="HH185" s="33"/>
    </row>
    <row r="186" spans="1:216" ht="15.75" customHeight="1" x14ac:dyDescent="0.3">
      <c r="A186" s="7"/>
      <c r="B186" s="50"/>
      <c r="C186" s="24" t="s">
        <v>195</v>
      </c>
      <c r="D186" s="49"/>
      <c r="E186" s="9">
        <f>ALASMALANG!V186+'BENELAN KIDUL'!S186+CANTUK!T186+GAMBOR!N186+GUMIRIH!S186+KEMIRI!U186+LEMAHBANGKULON!Q186+PADANG!Q186+SINGOJURUH!AC186+SINGOLATREN!T186+SUMBERBARU!S186</f>
        <v>0</v>
      </c>
      <c r="F186" s="39"/>
      <c r="G186" s="20"/>
      <c r="H186" s="20"/>
      <c r="I186" s="20"/>
      <c r="J186" s="20"/>
      <c r="K186" s="20"/>
      <c r="L186" s="20"/>
      <c r="M186" s="20"/>
      <c r="N186" s="20"/>
      <c r="O186" s="20"/>
      <c r="P186" s="32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  <c r="BU186" s="33"/>
      <c r="BV186" s="33"/>
      <c r="BW186" s="33"/>
      <c r="BX186" s="33"/>
      <c r="BY186" s="33"/>
      <c r="BZ186" s="33"/>
      <c r="CA186" s="33"/>
      <c r="CB186" s="33"/>
      <c r="CC186" s="33"/>
      <c r="CD186" s="33"/>
      <c r="CE186" s="33"/>
      <c r="CF186" s="33"/>
      <c r="CG186" s="33"/>
      <c r="CH186" s="33"/>
      <c r="CI186" s="33"/>
      <c r="CJ186" s="33"/>
      <c r="CK186" s="33"/>
      <c r="CL186" s="33"/>
      <c r="CM186" s="33"/>
      <c r="CN186" s="33"/>
      <c r="CO186" s="33"/>
      <c r="CP186" s="33"/>
      <c r="CQ186" s="33"/>
      <c r="CR186" s="33"/>
      <c r="CS186" s="33"/>
      <c r="CT186" s="33"/>
      <c r="CU186" s="33"/>
      <c r="CV186" s="33"/>
      <c r="CW186" s="33"/>
      <c r="CX186" s="33"/>
      <c r="CY186" s="33"/>
      <c r="CZ186" s="33"/>
      <c r="DA186" s="33"/>
      <c r="DB186" s="33"/>
      <c r="DC186" s="33"/>
      <c r="DD186" s="33"/>
      <c r="DE186" s="33"/>
      <c r="DF186" s="33"/>
      <c r="DG186" s="33"/>
      <c r="DH186" s="33"/>
      <c r="DI186" s="33"/>
      <c r="DJ186" s="33"/>
      <c r="DK186" s="33"/>
      <c r="DL186" s="33"/>
      <c r="DM186" s="33"/>
      <c r="DN186" s="33"/>
      <c r="DO186" s="33"/>
      <c r="DP186" s="33"/>
      <c r="DQ186" s="33"/>
      <c r="DR186" s="33"/>
      <c r="DS186" s="33"/>
      <c r="DT186" s="33"/>
      <c r="DU186" s="33"/>
      <c r="DV186" s="33"/>
      <c r="DW186" s="33"/>
      <c r="DX186" s="33"/>
      <c r="DY186" s="33"/>
      <c r="DZ186" s="33"/>
      <c r="EA186" s="33"/>
      <c r="EB186" s="33"/>
      <c r="EC186" s="33"/>
      <c r="ED186" s="33"/>
      <c r="EE186" s="33"/>
      <c r="EF186" s="33"/>
      <c r="EG186" s="33"/>
      <c r="EH186" s="33"/>
      <c r="EI186" s="33"/>
      <c r="EJ186" s="33"/>
      <c r="EK186" s="33"/>
      <c r="EL186" s="33"/>
      <c r="EM186" s="33"/>
      <c r="EN186" s="33"/>
      <c r="EO186" s="33"/>
      <c r="EP186" s="33"/>
      <c r="EQ186" s="33"/>
      <c r="ER186" s="33"/>
      <c r="ES186" s="33"/>
      <c r="ET186" s="33"/>
      <c r="EU186" s="33"/>
      <c r="EV186" s="33"/>
      <c r="EW186" s="33"/>
      <c r="EX186" s="33"/>
      <c r="EY186" s="33"/>
      <c r="EZ186" s="33"/>
      <c r="FA186" s="33"/>
      <c r="FB186" s="33"/>
      <c r="FC186" s="33"/>
      <c r="FD186" s="33"/>
      <c r="FE186" s="33"/>
      <c r="FF186" s="33"/>
      <c r="FG186" s="33"/>
      <c r="FH186" s="33"/>
      <c r="FI186" s="33"/>
      <c r="FJ186" s="33"/>
      <c r="FK186" s="33"/>
      <c r="FL186" s="33"/>
      <c r="FM186" s="33"/>
      <c r="FN186" s="33"/>
      <c r="FO186" s="33"/>
      <c r="FP186" s="33"/>
      <c r="FQ186" s="33"/>
      <c r="FR186" s="33"/>
      <c r="FS186" s="33"/>
      <c r="FT186" s="33"/>
      <c r="FU186" s="33"/>
      <c r="FV186" s="33"/>
      <c r="FW186" s="33"/>
      <c r="FX186" s="33"/>
      <c r="FY186" s="33"/>
      <c r="FZ186" s="33"/>
      <c r="GA186" s="33"/>
      <c r="GB186" s="33"/>
      <c r="GC186" s="33"/>
      <c r="GD186" s="33"/>
      <c r="GE186" s="33"/>
      <c r="GF186" s="33"/>
      <c r="GG186" s="33"/>
      <c r="GH186" s="33"/>
      <c r="GI186" s="33"/>
      <c r="GJ186" s="33"/>
      <c r="GK186" s="33"/>
      <c r="GL186" s="33"/>
      <c r="GM186" s="33"/>
      <c r="GN186" s="33"/>
      <c r="GO186" s="33"/>
      <c r="GP186" s="33"/>
      <c r="GQ186" s="33"/>
      <c r="GR186" s="33"/>
      <c r="GS186" s="33"/>
      <c r="GT186" s="33"/>
      <c r="GU186" s="33"/>
      <c r="GV186" s="33"/>
      <c r="GW186" s="33"/>
      <c r="GX186" s="33"/>
      <c r="GY186" s="33"/>
      <c r="GZ186" s="33"/>
      <c r="HA186" s="33"/>
      <c r="HB186" s="33"/>
      <c r="HC186" s="33"/>
      <c r="HD186" s="33"/>
      <c r="HE186" s="33"/>
      <c r="HF186" s="33"/>
      <c r="HG186" s="33"/>
      <c r="HH186" s="33"/>
    </row>
    <row r="187" spans="1:216" ht="15.75" customHeight="1" x14ac:dyDescent="0.3">
      <c r="A187" s="6" t="s">
        <v>26</v>
      </c>
      <c r="B187" s="84" t="s">
        <v>51</v>
      </c>
      <c r="C187" s="87"/>
      <c r="D187" s="88"/>
      <c r="E187" s="5">
        <f>SUM(E177:E186)</f>
        <v>248</v>
      </c>
      <c r="F187" s="39"/>
      <c r="G187" s="20"/>
      <c r="H187" s="20"/>
      <c r="I187" s="20"/>
      <c r="J187" s="20"/>
      <c r="K187" s="20"/>
      <c r="L187" s="20"/>
      <c r="M187" s="20"/>
      <c r="N187" s="20"/>
      <c r="O187" s="20"/>
      <c r="P187" s="32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3"/>
      <c r="CA187" s="33"/>
      <c r="CB187" s="33"/>
      <c r="CC187" s="33"/>
      <c r="CD187" s="33"/>
      <c r="CE187" s="33"/>
      <c r="CF187" s="33"/>
      <c r="CG187" s="33"/>
      <c r="CH187" s="33"/>
      <c r="CI187" s="33"/>
      <c r="CJ187" s="33"/>
      <c r="CK187" s="33"/>
      <c r="CL187" s="33"/>
      <c r="CM187" s="33"/>
      <c r="CN187" s="33"/>
      <c r="CO187" s="33"/>
      <c r="CP187" s="33"/>
      <c r="CQ187" s="33"/>
      <c r="CR187" s="33"/>
      <c r="CS187" s="33"/>
      <c r="CT187" s="33"/>
      <c r="CU187" s="33"/>
      <c r="CV187" s="33"/>
      <c r="CW187" s="33"/>
      <c r="CX187" s="33"/>
      <c r="CY187" s="33"/>
      <c r="CZ187" s="33"/>
      <c r="DA187" s="33"/>
      <c r="DB187" s="33"/>
      <c r="DC187" s="33"/>
      <c r="DD187" s="33"/>
      <c r="DE187" s="33"/>
      <c r="DF187" s="33"/>
      <c r="DG187" s="33"/>
      <c r="DH187" s="33"/>
      <c r="DI187" s="33"/>
      <c r="DJ187" s="33"/>
      <c r="DK187" s="33"/>
      <c r="DL187" s="33"/>
      <c r="DM187" s="33"/>
      <c r="DN187" s="33"/>
      <c r="DO187" s="33"/>
      <c r="DP187" s="33"/>
      <c r="DQ187" s="33"/>
      <c r="DR187" s="33"/>
      <c r="DS187" s="33"/>
      <c r="DT187" s="33"/>
      <c r="DU187" s="33"/>
      <c r="DV187" s="33"/>
      <c r="DW187" s="33"/>
      <c r="DX187" s="33"/>
      <c r="DY187" s="33"/>
      <c r="DZ187" s="33"/>
      <c r="EA187" s="33"/>
      <c r="EB187" s="33"/>
      <c r="EC187" s="33"/>
      <c r="ED187" s="33"/>
      <c r="EE187" s="33"/>
      <c r="EF187" s="33"/>
      <c r="EG187" s="33"/>
      <c r="EH187" s="33"/>
      <c r="EI187" s="33"/>
      <c r="EJ187" s="33"/>
      <c r="EK187" s="33"/>
      <c r="EL187" s="33"/>
      <c r="EM187" s="33"/>
      <c r="EN187" s="33"/>
      <c r="EO187" s="33"/>
      <c r="EP187" s="33"/>
      <c r="EQ187" s="33"/>
      <c r="ER187" s="33"/>
      <c r="ES187" s="33"/>
      <c r="ET187" s="33"/>
      <c r="EU187" s="33"/>
      <c r="EV187" s="33"/>
      <c r="EW187" s="33"/>
      <c r="EX187" s="33"/>
      <c r="EY187" s="33"/>
      <c r="EZ187" s="33"/>
      <c r="FA187" s="33"/>
      <c r="FB187" s="33"/>
      <c r="FC187" s="33"/>
      <c r="FD187" s="33"/>
      <c r="FE187" s="33"/>
      <c r="FF187" s="33"/>
      <c r="FG187" s="33"/>
      <c r="FH187" s="33"/>
      <c r="FI187" s="33"/>
      <c r="FJ187" s="33"/>
      <c r="FK187" s="33"/>
      <c r="FL187" s="33"/>
      <c r="FM187" s="33"/>
      <c r="FN187" s="33"/>
      <c r="FO187" s="33"/>
      <c r="FP187" s="33"/>
      <c r="FQ187" s="33"/>
      <c r="FR187" s="33"/>
      <c r="FS187" s="33"/>
      <c r="FT187" s="33"/>
      <c r="FU187" s="33"/>
      <c r="FV187" s="33"/>
      <c r="FW187" s="33"/>
      <c r="FX187" s="33"/>
      <c r="FY187" s="33"/>
      <c r="FZ187" s="33"/>
      <c r="GA187" s="33"/>
      <c r="GB187" s="33"/>
      <c r="GC187" s="33"/>
      <c r="GD187" s="33"/>
      <c r="GE187" s="33"/>
      <c r="GF187" s="33"/>
      <c r="GG187" s="33"/>
      <c r="GH187" s="33"/>
      <c r="GI187" s="33"/>
      <c r="GJ187" s="33"/>
      <c r="GK187" s="33"/>
      <c r="GL187" s="33"/>
      <c r="GM187" s="33"/>
      <c r="GN187" s="33"/>
      <c r="GO187" s="33"/>
      <c r="GP187" s="33"/>
      <c r="GQ187" s="33"/>
      <c r="GR187" s="33"/>
      <c r="GS187" s="33"/>
      <c r="GT187" s="33"/>
      <c r="GU187" s="33"/>
      <c r="GV187" s="33"/>
      <c r="GW187" s="33"/>
      <c r="GX187" s="33"/>
      <c r="GY187" s="33"/>
      <c r="GZ187" s="33"/>
      <c r="HA187" s="33"/>
      <c r="HB187" s="33"/>
      <c r="HC187" s="33"/>
      <c r="HD187" s="33"/>
      <c r="HE187" s="33"/>
      <c r="HF187" s="33"/>
      <c r="HG187" s="33"/>
      <c r="HH187" s="33"/>
    </row>
    <row r="188" spans="1:216" ht="15.75" customHeight="1" x14ac:dyDescent="0.3">
      <c r="A188" s="62"/>
      <c r="B188" s="89"/>
      <c r="C188" s="89"/>
      <c r="D188" s="89"/>
      <c r="E188" s="90"/>
      <c r="F188" s="39"/>
      <c r="G188" s="20"/>
      <c r="H188" s="20"/>
      <c r="I188" s="20"/>
      <c r="J188" s="20"/>
      <c r="K188" s="20"/>
      <c r="L188" s="20"/>
      <c r="M188" s="20"/>
      <c r="N188" s="20"/>
      <c r="O188" s="20"/>
      <c r="P188" s="32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  <c r="CG188" s="33"/>
      <c r="CH188" s="33"/>
      <c r="CI188" s="33"/>
      <c r="CJ188" s="33"/>
      <c r="CK188" s="33"/>
      <c r="CL188" s="33"/>
      <c r="CM188" s="33"/>
      <c r="CN188" s="33"/>
      <c r="CO188" s="33"/>
      <c r="CP188" s="33"/>
      <c r="CQ188" s="33"/>
      <c r="CR188" s="33"/>
      <c r="CS188" s="33"/>
      <c r="CT188" s="33"/>
      <c r="CU188" s="33"/>
      <c r="CV188" s="33"/>
      <c r="CW188" s="33"/>
      <c r="CX188" s="33"/>
      <c r="CY188" s="33"/>
      <c r="CZ188" s="33"/>
      <c r="DA188" s="33"/>
      <c r="DB188" s="33"/>
      <c r="DC188" s="33"/>
      <c r="DD188" s="33"/>
      <c r="DE188" s="33"/>
      <c r="DF188" s="33"/>
      <c r="DG188" s="33"/>
      <c r="DH188" s="33"/>
      <c r="DI188" s="33"/>
      <c r="DJ188" s="33"/>
      <c r="DK188" s="33"/>
      <c r="DL188" s="33"/>
      <c r="DM188" s="33"/>
      <c r="DN188" s="33"/>
      <c r="DO188" s="33"/>
      <c r="DP188" s="33"/>
      <c r="DQ188" s="33"/>
      <c r="DR188" s="33"/>
      <c r="DS188" s="33"/>
      <c r="DT188" s="33"/>
      <c r="DU188" s="33"/>
      <c r="DV188" s="33"/>
      <c r="DW188" s="33"/>
      <c r="DX188" s="33"/>
      <c r="DY188" s="33"/>
      <c r="DZ188" s="33"/>
      <c r="EA188" s="33"/>
      <c r="EB188" s="33"/>
      <c r="EC188" s="33"/>
      <c r="ED188" s="33"/>
      <c r="EE188" s="33"/>
      <c r="EF188" s="33"/>
      <c r="EG188" s="33"/>
      <c r="EH188" s="33"/>
      <c r="EI188" s="33"/>
      <c r="EJ188" s="33"/>
      <c r="EK188" s="33"/>
      <c r="EL188" s="33"/>
      <c r="EM188" s="33"/>
      <c r="EN188" s="33"/>
      <c r="EO188" s="33"/>
      <c r="EP188" s="33"/>
      <c r="EQ188" s="33"/>
      <c r="ER188" s="33"/>
      <c r="ES188" s="33"/>
      <c r="ET188" s="33"/>
      <c r="EU188" s="33"/>
      <c r="EV188" s="33"/>
      <c r="EW188" s="33"/>
      <c r="EX188" s="33"/>
      <c r="EY188" s="33"/>
      <c r="EZ188" s="33"/>
      <c r="FA188" s="33"/>
      <c r="FB188" s="33"/>
      <c r="FC188" s="33"/>
      <c r="FD188" s="33"/>
      <c r="FE188" s="33"/>
      <c r="FF188" s="33"/>
      <c r="FG188" s="33"/>
      <c r="FH188" s="33"/>
      <c r="FI188" s="33"/>
      <c r="FJ188" s="33"/>
      <c r="FK188" s="33"/>
      <c r="FL188" s="33"/>
      <c r="FM188" s="33"/>
      <c r="FN188" s="33"/>
      <c r="FO188" s="33"/>
      <c r="FP188" s="33"/>
      <c r="FQ188" s="33"/>
      <c r="FR188" s="33"/>
      <c r="FS188" s="33"/>
      <c r="FT188" s="33"/>
      <c r="FU188" s="33"/>
      <c r="FV188" s="33"/>
      <c r="FW188" s="33"/>
      <c r="FX188" s="33"/>
      <c r="FY188" s="33"/>
      <c r="FZ188" s="33"/>
      <c r="GA188" s="33"/>
      <c r="GB188" s="33"/>
      <c r="GC188" s="33"/>
      <c r="GD188" s="33"/>
      <c r="GE188" s="33"/>
      <c r="GF188" s="33"/>
      <c r="GG188" s="33"/>
      <c r="GH188" s="33"/>
      <c r="GI188" s="33"/>
      <c r="GJ188" s="33"/>
      <c r="GK188" s="33"/>
      <c r="GL188" s="33"/>
      <c r="GM188" s="33"/>
      <c r="GN188" s="33"/>
      <c r="GO188" s="33"/>
      <c r="GP188" s="33"/>
      <c r="GQ188" s="33"/>
      <c r="GR188" s="33"/>
      <c r="GS188" s="33"/>
      <c r="GT188" s="33"/>
      <c r="GU188" s="33"/>
      <c r="GV188" s="33"/>
      <c r="GW188" s="33"/>
      <c r="GX188" s="33"/>
      <c r="GY188" s="33"/>
      <c r="GZ188" s="33"/>
      <c r="HA188" s="33"/>
      <c r="HB188" s="33"/>
      <c r="HC188" s="33"/>
      <c r="HD188" s="33"/>
      <c r="HE188" s="33"/>
      <c r="HF188" s="33"/>
      <c r="HG188" s="33"/>
      <c r="HH188" s="33"/>
    </row>
    <row r="189" spans="1:216" ht="15.75" customHeight="1" x14ac:dyDescent="0.3">
      <c r="A189" s="11" t="s">
        <v>48</v>
      </c>
      <c r="B189" s="17" t="s">
        <v>71</v>
      </c>
      <c r="C189" s="86" t="s">
        <v>72</v>
      </c>
      <c r="D189" s="64"/>
      <c r="E189" s="9">
        <f>ALASMALANG!V189+'BENELAN KIDUL'!S189+CANTUK!T189+GAMBOR!N189+GUMIRIH!S189+KEMIRI!U189+LEMAHBANGKULON!Q189+PADANG!Q189+SINGOJURUH!AC189+SINGOLATREN!T189+SUMBERBARU!S189</f>
        <v>12</v>
      </c>
      <c r="F189" s="40"/>
      <c r="G189" s="1"/>
      <c r="H189" s="1"/>
      <c r="I189" s="1"/>
      <c r="J189" s="1"/>
      <c r="K189" s="1"/>
      <c r="L189" s="1"/>
      <c r="M189" s="1"/>
      <c r="N189" s="1"/>
      <c r="O189" s="1"/>
      <c r="P189" s="34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  <c r="CW189" s="31"/>
      <c r="CX189" s="31"/>
      <c r="CY189" s="31"/>
      <c r="CZ189" s="31"/>
      <c r="DA189" s="31"/>
      <c r="DB189" s="31"/>
      <c r="DC189" s="31"/>
      <c r="DD189" s="31"/>
      <c r="DE189" s="31"/>
      <c r="DF189" s="31"/>
      <c r="DG189" s="31"/>
      <c r="DH189" s="31"/>
      <c r="DI189" s="31"/>
      <c r="DJ189" s="31"/>
      <c r="DK189" s="31"/>
      <c r="DL189" s="31"/>
      <c r="DM189" s="31"/>
      <c r="DN189" s="31"/>
      <c r="DO189" s="31"/>
      <c r="DP189" s="31"/>
      <c r="DQ189" s="31"/>
      <c r="DR189" s="31"/>
      <c r="DS189" s="31"/>
      <c r="DT189" s="31"/>
      <c r="DU189" s="31"/>
      <c r="DV189" s="31"/>
      <c r="DW189" s="31"/>
      <c r="DX189" s="31"/>
      <c r="DY189" s="31"/>
      <c r="DZ189" s="31"/>
      <c r="EA189" s="31"/>
      <c r="EB189" s="31"/>
      <c r="EC189" s="31"/>
      <c r="ED189" s="31"/>
      <c r="EE189" s="31"/>
      <c r="EF189" s="31"/>
      <c r="EG189" s="31"/>
      <c r="EH189" s="31"/>
      <c r="EI189" s="31"/>
      <c r="EJ189" s="31"/>
      <c r="EK189" s="31"/>
      <c r="EL189" s="31"/>
      <c r="EM189" s="31"/>
      <c r="EN189" s="31"/>
      <c r="EO189" s="31"/>
      <c r="EP189" s="31"/>
      <c r="EQ189" s="31"/>
      <c r="ER189" s="31"/>
      <c r="ES189" s="31"/>
      <c r="ET189" s="31"/>
      <c r="EU189" s="31"/>
      <c r="EV189" s="31"/>
      <c r="EW189" s="31"/>
      <c r="EX189" s="31"/>
      <c r="EY189" s="31"/>
      <c r="EZ189" s="31"/>
      <c r="FA189" s="31"/>
      <c r="FB189" s="31"/>
      <c r="FC189" s="31"/>
      <c r="FD189" s="31"/>
      <c r="FE189" s="31"/>
      <c r="FF189" s="31"/>
      <c r="FG189" s="31"/>
      <c r="FH189" s="31"/>
      <c r="FI189" s="31"/>
      <c r="FJ189" s="31"/>
      <c r="FK189" s="31"/>
      <c r="FL189" s="31"/>
      <c r="FM189" s="31"/>
      <c r="FN189" s="31"/>
      <c r="FO189" s="31"/>
      <c r="FP189" s="31"/>
      <c r="FQ189" s="31"/>
      <c r="FR189" s="31"/>
      <c r="FS189" s="31"/>
      <c r="FT189" s="31"/>
      <c r="FU189" s="31"/>
      <c r="FV189" s="31"/>
      <c r="FW189" s="31"/>
      <c r="FX189" s="31"/>
      <c r="FY189" s="31"/>
      <c r="FZ189" s="31"/>
      <c r="GA189" s="31"/>
      <c r="GB189" s="31"/>
      <c r="GC189" s="31"/>
      <c r="GD189" s="31"/>
      <c r="GE189" s="31"/>
      <c r="GF189" s="31"/>
      <c r="GG189" s="31"/>
      <c r="GH189" s="31"/>
      <c r="GI189" s="31"/>
      <c r="GJ189" s="31"/>
      <c r="GK189" s="31"/>
      <c r="GL189" s="31"/>
      <c r="GM189" s="31"/>
      <c r="GN189" s="31"/>
      <c r="GO189" s="31"/>
      <c r="GP189" s="31"/>
      <c r="GQ189" s="31"/>
      <c r="GR189" s="31"/>
      <c r="GS189" s="31"/>
      <c r="GT189" s="31"/>
      <c r="GU189" s="31"/>
      <c r="GV189" s="31"/>
      <c r="GW189" s="31"/>
      <c r="GX189" s="31"/>
      <c r="GY189" s="31"/>
      <c r="GZ189" s="31"/>
      <c r="HA189" s="31"/>
      <c r="HB189" s="31"/>
      <c r="HC189" s="31"/>
      <c r="HD189" s="31"/>
      <c r="HE189" s="31"/>
      <c r="HF189" s="31"/>
      <c r="HG189" s="31"/>
      <c r="HH189" s="31"/>
    </row>
    <row r="190" spans="1:216" ht="15.75" customHeight="1" x14ac:dyDescent="0.3">
      <c r="A190" s="11" t="s">
        <v>50</v>
      </c>
      <c r="B190" s="50"/>
      <c r="C190" s="24" t="s">
        <v>196</v>
      </c>
      <c r="D190" s="49"/>
      <c r="E190" s="9">
        <f>ALASMALANG!V190+'BENELAN KIDUL'!S190+CANTUK!T190+GAMBOR!N190+GUMIRIH!S190+KEMIRI!U190+LEMAHBANGKULON!Q190+PADANG!Q190+SINGOJURUH!AC190+SINGOLATREN!T190+SUMBERBARU!S190</f>
        <v>11</v>
      </c>
      <c r="F190" s="42"/>
      <c r="G190" s="27"/>
      <c r="H190" s="27"/>
      <c r="I190" s="27"/>
      <c r="J190" s="27"/>
      <c r="K190" s="27"/>
      <c r="L190" s="27"/>
      <c r="M190" s="27"/>
      <c r="N190" s="27"/>
      <c r="O190" s="27"/>
      <c r="P190" s="37"/>
      <c r="Q190" s="30"/>
      <c r="R190" s="30"/>
      <c r="S190" s="30"/>
      <c r="T190" s="30"/>
      <c r="U190" s="30"/>
      <c r="V190" s="30"/>
      <c r="W190" s="38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  <c r="BL190" s="30"/>
      <c r="BM190" s="30"/>
      <c r="BN190" s="30"/>
      <c r="BO190" s="30"/>
      <c r="BP190" s="30"/>
      <c r="BQ190" s="30"/>
      <c r="BR190" s="38"/>
      <c r="BS190" s="30"/>
      <c r="BT190" s="30"/>
      <c r="BU190" s="30"/>
      <c r="BV190" s="30"/>
      <c r="BW190" s="30"/>
      <c r="BX190" s="30"/>
      <c r="BY190" s="30"/>
      <c r="BZ190" s="30"/>
      <c r="CA190" s="38"/>
      <c r="CB190" s="38"/>
      <c r="CC190" s="38"/>
      <c r="CD190" s="38"/>
      <c r="CE190" s="38"/>
      <c r="CF190" s="38"/>
      <c r="CG190" s="38"/>
      <c r="CH190" s="38"/>
      <c r="CI190" s="38"/>
      <c r="CJ190" s="38"/>
      <c r="CK190" s="38"/>
      <c r="CL190" s="38"/>
      <c r="CM190" s="38"/>
      <c r="CN190" s="38"/>
      <c r="CO190" s="38"/>
      <c r="CP190" s="38"/>
      <c r="CQ190" s="38"/>
      <c r="CR190" s="38"/>
      <c r="CS190" s="38"/>
      <c r="CT190" s="38"/>
      <c r="CU190" s="38"/>
      <c r="CV190" s="38"/>
      <c r="CW190" s="38"/>
      <c r="CX190" s="38"/>
      <c r="CY190" s="38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8"/>
      <c r="DL190" s="38"/>
      <c r="DM190" s="38"/>
      <c r="DN190" s="38"/>
      <c r="DO190" s="38"/>
      <c r="DP190" s="38"/>
      <c r="DQ190" s="38"/>
      <c r="DR190" s="38"/>
      <c r="DS190" s="38"/>
      <c r="DT190" s="38"/>
      <c r="DU190" s="38"/>
      <c r="DV190" s="38"/>
      <c r="DW190" s="38"/>
      <c r="DX190" s="38"/>
      <c r="DY190" s="38"/>
      <c r="DZ190" s="38"/>
      <c r="EA190" s="38"/>
      <c r="EB190" s="38"/>
      <c r="EC190" s="38"/>
      <c r="ED190" s="38"/>
      <c r="EE190" s="38"/>
      <c r="EF190" s="38"/>
      <c r="EG190" s="38"/>
      <c r="EH190" s="38"/>
      <c r="EI190" s="38"/>
      <c r="EJ190" s="38"/>
      <c r="EK190" s="38"/>
      <c r="EL190" s="38"/>
      <c r="EM190" s="30"/>
      <c r="EN190" s="30"/>
      <c r="EO190" s="30"/>
      <c r="EP190" s="30"/>
      <c r="EQ190" s="30"/>
      <c r="ER190" s="30"/>
      <c r="ES190" s="30"/>
      <c r="ET190" s="30"/>
      <c r="EU190" s="30"/>
      <c r="EV190" s="30"/>
      <c r="EW190" s="30"/>
      <c r="EX190" s="30"/>
      <c r="EY190" s="38"/>
      <c r="EZ190" s="38"/>
      <c r="FA190" s="38"/>
      <c r="FB190" s="38"/>
      <c r="FC190" s="38"/>
      <c r="FD190" s="38"/>
      <c r="FE190" s="38"/>
      <c r="FF190" s="30"/>
      <c r="FG190" s="30"/>
      <c r="FH190" s="30"/>
      <c r="FI190" s="30"/>
      <c r="FJ190" s="38"/>
      <c r="FK190" s="38"/>
      <c r="FL190" s="38"/>
      <c r="FM190" s="38"/>
      <c r="FN190" s="38"/>
      <c r="FO190" s="38"/>
      <c r="FP190" s="38"/>
      <c r="FQ190" s="38"/>
      <c r="FR190" s="38"/>
      <c r="FS190" s="38"/>
      <c r="FT190" s="38"/>
      <c r="FU190" s="38"/>
      <c r="FV190" s="38"/>
      <c r="FW190" s="38"/>
      <c r="FX190" s="38"/>
      <c r="FY190" s="38"/>
      <c r="FZ190" s="38"/>
      <c r="GA190" s="38"/>
      <c r="GB190" s="38"/>
      <c r="GC190" s="38"/>
      <c r="GD190" s="38"/>
      <c r="GE190" s="38"/>
      <c r="GF190" s="38"/>
      <c r="GG190" s="38"/>
      <c r="GH190" s="38"/>
      <c r="GI190" s="38"/>
      <c r="GJ190" s="38"/>
      <c r="GK190" s="38"/>
      <c r="GL190" s="38"/>
      <c r="GM190" s="38"/>
      <c r="GN190" s="38"/>
      <c r="GO190" s="38"/>
      <c r="GP190" s="38"/>
      <c r="GQ190" s="38"/>
      <c r="GR190" s="38"/>
      <c r="GS190" s="38"/>
      <c r="GT190" s="38"/>
      <c r="GU190" s="38"/>
      <c r="GV190" s="38"/>
      <c r="GW190" s="38"/>
      <c r="GX190" s="38"/>
      <c r="GY190" s="38"/>
      <c r="GZ190" s="38"/>
      <c r="HA190" s="38"/>
      <c r="HB190" s="38"/>
      <c r="HC190" s="38"/>
      <c r="HD190" s="38"/>
      <c r="HE190" s="38"/>
      <c r="HF190" s="38"/>
      <c r="HG190" s="38"/>
      <c r="HH190" s="38"/>
    </row>
    <row r="191" spans="1:216" ht="15.75" customHeight="1" x14ac:dyDescent="0.3">
      <c r="A191" s="7"/>
      <c r="B191" s="50"/>
      <c r="C191" s="24" t="s">
        <v>197</v>
      </c>
      <c r="D191" s="49"/>
      <c r="E191" s="9">
        <f>ALASMALANG!V191+'BENELAN KIDUL'!S191+CANTUK!T191+GAMBOR!N191+GUMIRIH!S191+KEMIRI!U191+LEMAHBANGKULON!Q191+PADANG!Q191+SINGOJURUH!AC191+SINGOLATREN!T191+SUMBERBARU!S191</f>
        <v>3</v>
      </c>
      <c r="F191" s="39"/>
      <c r="G191" s="20"/>
      <c r="H191" s="20"/>
      <c r="I191" s="20"/>
      <c r="J191" s="20"/>
      <c r="K191" s="20"/>
      <c r="L191" s="20"/>
      <c r="M191" s="20"/>
      <c r="N191" s="20"/>
      <c r="O191" s="20"/>
      <c r="P191" s="32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  <c r="BW191" s="33"/>
      <c r="BX191" s="33"/>
      <c r="BY191" s="33"/>
      <c r="BZ191" s="33"/>
      <c r="CA191" s="33"/>
      <c r="CB191" s="33"/>
      <c r="CC191" s="33"/>
      <c r="CD191" s="33"/>
      <c r="CE191" s="33"/>
      <c r="CF191" s="33"/>
      <c r="CG191" s="33"/>
      <c r="CH191" s="33"/>
      <c r="CI191" s="33"/>
      <c r="CJ191" s="33"/>
      <c r="CK191" s="33"/>
      <c r="CL191" s="33"/>
      <c r="CM191" s="33"/>
      <c r="CN191" s="33"/>
      <c r="CO191" s="33"/>
      <c r="CP191" s="33"/>
      <c r="CQ191" s="33"/>
      <c r="CR191" s="33"/>
      <c r="CS191" s="33"/>
      <c r="CT191" s="33"/>
      <c r="CU191" s="33"/>
      <c r="CV191" s="33"/>
      <c r="CW191" s="33"/>
      <c r="CX191" s="33"/>
      <c r="CY191" s="33"/>
      <c r="CZ191" s="33"/>
      <c r="DA191" s="33"/>
      <c r="DB191" s="33"/>
      <c r="DC191" s="33"/>
      <c r="DD191" s="33"/>
      <c r="DE191" s="33"/>
      <c r="DF191" s="33"/>
      <c r="DG191" s="33"/>
      <c r="DH191" s="33"/>
      <c r="DI191" s="33"/>
      <c r="DJ191" s="33"/>
      <c r="DK191" s="33"/>
      <c r="DL191" s="33"/>
      <c r="DM191" s="33"/>
      <c r="DN191" s="33"/>
      <c r="DO191" s="33"/>
      <c r="DP191" s="33"/>
      <c r="DQ191" s="33"/>
      <c r="DR191" s="33"/>
      <c r="DS191" s="33"/>
      <c r="DT191" s="33"/>
      <c r="DU191" s="33"/>
      <c r="DV191" s="33"/>
      <c r="DW191" s="33"/>
      <c r="DX191" s="33"/>
      <c r="DY191" s="33"/>
      <c r="DZ191" s="33"/>
      <c r="EA191" s="33"/>
      <c r="EB191" s="33"/>
      <c r="EC191" s="33"/>
      <c r="ED191" s="33"/>
      <c r="EE191" s="33"/>
      <c r="EF191" s="33"/>
      <c r="EG191" s="33"/>
      <c r="EH191" s="33"/>
      <c r="EI191" s="33"/>
      <c r="EJ191" s="33"/>
      <c r="EK191" s="33"/>
      <c r="EL191" s="33"/>
      <c r="EM191" s="33"/>
      <c r="EN191" s="33"/>
      <c r="EO191" s="33"/>
      <c r="EP191" s="33"/>
      <c r="EQ191" s="33"/>
      <c r="ER191" s="33"/>
      <c r="ES191" s="33"/>
      <c r="ET191" s="33"/>
      <c r="EU191" s="33"/>
      <c r="EV191" s="33"/>
      <c r="EW191" s="33"/>
      <c r="EX191" s="33"/>
      <c r="EY191" s="33"/>
      <c r="EZ191" s="33"/>
      <c r="FA191" s="33"/>
      <c r="FB191" s="33"/>
      <c r="FC191" s="33"/>
      <c r="FD191" s="33"/>
      <c r="FE191" s="33"/>
      <c r="FF191" s="33"/>
      <c r="FG191" s="33"/>
      <c r="FH191" s="33"/>
      <c r="FI191" s="33"/>
      <c r="FJ191" s="33"/>
      <c r="FK191" s="33"/>
      <c r="FL191" s="33"/>
      <c r="FM191" s="33"/>
      <c r="FN191" s="33"/>
      <c r="FO191" s="33"/>
      <c r="FP191" s="33"/>
      <c r="FQ191" s="33"/>
      <c r="FR191" s="33"/>
      <c r="FS191" s="33"/>
      <c r="FT191" s="33"/>
      <c r="FU191" s="33"/>
      <c r="FV191" s="33"/>
      <c r="FW191" s="33"/>
      <c r="FX191" s="33"/>
      <c r="FY191" s="33"/>
      <c r="FZ191" s="33"/>
      <c r="GA191" s="33"/>
      <c r="GB191" s="33"/>
      <c r="GC191" s="33"/>
      <c r="GD191" s="33"/>
      <c r="GE191" s="33"/>
      <c r="GF191" s="33"/>
      <c r="GG191" s="33"/>
      <c r="GH191" s="33"/>
      <c r="GI191" s="33"/>
      <c r="GJ191" s="33"/>
      <c r="GK191" s="33"/>
      <c r="GL191" s="33"/>
      <c r="GM191" s="33"/>
      <c r="GN191" s="33"/>
      <c r="GO191" s="33"/>
      <c r="GP191" s="33"/>
      <c r="GQ191" s="33"/>
      <c r="GR191" s="33"/>
      <c r="GS191" s="33"/>
      <c r="GT191" s="33"/>
      <c r="GU191" s="33"/>
      <c r="GV191" s="33"/>
      <c r="GW191" s="33"/>
      <c r="GX191" s="33"/>
      <c r="GY191" s="33"/>
      <c r="GZ191" s="33"/>
      <c r="HA191" s="33"/>
      <c r="HB191" s="33"/>
      <c r="HC191" s="33"/>
      <c r="HD191" s="33"/>
      <c r="HE191" s="33"/>
      <c r="HF191" s="33"/>
      <c r="HG191" s="33"/>
      <c r="HH191" s="33"/>
    </row>
    <row r="192" spans="1:216" ht="15.75" customHeight="1" x14ac:dyDescent="0.3">
      <c r="A192" s="7"/>
      <c r="B192" s="50"/>
      <c r="C192" s="24" t="s">
        <v>198</v>
      </c>
      <c r="D192" s="49"/>
      <c r="E192" s="9">
        <f>ALASMALANG!V192+'BENELAN KIDUL'!S192+CANTUK!T192+GAMBOR!N192+GUMIRIH!S192+KEMIRI!U192+LEMAHBANGKULON!Q192+PADANG!Q192+SINGOJURUH!AC192+SINGOLATREN!T192+SUMBERBARU!S192</f>
        <v>2</v>
      </c>
      <c r="F192" s="39"/>
      <c r="G192" s="20"/>
      <c r="H192" s="20"/>
      <c r="I192" s="20"/>
      <c r="J192" s="20"/>
      <c r="K192" s="20"/>
      <c r="L192" s="20"/>
      <c r="M192" s="20"/>
      <c r="N192" s="20"/>
      <c r="O192" s="20"/>
      <c r="P192" s="32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  <c r="BY192" s="33"/>
      <c r="BZ192" s="33"/>
      <c r="CA192" s="33"/>
      <c r="CB192" s="33"/>
      <c r="CC192" s="33"/>
      <c r="CD192" s="33"/>
      <c r="CE192" s="33"/>
      <c r="CF192" s="33"/>
      <c r="CG192" s="33"/>
      <c r="CH192" s="33"/>
      <c r="CI192" s="33"/>
      <c r="CJ192" s="33"/>
      <c r="CK192" s="33"/>
      <c r="CL192" s="33"/>
      <c r="CM192" s="33"/>
      <c r="CN192" s="33"/>
      <c r="CO192" s="33"/>
      <c r="CP192" s="33"/>
      <c r="CQ192" s="33"/>
      <c r="CR192" s="33"/>
      <c r="CS192" s="33"/>
      <c r="CT192" s="33"/>
      <c r="CU192" s="33"/>
      <c r="CV192" s="33"/>
      <c r="CW192" s="33"/>
      <c r="CX192" s="33"/>
      <c r="CY192" s="33"/>
      <c r="CZ192" s="33"/>
      <c r="DA192" s="33"/>
      <c r="DB192" s="33"/>
      <c r="DC192" s="33"/>
      <c r="DD192" s="33"/>
      <c r="DE192" s="33"/>
      <c r="DF192" s="33"/>
      <c r="DG192" s="33"/>
      <c r="DH192" s="33"/>
      <c r="DI192" s="33"/>
      <c r="DJ192" s="33"/>
      <c r="DK192" s="33"/>
      <c r="DL192" s="33"/>
      <c r="DM192" s="33"/>
      <c r="DN192" s="33"/>
      <c r="DO192" s="33"/>
      <c r="DP192" s="33"/>
      <c r="DQ192" s="33"/>
      <c r="DR192" s="33"/>
      <c r="DS192" s="33"/>
      <c r="DT192" s="33"/>
      <c r="DU192" s="33"/>
      <c r="DV192" s="33"/>
      <c r="DW192" s="33"/>
      <c r="DX192" s="33"/>
      <c r="DY192" s="33"/>
      <c r="DZ192" s="33"/>
      <c r="EA192" s="33"/>
      <c r="EB192" s="33"/>
      <c r="EC192" s="33"/>
      <c r="ED192" s="33"/>
      <c r="EE192" s="33"/>
      <c r="EF192" s="33"/>
      <c r="EG192" s="33"/>
      <c r="EH192" s="33"/>
      <c r="EI192" s="33"/>
      <c r="EJ192" s="33"/>
      <c r="EK192" s="33"/>
      <c r="EL192" s="33"/>
      <c r="EM192" s="33"/>
      <c r="EN192" s="33"/>
      <c r="EO192" s="33"/>
      <c r="EP192" s="33"/>
      <c r="EQ192" s="33"/>
      <c r="ER192" s="33"/>
      <c r="ES192" s="33"/>
      <c r="ET192" s="33"/>
      <c r="EU192" s="33"/>
      <c r="EV192" s="33"/>
      <c r="EW192" s="33"/>
      <c r="EX192" s="33"/>
      <c r="EY192" s="33"/>
      <c r="EZ192" s="33"/>
      <c r="FA192" s="33"/>
      <c r="FB192" s="33"/>
      <c r="FC192" s="33"/>
      <c r="FD192" s="33"/>
      <c r="FE192" s="33"/>
      <c r="FF192" s="33"/>
      <c r="FG192" s="33"/>
      <c r="FH192" s="33"/>
      <c r="FI192" s="33"/>
      <c r="FJ192" s="33"/>
      <c r="FK192" s="33"/>
      <c r="FL192" s="33"/>
      <c r="FM192" s="33"/>
      <c r="FN192" s="33"/>
      <c r="FO192" s="33"/>
      <c r="FP192" s="33"/>
      <c r="FQ192" s="33"/>
      <c r="FR192" s="33"/>
      <c r="FS192" s="33"/>
      <c r="FT192" s="33"/>
      <c r="FU192" s="33"/>
      <c r="FV192" s="33"/>
      <c r="FW192" s="33"/>
      <c r="FX192" s="33"/>
      <c r="FY192" s="33"/>
      <c r="FZ192" s="33"/>
      <c r="GA192" s="33"/>
      <c r="GB192" s="33"/>
      <c r="GC192" s="33"/>
      <c r="GD192" s="33"/>
      <c r="GE192" s="33"/>
      <c r="GF192" s="33"/>
      <c r="GG192" s="33"/>
      <c r="GH192" s="33"/>
      <c r="GI192" s="33"/>
      <c r="GJ192" s="33"/>
      <c r="GK192" s="33"/>
      <c r="GL192" s="33"/>
      <c r="GM192" s="33"/>
      <c r="GN192" s="33"/>
      <c r="GO192" s="33"/>
      <c r="GP192" s="33"/>
      <c r="GQ192" s="33"/>
      <c r="GR192" s="33"/>
      <c r="GS192" s="33"/>
      <c r="GT192" s="33"/>
      <c r="GU192" s="33"/>
      <c r="GV192" s="33"/>
      <c r="GW192" s="33"/>
      <c r="GX192" s="33"/>
      <c r="GY192" s="33"/>
      <c r="GZ192" s="33"/>
      <c r="HA192" s="33"/>
      <c r="HB192" s="33"/>
      <c r="HC192" s="33"/>
      <c r="HD192" s="33"/>
      <c r="HE192" s="33"/>
      <c r="HF192" s="33"/>
      <c r="HG192" s="33"/>
      <c r="HH192" s="33"/>
    </row>
    <row r="193" spans="1:216" ht="15.75" customHeight="1" x14ac:dyDescent="0.3">
      <c r="A193" s="7"/>
      <c r="B193" s="50"/>
      <c r="C193" s="24" t="s">
        <v>199</v>
      </c>
      <c r="D193" s="49"/>
      <c r="E193" s="9">
        <f>ALASMALANG!V193+'BENELAN KIDUL'!S193+CANTUK!T193+GAMBOR!N193+GUMIRIH!S193+KEMIRI!U193+LEMAHBANGKULON!Q193+PADANG!Q193+SINGOJURUH!AC193+SINGOLATREN!T193+SUMBERBARU!S193</f>
        <v>2</v>
      </c>
      <c r="F193" s="39"/>
      <c r="G193" s="20"/>
      <c r="H193" s="20"/>
      <c r="I193" s="20"/>
      <c r="J193" s="20"/>
      <c r="K193" s="20"/>
      <c r="L193" s="20"/>
      <c r="M193" s="20"/>
      <c r="N193" s="20"/>
      <c r="O193" s="20"/>
      <c r="P193" s="32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/>
      <c r="BY193" s="33"/>
      <c r="BZ193" s="33"/>
      <c r="CA193" s="33"/>
      <c r="CB193" s="33"/>
      <c r="CC193" s="33"/>
      <c r="CD193" s="33"/>
      <c r="CE193" s="33"/>
      <c r="CF193" s="33"/>
      <c r="CG193" s="33"/>
      <c r="CH193" s="33"/>
      <c r="CI193" s="33"/>
      <c r="CJ193" s="33"/>
      <c r="CK193" s="33"/>
      <c r="CL193" s="33"/>
      <c r="CM193" s="33"/>
      <c r="CN193" s="33"/>
      <c r="CO193" s="33"/>
      <c r="CP193" s="33"/>
      <c r="CQ193" s="33"/>
      <c r="CR193" s="33"/>
      <c r="CS193" s="33"/>
      <c r="CT193" s="33"/>
      <c r="CU193" s="33"/>
      <c r="CV193" s="33"/>
      <c r="CW193" s="33"/>
      <c r="CX193" s="33"/>
      <c r="CY193" s="33"/>
      <c r="CZ193" s="33"/>
      <c r="DA193" s="33"/>
      <c r="DB193" s="33"/>
      <c r="DC193" s="33"/>
      <c r="DD193" s="33"/>
      <c r="DE193" s="33"/>
      <c r="DF193" s="33"/>
      <c r="DG193" s="33"/>
      <c r="DH193" s="33"/>
      <c r="DI193" s="33"/>
      <c r="DJ193" s="33"/>
      <c r="DK193" s="33"/>
      <c r="DL193" s="33"/>
      <c r="DM193" s="33"/>
      <c r="DN193" s="33"/>
      <c r="DO193" s="33"/>
      <c r="DP193" s="33"/>
      <c r="DQ193" s="33"/>
      <c r="DR193" s="33"/>
      <c r="DS193" s="33"/>
      <c r="DT193" s="33"/>
      <c r="DU193" s="33"/>
      <c r="DV193" s="33"/>
      <c r="DW193" s="33"/>
      <c r="DX193" s="33"/>
      <c r="DY193" s="33"/>
      <c r="DZ193" s="33"/>
      <c r="EA193" s="33"/>
      <c r="EB193" s="33"/>
      <c r="EC193" s="33"/>
      <c r="ED193" s="33"/>
      <c r="EE193" s="33"/>
      <c r="EF193" s="33"/>
      <c r="EG193" s="33"/>
      <c r="EH193" s="33"/>
      <c r="EI193" s="33"/>
      <c r="EJ193" s="33"/>
      <c r="EK193" s="33"/>
      <c r="EL193" s="33"/>
      <c r="EM193" s="33"/>
      <c r="EN193" s="33"/>
      <c r="EO193" s="33"/>
      <c r="EP193" s="33"/>
      <c r="EQ193" s="33"/>
      <c r="ER193" s="33"/>
      <c r="ES193" s="33"/>
      <c r="ET193" s="33"/>
      <c r="EU193" s="33"/>
      <c r="EV193" s="33"/>
      <c r="EW193" s="33"/>
      <c r="EX193" s="33"/>
      <c r="EY193" s="33"/>
      <c r="EZ193" s="33"/>
      <c r="FA193" s="33"/>
      <c r="FB193" s="33"/>
      <c r="FC193" s="33"/>
      <c r="FD193" s="33"/>
      <c r="FE193" s="33"/>
      <c r="FF193" s="33"/>
      <c r="FG193" s="33"/>
      <c r="FH193" s="33"/>
      <c r="FI193" s="33"/>
      <c r="FJ193" s="33"/>
      <c r="FK193" s="33"/>
      <c r="FL193" s="33"/>
      <c r="FM193" s="33"/>
      <c r="FN193" s="33"/>
      <c r="FO193" s="33"/>
      <c r="FP193" s="33"/>
      <c r="FQ193" s="33"/>
      <c r="FR193" s="33"/>
      <c r="FS193" s="33"/>
      <c r="FT193" s="33"/>
      <c r="FU193" s="33"/>
      <c r="FV193" s="33"/>
      <c r="FW193" s="33"/>
      <c r="FX193" s="33"/>
      <c r="FY193" s="33"/>
      <c r="FZ193" s="33"/>
      <c r="GA193" s="33"/>
      <c r="GB193" s="33"/>
      <c r="GC193" s="33"/>
      <c r="GD193" s="33"/>
      <c r="GE193" s="33"/>
      <c r="GF193" s="33"/>
      <c r="GG193" s="33"/>
      <c r="GH193" s="33"/>
      <c r="GI193" s="33"/>
      <c r="GJ193" s="33"/>
      <c r="GK193" s="33"/>
      <c r="GL193" s="33"/>
      <c r="GM193" s="33"/>
      <c r="GN193" s="33"/>
      <c r="GO193" s="33"/>
      <c r="GP193" s="33"/>
      <c r="GQ193" s="33"/>
      <c r="GR193" s="33"/>
      <c r="GS193" s="33"/>
      <c r="GT193" s="33"/>
      <c r="GU193" s="33"/>
      <c r="GV193" s="33"/>
      <c r="GW193" s="33"/>
      <c r="GX193" s="33"/>
      <c r="GY193" s="33"/>
      <c r="GZ193" s="33"/>
      <c r="HA193" s="33"/>
      <c r="HB193" s="33"/>
      <c r="HC193" s="33"/>
      <c r="HD193" s="33"/>
      <c r="HE193" s="33"/>
      <c r="HF193" s="33"/>
      <c r="HG193" s="33"/>
      <c r="HH193" s="33"/>
    </row>
    <row r="194" spans="1:216" ht="15.75" customHeight="1" x14ac:dyDescent="0.3">
      <c r="A194" s="7"/>
      <c r="B194" s="50"/>
      <c r="C194" s="24" t="s">
        <v>200</v>
      </c>
      <c r="D194" s="49"/>
      <c r="E194" s="9">
        <f>ALASMALANG!V194+'BENELAN KIDUL'!S194+CANTUK!T194+GAMBOR!N194+GUMIRIH!S194+KEMIRI!U194+LEMAHBANGKULON!Q194+PADANG!Q194+SINGOJURUH!AC194+SINGOLATREN!T194+SUMBERBARU!S194</f>
        <v>2</v>
      </c>
      <c r="F194" s="39"/>
      <c r="G194" s="20"/>
      <c r="H194" s="20"/>
      <c r="I194" s="20"/>
      <c r="J194" s="20"/>
      <c r="K194" s="20"/>
      <c r="L194" s="20"/>
      <c r="M194" s="20"/>
      <c r="N194" s="20"/>
      <c r="O194" s="20"/>
      <c r="P194" s="32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  <c r="BY194" s="33"/>
      <c r="BZ194" s="33"/>
      <c r="CA194" s="33"/>
      <c r="CB194" s="33"/>
      <c r="CC194" s="33"/>
      <c r="CD194" s="33"/>
      <c r="CE194" s="33"/>
      <c r="CF194" s="33"/>
      <c r="CG194" s="33"/>
      <c r="CH194" s="33"/>
      <c r="CI194" s="33"/>
      <c r="CJ194" s="33"/>
      <c r="CK194" s="33"/>
      <c r="CL194" s="33"/>
      <c r="CM194" s="33"/>
      <c r="CN194" s="33"/>
      <c r="CO194" s="33"/>
      <c r="CP194" s="33"/>
      <c r="CQ194" s="33"/>
      <c r="CR194" s="33"/>
      <c r="CS194" s="33"/>
      <c r="CT194" s="33"/>
      <c r="CU194" s="33"/>
      <c r="CV194" s="33"/>
      <c r="CW194" s="33"/>
      <c r="CX194" s="33"/>
      <c r="CY194" s="33"/>
      <c r="CZ194" s="33"/>
      <c r="DA194" s="33"/>
      <c r="DB194" s="33"/>
      <c r="DC194" s="33"/>
      <c r="DD194" s="33"/>
      <c r="DE194" s="33"/>
      <c r="DF194" s="33"/>
      <c r="DG194" s="33"/>
      <c r="DH194" s="33"/>
      <c r="DI194" s="33"/>
      <c r="DJ194" s="33"/>
      <c r="DK194" s="33"/>
      <c r="DL194" s="33"/>
      <c r="DM194" s="33"/>
      <c r="DN194" s="33"/>
      <c r="DO194" s="33"/>
      <c r="DP194" s="33"/>
      <c r="DQ194" s="33"/>
      <c r="DR194" s="33"/>
      <c r="DS194" s="33"/>
      <c r="DT194" s="33"/>
      <c r="DU194" s="33"/>
      <c r="DV194" s="33"/>
      <c r="DW194" s="33"/>
      <c r="DX194" s="33"/>
      <c r="DY194" s="33"/>
      <c r="DZ194" s="33"/>
      <c r="EA194" s="33"/>
      <c r="EB194" s="33"/>
      <c r="EC194" s="33"/>
      <c r="ED194" s="33"/>
      <c r="EE194" s="33"/>
      <c r="EF194" s="33"/>
      <c r="EG194" s="33"/>
      <c r="EH194" s="33"/>
      <c r="EI194" s="33"/>
      <c r="EJ194" s="33"/>
      <c r="EK194" s="33"/>
      <c r="EL194" s="33"/>
      <c r="EM194" s="33"/>
      <c r="EN194" s="33"/>
      <c r="EO194" s="33"/>
      <c r="EP194" s="33"/>
      <c r="EQ194" s="33"/>
      <c r="ER194" s="33"/>
      <c r="ES194" s="33"/>
      <c r="ET194" s="33"/>
      <c r="EU194" s="33"/>
      <c r="EV194" s="33"/>
      <c r="EW194" s="33"/>
      <c r="EX194" s="33"/>
      <c r="EY194" s="33"/>
      <c r="EZ194" s="33"/>
      <c r="FA194" s="33"/>
      <c r="FB194" s="33"/>
      <c r="FC194" s="33"/>
      <c r="FD194" s="33"/>
      <c r="FE194" s="33"/>
      <c r="FF194" s="33"/>
      <c r="FG194" s="33"/>
      <c r="FH194" s="33"/>
      <c r="FI194" s="33"/>
      <c r="FJ194" s="33"/>
      <c r="FK194" s="33"/>
      <c r="FL194" s="33"/>
      <c r="FM194" s="33"/>
      <c r="FN194" s="33"/>
      <c r="FO194" s="33"/>
      <c r="FP194" s="33"/>
      <c r="FQ194" s="33"/>
      <c r="FR194" s="33"/>
      <c r="FS194" s="33"/>
      <c r="FT194" s="33"/>
      <c r="FU194" s="33"/>
      <c r="FV194" s="33"/>
      <c r="FW194" s="33"/>
      <c r="FX194" s="33"/>
      <c r="FY194" s="33"/>
      <c r="FZ194" s="33"/>
      <c r="GA194" s="33"/>
      <c r="GB194" s="33"/>
      <c r="GC194" s="33"/>
      <c r="GD194" s="33"/>
      <c r="GE194" s="33"/>
      <c r="GF194" s="33"/>
      <c r="GG194" s="33"/>
      <c r="GH194" s="33"/>
      <c r="GI194" s="33"/>
      <c r="GJ194" s="33"/>
      <c r="GK194" s="33"/>
      <c r="GL194" s="33"/>
      <c r="GM194" s="33"/>
      <c r="GN194" s="33"/>
      <c r="GO194" s="33"/>
      <c r="GP194" s="33"/>
      <c r="GQ194" s="33"/>
      <c r="GR194" s="33"/>
      <c r="GS194" s="33"/>
      <c r="GT194" s="33"/>
      <c r="GU194" s="33"/>
      <c r="GV194" s="33"/>
      <c r="GW194" s="33"/>
      <c r="GX194" s="33"/>
      <c r="GY194" s="33"/>
      <c r="GZ194" s="33"/>
      <c r="HA194" s="33"/>
      <c r="HB194" s="33"/>
      <c r="HC194" s="33"/>
      <c r="HD194" s="33"/>
      <c r="HE194" s="33"/>
      <c r="HF194" s="33"/>
      <c r="HG194" s="33"/>
      <c r="HH194" s="33"/>
    </row>
    <row r="195" spans="1:216" ht="15.75" customHeight="1" x14ac:dyDescent="0.3">
      <c r="A195" s="7"/>
      <c r="B195" s="50"/>
      <c r="C195" s="24" t="s">
        <v>201</v>
      </c>
      <c r="D195" s="49"/>
      <c r="E195" s="9">
        <f>ALASMALANG!V195+'BENELAN KIDUL'!S195+CANTUK!T195+GAMBOR!N195+GUMIRIH!S195+KEMIRI!U195+LEMAHBANGKULON!Q195+PADANG!Q195+SINGOJURUH!AC195+SINGOLATREN!T195+SUMBERBARU!S195</f>
        <v>0</v>
      </c>
      <c r="F195" s="39"/>
      <c r="G195" s="20"/>
      <c r="H195" s="20"/>
      <c r="I195" s="20"/>
      <c r="J195" s="20"/>
      <c r="K195" s="20"/>
      <c r="L195" s="20"/>
      <c r="M195" s="20"/>
      <c r="N195" s="20"/>
      <c r="O195" s="20"/>
      <c r="P195" s="32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/>
      <c r="CQ195" s="33"/>
      <c r="CR195" s="33"/>
      <c r="CS195" s="33"/>
      <c r="CT195" s="33"/>
      <c r="CU195" s="33"/>
      <c r="CV195" s="33"/>
      <c r="CW195" s="33"/>
      <c r="CX195" s="33"/>
      <c r="CY195" s="33"/>
      <c r="CZ195" s="33"/>
      <c r="DA195" s="33"/>
      <c r="DB195" s="33"/>
      <c r="DC195" s="33"/>
      <c r="DD195" s="33"/>
      <c r="DE195" s="33"/>
      <c r="DF195" s="33"/>
      <c r="DG195" s="33"/>
      <c r="DH195" s="33"/>
      <c r="DI195" s="33"/>
      <c r="DJ195" s="33"/>
      <c r="DK195" s="33"/>
      <c r="DL195" s="33"/>
      <c r="DM195" s="33"/>
      <c r="DN195" s="33"/>
      <c r="DO195" s="33"/>
      <c r="DP195" s="33"/>
      <c r="DQ195" s="33"/>
      <c r="DR195" s="33"/>
      <c r="DS195" s="33"/>
      <c r="DT195" s="33"/>
      <c r="DU195" s="33"/>
      <c r="DV195" s="33"/>
      <c r="DW195" s="33"/>
      <c r="DX195" s="33"/>
      <c r="DY195" s="33"/>
      <c r="DZ195" s="33"/>
      <c r="EA195" s="33"/>
      <c r="EB195" s="33"/>
      <c r="EC195" s="33"/>
      <c r="ED195" s="33"/>
      <c r="EE195" s="33"/>
      <c r="EF195" s="33"/>
      <c r="EG195" s="33"/>
      <c r="EH195" s="33"/>
      <c r="EI195" s="33"/>
      <c r="EJ195" s="33"/>
      <c r="EK195" s="33"/>
      <c r="EL195" s="33"/>
      <c r="EM195" s="33"/>
      <c r="EN195" s="33"/>
      <c r="EO195" s="33"/>
      <c r="EP195" s="33"/>
      <c r="EQ195" s="33"/>
      <c r="ER195" s="33"/>
      <c r="ES195" s="33"/>
      <c r="ET195" s="33"/>
      <c r="EU195" s="33"/>
      <c r="EV195" s="33"/>
      <c r="EW195" s="33"/>
      <c r="EX195" s="33"/>
      <c r="EY195" s="33"/>
      <c r="EZ195" s="33"/>
      <c r="FA195" s="33"/>
      <c r="FB195" s="33"/>
      <c r="FC195" s="33"/>
      <c r="FD195" s="33"/>
      <c r="FE195" s="33"/>
      <c r="FF195" s="33"/>
      <c r="FG195" s="33"/>
      <c r="FH195" s="33"/>
      <c r="FI195" s="33"/>
      <c r="FJ195" s="33"/>
      <c r="FK195" s="33"/>
      <c r="FL195" s="33"/>
      <c r="FM195" s="33"/>
      <c r="FN195" s="33"/>
      <c r="FO195" s="33"/>
      <c r="FP195" s="33"/>
      <c r="FQ195" s="33"/>
      <c r="FR195" s="33"/>
      <c r="FS195" s="33"/>
      <c r="FT195" s="33"/>
      <c r="FU195" s="33"/>
      <c r="FV195" s="33"/>
      <c r="FW195" s="33"/>
      <c r="FX195" s="33"/>
      <c r="FY195" s="33"/>
      <c r="FZ195" s="33"/>
      <c r="GA195" s="33"/>
      <c r="GB195" s="33"/>
      <c r="GC195" s="33"/>
      <c r="GD195" s="33"/>
      <c r="GE195" s="33"/>
      <c r="GF195" s="33"/>
      <c r="GG195" s="33"/>
      <c r="GH195" s="33"/>
      <c r="GI195" s="33"/>
      <c r="GJ195" s="33"/>
      <c r="GK195" s="33"/>
      <c r="GL195" s="33"/>
      <c r="GM195" s="33"/>
      <c r="GN195" s="33"/>
      <c r="GO195" s="33"/>
      <c r="GP195" s="33"/>
      <c r="GQ195" s="33"/>
      <c r="GR195" s="33"/>
      <c r="GS195" s="33"/>
      <c r="GT195" s="33"/>
      <c r="GU195" s="33"/>
      <c r="GV195" s="33"/>
      <c r="GW195" s="33"/>
      <c r="GX195" s="33"/>
      <c r="GY195" s="33"/>
      <c r="GZ195" s="33"/>
      <c r="HA195" s="33"/>
      <c r="HB195" s="33"/>
      <c r="HC195" s="33"/>
      <c r="HD195" s="33"/>
      <c r="HE195" s="33"/>
      <c r="HF195" s="33"/>
      <c r="HG195" s="33"/>
      <c r="HH195" s="33"/>
    </row>
    <row r="196" spans="1:216" ht="15.75" customHeight="1" x14ac:dyDescent="0.3">
      <c r="A196" s="7"/>
      <c r="B196" s="50"/>
      <c r="C196" s="24" t="s">
        <v>202</v>
      </c>
      <c r="D196" s="49"/>
      <c r="E196" s="9">
        <f>ALASMALANG!V196+'BENELAN KIDUL'!S196+CANTUK!T196+GAMBOR!N196+GUMIRIH!S196+KEMIRI!U196+LEMAHBANGKULON!Q196+PADANG!Q196+SINGOJURUH!AC196+SINGOLATREN!T196+SUMBERBARU!S196</f>
        <v>0</v>
      </c>
      <c r="F196" s="39"/>
      <c r="G196" s="20"/>
      <c r="H196" s="20"/>
      <c r="I196" s="20"/>
      <c r="J196" s="20"/>
      <c r="K196" s="20"/>
      <c r="L196" s="20"/>
      <c r="M196" s="20"/>
      <c r="N196" s="20"/>
      <c r="O196" s="20"/>
      <c r="P196" s="32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  <c r="BY196" s="33"/>
      <c r="BZ196" s="33"/>
      <c r="CA196" s="33"/>
      <c r="CB196" s="33"/>
      <c r="CC196" s="33"/>
      <c r="CD196" s="33"/>
      <c r="CE196" s="33"/>
      <c r="CF196" s="33"/>
      <c r="CG196" s="33"/>
      <c r="CH196" s="33"/>
      <c r="CI196" s="33"/>
      <c r="CJ196" s="33"/>
      <c r="CK196" s="33"/>
      <c r="CL196" s="33"/>
      <c r="CM196" s="33"/>
      <c r="CN196" s="33"/>
      <c r="CO196" s="33"/>
      <c r="CP196" s="33"/>
      <c r="CQ196" s="33"/>
      <c r="CR196" s="33"/>
      <c r="CS196" s="33"/>
      <c r="CT196" s="33"/>
      <c r="CU196" s="33"/>
      <c r="CV196" s="33"/>
      <c r="CW196" s="33"/>
      <c r="CX196" s="33"/>
      <c r="CY196" s="33"/>
      <c r="CZ196" s="33"/>
      <c r="DA196" s="33"/>
      <c r="DB196" s="33"/>
      <c r="DC196" s="33"/>
      <c r="DD196" s="33"/>
      <c r="DE196" s="33"/>
      <c r="DF196" s="33"/>
      <c r="DG196" s="33"/>
      <c r="DH196" s="33"/>
      <c r="DI196" s="33"/>
      <c r="DJ196" s="33"/>
      <c r="DK196" s="33"/>
      <c r="DL196" s="33"/>
      <c r="DM196" s="33"/>
      <c r="DN196" s="33"/>
      <c r="DO196" s="33"/>
      <c r="DP196" s="33"/>
      <c r="DQ196" s="33"/>
      <c r="DR196" s="33"/>
      <c r="DS196" s="33"/>
      <c r="DT196" s="33"/>
      <c r="DU196" s="33"/>
      <c r="DV196" s="33"/>
      <c r="DW196" s="33"/>
      <c r="DX196" s="33"/>
      <c r="DY196" s="33"/>
      <c r="DZ196" s="33"/>
      <c r="EA196" s="33"/>
      <c r="EB196" s="33"/>
      <c r="EC196" s="33"/>
      <c r="ED196" s="33"/>
      <c r="EE196" s="33"/>
      <c r="EF196" s="33"/>
      <c r="EG196" s="33"/>
      <c r="EH196" s="33"/>
      <c r="EI196" s="33"/>
      <c r="EJ196" s="33"/>
      <c r="EK196" s="33"/>
      <c r="EL196" s="33"/>
      <c r="EM196" s="33"/>
      <c r="EN196" s="33"/>
      <c r="EO196" s="33"/>
      <c r="EP196" s="33"/>
      <c r="EQ196" s="33"/>
      <c r="ER196" s="33"/>
      <c r="ES196" s="33"/>
      <c r="ET196" s="33"/>
      <c r="EU196" s="33"/>
      <c r="EV196" s="33"/>
      <c r="EW196" s="33"/>
      <c r="EX196" s="33"/>
      <c r="EY196" s="33"/>
      <c r="EZ196" s="33"/>
      <c r="FA196" s="33"/>
      <c r="FB196" s="33"/>
      <c r="FC196" s="33"/>
      <c r="FD196" s="33"/>
      <c r="FE196" s="33"/>
      <c r="FF196" s="33"/>
      <c r="FG196" s="33"/>
      <c r="FH196" s="33"/>
      <c r="FI196" s="33"/>
      <c r="FJ196" s="33"/>
      <c r="FK196" s="33"/>
      <c r="FL196" s="33"/>
      <c r="FM196" s="33"/>
      <c r="FN196" s="33"/>
      <c r="FO196" s="33"/>
      <c r="FP196" s="33"/>
      <c r="FQ196" s="33"/>
      <c r="FR196" s="33"/>
      <c r="FS196" s="33"/>
      <c r="FT196" s="33"/>
      <c r="FU196" s="33"/>
      <c r="FV196" s="33"/>
      <c r="FW196" s="33"/>
      <c r="FX196" s="33"/>
      <c r="FY196" s="33"/>
      <c r="FZ196" s="33"/>
      <c r="GA196" s="33"/>
      <c r="GB196" s="33"/>
      <c r="GC196" s="33"/>
      <c r="GD196" s="33"/>
      <c r="GE196" s="33"/>
      <c r="GF196" s="33"/>
      <c r="GG196" s="33"/>
      <c r="GH196" s="33"/>
      <c r="GI196" s="33"/>
      <c r="GJ196" s="33"/>
      <c r="GK196" s="33"/>
      <c r="GL196" s="33"/>
      <c r="GM196" s="33"/>
      <c r="GN196" s="33"/>
      <c r="GO196" s="33"/>
      <c r="GP196" s="33"/>
      <c r="GQ196" s="33"/>
      <c r="GR196" s="33"/>
      <c r="GS196" s="33"/>
      <c r="GT196" s="33"/>
      <c r="GU196" s="33"/>
      <c r="GV196" s="33"/>
      <c r="GW196" s="33"/>
      <c r="GX196" s="33"/>
      <c r="GY196" s="33"/>
      <c r="GZ196" s="33"/>
      <c r="HA196" s="33"/>
      <c r="HB196" s="33"/>
      <c r="HC196" s="33"/>
      <c r="HD196" s="33"/>
      <c r="HE196" s="33"/>
      <c r="HF196" s="33"/>
      <c r="HG196" s="33"/>
      <c r="HH196" s="33"/>
    </row>
    <row r="197" spans="1:216" ht="15.75" customHeight="1" x14ac:dyDescent="0.3">
      <c r="A197" s="7"/>
      <c r="B197" s="50"/>
      <c r="C197" s="24" t="s">
        <v>203</v>
      </c>
      <c r="D197" s="49"/>
      <c r="E197" s="9">
        <f>ALASMALANG!V197+'BENELAN KIDUL'!S197+CANTUK!T197+GAMBOR!N197+GUMIRIH!S197+KEMIRI!U197+LEMAHBANGKULON!Q197+PADANG!Q197+SINGOJURUH!AC197+SINGOLATREN!T197+SUMBERBARU!S197</f>
        <v>0</v>
      </c>
      <c r="F197" s="39"/>
      <c r="G197" s="20"/>
      <c r="H197" s="20"/>
      <c r="I197" s="20"/>
      <c r="J197" s="20"/>
      <c r="K197" s="20"/>
      <c r="L197" s="20"/>
      <c r="M197" s="20"/>
      <c r="N197" s="20"/>
      <c r="O197" s="20"/>
      <c r="P197" s="32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  <c r="BW197" s="33"/>
      <c r="BX197" s="33"/>
      <c r="BY197" s="33"/>
      <c r="BZ197" s="33"/>
      <c r="CA197" s="33"/>
      <c r="CB197" s="33"/>
      <c r="CC197" s="33"/>
      <c r="CD197" s="33"/>
      <c r="CE197" s="33"/>
      <c r="CF197" s="33"/>
      <c r="CG197" s="33"/>
      <c r="CH197" s="33"/>
      <c r="CI197" s="33"/>
      <c r="CJ197" s="33"/>
      <c r="CK197" s="33"/>
      <c r="CL197" s="33"/>
      <c r="CM197" s="33"/>
      <c r="CN197" s="33"/>
      <c r="CO197" s="33"/>
      <c r="CP197" s="33"/>
      <c r="CQ197" s="33"/>
      <c r="CR197" s="33"/>
      <c r="CS197" s="33"/>
      <c r="CT197" s="33"/>
      <c r="CU197" s="33"/>
      <c r="CV197" s="33"/>
      <c r="CW197" s="33"/>
      <c r="CX197" s="33"/>
      <c r="CY197" s="33"/>
      <c r="CZ197" s="33"/>
      <c r="DA197" s="33"/>
      <c r="DB197" s="33"/>
      <c r="DC197" s="33"/>
      <c r="DD197" s="33"/>
      <c r="DE197" s="33"/>
      <c r="DF197" s="33"/>
      <c r="DG197" s="33"/>
      <c r="DH197" s="33"/>
      <c r="DI197" s="33"/>
      <c r="DJ197" s="33"/>
      <c r="DK197" s="33"/>
      <c r="DL197" s="33"/>
      <c r="DM197" s="33"/>
      <c r="DN197" s="33"/>
      <c r="DO197" s="33"/>
      <c r="DP197" s="33"/>
      <c r="DQ197" s="33"/>
      <c r="DR197" s="33"/>
      <c r="DS197" s="33"/>
      <c r="DT197" s="33"/>
      <c r="DU197" s="33"/>
      <c r="DV197" s="33"/>
      <c r="DW197" s="33"/>
      <c r="DX197" s="33"/>
      <c r="DY197" s="33"/>
      <c r="DZ197" s="33"/>
      <c r="EA197" s="33"/>
      <c r="EB197" s="33"/>
      <c r="EC197" s="33"/>
      <c r="ED197" s="33"/>
      <c r="EE197" s="33"/>
      <c r="EF197" s="33"/>
      <c r="EG197" s="33"/>
      <c r="EH197" s="33"/>
      <c r="EI197" s="33"/>
      <c r="EJ197" s="33"/>
      <c r="EK197" s="33"/>
      <c r="EL197" s="33"/>
      <c r="EM197" s="33"/>
      <c r="EN197" s="33"/>
      <c r="EO197" s="33"/>
      <c r="EP197" s="33"/>
      <c r="EQ197" s="33"/>
      <c r="ER197" s="33"/>
      <c r="ES197" s="33"/>
      <c r="ET197" s="33"/>
      <c r="EU197" s="33"/>
      <c r="EV197" s="33"/>
      <c r="EW197" s="33"/>
      <c r="EX197" s="33"/>
      <c r="EY197" s="33"/>
      <c r="EZ197" s="33"/>
      <c r="FA197" s="33"/>
      <c r="FB197" s="33"/>
      <c r="FC197" s="33"/>
      <c r="FD197" s="33"/>
      <c r="FE197" s="33"/>
      <c r="FF197" s="33"/>
      <c r="FG197" s="33"/>
      <c r="FH197" s="33"/>
      <c r="FI197" s="33"/>
      <c r="FJ197" s="33"/>
      <c r="FK197" s="33"/>
      <c r="FL197" s="33"/>
      <c r="FM197" s="33"/>
      <c r="FN197" s="33"/>
      <c r="FO197" s="33"/>
      <c r="FP197" s="33"/>
      <c r="FQ197" s="33"/>
      <c r="FR197" s="33"/>
      <c r="FS197" s="33"/>
      <c r="FT197" s="33"/>
      <c r="FU197" s="33"/>
      <c r="FV197" s="33"/>
      <c r="FW197" s="33"/>
      <c r="FX197" s="33"/>
      <c r="FY197" s="33"/>
      <c r="FZ197" s="33"/>
      <c r="GA197" s="33"/>
      <c r="GB197" s="33"/>
      <c r="GC197" s="33"/>
      <c r="GD197" s="33"/>
      <c r="GE197" s="33"/>
      <c r="GF197" s="33"/>
      <c r="GG197" s="33"/>
      <c r="GH197" s="33"/>
      <c r="GI197" s="33"/>
      <c r="GJ197" s="33"/>
      <c r="GK197" s="33"/>
      <c r="GL197" s="33"/>
      <c r="GM197" s="33"/>
      <c r="GN197" s="33"/>
      <c r="GO197" s="33"/>
      <c r="GP197" s="33"/>
      <c r="GQ197" s="33"/>
      <c r="GR197" s="33"/>
      <c r="GS197" s="33"/>
      <c r="GT197" s="33"/>
      <c r="GU197" s="33"/>
      <c r="GV197" s="33"/>
      <c r="GW197" s="33"/>
      <c r="GX197" s="33"/>
      <c r="GY197" s="33"/>
      <c r="GZ197" s="33"/>
      <c r="HA197" s="33"/>
      <c r="HB197" s="33"/>
      <c r="HC197" s="33"/>
      <c r="HD197" s="33"/>
      <c r="HE197" s="33"/>
      <c r="HF197" s="33"/>
      <c r="HG197" s="33"/>
      <c r="HH197" s="33"/>
    </row>
    <row r="198" spans="1:216" ht="15.75" customHeight="1" x14ac:dyDescent="0.3">
      <c r="A198" s="7"/>
      <c r="B198" s="50"/>
      <c r="C198" s="24" t="s">
        <v>204</v>
      </c>
      <c r="D198" s="49"/>
      <c r="E198" s="9">
        <f>ALASMALANG!V198+'BENELAN KIDUL'!S198+CANTUK!T198+GAMBOR!N198+GUMIRIH!S198+KEMIRI!U198+LEMAHBANGKULON!Q198+PADANG!Q198+SINGOJURUH!AC198+SINGOLATREN!T198+SUMBERBARU!S198</f>
        <v>1</v>
      </c>
      <c r="F198" s="39"/>
      <c r="G198" s="20"/>
      <c r="H198" s="20"/>
      <c r="I198" s="20"/>
      <c r="J198" s="20"/>
      <c r="K198" s="20"/>
      <c r="L198" s="20"/>
      <c r="M198" s="20"/>
      <c r="N198" s="20"/>
      <c r="O198" s="20"/>
      <c r="P198" s="32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  <c r="BW198" s="33"/>
      <c r="BX198" s="33"/>
      <c r="BY198" s="33"/>
      <c r="BZ198" s="33"/>
      <c r="CA198" s="33"/>
      <c r="CB198" s="33"/>
      <c r="CC198" s="33"/>
      <c r="CD198" s="33"/>
      <c r="CE198" s="33"/>
      <c r="CF198" s="33"/>
      <c r="CG198" s="33"/>
      <c r="CH198" s="33"/>
      <c r="CI198" s="33"/>
      <c r="CJ198" s="33"/>
      <c r="CK198" s="33"/>
      <c r="CL198" s="33"/>
      <c r="CM198" s="33"/>
      <c r="CN198" s="33"/>
      <c r="CO198" s="33"/>
      <c r="CP198" s="33"/>
      <c r="CQ198" s="33"/>
      <c r="CR198" s="33"/>
      <c r="CS198" s="33"/>
      <c r="CT198" s="33"/>
      <c r="CU198" s="33"/>
      <c r="CV198" s="33"/>
      <c r="CW198" s="33"/>
      <c r="CX198" s="33"/>
      <c r="CY198" s="33"/>
      <c r="CZ198" s="33"/>
      <c r="DA198" s="33"/>
      <c r="DB198" s="33"/>
      <c r="DC198" s="33"/>
      <c r="DD198" s="33"/>
      <c r="DE198" s="33"/>
      <c r="DF198" s="33"/>
      <c r="DG198" s="33"/>
      <c r="DH198" s="33"/>
      <c r="DI198" s="33"/>
      <c r="DJ198" s="33"/>
      <c r="DK198" s="33"/>
      <c r="DL198" s="33"/>
      <c r="DM198" s="33"/>
      <c r="DN198" s="33"/>
      <c r="DO198" s="33"/>
      <c r="DP198" s="33"/>
      <c r="DQ198" s="33"/>
      <c r="DR198" s="33"/>
      <c r="DS198" s="33"/>
      <c r="DT198" s="33"/>
      <c r="DU198" s="33"/>
      <c r="DV198" s="33"/>
      <c r="DW198" s="33"/>
      <c r="DX198" s="33"/>
      <c r="DY198" s="33"/>
      <c r="DZ198" s="33"/>
      <c r="EA198" s="33"/>
      <c r="EB198" s="33"/>
      <c r="EC198" s="33"/>
      <c r="ED198" s="33"/>
      <c r="EE198" s="33"/>
      <c r="EF198" s="33"/>
      <c r="EG198" s="33"/>
      <c r="EH198" s="33"/>
      <c r="EI198" s="33"/>
      <c r="EJ198" s="33"/>
      <c r="EK198" s="33"/>
      <c r="EL198" s="33"/>
      <c r="EM198" s="33"/>
      <c r="EN198" s="33"/>
      <c r="EO198" s="33"/>
      <c r="EP198" s="33"/>
      <c r="EQ198" s="33"/>
      <c r="ER198" s="33"/>
      <c r="ES198" s="33"/>
      <c r="ET198" s="33"/>
      <c r="EU198" s="33"/>
      <c r="EV198" s="33"/>
      <c r="EW198" s="33"/>
      <c r="EX198" s="33"/>
      <c r="EY198" s="33"/>
      <c r="EZ198" s="33"/>
      <c r="FA198" s="33"/>
      <c r="FB198" s="33"/>
      <c r="FC198" s="33"/>
      <c r="FD198" s="33"/>
      <c r="FE198" s="33"/>
      <c r="FF198" s="33"/>
      <c r="FG198" s="33"/>
      <c r="FH198" s="33"/>
      <c r="FI198" s="33"/>
      <c r="FJ198" s="33"/>
      <c r="FK198" s="33"/>
      <c r="FL198" s="33"/>
      <c r="FM198" s="33"/>
      <c r="FN198" s="33"/>
      <c r="FO198" s="33"/>
      <c r="FP198" s="33"/>
      <c r="FQ198" s="33"/>
      <c r="FR198" s="33"/>
      <c r="FS198" s="33"/>
      <c r="FT198" s="33"/>
      <c r="FU198" s="33"/>
      <c r="FV198" s="33"/>
      <c r="FW198" s="33"/>
      <c r="FX198" s="33"/>
      <c r="FY198" s="33"/>
      <c r="FZ198" s="33"/>
      <c r="GA198" s="33"/>
      <c r="GB198" s="33"/>
      <c r="GC198" s="33"/>
      <c r="GD198" s="33"/>
      <c r="GE198" s="33"/>
      <c r="GF198" s="33"/>
      <c r="GG198" s="33"/>
      <c r="GH198" s="33"/>
      <c r="GI198" s="33"/>
      <c r="GJ198" s="33"/>
      <c r="GK198" s="33"/>
      <c r="GL198" s="33"/>
      <c r="GM198" s="33"/>
      <c r="GN198" s="33"/>
      <c r="GO198" s="33"/>
      <c r="GP198" s="33"/>
      <c r="GQ198" s="33"/>
      <c r="GR198" s="33"/>
      <c r="GS198" s="33"/>
      <c r="GT198" s="33"/>
      <c r="GU198" s="33"/>
      <c r="GV198" s="33"/>
      <c r="GW198" s="33"/>
      <c r="GX198" s="33"/>
      <c r="GY198" s="33"/>
      <c r="GZ198" s="33"/>
      <c r="HA198" s="33"/>
      <c r="HB198" s="33"/>
      <c r="HC198" s="33"/>
      <c r="HD198" s="33"/>
      <c r="HE198" s="33"/>
      <c r="HF198" s="33"/>
      <c r="HG198" s="33"/>
      <c r="HH198" s="33"/>
    </row>
    <row r="199" spans="1:216" ht="15.75" customHeight="1" x14ac:dyDescent="0.3">
      <c r="A199" s="6" t="s">
        <v>26</v>
      </c>
      <c r="B199" s="84" t="s">
        <v>51</v>
      </c>
      <c r="C199" s="87"/>
      <c r="D199" s="88"/>
      <c r="E199" s="5">
        <f>SUM(E189:E198)</f>
        <v>33</v>
      </c>
      <c r="F199" s="39"/>
      <c r="G199" s="20"/>
      <c r="H199" s="20"/>
      <c r="I199" s="20"/>
      <c r="J199" s="20"/>
      <c r="K199" s="20"/>
      <c r="L199" s="20"/>
      <c r="M199" s="20"/>
      <c r="N199" s="20"/>
      <c r="O199" s="20"/>
      <c r="P199" s="32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  <c r="BV199" s="33"/>
      <c r="BW199" s="33"/>
      <c r="BX199" s="33"/>
      <c r="BY199" s="33"/>
      <c r="BZ199" s="33"/>
      <c r="CA199" s="33"/>
      <c r="CB199" s="33"/>
      <c r="CC199" s="33"/>
      <c r="CD199" s="33"/>
      <c r="CE199" s="33"/>
      <c r="CF199" s="33"/>
      <c r="CG199" s="33"/>
      <c r="CH199" s="33"/>
      <c r="CI199" s="33"/>
      <c r="CJ199" s="33"/>
      <c r="CK199" s="33"/>
      <c r="CL199" s="33"/>
      <c r="CM199" s="33"/>
      <c r="CN199" s="33"/>
      <c r="CO199" s="33"/>
      <c r="CP199" s="33"/>
      <c r="CQ199" s="33"/>
      <c r="CR199" s="33"/>
      <c r="CS199" s="33"/>
      <c r="CT199" s="33"/>
      <c r="CU199" s="33"/>
      <c r="CV199" s="33"/>
      <c r="CW199" s="33"/>
      <c r="CX199" s="33"/>
      <c r="CY199" s="33"/>
      <c r="CZ199" s="33"/>
      <c r="DA199" s="33"/>
      <c r="DB199" s="33"/>
      <c r="DC199" s="33"/>
      <c r="DD199" s="33"/>
      <c r="DE199" s="33"/>
      <c r="DF199" s="33"/>
      <c r="DG199" s="33"/>
      <c r="DH199" s="33"/>
      <c r="DI199" s="33"/>
      <c r="DJ199" s="33"/>
      <c r="DK199" s="33"/>
      <c r="DL199" s="33"/>
      <c r="DM199" s="33"/>
      <c r="DN199" s="33"/>
      <c r="DO199" s="33"/>
      <c r="DP199" s="33"/>
      <c r="DQ199" s="33"/>
      <c r="DR199" s="33"/>
      <c r="DS199" s="33"/>
      <c r="DT199" s="33"/>
      <c r="DU199" s="33"/>
      <c r="DV199" s="33"/>
      <c r="DW199" s="33"/>
      <c r="DX199" s="33"/>
      <c r="DY199" s="33"/>
      <c r="DZ199" s="33"/>
      <c r="EA199" s="33"/>
      <c r="EB199" s="33"/>
      <c r="EC199" s="33"/>
      <c r="ED199" s="33"/>
      <c r="EE199" s="33"/>
      <c r="EF199" s="33"/>
      <c r="EG199" s="33"/>
      <c r="EH199" s="33"/>
      <c r="EI199" s="33"/>
      <c r="EJ199" s="33"/>
      <c r="EK199" s="33"/>
      <c r="EL199" s="33"/>
      <c r="EM199" s="33"/>
      <c r="EN199" s="33"/>
      <c r="EO199" s="33"/>
      <c r="EP199" s="33"/>
      <c r="EQ199" s="33"/>
      <c r="ER199" s="33"/>
      <c r="ES199" s="33"/>
      <c r="ET199" s="33"/>
      <c r="EU199" s="33"/>
      <c r="EV199" s="33"/>
      <c r="EW199" s="33"/>
      <c r="EX199" s="33"/>
      <c r="EY199" s="33"/>
      <c r="EZ199" s="33"/>
      <c r="FA199" s="33"/>
      <c r="FB199" s="33"/>
      <c r="FC199" s="33"/>
      <c r="FD199" s="33"/>
      <c r="FE199" s="33"/>
      <c r="FF199" s="33"/>
      <c r="FG199" s="33"/>
      <c r="FH199" s="33"/>
      <c r="FI199" s="33"/>
      <c r="FJ199" s="33"/>
      <c r="FK199" s="33"/>
      <c r="FL199" s="33"/>
      <c r="FM199" s="33"/>
      <c r="FN199" s="33"/>
      <c r="FO199" s="33"/>
      <c r="FP199" s="33"/>
      <c r="FQ199" s="33"/>
      <c r="FR199" s="33"/>
      <c r="FS199" s="33"/>
      <c r="FT199" s="33"/>
      <c r="FU199" s="33"/>
      <c r="FV199" s="33"/>
      <c r="FW199" s="33"/>
      <c r="FX199" s="33"/>
      <c r="FY199" s="33"/>
      <c r="FZ199" s="33"/>
      <c r="GA199" s="33"/>
      <c r="GB199" s="33"/>
      <c r="GC199" s="33"/>
      <c r="GD199" s="33"/>
      <c r="GE199" s="33"/>
      <c r="GF199" s="33"/>
      <c r="GG199" s="33"/>
      <c r="GH199" s="33"/>
      <c r="GI199" s="33"/>
      <c r="GJ199" s="33"/>
      <c r="GK199" s="33"/>
      <c r="GL199" s="33"/>
      <c r="GM199" s="33"/>
      <c r="GN199" s="33"/>
      <c r="GO199" s="33"/>
      <c r="GP199" s="33"/>
      <c r="GQ199" s="33"/>
      <c r="GR199" s="33"/>
      <c r="GS199" s="33"/>
      <c r="GT199" s="33"/>
      <c r="GU199" s="33"/>
      <c r="GV199" s="33"/>
      <c r="GW199" s="33"/>
      <c r="GX199" s="33"/>
      <c r="GY199" s="33"/>
      <c r="GZ199" s="33"/>
      <c r="HA199" s="33"/>
      <c r="HB199" s="33"/>
      <c r="HC199" s="33"/>
      <c r="HD199" s="33"/>
      <c r="HE199" s="33"/>
      <c r="HF199" s="33"/>
      <c r="HG199" s="33"/>
      <c r="HH199" s="33"/>
    </row>
    <row r="200" spans="1:216" ht="15.75" customHeight="1" x14ac:dyDescent="0.3">
      <c r="A200" s="62"/>
      <c r="B200" s="89"/>
      <c r="C200" s="89"/>
      <c r="D200" s="89"/>
      <c r="E200" s="90"/>
      <c r="F200" s="39"/>
      <c r="G200" s="20"/>
      <c r="H200" s="20"/>
      <c r="I200" s="20"/>
      <c r="J200" s="20"/>
      <c r="K200" s="20"/>
      <c r="L200" s="20"/>
      <c r="M200" s="20"/>
      <c r="N200" s="20"/>
      <c r="O200" s="20"/>
      <c r="P200" s="32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  <c r="BV200" s="33"/>
      <c r="BW200" s="33"/>
      <c r="BX200" s="33"/>
      <c r="BY200" s="33"/>
      <c r="BZ200" s="33"/>
      <c r="CA200" s="33"/>
      <c r="CB200" s="33"/>
      <c r="CC200" s="33"/>
      <c r="CD200" s="33"/>
      <c r="CE200" s="33"/>
      <c r="CF200" s="33"/>
      <c r="CG200" s="33"/>
      <c r="CH200" s="33"/>
      <c r="CI200" s="33"/>
      <c r="CJ200" s="33"/>
      <c r="CK200" s="33"/>
      <c r="CL200" s="33"/>
      <c r="CM200" s="33"/>
      <c r="CN200" s="33"/>
      <c r="CO200" s="33"/>
      <c r="CP200" s="33"/>
      <c r="CQ200" s="33"/>
      <c r="CR200" s="33"/>
      <c r="CS200" s="33"/>
      <c r="CT200" s="33"/>
      <c r="CU200" s="33"/>
      <c r="CV200" s="33"/>
      <c r="CW200" s="33"/>
      <c r="CX200" s="33"/>
      <c r="CY200" s="33"/>
      <c r="CZ200" s="33"/>
      <c r="DA200" s="33"/>
      <c r="DB200" s="33"/>
      <c r="DC200" s="33"/>
      <c r="DD200" s="33"/>
      <c r="DE200" s="33"/>
      <c r="DF200" s="33"/>
      <c r="DG200" s="33"/>
      <c r="DH200" s="33"/>
      <c r="DI200" s="33"/>
      <c r="DJ200" s="33"/>
      <c r="DK200" s="33"/>
      <c r="DL200" s="33"/>
      <c r="DM200" s="33"/>
      <c r="DN200" s="33"/>
      <c r="DO200" s="33"/>
      <c r="DP200" s="33"/>
      <c r="DQ200" s="33"/>
      <c r="DR200" s="33"/>
      <c r="DS200" s="33"/>
      <c r="DT200" s="33"/>
      <c r="DU200" s="33"/>
      <c r="DV200" s="33"/>
      <c r="DW200" s="33"/>
      <c r="DX200" s="33"/>
      <c r="DY200" s="33"/>
      <c r="DZ200" s="33"/>
      <c r="EA200" s="33"/>
      <c r="EB200" s="33"/>
      <c r="EC200" s="33"/>
      <c r="ED200" s="33"/>
      <c r="EE200" s="33"/>
      <c r="EF200" s="33"/>
      <c r="EG200" s="33"/>
      <c r="EH200" s="33"/>
      <c r="EI200" s="33"/>
      <c r="EJ200" s="33"/>
      <c r="EK200" s="33"/>
      <c r="EL200" s="33"/>
      <c r="EM200" s="33"/>
      <c r="EN200" s="33"/>
      <c r="EO200" s="33"/>
      <c r="EP200" s="33"/>
      <c r="EQ200" s="33"/>
      <c r="ER200" s="33"/>
      <c r="ES200" s="33"/>
      <c r="ET200" s="33"/>
      <c r="EU200" s="33"/>
      <c r="EV200" s="33"/>
      <c r="EW200" s="33"/>
      <c r="EX200" s="33"/>
      <c r="EY200" s="33"/>
      <c r="EZ200" s="33"/>
      <c r="FA200" s="33"/>
      <c r="FB200" s="33"/>
      <c r="FC200" s="33"/>
      <c r="FD200" s="33"/>
      <c r="FE200" s="33"/>
      <c r="FF200" s="33"/>
      <c r="FG200" s="33"/>
      <c r="FH200" s="33"/>
      <c r="FI200" s="33"/>
      <c r="FJ200" s="33"/>
      <c r="FK200" s="33"/>
      <c r="FL200" s="33"/>
      <c r="FM200" s="33"/>
      <c r="FN200" s="33"/>
      <c r="FO200" s="33"/>
      <c r="FP200" s="33"/>
      <c r="FQ200" s="33"/>
      <c r="FR200" s="33"/>
      <c r="FS200" s="33"/>
      <c r="FT200" s="33"/>
      <c r="FU200" s="33"/>
      <c r="FV200" s="33"/>
      <c r="FW200" s="33"/>
      <c r="FX200" s="33"/>
      <c r="FY200" s="33"/>
      <c r="FZ200" s="33"/>
      <c r="GA200" s="33"/>
      <c r="GB200" s="33"/>
      <c r="GC200" s="33"/>
      <c r="GD200" s="33"/>
      <c r="GE200" s="33"/>
      <c r="GF200" s="33"/>
      <c r="GG200" s="33"/>
      <c r="GH200" s="33"/>
      <c r="GI200" s="33"/>
      <c r="GJ200" s="33"/>
      <c r="GK200" s="33"/>
      <c r="GL200" s="33"/>
      <c r="GM200" s="33"/>
      <c r="GN200" s="33"/>
      <c r="GO200" s="33"/>
      <c r="GP200" s="33"/>
      <c r="GQ200" s="33"/>
      <c r="GR200" s="33"/>
      <c r="GS200" s="33"/>
      <c r="GT200" s="33"/>
      <c r="GU200" s="33"/>
      <c r="GV200" s="33"/>
      <c r="GW200" s="33"/>
      <c r="GX200" s="33"/>
      <c r="GY200" s="33"/>
      <c r="GZ200" s="33"/>
      <c r="HA200" s="33"/>
      <c r="HB200" s="33"/>
      <c r="HC200" s="33"/>
      <c r="HD200" s="33"/>
      <c r="HE200" s="33"/>
      <c r="HF200" s="33"/>
      <c r="HG200" s="33"/>
      <c r="HH200" s="33"/>
    </row>
    <row r="201" spans="1:216" ht="15.75" customHeight="1" x14ac:dyDescent="0.3">
      <c r="A201" s="11" t="s">
        <v>48</v>
      </c>
      <c r="B201" s="17" t="s">
        <v>73</v>
      </c>
      <c r="C201" s="86" t="s">
        <v>74</v>
      </c>
      <c r="D201" s="64"/>
      <c r="E201" s="9">
        <f>ALASMALANG!V201+'BENELAN KIDUL'!S201+CANTUK!T201+GAMBOR!N201+GUMIRIH!S201+KEMIRI!U201+LEMAHBANGKULON!Q201+PADANG!Q201+SINGOJURUH!AC201+SINGOLATREN!T201+SUMBERBARU!S201</f>
        <v>399</v>
      </c>
      <c r="F201" s="40"/>
      <c r="G201" s="1"/>
      <c r="H201" s="1"/>
      <c r="I201" s="1"/>
      <c r="J201" s="1"/>
      <c r="K201" s="1"/>
      <c r="L201" s="1"/>
      <c r="M201" s="1"/>
      <c r="N201" s="1"/>
      <c r="O201" s="1"/>
      <c r="P201" s="34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  <c r="CX201" s="31"/>
      <c r="CY201" s="31"/>
      <c r="CZ201" s="31"/>
      <c r="DA201" s="31"/>
      <c r="DB201" s="31"/>
      <c r="DC201" s="31"/>
      <c r="DD201" s="31"/>
      <c r="DE201" s="31"/>
      <c r="DF201" s="31"/>
      <c r="DG201" s="31"/>
      <c r="DH201" s="31"/>
      <c r="DI201" s="31"/>
      <c r="DJ201" s="31"/>
      <c r="DK201" s="31"/>
      <c r="DL201" s="31"/>
      <c r="DM201" s="31"/>
      <c r="DN201" s="31"/>
      <c r="DO201" s="31"/>
      <c r="DP201" s="31"/>
      <c r="DQ201" s="31"/>
      <c r="DR201" s="31"/>
      <c r="DS201" s="31"/>
      <c r="DT201" s="31"/>
      <c r="DU201" s="31"/>
      <c r="DV201" s="31"/>
      <c r="DW201" s="31"/>
      <c r="DX201" s="31"/>
      <c r="DY201" s="31"/>
      <c r="DZ201" s="31"/>
      <c r="EA201" s="31"/>
      <c r="EB201" s="31"/>
      <c r="EC201" s="31"/>
      <c r="ED201" s="31"/>
      <c r="EE201" s="31"/>
      <c r="EF201" s="31"/>
      <c r="EG201" s="31"/>
      <c r="EH201" s="31"/>
      <c r="EI201" s="31"/>
      <c r="EJ201" s="31"/>
      <c r="EK201" s="31"/>
      <c r="EL201" s="31"/>
      <c r="EM201" s="31"/>
      <c r="EN201" s="31"/>
      <c r="EO201" s="31"/>
      <c r="EP201" s="31"/>
      <c r="EQ201" s="31"/>
      <c r="ER201" s="31"/>
      <c r="ES201" s="31"/>
      <c r="ET201" s="31"/>
      <c r="EU201" s="31"/>
      <c r="EV201" s="31"/>
      <c r="EW201" s="31"/>
      <c r="EX201" s="31"/>
      <c r="EY201" s="31"/>
      <c r="EZ201" s="31"/>
      <c r="FA201" s="31"/>
      <c r="FB201" s="31"/>
      <c r="FC201" s="31"/>
      <c r="FD201" s="31"/>
      <c r="FE201" s="31"/>
      <c r="FF201" s="31"/>
      <c r="FG201" s="31"/>
      <c r="FH201" s="31"/>
      <c r="FI201" s="31"/>
      <c r="FJ201" s="31"/>
      <c r="FK201" s="31"/>
      <c r="FL201" s="31"/>
      <c r="FM201" s="31"/>
      <c r="FN201" s="31"/>
      <c r="FO201" s="31"/>
      <c r="FP201" s="31"/>
      <c r="FQ201" s="31"/>
      <c r="FR201" s="31"/>
      <c r="FS201" s="31"/>
      <c r="FT201" s="31"/>
      <c r="FU201" s="31"/>
      <c r="FV201" s="31"/>
      <c r="FW201" s="31"/>
      <c r="FX201" s="31"/>
      <c r="FY201" s="31"/>
      <c r="FZ201" s="31"/>
      <c r="GA201" s="31"/>
      <c r="GB201" s="31"/>
      <c r="GC201" s="31"/>
      <c r="GD201" s="31"/>
      <c r="GE201" s="31"/>
      <c r="GF201" s="31"/>
      <c r="GG201" s="31"/>
      <c r="GH201" s="31"/>
      <c r="GI201" s="31"/>
      <c r="GJ201" s="31"/>
      <c r="GK201" s="31"/>
      <c r="GL201" s="31"/>
      <c r="GM201" s="31"/>
      <c r="GN201" s="31"/>
      <c r="GO201" s="31"/>
      <c r="GP201" s="31"/>
      <c r="GQ201" s="31"/>
      <c r="GR201" s="31"/>
      <c r="GS201" s="31"/>
      <c r="GT201" s="31"/>
      <c r="GU201" s="31"/>
      <c r="GV201" s="31"/>
      <c r="GW201" s="31"/>
      <c r="GX201" s="31"/>
      <c r="GY201" s="31"/>
      <c r="GZ201" s="31"/>
      <c r="HA201" s="31"/>
      <c r="HB201" s="31"/>
      <c r="HC201" s="31"/>
      <c r="HD201" s="31"/>
      <c r="HE201" s="31"/>
      <c r="HF201" s="31"/>
      <c r="HG201" s="31"/>
      <c r="HH201" s="31"/>
    </row>
    <row r="202" spans="1:216" ht="15.75" customHeight="1" x14ac:dyDescent="0.3">
      <c r="A202" s="11" t="s">
        <v>50</v>
      </c>
      <c r="B202" s="50"/>
      <c r="C202" s="24" t="s">
        <v>205</v>
      </c>
      <c r="D202" s="49"/>
      <c r="E202" s="9">
        <f>ALASMALANG!V202+'BENELAN KIDUL'!S202+CANTUK!T202+GAMBOR!N202+GUMIRIH!S202+KEMIRI!U202+LEMAHBANGKULON!Q202+PADANG!Q202+SINGOJURUH!AC202+SINGOLATREN!T202+SUMBERBARU!S202</f>
        <v>501</v>
      </c>
      <c r="F202" s="42"/>
      <c r="G202" s="27"/>
      <c r="H202" s="27"/>
      <c r="I202" s="27"/>
      <c r="J202" s="27"/>
      <c r="K202" s="27"/>
      <c r="L202" s="27"/>
      <c r="M202" s="27"/>
      <c r="N202" s="27"/>
      <c r="O202" s="27"/>
      <c r="P202" s="37"/>
      <c r="Q202" s="30"/>
      <c r="R202" s="30"/>
      <c r="S202" s="30"/>
      <c r="T202" s="30"/>
      <c r="U202" s="30"/>
      <c r="V202" s="30"/>
      <c r="W202" s="38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0"/>
      <c r="BM202" s="30"/>
      <c r="BN202" s="30"/>
      <c r="BO202" s="30"/>
      <c r="BP202" s="30"/>
      <c r="BQ202" s="30"/>
      <c r="BR202" s="38"/>
      <c r="BS202" s="30"/>
      <c r="BT202" s="30"/>
      <c r="BU202" s="30"/>
      <c r="BV202" s="30"/>
      <c r="BW202" s="30"/>
      <c r="BX202" s="30"/>
      <c r="BY202" s="30"/>
      <c r="BZ202" s="30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0"/>
      <c r="EN202" s="30"/>
      <c r="EO202" s="30"/>
      <c r="EP202" s="30"/>
      <c r="EQ202" s="30"/>
      <c r="ER202" s="30"/>
      <c r="ES202" s="30"/>
      <c r="ET202" s="30"/>
      <c r="EU202" s="30"/>
      <c r="EV202" s="30"/>
      <c r="EW202" s="30"/>
      <c r="EX202" s="30"/>
      <c r="EY202" s="38"/>
      <c r="EZ202" s="38"/>
      <c r="FA202" s="38"/>
      <c r="FB202" s="38"/>
      <c r="FC202" s="38"/>
      <c r="FD202" s="38"/>
      <c r="FE202" s="38"/>
      <c r="FF202" s="30"/>
      <c r="FG202" s="30"/>
      <c r="FH202" s="30"/>
      <c r="FI202" s="30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</row>
    <row r="203" spans="1:216" ht="15.75" customHeight="1" x14ac:dyDescent="0.3">
      <c r="A203" s="7"/>
      <c r="B203" s="50"/>
      <c r="C203" s="24" t="s">
        <v>206</v>
      </c>
      <c r="D203" s="49"/>
      <c r="E203" s="9">
        <f>ALASMALANG!V203+'BENELAN KIDUL'!S203+CANTUK!T203+GAMBOR!N203+GUMIRIH!S203+KEMIRI!U203+LEMAHBANGKULON!Q203+PADANG!Q203+SINGOJURUH!AC203+SINGOLATREN!T203+SUMBERBARU!S203</f>
        <v>239</v>
      </c>
      <c r="F203" s="39"/>
      <c r="G203" s="20"/>
      <c r="H203" s="20"/>
      <c r="I203" s="20"/>
      <c r="J203" s="20"/>
      <c r="K203" s="20"/>
      <c r="L203" s="20"/>
      <c r="M203" s="20"/>
      <c r="N203" s="20"/>
      <c r="O203" s="20"/>
      <c r="P203" s="32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  <c r="BW203" s="33"/>
      <c r="BX203" s="33"/>
      <c r="BY203" s="33"/>
      <c r="BZ203" s="33"/>
      <c r="CA203" s="33"/>
      <c r="CB203" s="33"/>
      <c r="CC203" s="33"/>
      <c r="CD203" s="33"/>
      <c r="CE203" s="33"/>
      <c r="CF203" s="33"/>
      <c r="CG203" s="33"/>
      <c r="CH203" s="33"/>
      <c r="CI203" s="33"/>
      <c r="CJ203" s="33"/>
      <c r="CK203" s="33"/>
      <c r="CL203" s="33"/>
      <c r="CM203" s="33"/>
      <c r="CN203" s="33"/>
      <c r="CO203" s="33"/>
      <c r="CP203" s="33"/>
      <c r="CQ203" s="33"/>
      <c r="CR203" s="33"/>
      <c r="CS203" s="33"/>
      <c r="CT203" s="33"/>
      <c r="CU203" s="33"/>
      <c r="CV203" s="33"/>
      <c r="CW203" s="33"/>
      <c r="CX203" s="33"/>
      <c r="CY203" s="33"/>
      <c r="CZ203" s="33"/>
      <c r="DA203" s="33"/>
      <c r="DB203" s="33"/>
      <c r="DC203" s="33"/>
      <c r="DD203" s="33"/>
      <c r="DE203" s="33"/>
      <c r="DF203" s="33"/>
      <c r="DG203" s="33"/>
      <c r="DH203" s="33"/>
      <c r="DI203" s="33"/>
      <c r="DJ203" s="33"/>
      <c r="DK203" s="33"/>
      <c r="DL203" s="33"/>
      <c r="DM203" s="33"/>
      <c r="DN203" s="33"/>
      <c r="DO203" s="33"/>
      <c r="DP203" s="33"/>
      <c r="DQ203" s="33"/>
      <c r="DR203" s="33"/>
      <c r="DS203" s="33"/>
      <c r="DT203" s="33"/>
      <c r="DU203" s="33"/>
      <c r="DV203" s="33"/>
      <c r="DW203" s="33"/>
      <c r="DX203" s="33"/>
      <c r="DY203" s="33"/>
      <c r="DZ203" s="33"/>
      <c r="EA203" s="33"/>
      <c r="EB203" s="33"/>
      <c r="EC203" s="33"/>
      <c r="ED203" s="33"/>
      <c r="EE203" s="33"/>
      <c r="EF203" s="33"/>
      <c r="EG203" s="33"/>
      <c r="EH203" s="33"/>
      <c r="EI203" s="33"/>
      <c r="EJ203" s="33"/>
      <c r="EK203" s="33"/>
      <c r="EL203" s="33"/>
      <c r="EM203" s="33"/>
      <c r="EN203" s="33"/>
      <c r="EO203" s="33"/>
      <c r="EP203" s="33"/>
      <c r="EQ203" s="33"/>
      <c r="ER203" s="33"/>
      <c r="ES203" s="33"/>
      <c r="ET203" s="33"/>
      <c r="EU203" s="33"/>
      <c r="EV203" s="33"/>
      <c r="EW203" s="33"/>
      <c r="EX203" s="33"/>
      <c r="EY203" s="33"/>
      <c r="EZ203" s="33"/>
      <c r="FA203" s="33"/>
      <c r="FB203" s="33"/>
      <c r="FC203" s="33"/>
      <c r="FD203" s="33"/>
      <c r="FE203" s="33"/>
      <c r="FF203" s="33"/>
      <c r="FG203" s="33"/>
      <c r="FH203" s="33"/>
      <c r="FI203" s="33"/>
      <c r="FJ203" s="33"/>
      <c r="FK203" s="33"/>
      <c r="FL203" s="33"/>
      <c r="FM203" s="33"/>
      <c r="FN203" s="33"/>
      <c r="FO203" s="33"/>
      <c r="FP203" s="33"/>
      <c r="FQ203" s="33"/>
      <c r="FR203" s="33"/>
      <c r="FS203" s="33"/>
      <c r="FT203" s="33"/>
      <c r="FU203" s="33"/>
      <c r="FV203" s="33"/>
      <c r="FW203" s="33"/>
      <c r="FX203" s="33"/>
      <c r="FY203" s="33"/>
      <c r="FZ203" s="33"/>
      <c r="GA203" s="33"/>
      <c r="GB203" s="33"/>
      <c r="GC203" s="33"/>
      <c r="GD203" s="33"/>
      <c r="GE203" s="33"/>
      <c r="GF203" s="33"/>
      <c r="GG203" s="33"/>
      <c r="GH203" s="33"/>
      <c r="GI203" s="33"/>
      <c r="GJ203" s="33"/>
      <c r="GK203" s="33"/>
      <c r="GL203" s="33"/>
      <c r="GM203" s="33"/>
      <c r="GN203" s="33"/>
      <c r="GO203" s="33"/>
      <c r="GP203" s="33"/>
      <c r="GQ203" s="33"/>
      <c r="GR203" s="33"/>
      <c r="GS203" s="33"/>
      <c r="GT203" s="33"/>
      <c r="GU203" s="33"/>
      <c r="GV203" s="33"/>
      <c r="GW203" s="33"/>
      <c r="GX203" s="33"/>
      <c r="GY203" s="33"/>
      <c r="GZ203" s="33"/>
      <c r="HA203" s="33"/>
      <c r="HB203" s="33"/>
      <c r="HC203" s="33"/>
      <c r="HD203" s="33"/>
      <c r="HE203" s="33"/>
      <c r="HF203" s="33"/>
      <c r="HG203" s="33"/>
      <c r="HH203" s="33"/>
    </row>
    <row r="204" spans="1:216" ht="15.75" customHeight="1" x14ac:dyDescent="0.3">
      <c r="A204" s="7"/>
      <c r="B204" s="50"/>
      <c r="C204" s="24" t="s">
        <v>207</v>
      </c>
      <c r="D204" s="49"/>
      <c r="E204" s="9">
        <f>ALASMALANG!V204+'BENELAN KIDUL'!S204+CANTUK!T204+GAMBOR!N204+GUMIRIH!S204+KEMIRI!U204+LEMAHBANGKULON!Q204+PADANG!Q204+SINGOJURUH!AC204+SINGOLATREN!T204+SUMBERBARU!S204</f>
        <v>41</v>
      </c>
      <c r="F204" s="39"/>
      <c r="G204" s="20"/>
      <c r="H204" s="20"/>
      <c r="I204" s="20"/>
      <c r="J204" s="20"/>
      <c r="K204" s="20"/>
      <c r="L204" s="20"/>
      <c r="M204" s="20"/>
      <c r="N204" s="20"/>
      <c r="O204" s="20"/>
      <c r="P204" s="32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  <c r="BW204" s="33"/>
      <c r="BX204" s="33"/>
      <c r="BY204" s="33"/>
      <c r="BZ204" s="33"/>
      <c r="CA204" s="33"/>
      <c r="CB204" s="33"/>
      <c r="CC204" s="33"/>
      <c r="CD204" s="33"/>
      <c r="CE204" s="33"/>
      <c r="CF204" s="33"/>
      <c r="CG204" s="33"/>
      <c r="CH204" s="33"/>
      <c r="CI204" s="33"/>
      <c r="CJ204" s="33"/>
      <c r="CK204" s="33"/>
      <c r="CL204" s="33"/>
      <c r="CM204" s="33"/>
      <c r="CN204" s="33"/>
      <c r="CO204" s="33"/>
      <c r="CP204" s="33"/>
      <c r="CQ204" s="33"/>
      <c r="CR204" s="33"/>
      <c r="CS204" s="33"/>
      <c r="CT204" s="33"/>
      <c r="CU204" s="33"/>
      <c r="CV204" s="33"/>
      <c r="CW204" s="33"/>
      <c r="CX204" s="33"/>
      <c r="CY204" s="33"/>
      <c r="CZ204" s="33"/>
      <c r="DA204" s="33"/>
      <c r="DB204" s="33"/>
      <c r="DC204" s="33"/>
      <c r="DD204" s="33"/>
      <c r="DE204" s="33"/>
      <c r="DF204" s="33"/>
      <c r="DG204" s="33"/>
      <c r="DH204" s="33"/>
      <c r="DI204" s="33"/>
      <c r="DJ204" s="33"/>
      <c r="DK204" s="33"/>
      <c r="DL204" s="33"/>
      <c r="DM204" s="33"/>
      <c r="DN204" s="33"/>
      <c r="DO204" s="33"/>
      <c r="DP204" s="33"/>
      <c r="DQ204" s="33"/>
      <c r="DR204" s="33"/>
      <c r="DS204" s="33"/>
      <c r="DT204" s="33"/>
      <c r="DU204" s="33"/>
      <c r="DV204" s="33"/>
      <c r="DW204" s="33"/>
      <c r="DX204" s="33"/>
      <c r="DY204" s="33"/>
      <c r="DZ204" s="33"/>
      <c r="EA204" s="33"/>
      <c r="EB204" s="33"/>
      <c r="EC204" s="33"/>
      <c r="ED204" s="33"/>
      <c r="EE204" s="33"/>
      <c r="EF204" s="33"/>
      <c r="EG204" s="33"/>
      <c r="EH204" s="33"/>
      <c r="EI204" s="33"/>
      <c r="EJ204" s="33"/>
      <c r="EK204" s="33"/>
      <c r="EL204" s="33"/>
      <c r="EM204" s="33"/>
      <c r="EN204" s="33"/>
      <c r="EO204" s="33"/>
      <c r="EP204" s="33"/>
      <c r="EQ204" s="33"/>
      <c r="ER204" s="33"/>
      <c r="ES204" s="33"/>
      <c r="ET204" s="33"/>
      <c r="EU204" s="33"/>
      <c r="EV204" s="33"/>
      <c r="EW204" s="33"/>
      <c r="EX204" s="33"/>
      <c r="EY204" s="33"/>
      <c r="EZ204" s="33"/>
      <c r="FA204" s="33"/>
      <c r="FB204" s="33"/>
      <c r="FC204" s="33"/>
      <c r="FD204" s="33"/>
      <c r="FE204" s="33"/>
      <c r="FF204" s="33"/>
      <c r="FG204" s="33"/>
      <c r="FH204" s="33"/>
      <c r="FI204" s="33"/>
      <c r="FJ204" s="33"/>
      <c r="FK204" s="33"/>
      <c r="FL204" s="33"/>
      <c r="FM204" s="33"/>
      <c r="FN204" s="33"/>
      <c r="FO204" s="33"/>
      <c r="FP204" s="33"/>
      <c r="FQ204" s="33"/>
      <c r="FR204" s="33"/>
      <c r="FS204" s="33"/>
      <c r="FT204" s="33"/>
      <c r="FU204" s="33"/>
      <c r="FV204" s="33"/>
      <c r="FW204" s="33"/>
      <c r="FX204" s="33"/>
      <c r="FY204" s="33"/>
      <c r="FZ204" s="33"/>
      <c r="GA204" s="33"/>
      <c r="GB204" s="33"/>
      <c r="GC204" s="33"/>
      <c r="GD204" s="33"/>
      <c r="GE204" s="33"/>
      <c r="GF204" s="33"/>
      <c r="GG204" s="33"/>
      <c r="GH204" s="33"/>
      <c r="GI204" s="33"/>
      <c r="GJ204" s="33"/>
      <c r="GK204" s="33"/>
      <c r="GL204" s="33"/>
      <c r="GM204" s="33"/>
      <c r="GN204" s="33"/>
      <c r="GO204" s="33"/>
      <c r="GP204" s="33"/>
      <c r="GQ204" s="33"/>
      <c r="GR204" s="33"/>
      <c r="GS204" s="33"/>
      <c r="GT204" s="33"/>
      <c r="GU204" s="33"/>
      <c r="GV204" s="33"/>
      <c r="GW204" s="33"/>
      <c r="GX204" s="33"/>
      <c r="GY204" s="33"/>
      <c r="GZ204" s="33"/>
      <c r="HA204" s="33"/>
      <c r="HB204" s="33"/>
      <c r="HC204" s="33"/>
      <c r="HD204" s="33"/>
      <c r="HE204" s="33"/>
      <c r="HF204" s="33"/>
      <c r="HG204" s="33"/>
      <c r="HH204" s="33"/>
    </row>
    <row r="205" spans="1:216" ht="15.75" customHeight="1" x14ac:dyDescent="0.3">
      <c r="A205" s="7"/>
      <c r="B205" s="50"/>
      <c r="C205" s="24" t="s">
        <v>208</v>
      </c>
      <c r="D205" s="49"/>
      <c r="E205" s="9">
        <f>ALASMALANG!V205+'BENELAN KIDUL'!S205+CANTUK!T205+GAMBOR!N205+GUMIRIH!S205+KEMIRI!U205+LEMAHBANGKULON!Q205+PADANG!Q205+SINGOJURUH!AC205+SINGOLATREN!T205+SUMBERBARU!S205</f>
        <v>24</v>
      </c>
      <c r="F205" s="39"/>
      <c r="G205" s="20"/>
      <c r="H205" s="20"/>
      <c r="I205" s="20"/>
      <c r="J205" s="20"/>
      <c r="K205" s="20"/>
      <c r="L205" s="20"/>
      <c r="M205" s="20"/>
      <c r="N205" s="20"/>
      <c r="O205" s="20"/>
      <c r="P205" s="32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  <c r="BW205" s="33"/>
      <c r="BX205" s="33"/>
      <c r="BY205" s="33"/>
      <c r="BZ205" s="33"/>
      <c r="CA205" s="33"/>
      <c r="CB205" s="33"/>
      <c r="CC205" s="33"/>
      <c r="CD205" s="33"/>
      <c r="CE205" s="33"/>
      <c r="CF205" s="33"/>
      <c r="CG205" s="33"/>
      <c r="CH205" s="33"/>
      <c r="CI205" s="33"/>
      <c r="CJ205" s="33"/>
      <c r="CK205" s="33"/>
      <c r="CL205" s="33"/>
      <c r="CM205" s="33"/>
      <c r="CN205" s="33"/>
      <c r="CO205" s="33"/>
      <c r="CP205" s="33"/>
      <c r="CQ205" s="33"/>
      <c r="CR205" s="33"/>
      <c r="CS205" s="33"/>
      <c r="CT205" s="33"/>
      <c r="CU205" s="33"/>
      <c r="CV205" s="33"/>
      <c r="CW205" s="33"/>
      <c r="CX205" s="33"/>
      <c r="CY205" s="33"/>
      <c r="CZ205" s="33"/>
      <c r="DA205" s="33"/>
      <c r="DB205" s="33"/>
      <c r="DC205" s="33"/>
      <c r="DD205" s="33"/>
      <c r="DE205" s="33"/>
      <c r="DF205" s="33"/>
      <c r="DG205" s="33"/>
      <c r="DH205" s="33"/>
      <c r="DI205" s="33"/>
      <c r="DJ205" s="33"/>
      <c r="DK205" s="33"/>
      <c r="DL205" s="33"/>
      <c r="DM205" s="33"/>
      <c r="DN205" s="33"/>
      <c r="DO205" s="33"/>
      <c r="DP205" s="33"/>
      <c r="DQ205" s="33"/>
      <c r="DR205" s="33"/>
      <c r="DS205" s="33"/>
      <c r="DT205" s="33"/>
      <c r="DU205" s="33"/>
      <c r="DV205" s="33"/>
      <c r="DW205" s="33"/>
      <c r="DX205" s="33"/>
      <c r="DY205" s="33"/>
      <c r="DZ205" s="33"/>
      <c r="EA205" s="33"/>
      <c r="EB205" s="33"/>
      <c r="EC205" s="33"/>
      <c r="ED205" s="33"/>
      <c r="EE205" s="33"/>
      <c r="EF205" s="33"/>
      <c r="EG205" s="33"/>
      <c r="EH205" s="33"/>
      <c r="EI205" s="33"/>
      <c r="EJ205" s="33"/>
      <c r="EK205" s="33"/>
      <c r="EL205" s="33"/>
      <c r="EM205" s="33"/>
      <c r="EN205" s="33"/>
      <c r="EO205" s="33"/>
      <c r="EP205" s="33"/>
      <c r="EQ205" s="33"/>
      <c r="ER205" s="33"/>
      <c r="ES205" s="33"/>
      <c r="ET205" s="33"/>
      <c r="EU205" s="33"/>
      <c r="EV205" s="33"/>
      <c r="EW205" s="33"/>
      <c r="EX205" s="33"/>
      <c r="EY205" s="33"/>
      <c r="EZ205" s="33"/>
      <c r="FA205" s="33"/>
      <c r="FB205" s="33"/>
      <c r="FC205" s="33"/>
      <c r="FD205" s="33"/>
      <c r="FE205" s="33"/>
      <c r="FF205" s="33"/>
      <c r="FG205" s="33"/>
      <c r="FH205" s="33"/>
      <c r="FI205" s="33"/>
      <c r="FJ205" s="33"/>
      <c r="FK205" s="33"/>
      <c r="FL205" s="33"/>
      <c r="FM205" s="33"/>
      <c r="FN205" s="33"/>
      <c r="FO205" s="33"/>
      <c r="FP205" s="33"/>
      <c r="FQ205" s="33"/>
      <c r="FR205" s="33"/>
      <c r="FS205" s="33"/>
      <c r="FT205" s="33"/>
      <c r="FU205" s="33"/>
      <c r="FV205" s="33"/>
      <c r="FW205" s="33"/>
      <c r="FX205" s="33"/>
      <c r="FY205" s="33"/>
      <c r="FZ205" s="33"/>
      <c r="GA205" s="33"/>
      <c r="GB205" s="33"/>
      <c r="GC205" s="33"/>
      <c r="GD205" s="33"/>
      <c r="GE205" s="33"/>
      <c r="GF205" s="33"/>
      <c r="GG205" s="33"/>
      <c r="GH205" s="33"/>
      <c r="GI205" s="33"/>
      <c r="GJ205" s="33"/>
      <c r="GK205" s="33"/>
      <c r="GL205" s="33"/>
      <c r="GM205" s="33"/>
      <c r="GN205" s="33"/>
      <c r="GO205" s="33"/>
      <c r="GP205" s="33"/>
      <c r="GQ205" s="33"/>
      <c r="GR205" s="33"/>
      <c r="GS205" s="33"/>
      <c r="GT205" s="33"/>
      <c r="GU205" s="33"/>
      <c r="GV205" s="33"/>
      <c r="GW205" s="33"/>
      <c r="GX205" s="33"/>
      <c r="GY205" s="33"/>
      <c r="GZ205" s="33"/>
      <c r="HA205" s="33"/>
      <c r="HB205" s="33"/>
      <c r="HC205" s="33"/>
      <c r="HD205" s="33"/>
      <c r="HE205" s="33"/>
      <c r="HF205" s="33"/>
      <c r="HG205" s="33"/>
      <c r="HH205" s="33"/>
    </row>
    <row r="206" spans="1:216" ht="15.75" customHeight="1" x14ac:dyDescent="0.3">
      <c r="A206" s="7"/>
      <c r="B206" s="50"/>
      <c r="C206" s="24" t="s">
        <v>209</v>
      </c>
      <c r="D206" s="49"/>
      <c r="E206" s="9">
        <f>ALASMALANG!V206+'BENELAN KIDUL'!S206+CANTUK!T206+GAMBOR!N206+GUMIRIH!S206+KEMIRI!U206+LEMAHBANGKULON!Q206+PADANG!Q206+SINGOJURUH!AC206+SINGOLATREN!T206+SUMBERBARU!S206</f>
        <v>12</v>
      </c>
      <c r="F206" s="39"/>
      <c r="G206" s="20"/>
      <c r="H206" s="20"/>
      <c r="I206" s="20"/>
      <c r="J206" s="20"/>
      <c r="K206" s="20"/>
      <c r="L206" s="20"/>
      <c r="M206" s="20"/>
      <c r="N206" s="20"/>
      <c r="O206" s="20"/>
      <c r="P206" s="32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  <c r="BW206" s="33"/>
      <c r="BX206" s="33"/>
      <c r="BY206" s="33"/>
      <c r="BZ206" s="33"/>
      <c r="CA206" s="33"/>
      <c r="CB206" s="33"/>
      <c r="CC206" s="33"/>
      <c r="CD206" s="33"/>
      <c r="CE206" s="33"/>
      <c r="CF206" s="33"/>
      <c r="CG206" s="33"/>
      <c r="CH206" s="33"/>
      <c r="CI206" s="33"/>
      <c r="CJ206" s="33"/>
      <c r="CK206" s="33"/>
      <c r="CL206" s="33"/>
      <c r="CM206" s="33"/>
      <c r="CN206" s="33"/>
      <c r="CO206" s="33"/>
      <c r="CP206" s="33"/>
      <c r="CQ206" s="33"/>
      <c r="CR206" s="33"/>
      <c r="CS206" s="33"/>
      <c r="CT206" s="33"/>
      <c r="CU206" s="33"/>
      <c r="CV206" s="33"/>
      <c r="CW206" s="33"/>
      <c r="CX206" s="33"/>
      <c r="CY206" s="33"/>
      <c r="CZ206" s="33"/>
      <c r="DA206" s="33"/>
      <c r="DB206" s="33"/>
      <c r="DC206" s="33"/>
      <c r="DD206" s="33"/>
      <c r="DE206" s="33"/>
      <c r="DF206" s="33"/>
      <c r="DG206" s="33"/>
      <c r="DH206" s="33"/>
      <c r="DI206" s="33"/>
      <c r="DJ206" s="33"/>
      <c r="DK206" s="33"/>
      <c r="DL206" s="33"/>
      <c r="DM206" s="33"/>
      <c r="DN206" s="33"/>
      <c r="DO206" s="33"/>
      <c r="DP206" s="33"/>
      <c r="DQ206" s="33"/>
      <c r="DR206" s="33"/>
      <c r="DS206" s="33"/>
      <c r="DT206" s="33"/>
      <c r="DU206" s="33"/>
      <c r="DV206" s="33"/>
      <c r="DW206" s="33"/>
      <c r="DX206" s="33"/>
      <c r="DY206" s="33"/>
      <c r="DZ206" s="33"/>
      <c r="EA206" s="33"/>
      <c r="EB206" s="33"/>
      <c r="EC206" s="33"/>
      <c r="ED206" s="33"/>
      <c r="EE206" s="33"/>
      <c r="EF206" s="33"/>
      <c r="EG206" s="33"/>
      <c r="EH206" s="33"/>
      <c r="EI206" s="33"/>
      <c r="EJ206" s="33"/>
      <c r="EK206" s="33"/>
      <c r="EL206" s="33"/>
      <c r="EM206" s="33"/>
      <c r="EN206" s="33"/>
      <c r="EO206" s="33"/>
      <c r="EP206" s="33"/>
      <c r="EQ206" s="33"/>
      <c r="ER206" s="33"/>
      <c r="ES206" s="33"/>
      <c r="ET206" s="33"/>
      <c r="EU206" s="33"/>
      <c r="EV206" s="33"/>
      <c r="EW206" s="33"/>
      <c r="EX206" s="33"/>
      <c r="EY206" s="33"/>
      <c r="EZ206" s="33"/>
      <c r="FA206" s="33"/>
      <c r="FB206" s="33"/>
      <c r="FC206" s="33"/>
      <c r="FD206" s="33"/>
      <c r="FE206" s="33"/>
      <c r="FF206" s="33"/>
      <c r="FG206" s="33"/>
      <c r="FH206" s="33"/>
      <c r="FI206" s="33"/>
      <c r="FJ206" s="33"/>
      <c r="FK206" s="33"/>
      <c r="FL206" s="33"/>
      <c r="FM206" s="33"/>
      <c r="FN206" s="33"/>
      <c r="FO206" s="33"/>
      <c r="FP206" s="33"/>
      <c r="FQ206" s="33"/>
      <c r="FR206" s="33"/>
      <c r="FS206" s="33"/>
      <c r="FT206" s="33"/>
      <c r="FU206" s="33"/>
      <c r="FV206" s="33"/>
      <c r="FW206" s="33"/>
      <c r="FX206" s="33"/>
      <c r="FY206" s="33"/>
      <c r="FZ206" s="33"/>
      <c r="GA206" s="33"/>
      <c r="GB206" s="33"/>
      <c r="GC206" s="33"/>
      <c r="GD206" s="33"/>
      <c r="GE206" s="33"/>
      <c r="GF206" s="33"/>
      <c r="GG206" s="33"/>
      <c r="GH206" s="33"/>
      <c r="GI206" s="33"/>
      <c r="GJ206" s="33"/>
      <c r="GK206" s="33"/>
      <c r="GL206" s="33"/>
      <c r="GM206" s="33"/>
      <c r="GN206" s="33"/>
      <c r="GO206" s="33"/>
      <c r="GP206" s="33"/>
      <c r="GQ206" s="33"/>
      <c r="GR206" s="33"/>
      <c r="GS206" s="33"/>
      <c r="GT206" s="33"/>
      <c r="GU206" s="33"/>
      <c r="GV206" s="33"/>
      <c r="GW206" s="33"/>
      <c r="GX206" s="33"/>
      <c r="GY206" s="33"/>
      <c r="GZ206" s="33"/>
      <c r="HA206" s="33"/>
      <c r="HB206" s="33"/>
      <c r="HC206" s="33"/>
      <c r="HD206" s="33"/>
      <c r="HE206" s="33"/>
      <c r="HF206" s="33"/>
      <c r="HG206" s="33"/>
      <c r="HH206" s="33"/>
    </row>
    <row r="207" spans="1:216" ht="15.75" customHeight="1" x14ac:dyDescent="0.3">
      <c r="A207" s="7"/>
      <c r="B207" s="50"/>
      <c r="C207" s="24" t="s">
        <v>210</v>
      </c>
      <c r="D207" s="49"/>
      <c r="E207" s="9">
        <f>ALASMALANG!V207+'BENELAN KIDUL'!S207+CANTUK!T207+GAMBOR!N207+GUMIRIH!S207+KEMIRI!U207+LEMAHBANGKULON!Q207+PADANG!Q207+SINGOJURUH!AC207+SINGOLATREN!T207+SUMBERBARU!S207</f>
        <v>18</v>
      </c>
      <c r="F207" s="39"/>
      <c r="G207" s="20"/>
      <c r="H207" s="20"/>
      <c r="I207" s="20"/>
      <c r="J207" s="20"/>
      <c r="K207" s="20"/>
      <c r="L207" s="20"/>
      <c r="M207" s="20"/>
      <c r="N207" s="20"/>
      <c r="O207" s="20"/>
      <c r="P207" s="32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  <c r="BV207" s="33"/>
      <c r="BW207" s="33"/>
      <c r="BX207" s="33"/>
      <c r="BY207" s="33"/>
      <c r="BZ207" s="33"/>
      <c r="CA207" s="33"/>
      <c r="CB207" s="33"/>
      <c r="CC207" s="33"/>
      <c r="CD207" s="33"/>
      <c r="CE207" s="33"/>
      <c r="CF207" s="33"/>
      <c r="CG207" s="33"/>
      <c r="CH207" s="33"/>
      <c r="CI207" s="33"/>
      <c r="CJ207" s="33"/>
      <c r="CK207" s="33"/>
      <c r="CL207" s="33"/>
      <c r="CM207" s="33"/>
      <c r="CN207" s="33"/>
      <c r="CO207" s="33"/>
      <c r="CP207" s="33"/>
      <c r="CQ207" s="33"/>
      <c r="CR207" s="33"/>
      <c r="CS207" s="33"/>
      <c r="CT207" s="33"/>
      <c r="CU207" s="33"/>
      <c r="CV207" s="33"/>
      <c r="CW207" s="33"/>
      <c r="CX207" s="33"/>
      <c r="CY207" s="33"/>
      <c r="CZ207" s="33"/>
      <c r="DA207" s="33"/>
      <c r="DB207" s="33"/>
      <c r="DC207" s="33"/>
      <c r="DD207" s="33"/>
      <c r="DE207" s="33"/>
      <c r="DF207" s="33"/>
      <c r="DG207" s="33"/>
      <c r="DH207" s="33"/>
      <c r="DI207" s="33"/>
      <c r="DJ207" s="33"/>
      <c r="DK207" s="33"/>
      <c r="DL207" s="33"/>
      <c r="DM207" s="33"/>
      <c r="DN207" s="33"/>
      <c r="DO207" s="33"/>
      <c r="DP207" s="33"/>
      <c r="DQ207" s="33"/>
      <c r="DR207" s="33"/>
      <c r="DS207" s="33"/>
      <c r="DT207" s="33"/>
      <c r="DU207" s="33"/>
      <c r="DV207" s="33"/>
      <c r="DW207" s="33"/>
      <c r="DX207" s="33"/>
      <c r="DY207" s="33"/>
      <c r="DZ207" s="33"/>
      <c r="EA207" s="33"/>
      <c r="EB207" s="33"/>
      <c r="EC207" s="33"/>
      <c r="ED207" s="33"/>
      <c r="EE207" s="33"/>
      <c r="EF207" s="33"/>
      <c r="EG207" s="33"/>
      <c r="EH207" s="33"/>
      <c r="EI207" s="33"/>
      <c r="EJ207" s="33"/>
      <c r="EK207" s="33"/>
      <c r="EL207" s="33"/>
      <c r="EM207" s="33"/>
      <c r="EN207" s="33"/>
      <c r="EO207" s="33"/>
      <c r="EP207" s="33"/>
      <c r="EQ207" s="33"/>
      <c r="ER207" s="33"/>
      <c r="ES207" s="33"/>
      <c r="ET207" s="33"/>
      <c r="EU207" s="33"/>
      <c r="EV207" s="33"/>
      <c r="EW207" s="33"/>
      <c r="EX207" s="33"/>
      <c r="EY207" s="33"/>
      <c r="EZ207" s="33"/>
      <c r="FA207" s="33"/>
      <c r="FB207" s="33"/>
      <c r="FC207" s="33"/>
      <c r="FD207" s="33"/>
      <c r="FE207" s="33"/>
      <c r="FF207" s="33"/>
      <c r="FG207" s="33"/>
      <c r="FH207" s="33"/>
      <c r="FI207" s="33"/>
      <c r="FJ207" s="33"/>
      <c r="FK207" s="33"/>
      <c r="FL207" s="33"/>
      <c r="FM207" s="33"/>
      <c r="FN207" s="33"/>
      <c r="FO207" s="33"/>
      <c r="FP207" s="33"/>
      <c r="FQ207" s="33"/>
      <c r="FR207" s="33"/>
      <c r="FS207" s="33"/>
      <c r="FT207" s="33"/>
      <c r="FU207" s="33"/>
      <c r="FV207" s="33"/>
      <c r="FW207" s="33"/>
      <c r="FX207" s="33"/>
      <c r="FY207" s="33"/>
      <c r="FZ207" s="33"/>
      <c r="GA207" s="33"/>
      <c r="GB207" s="33"/>
      <c r="GC207" s="33"/>
      <c r="GD207" s="33"/>
      <c r="GE207" s="33"/>
      <c r="GF207" s="33"/>
      <c r="GG207" s="33"/>
      <c r="GH207" s="33"/>
      <c r="GI207" s="33"/>
      <c r="GJ207" s="33"/>
      <c r="GK207" s="33"/>
      <c r="GL207" s="33"/>
      <c r="GM207" s="33"/>
      <c r="GN207" s="33"/>
      <c r="GO207" s="33"/>
      <c r="GP207" s="33"/>
      <c r="GQ207" s="33"/>
      <c r="GR207" s="33"/>
      <c r="GS207" s="33"/>
      <c r="GT207" s="33"/>
      <c r="GU207" s="33"/>
      <c r="GV207" s="33"/>
      <c r="GW207" s="33"/>
      <c r="GX207" s="33"/>
      <c r="GY207" s="33"/>
      <c r="GZ207" s="33"/>
      <c r="HA207" s="33"/>
      <c r="HB207" s="33"/>
      <c r="HC207" s="33"/>
      <c r="HD207" s="33"/>
      <c r="HE207" s="33"/>
      <c r="HF207" s="33"/>
      <c r="HG207" s="33"/>
      <c r="HH207" s="33"/>
    </row>
    <row r="208" spans="1:216" ht="15.75" customHeight="1" x14ac:dyDescent="0.3">
      <c r="A208" s="7"/>
      <c r="B208" s="50"/>
      <c r="C208" s="24" t="s">
        <v>211</v>
      </c>
      <c r="D208" s="49"/>
      <c r="E208" s="9">
        <f>ALASMALANG!V208+'BENELAN KIDUL'!S208+CANTUK!T208+GAMBOR!N208+GUMIRIH!S208+KEMIRI!U208+LEMAHBANGKULON!Q208+PADANG!Q208+SINGOJURUH!AC208+SINGOLATREN!T208+SUMBERBARU!S208</f>
        <v>37</v>
      </c>
      <c r="F208" s="39"/>
      <c r="G208" s="20"/>
      <c r="H208" s="20"/>
      <c r="I208" s="20"/>
      <c r="J208" s="20"/>
      <c r="K208" s="20"/>
      <c r="L208" s="20"/>
      <c r="M208" s="20"/>
      <c r="N208" s="20"/>
      <c r="O208" s="20"/>
      <c r="P208" s="32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  <c r="BW208" s="33"/>
      <c r="BX208" s="33"/>
      <c r="BY208" s="33"/>
      <c r="BZ208" s="33"/>
      <c r="CA208" s="33"/>
      <c r="CB208" s="33"/>
      <c r="CC208" s="33"/>
      <c r="CD208" s="33"/>
      <c r="CE208" s="33"/>
      <c r="CF208" s="33"/>
      <c r="CG208" s="33"/>
      <c r="CH208" s="33"/>
      <c r="CI208" s="33"/>
      <c r="CJ208" s="33"/>
      <c r="CK208" s="33"/>
      <c r="CL208" s="33"/>
      <c r="CM208" s="33"/>
      <c r="CN208" s="33"/>
      <c r="CO208" s="33"/>
      <c r="CP208" s="33"/>
      <c r="CQ208" s="33"/>
      <c r="CR208" s="33"/>
      <c r="CS208" s="33"/>
      <c r="CT208" s="33"/>
      <c r="CU208" s="33"/>
      <c r="CV208" s="33"/>
      <c r="CW208" s="33"/>
      <c r="CX208" s="33"/>
      <c r="CY208" s="33"/>
      <c r="CZ208" s="33"/>
      <c r="DA208" s="33"/>
      <c r="DB208" s="33"/>
      <c r="DC208" s="33"/>
      <c r="DD208" s="33"/>
      <c r="DE208" s="33"/>
      <c r="DF208" s="33"/>
      <c r="DG208" s="33"/>
      <c r="DH208" s="33"/>
      <c r="DI208" s="33"/>
      <c r="DJ208" s="33"/>
      <c r="DK208" s="33"/>
      <c r="DL208" s="33"/>
      <c r="DM208" s="33"/>
      <c r="DN208" s="33"/>
      <c r="DO208" s="33"/>
      <c r="DP208" s="33"/>
      <c r="DQ208" s="33"/>
      <c r="DR208" s="33"/>
      <c r="DS208" s="33"/>
      <c r="DT208" s="33"/>
      <c r="DU208" s="33"/>
      <c r="DV208" s="33"/>
      <c r="DW208" s="33"/>
      <c r="DX208" s="33"/>
      <c r="DY208" s="33"/>
      <c r="DZ208" s="33"/>
      <c r="EA208" s="33"/>
      <c r="EB208" s="33"/>
      <c r="EC208" s="33"/>
      <c r="ED208" s="33"/>
      <c r="EE208" s="33"/>
      <c r="EF208" s="33"/>
      <c r="EG208" s="33"/>
      <c r="EH208" s="33"/>
      <c r="EI208" s="33"/>
      <c r="EJ208" s="33"/>
      <c r="EK208" s="33"/>
      <c r="EL208" s="33"/>
      <c r="EM208" s="33"/>
      <c r="EN208" s="33"/>
      <c r="EO208" s="33"/>
      <c r="EP208" s="33"/>
      <c r="EQ208" s="33"/>
      <c r="ER208" s="33"/>
      <c r="ES208" s="33"/>
      <c r="ET208" s="33"/>
      <c r="EU208" s="33"/>
      <c r="EV208" s="33"/>
      <c r="EW208" s="33"/>
      <c r="EX208" s="33"/>
      <c r="EY208" s="33"/>
      <c r="EZ208" s="33"/>
      <c r="FA208" s="33"/>
      <c r="FB208" s="33"/>
      <c r="FC208" s="33"/>
      <c r="FD208" s="33"/>
      <c r="FE208" s="33"/>
      <c r="FF208" s="33"/>
      <c r="FG208" s="33"/>
      <c r="FH208" s="33"/>
      <c r="FI208" s="33"/>
      <c r="FJ208" s="33"/>
      <c r="FK208" s="33"/>
      <c r="FL208" s="33"/>
      <c r="FM208" s="33"/>
      <c r="FN208" s="33"/>
      <c r="FO208" s="33"/>
      <c r="FP208" s="33"/>
      <c r="FQ208" s="33"/>
      <c r="FR208" s="33"/>
      <c r="FS208" s="33"/>
      <c r="FT208" s="33"/>
      <c r="FU208" s="33"/>
      <c r="FV208" s="33"/>
      <c r="FW208" s="33"/>
      <c r="FX208" s="33"/>
      <c r="FY208" s="33"/>
      <c r="FZ208" s="33"/>
      <c r="GA208" s="33"/>
      <c r="GB208" s="33"/>
      <c r="GC208" s="33"/>
      <c r="GD208" s="33"/>
      <c r="GE208" s="33"/>
      <c r="GF208" s="33"/>
      <c r="GG208" s="33"/>
      <c r="GH208" s="33"/>
      <c r="GI208" s="33"/>
      <c r="GJ208" s="33"/>
      <c r="GK208" s="33"/>
      <c r="GL208" s="33"/>
      <c r="GM208" s="33"/>
      <c r="GN208" s="33"/>
      <c r="GO208" s="33"/>
      <c r="GP208" s="33"/>
      <c r="GQ208" s="33"/>
      <c r="GR208" s="33"/>
      <c r="GS208" s="33"/>
      <c r="GT208" s="33"/>
      <c r="GU208" s="33"/>
      <c r="GV208" s="33"/>
      <c r="GW208" s="33"/>
      <c r="GX208" s="33"/>
      <c r="GY208" s="33"/>
      <c r="GZ208" s="33"/>
      <c r="HA208" s="33"/>
      <c r="HB208" s="33"/>
      <c r="HC208" s="33"/>
      <c r="HD208" s="33"/>
      <c r="HE208" s="33"/>
      <c r="HF208" s="33"/>
      <c r="HG208" s="33"/>
      <c r="HH208" s="33"/>
    </row>
    <row r="209" spans="1:216" ht="15.75" customHeight="1" x14ac:dyDescent="0.3">
      <c r="A209" s="7"/>
      <c r="B209" s="50"/>
      <c r="C209" s="24" t="s">
        <v>212</v>
      </c>
      <c r="D209" s="49"/>
      <c r="E209" s="9">
        <f>ALASMALANG!V209+'BENELAN KIDUL'!S209+CANTUK!T209+GAMBOR!N209+GUMIRIH!S209+KEMIRI!U209+LEMAHBANGKULON!Q209+PADANG!Q209+SINGOJURUH!AC209+SINGOLATREN!T209+SUMBERBARU!S209</f>
        <v>0</v>
      </c>
      <c r="F209" s="39"/>
      <c r="G209" s="20"/>
      <c r="H209" s="20"/>
      <c r="I209" s="20"/>
      <c r="J209" s="20"/>
      <c r="K209" s="20"/>
      <c r="L209" s="20"/>
      <c r="M209" s="20"/>
      <c r="N209" s="20"/>
      <c r="O209" s="20"/>
      <c r="P209" s="32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/>
      <c r="CY209" s="33"/>
      <c r="CZ209" s="33"/>
      <c r="DA209" s="33"/>
      <c r="DB209" s="33"/>
      <c r="DC209" s="33"/>
      <c r="DD209" s="33"/>
      <c r="DE209" s="33"/>
      <c r="DF209" s="33"/>
      <c r="DG209" s="33"/>
      <c r="DH209" s="33"/>
      <c r="DI209" s="33"/>
      <c r="DJ209" s="33"/>
      <c r="DK209" s="33"/>
      <c r="DL209" s="33"/>
      <c r="DM209" s="33"/>
      <c r="DN209" s="33"/>
      <c r="DO209" s="33"/>
      <c r="DP209" s="33"/>
      <c r="DQ209" s="33"/>
      <c r="DR209" s="33"/>
      <c r="DS209" s="33"/>
      <c r="DT209" s="33"/>
      <c r="DU209" s="33"/>
      <c r="DV209" s="33"/>
      <c r="DW209" s="33"/>
      <c r="DX209" s="33"/>
      <c r="DY209" s="33"/>
      <c r="DZ209" s="33"/>
      <c r="EA209" s="33"/>
      <c r="EB209" s="33"/>
      <c r="EC209" s="33"/>
      <c r="ED209" s="33"/>
      <c r="EE209" s="33"/>
      <c r="EF209" s="33"/>
      <c r="EG209" s="33"/>
      <c r="EH209" s="33"/>
      <c r="EI209" s="33"/>
      <c r="EJ209" s="33"/>
      <c r="EK209" s="33"/>
      <c r="EL209" s="33"/>
      <c r="EM209" s="33"/>
      <c r="EN209" s="33"/>
      <c r="EO209" s="33"/>
      <c r="EP209" s="33"/>
      <c r="EQ209" s="33"/>
      <c r="ER209" s="33"/>
      <c r="ES209" s="33"/>
      <c r="ET209" s="33"/>
      <c r="EU209" s="33"/>
      <c r="EV209" s="33"/>
      <c r="EW209" s="33"/>
      <c r="EX209" s="33"/>
      <c r="EY209" s="33"/>
      <c r="EZ209" s="33"/>
      <c r="FA209" s="33"/>
      <c r="FB209" s="33"/>
      <c r="FC209" s="33"/>
      <c r="FD209" s="33"/>
      <c r="FE209" s="33"/>
      <c r="FF209" s="33"/>
      <c r="FG209" s="33"/>
      <c r="FH209" s="33"/>
      <c r="FI209" s="33"/>
      <c r="FJ209" s="33"/>
      <c r="FK209" s="33"/>
      <c r="FL209" s="33"/>
      <c r="FM209" s="33"/>
      <c r="FN209" s="33"/>
      <c r="FO209" s="33"/>
      <c r="FP209" s="33"/>
      <c r="FQ209" s="33"/>
      <c r="FR209" s="33"/>
      <c r="FS209" s="33"/>
      <c r="FT209" s="33"/>
      <c r="FU209" s="33"/>
      <c r="FV209" s="33"/>
      <c r="FW209" s="33"/>
      <c r="FX209" s="33"/>
      <c r="FY209" s="33"/>
      <c r="FZ209" s="33"/>
      <c r="GA209" s="33"/>
      <c r="GB209" s="33"/>
      <c r="GC209" s="33"/>
      <c r="GD209" s="33"/>
      <c r="GE209" s="33"/>
      <c r="GF209" s="33"/>
      <c r="GG209" s="33"/>
      <c r="GH209" s="33"/>
      <c r="GI209" s="33"/>
      <c r="GJ209" s="33"/>
      <c r="GK209" s="33"/>
      <c r="GL209" s="33"/>
      <c r="GM209" s="33"/>
      <c r="GN209" s="33"/>
      <c r="GO209" s="33"/>
      <c r="GP209" s="33"/>
      <c r="GQ209" s="33"/>
      <c r="GR209" s="33"/>
      <c r="GS209" s="33"/>
      <c r="GT209" s="33"/>
      <c r="GU209" s="33"/>
      <c r="GV209" s="33"/>
      <c r="GW209" s="33"/>
      <c r="GX209" s="33"/>
      <c r="GY209" s="33"/>
      <c r="GZ209" s="33"/>
      <c r="HA209" s="33"/>
      <c r="HB209" s="33"/>
      <c r="HC209" s="33"/>
      <c r="HD209" s="33"/>
      <c r="HE209" s="33"/>
      <c r="HF209" s="33"/>
      <c r="HG209" s="33"/>
      <c r="HH209" s="33"/>
    </row>
    <row r="210" spans="1:216" ht="15.75" customHeight="1" x14ac:dyDescent="0.3">
      <c r="A210" s="7"/>
      <c r="B210" s="50"/>
      <c r="C210" s="24" t="s">
        <v>213</v>
      </c>
      <c r="D210" s="49"/>
      <c r="E210" s="9">
        <f>ALASMALANG!V210+'BENELAN KIDUL'!S210+CANTUK!T210+GAMBOR!N210+GUMIRIH!S210+KEMIRI!U210+LEMAHBANGKULON!Q210+PADANG!Q210+SINGOJURUH!AC210+SINGOLATREN!T210+SUMBERBARU!S210</f>
        <v>15</v>
      </c>
      <c r="F210" s="39"/>
      <c r="G210" s="20"/>
      <c r="H210" s="20"/>
      <c r="I210" s="20"/>
      <c r="J210" s="20"/>
      <c r="K210" s="20"/>
      <c r="L210" s="20"/>
      <c r="M210" s="20"/>
      <c r="N210" s="20"/>
      <c r="O210" s="20"/>
      <c r="P210" s="32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33"/>
      <c r="BX210" s="33"/>
      <c r="BY210" s="33"/>
      <c r="BZ210" s="33"/>
      <c r="CA210" s="33"/>
      <c r="CB210" s="33"/>
      <c r="CC210" s="33"/>
      <c r="CD210" s="33"/>
      <c r="CE210" s="33"/>
      <c r="CF210" s="33"/>
      <c r="CG210" s="33"/>
      <c r="CH210" s="33"/>
      <c r="CI210" s="33"/>
      <c r="CJ210" s="33"/>
      <c r="CK210" s="33"/>
      <c r="CL210" s="33"/>
      <c r="CM210" s="33"/>
      <c r="CN210" s="33"/>
      <c r="CO210" s="33"/>
      <c r="CP210" s="33"/>
      <c r="CQ210" s="33"/>
      <c r="CR210" s="33"/>
      <c r="CS210" s="33"/>
      <c r="CT210" s="33"/>
      <c r="CU210" s="33"/>
      <c r="CV210" s="33"/>
      <c r="CW210" s="33"/>
      <c r="CX210" s="33"/>
      <c r="CY210" s="33"/>
      <c r="CZ210" s="33"/>
      <c r="DA210" s="33"/>
      <c r="DB210" s="33"/>
      <c r="DC210" s="33"/>
      <c r="DD210" s="33"/>
      <c r="DE210" s="33"/>
      <c r="DF210" s="33"/>
      <c r="DG210" s="33"/>
      <c r="DH210" s="33"/>
      <c r="DI210" s="33"/>
      <c r="DJ210" s="33"/>
      <c r="DK210" s="33"/>
      <c r="DL210" s="33"/>
      <c r="DM210" s="33"/>
      <c r="DN210" s="33"/>
      <c r="DO210" s="33"/>
      <c r="DP210" s="33"/>
      <c r="DQ210" s="33"/>
      <c r="DR210" s="33"/>
      <c r="DS210" s="33"/>
      <c r="DT210" s="33"/>
      <c r="DU210" s="33"/>
      <c r="DV210" s="33"/>
      <c r="DW210" s="33"/>
      <c r="DX210" s="33"/>
      <c r="DY210" s="33"/>
      <c r="DZ210" s="33"/>
      <c r="EA210" s="33"/>
      <c r="EB210" s="33"/>
      <c r="EC210" s="33"/>
      <c r="ED210" s="33"/>
      <c r="EE210" s="33"/>
      <c r="EF210" s="33"/>
      <c r="EG210" s="33"/>
      <c r="EH210" s="33"/>
      <c r="EI210" s="33"/>
      <c r="EJ210" s="33"/>
      <c r="EK210" s="33"/>
      <c r="EL210" s="33"/>
      <c r="EM210" s="33"/>
      <c r="EN210" s="33"/>
      <c r="EO210" s="33"/>
      <c r="EP210" s="33"/>
      <c r="EQ210" s="33"/>
      <c r="ER210" s="33"/>
      <c r="ES210" s="33"/>
      <c r="ET210" s="33"/>
      <c r="EU210" s="33"/>
      <c r="EV210" s="33"/>
      <c r="EW210" s="33"/>
      <c r="EX210" s="33"/>
      <c r="EY210" s="33"/>
      <c r="EZ210" s="33"/>
      <c r="FA210" s="33"/>
      <c r="FB210" s="33"/>
      <c r="FC210" s="33"/>
      <c r="FD210" s="33"/>
      <c r="FE210" s="33"/>
      <c r="FF210" s="33"/>
      <c r="FG210" s="33"/>
      <c r="FH210" s="33"/>
      <c r="FI210" s="33"/>
      <c r="FJ210" s="33"/>
      <c r="FK210" s="33"/>
      <c r="FL210" s="33"/>
      <c r="FM210" s="33"/>
      <c r="FN210" s="33"/>
      <c r="FO210" s="33"/>
      <c r="FP210" s="33"/>
      <c r="FQ210" s="33"/>
      <c r="FR210" s="33"/>
      <c r="FS210" s="33"/>
      <c r="FT210" s="33"/>
      <c r="FU210" s="33"/>
      <c r="FV210" s="33"/>
      <c r="FW210" s="33"/>
      <c r="FX210" s="33"/>
      <c r="FY210" s="33"/>
      <c r="FZ210" s="33"/>
      <c r="GA210" s="33"/>
      <c r="GB210" s="33"/>
      <c r="GC210" s="33"/>
      <c r="GD210" s="33"/>
      <c r="GE210" s="33"/>
      <c r="GF210" s="33"/>
      <c r="GG210" s="33"/>
      <c r="GH210" s="33"/>
      <c r="GI210" s="33"/>
      <c r="GJ210" s="33"/>
      <c r="GK210" s="33"/>
      <c r="GL210" s="33"/>
      <c r="GM210" s="33"/>
      <c r="GN210" s="33"/>
      <c r="GO210" s="33"/>
      <c r="GP210" s="33"/>
      <c r="GQ210" s="33"/>
      <c r="GR210" s="33"/>
      <c r="GS210" s="33"/>
      <c r="GT210" s="33"/>
      <c r="GU210" s="33"/>
      <c r="GV210" s="33"/>
      <c r="GW210" s="33"/>
      <c r="GX210" s="33"/>
      <c r="GY210" s="33"/>
      <c r="GZ210" s="33"/>
      <c r="HA210" s="33"/>
      <c r="HB210" s="33"/>
      <c r="HC210" s="33"/>
      <c r="HD210" s="33"/>
      <c r="HE210" s="33"/>
      <c r="HF210" s="33"/>
      <c r="HG210" s="33"/>
      <c r="HH210" s="33"/>
    </row>
    <row r="211" spans="1:216" ht="15.75" customHeight="1" x14ac:dyDescent="0.3">
      <c r="A211" s="6" t="s">
        <v>26</v>
      </c>
      <c r="B211" s="84" t="s">
        <v>51</v>
      </c>
      <c r="C211" s="87"/>
      <c r="D211" s="88"/>
      <c r="E211" s="5">
        <f>SUM(E201:E210)</f>
        <v>1286</v>
      </c>
      <c r="F211" s="39"/>
      <c r="G211" s="20"/>
      <c r="H211" s="20"/>
      <c r="I211" s="20"/>
      <c r="J211" s="20"/>
      <c r="K211" s="20"/>
      <c r="L211" s="20"/>
      <c r="M211" s="20"/>
      <c r="N211" s="20"/>
      <c r="O211" s="20"/>
      <c r="P211" s="32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  <c r="BW211" s="33"/>
      <c r="BX211" s="33"/>
      <c r="BY211" s="33"/>
      <c r="BZ211" s="33"/>
      <c r="CA211" s="33"/>
      <c r="CB211" s="33"/>
      <c r="CC211" s="33"/>
      <c r="CD211" s="33"/>
      <c r="CE211" s="33"/>
      <c r="CF211" s="33"/>
      <c r="CG211" s="33"/>
      <c r="CH211" s="33"/>
      <c r="CI211" s="33"/>
      <c r="CJ211" s="33"/>
      <c r="CK211" s="33"/>
      <c r="CL211" s="33"/>
      <c r="CM211" s="33"/>
      <c r="CN211" s="33"/>
      <c r="CO211" s="33"/>
      <c r="CP211" s="33"/>
      <c r="CQ211" s="33"/>
      <c r="CR211" s="33"/>
      <c r="CS211" s="33"/>
      <c r="CT211" s="33"/>
      <c r="CU211" s="33"/>
      <c r="CV211" s="33"/>
      <c r="CW211" s="33"/>
      <c r="CX211" s="33"/>
      <c r="CY211" s="33"/>
      <c r="CZ211" s="33"/>
      <c r="DA211" s="33"/>
      <c r="DB211" s="33"/>
      <c r="DC211" s="33"/>
      <c r="DD211" s="33"/>
      <c r="DE211" s="33"/>
      <c r="DF211" s="33"/>
      <c r="DG211" s="33"/>
      <c r="DH211" s="33"/>
      <c r="DI211" s="33"/>
      <c r="DJ211" s="33"/>
      <c r="DK211" s="33"/>
      <c r="DL211" s="33"/>
      <c r="DM211" s="33"/>
      <c r="DN211" s="33"/>
      <c r="DO211" s="33"/>
      <c r="DP211" s="33"/>
      <c r="DQ211" s="33"/>
      <c r="DR211" s="33"/>
      <c r="DS211" s="33"/>
      <c r="DT211" s="33"/>
      <c r="DU211" s="33"/>
      <c r="DV211" s="33"/>
      <c r="DW211" s="33"/>
      <c r="DX211" s="33"/>
      <c r="DY211" s="33"/>
      <c r="DZ211" s="33"/>
      <c r="EA211" s="33"/>
      <c r="EB211" s="33"/>
      <c r="EC211" s="33"/>
      <c r="ED211" s="33"/>
      <c r="EE211" s="33"/>
      <c r="EF211" s="33"/>
      <c r="EG211" s="33"/>
      <c r="EH211" s="33"/>
      <c r="EI211" s="33"/>
      <c r="EJ211" s="33"/>
      <c r="EK211" s="33"/>
      <c r="EL211" s="33"/>
      <c r="EM211" s="33"/>
      <c r="EN211" s="33"/>
      <c r="EO211" s="33"/>
      <c r="EP211" s="33"/>
      <c r="EQ211" s="33"/>
      <c r="ER211" s="33"/>
      <c r="ES211" s="33"/>
      <c r="ET211" s="33"/>
      <c r="EU211" s="33"/>
      <c r="EV211" s="33"/>
      <c r="EW211" s="33"/>
      <c r="EX211" s="33"/>
      <c r="EY211" s="33"/>
      <c r="EZ211" s="33"/>
      <c r="FA211" s="33"/>
      <c r="FB211" s="33"/>
      <c r="FC211" s="33"/>
      <c r="FD211" s="33"/>
      <c r="FE211" s="33"/>
      <c r="FF211" s="33"/>
      <c r="FG211" s="33"/>
      <c r="FH211" s="33"/>
      <c r="FI211" s="33"/>
      <c r="FJ211" s="33"/>
      <c r="FK211" s="33"/>
      <c r="FL211" s="33"/>
      <c r="FM211" s="33"/>
      <c r="FN211" s="33"/>
      <c r="FO211" s="33"/>
      <c r="FP211" s="33"/>
      <c r="FQ211" s="33"/>
      <c r="FR211" s="33"/>
      <c r="FS211" s="33"/>
      <c r="FT211" s="33"/>
      <c r="FU211" s="33"/>
      <c r="FV211" s="33"/>
      <c r="FW211" s="33"/>
      <c r="FX211" s="33"/>
      <c r="FY211" s="33"/>
      <c r="FZ211" s="33"/>
      <c r="GA211" s="33"/>
      <c r="GB211" s="33"/>
      <c r="GC211" s="33"/>
      <c r="GD211" s="33"/>
      <c r="GE211" s="33"/>
      <c r="GF211" s="33"/>
      <c r="GG211" s="33"/>
      <c r="GH211" s="33"/>
      <c r="GI211" s="33"/>
      <c r="GJ211" s="33"/>
      <c r="GK211" s="33"/>
      <c r="GL211" s="33"/>
      <c r="GM211" s="33"/>
      <c r="GN211" s="33"/>
      <c r="GO211" s="33"/>
      <c r="GP211" s="33"/>
      <c r="GQ211" s="33"/>
      <c r="GR211" s="33"/>
      <c r="GS211" s="33"/>
      <c r="GT211" s="33"/>
      <c r="GU211" s="33"/>
      <c r="GV211" s="33"/>
      <c r="GW211" s="33"/>
      <c r="GX211" s="33"/>
      <c r="GY211" s="33"/>
      <c r="GZ211" s="33"/>
      <c r="HA211" s="33"/>
      <c r="HB211" s="33"/>
      <c r="HC211" s="33"/>
      <c r="HD211" s="33"/>
      <c r="HE211" s="33"/>
      <c r="HF211" s="33"/>
      <c r="HG211" s="33"/>
      <c r="HH211" s="33"/>
    </row>
    <row r="212" spans="1:216" ht="15.75" customHeight="1" x14ac:dyDescent="0.3">
      <c r="A212" s="62"/>
      <c r="B212" s="89"/>
      <c r="C212" s="89"/>
      <c r="D212" s="89"/>
      <c r="E212" s="90"/>
      <c r="F212" s="39"/>
      <c r="G212" s="20"/>
      <c r="H212" s="20"/>
      <c r="I212" s="20"/>
      <c r="J212" s="20"/>
      <c r="K212" s="20"/>
      <c r="L212" s="20"/>
      <c r="M212" s="20"/>
      <c r="N212" s="20"/>
      <c r="O212" s="20"/>
      <c r="P212" s="32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  <c r="BW212" s="33"/>
      <c r="BX212" s="33"/>
      <c r="BY212" s="33"/>
      <c r="BZ212" s="33"/>
      <c r="CA212" s="33"/>
      <c r="CB212" s="33"/>
      <c r="CC212" s="33"/>
      <c r="CD212" s="33"/>
      <c r="CE212" s="33"/>
      <c r="CF212" s="33"/>
      <c r="CG212" s="33"/>
      <c r="CH212" s="33"/>
      <c r="CI212" s="33"/>
      <c r="CJ212" s="33"/>
      <c r="CK212" s="33"/>
      <c r="CL212" s="33"/>
      <c r="CM212" s="33"/>
      <c r="CN212" s="33"/>
      <c r="CO212" s="33"/>
      <c r="CP212" s="33"/>
      <c r="CQ212" s="33"/>
      <c r="CR212" s="33"/>
      <c r="CS212" s="33"/>
      <c r="CT212" s="33"/>
      <c r="CU212" s="33"/>
      <c r="CV212" s="33"/>
      <c r="CW212" s="33"/>
      <c r="CX212" s="33"/>
      <c r="CY212" s="33"/>
      <c r="CZ212" s="33"/>
      <c r="DA212" s="33"/>
      <c r="DB212" s="33"/>
      <c r="DC212" s="33"/>
      <c r="DD212" s="33"/>
      <c r="DE212" s="33"/>
      <c r="DF212" s="33"/>
      <c r="DG212" s="33"/>
      <c r="DH212" s="33"/>
      <c r="DI212" s="33"/>
      <c r="DJ212" s="33"/>
      <c r="DK212" s="33"/>
      <c r="DL212" s="33"/>
      <c r="DM212" s="33"/>
      <c r="DN212" s="33"/>
      <c r="DO212" s="33"/>
      <c r="DP212" s="33"/>
      <c r="DQ212" s="33"/>
      <c r="DR212" s="33"/>
      <c r="DS212" s="33"/>
      <c r="DT212" s="33"/>
      <c r="DU212" s="33"/>
      <c r="DV212" s="33"/>
      <c r="DW212" s="33"/>
      <c r="DX212" s="33"/>
      <c r="DY212" s="33"/>
      <c r="DZ212" s="33"/>
      <c r="EA212" s="33"/>
      <c r="EB212" s="33"/>
      <c r="EC212" s="33"/>
      <c r="ED212" s="33"/>
      <c r="EE212" s="33"/>
      <c r="EF212" s="33"/>
      <c r="EG212" s="33"/>
      <c r="EH212" s="33"/>
      <c r="EI212" s="33"/>
      <c r="EJ212" s="33"/>
      <c r="EK212" s="33"/>
      <c r="EL212" s="33"/>
      <c r="EM212" s="33"/>
      <c r="EN212" s="33"/>
      <c r="EO212" s="33"/>
      <c r="EP212" s="33"/>
      <c r="EQ212" s="33"/>
      <c r="ER212" s="33"/>
      <c r="ES212" s="33"/>
      <c r="ET212" s="33"/>
      <c r="EU212" s="33"/>
      <c r="EV212" s="33"/>
      <c r="EW212" s="33"/>
      <c r="EX212" s="33"/>
      <c r="EY212" s="33"/>
      <c r="EZ212" s="33"/>
      <c r="FA212" s="33"/>
      <c r="FB212" s="33"/>
      <c r="FC212" s="33"/>
      <c r="FD212" s="33"/>
      <c r="FE212" s="33"/>
      <c r="FF212" s="33"/>
      <c r="FG212" s="33"/>
      <c r="FH212" s="33"/>
      <c r="FI212" s="33"/>
      <c r="FJ212" s="33"/>
      <c r="FK212" s="33"/>
      <c r="FL212" s="33"/>
      <c r="FM212" s="33"/>
      <c r="FN212" s="33"/>
      <c r="FO212" s="33"/>
      <c r="FP212" s="33"/>
      <c r="FQ212" s="33"/>
      <c r="FR212" s="33"/>
      <c r="FS212" s="33"/>
      <c r="FT212" s="33"/>
      <c r="FU212" s="33"/>
      <c r="FV212" s="33"/>
      <c r="FW212" s="33"/>
      <c r="FX212" s="33"/>
      <c r="FY212" s="33"/>
      <c r="FZ212" s="33"/>
      <c r="GA212" s="33"/>
      <c r="GB212" s="33"/>
      <c r="GC212" s="33"/>
      <c r="GD212" s="33"/>
      <c r="GE212" s="33"/>
      <c r="GF212" s="33"/>
      <c r="GG212" s="33"/>
      <c r="GH212" s="33"/>
      <c r="GI212" s="33"/>
      <c r="GJ212" s="33"/>
      <c r="GK212" s="33"/>
      <c r="GL212" s="33"/>
      <c r="GM212" s="33"/>
      <c r="GN212" s="33"/>
      <c r="GO212" s="33"/>
      <c r="GP212" s="33"/>
      <c r="GQ212" s="33"/>
      <c r="GR212" s="33"/>
      <c r="GS212" s="33"/>
      <c r="GT212" s="33"/>
      <c r="GU212" s="33"/>
      <c r="GV212" s="33"/>
      <c r="GW212" s="33"/>
      <c r="GX212" s="33"/>
      <c r="GY212" s="33"/>
      <c r="GZ212" s="33"/>
      <c r="HA212" s="33"/>
      <c r="HB212" s="33"/>
      <c r="HC212" s="33"/>
      <c r="HD212" s="33"/>
      <c r="HE212" s="33"/>
      <c r="HF212" s="33"/>
      <c r="HG212" s="33"/>
      <c r="HH212" s="33"/>
    </row>
    <row r="213" spans="1:216" ht="15.75" customHeight="1" x14ac:dyDescent="0.3">
      <c r="A213" s="11" t="s">
        <v>48</v>
      </c>
      <c r="B213" s="17" t="s">
        <v>75</v>
      </c>
      <c r="C213" s="86" t="s">
        <v>76</v>
      </c>
      <c r="D213" s="64"/>
      <c r="E213" s="9">
        <f>ALASMALANG!V213+'BENELAN KIDUL'!S213+CANTUK!T213+GAMBOR!N213+GUMIRIH!S213+KEMIRI!U213+LEMAHBANGKULON!Q213+PADANG!Q213+SINGOJURUH!AC213+SINGOLATREN!T213+SUMBERBARU!S213</f>
        <v>154</v>
      </c>
      <c r="F213" s="40"/>
      <c r="G213" s="1"/>
      <c r="H213" s="1"/>
      <c r="I213" s="1"/>
      <c r="J213" s="1"/>
      <c r="K213" s="1"/>
      <c r="L213" s="1"/>
      <c r="M213" s="1"/>
      <c r="N213" s="1"/>
      <c r="O213" s="1"/>
      <c r="P213" s="34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  <c r="CX213" s="31"/>
      <c r="CY213" s="31"/>
      <c r="CZ213" s="31"/>
      <c r="DA213" s="31"/>
      <c r="DB213" s="31"/>
      <c r="DC213" s="31"/>
      <c r="DD213" s="31"/>
      <c r="DE213" s="31"/>
      <c r="DF213" s="31"/>
      <c r="DG213" s="31"/>
      <c r="DH213" s="31"/>
      <c r="DI213" s="31"/>
      <c r="DJ213" s="31"/>
      <c r="DK213" s="31"/>
      <c r="DL213" s="31"/>
      <c r="DM213" s="31"/>
      <c r="DN213" s="31"/>
      <c r="DO213" s="31"/>
      <c r="DP213" s="31"/>
      <c r="DQ213" s="31"/>
      <c r="DR213" s="31"/>
      <c r="DS213" s="31"/>
      <c r="DT213" s="31"/>
      <c r="DU213" s="31"/>
      <c r="DV213" s="31"/>
      <c r="DW213" s="31"/>
      <c r="DX213" s="31"/>
      <c r="DY213" s="31"/>
      <c r="DZ213" s="31"/>
      <c r="EA213" s="31"/>
      <c r="EB213" s="31"/>
      <c r="EC213" s="31"/>
      <c r="ED213" s="31"/>
      <c r="EE213" s="31"/>
      <c r="EF213" s="31"/>
      <c r="EG213" s="31"/>
      <c r="EH213" s="31"/>
      <c r="EI213" s="31"/>
      <c r="EJ213" s="31"/>
      <c r="EK213" s="31"/>
      <c r="EL213" s="31"/>
      <c r="EM213" s="31"/>
      <c r="EN213" s="31"/>
      <c r="EO213" s="31"/>
      <c r="EP213" s="31"/>
      <c r="EQ213" s="31"/>
      <c r="ER213" s="31"/>
      <c r="ES213" s="31"/>
      <c r="ET213" s="31"/>
      <c r="EU213" s="31"/>
      <c r="EV213" s="31"/>
      <c r="EW213" s="31"/>
      <c r="EX213" s="31"/>
      <c r="EY213" s="31"/>
      <c r="EZ213" s="31"/>
      <c r="FA213" s="31"/>
      <c r="FB213" s="31"/>
      <c r="FC213" s="31"/>
      <c r="FD213" s="31"/>
      <c r="FE213" s="31"/>
      <c r="FF213" s="31"/>
      <c r="FG213" s="31"/>
      <c r="FH213" s="31"/>
      <c r="FI213" s="31"/>
      <c r="FJ213" s="31"/>
      <c r="FK213" s="31"/>
      <c r="FL213" s="31"/>
      <c r="FM213" s="31"/>
      <c r="FN213" s="31"/>
      <c r="FO213" s="31"/>
      <c r="FP213" s="31"/>
      <c r="FQ213" s="31"/>
      <c r="FR213" s="31"/>
      <c r="FS213" s="31"/>
      <c r="FT213" s="31"/>
      <c r="FU213" s="31"/>
      <c r="FV213" s="31"/>
      <c r="FW213" s="31"/>
      <c r="FX213" s="31"/>
      <c r="FY213" s="31"/>
      <c r="FZ213" s="31"/>
      <c r="GA213" s="31"/>
      <c r="GB213" s="31"/>
      <c r="GC213" s="31"/>
      <c r="GD213" s="31"/>
      <c r="GE213" s="31"/>
      <c r="GF213" s="31"/>
      <c r="GG213" s="31"/>
      <c r="GH213" s="31"/>
      <c r="GI213" s="31"/>
      <c r="GJ213" s="31"/>
      <c r="GK213" s="31"/>
      <c r="GL213" s="31"/>
      <c r="GM213" s="31"/>
      <c r="GN213" s="31"/>
      <c r="GO213" s="31"/>
      <c r="GP213" s="31"/>
      <c r="GQ213" s="31"/>
      <c r="GR213" s="31"/>
      <c r="GS213" s="31"/>
      <c r="GT213" s="31"/>
      <c r="GU213" s="31"/>
      <c r="GV213" s="31"/>
      <c r="GW213" s="31"/>
      <c r="GX213" s="31"/>
      <c r="GY213" s="31"/>
      <c r="GZ213" s="31"/>
      <c r="HA213" s="31"/>
      <c r="HB213" s="31"/>
      <c r="HC213" s="31"/>
      <c r="HD213" s="31"/>
      <c r="HE213" s="31"/>
      <c r="HF213" s="31"/>
      <c r="HG213" s="31"/>
      <c r="HH213" s="31"/>
    </row>
    <row r="214" spans="1:216" ht="15.75" customHeight="1" x14ac:dyDescent="0.3">
      <c r="A214" s="11" t="s">
        <v>50</v>
      </c>
      <c r="B214" s="50"/>
      <c r="C214" s="24" t="s">
        <v>214</v>
      </c>
      <c r="D214" s="49"/>
      <c r="E214" s="9">
        <f>ALASMALANG!V214+'BENELAN KIDUL'!S214+CANTUK!T214+GAMBOR!N214+GUMIRIH!S214+KEMIRI!U214+LEMAHBANGKULON!Q214+PADANG!Q214+SINGOJURUH!AC214+SINGOLATREN!T214+SUMBERBARU!S214</f>
        <v>99</v>
      </c>
      <c r="F214" s="42"/>
      <c r="G214" s="27"/>
      <c r="H214" s="27"/>
      <c r="I214" s="27"/>
      <c r="J214" s="27"/>
      <c r="K214" s="27"/>
      <c r="L214" s="27"/>
      <c r="M214" s="27"/>
      <c r="N214" s="27"/>
      <c r="O214" s="27"/>
      <c r="P214" s="37"/>
      <c r="Q214" s="30"/>
      <c r="R214" s="30"/>
      <c r="S214" s="30"/>
      <c r="T214" s="30"/>
      <c r="U214" s="30"/>
      <c r="V214" s="30"/>
      <c r="W214" s="38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30"/>
      <c r="BM214" s="30"/>
      <c r="BN214" s="30"/>
      <c r="BO214" s="30"/>
      <c r="BP214" s="30"/>
      <c r="BQ214" s="30"/>
      <c r="BR214" s="38"/>
      <c r="BS214" s="30"/>
      <c r="BT214" s="30"/>
      <c r="BU214" s="30"/>
      <c r="BV214" s="30"/>
      <c r="BW214" s="30"/>
      <c r="BX214" s="30"/>
      <c r="BY214" s="30"/>
      <c r="BZ214" s="30"/>
      <c r="CA214" s="38"/>
      <c r="CB214" s="38"/>
      <c r="CC214" s="38"/>
      <c r="CD214" s="38"/>
      <c r="CE214" s="38"/>
      <c r="CF214" s="38"/>
      <c r="CG214" s="38"/>
      <c r="CH214" s="38"/>
      <c r="CI214" s="38"/>
      <c r="CJ214" s="38"/>
      <c r="CK214" s="38"/>
      <c r="CL214" s="38"/>
      <c r="CM214" s="38"/>
      <c r="CN214" s="38"/>
      <c r="CO214" s="38"/>
      <c r="CP214" s="38"/>
      <c r="CQ214" s="38"/>
      <c r="CR214" s="38"/>
      <c r="CS214" s="38"/>
      <c r="CT214" s="38"/>
      <c r="CU214" s="38"/>
      <c r="CV214" s="38"/>
      <c r="CW214" s="38"/>
      <c r="CX214" s="38"/>
      <c r="CY214" s="38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8"/>
      <c r="DL214" s="38"/>
      <c r="DM214" s="38"/>
      <c r="DN214" s="38"/>
      <c r="DO214" s="38"/>
      <c r="DP214" s="38"/>
      <c r="DQ214" s="38"/>
      <c r="DR214" s="38"/>
      <c r="DS214" s="38"/>
      <c r="DT214" s="38"/>
      <c r="DU214" s="38"/>
      <c r="DV214" s="38"/>
      <c r="DW214" s="38"/>
      <c r="DX214" s="38"/>
      <c r="DY214" s="38"/>
      <c r="DZ214" s="38"/>
      <c r="EA214" s="38"/>
      <c r="EB214" s="38"/>
      <c r="EC214" s="38"/>
      <c r="ED214" s="38"/>
      <c r="EE214" s="38"/>
      <c r="EF214" s="38"/>
      <c r="EG214" s="38"/>
      <c r="EH214" s="38"/>
      <c r="EI214" s="38"/>
      <c r="EJ214" s="38"/>
      <c r="EK214" s="38"/>
      <c r="EL214" s="38"/>
      <c r="EM214" s="30"/>
      <c r="EN214" s="30"/>
      <c r="EO214" s="30"/>
      <c r="EP214" s="30"/>
      <c r="EQ214" s="30"/>
      <c r="ER214" s="30"/>
      <c r="ES214" s="30"/>
      <c r="ET214" s="30"/>
      <c r="EU214" s="30"/>
      <c r="EV214" s="30"/>
      <c r="EW214" s="30"/>
      <c r="EX214" s="30"/>
      <c r="EY214" s="38"/>
      <c r="EZ214" s="38"/>
      <c r="FA214" s="38"/>
      <c r="FB214" s="38"/>
      <c r="FC214" s="38"/>
      <c r="FD214" s="38"/>
      <c r="FE214" s="38"/>
      <c r="FF214" s="30"/>
      <c r="FG214" s="30"/>
      <c r="FH214" s="30"/>
      <c r="FI214" s="30"/>
      <c r="FJ214" s="38"/>
      <c r="FK214" s="38"/>
      <c r="FL214" s="38"/>
      <c r="FM214" s="38"/>
      <c r="FN214" s="38"/>
      <c r="FO214" s="38"/>
      <c r="FP214" s="38"/>
      <c r="FQ214" s="38"/>
      <c r="FR214" s="38"/>
      <c r="FS214" s="38"/>
      <c r="FT214" s="38"/>
      <c r="FU214" s="38"/>
      <c r="FV214" s="38"/>
      <c r="FW214" s="38"/>
      <c r="FX214" s="38"/>
      <c r="FY214" s="38"/>
      <c r="FZ214" s="38"/>
      <c r="GA214" s="38"/>
      <c r="GB214" s="38"/>
      <c r="GC214" s="38"/>
      <c r="GD214" s="38"/>
      <c r="GE214" s="38"/>
      <c r="GF214" s="38"/>
      <c r="GG214" s="38"/>
      <c r="GH214" s="38"/>
      <c r="GI214" s="38"/>
      <c r="GJ214" s="38"/>
      <c r="GK214" s="38"/>
      <c r="GL214" s="38"/>
      <c r="GM214" s="38"/>
      <c r="GN214" s="38"/>
      <c r="GO214" s="38"/>
      <c r="GP214" s="38"/>
      <c r="GQ214" s="38"/>
      <c r="GR214" s="38"/>
      <c r="GS214" s="38"/>
      <c r="GT214" s="38"/>
      <c r="GU214" s="38"/>
      <c r="GV214" s="38"/>
      <c r="GW214" s="38"/>
      <c r="GX214" s="38"/>
      <c r="GY214" s="38"/>
      <c r="GZ214" s="38"/>
      <c r="HA214" s="38"/>
      <c r="HB214" s="38"/>
      <c r="HC214" s="38"/>
      <c r="HD214" s="38"/>
      <c r="HE214" s="38"/>
      <c r="HF214" s="38"/>
      <c r="HG214" s="38"/>
      <c r="HH214" s="38"/>
    </row>
    <row r="215" spans="1:216" ht="15.75" customHeight="1" x14ac:dyDescent="0.3">
      <c r="A215" s="7"/>
      <c r="B215" s="50"/>
      <c r="C215" s="24" t="s">
        <v>215</v>
      </c>
      <c r="D215" s="49"/>
      <c r="E215" s="9">
        <f>ALASMALANG!V215+'BENELAN KIDUL'!S215+CANTUK!T215+GAMBOR!N215+GUMIRIH!S215+KEMIRI!U215+LEMAHBANGKULON!Q215+PADANG!Q215+SINGOJURUH!AC215+SINGOLATREN!T215+SUMBERBARU!S215</f>
        <v>99</v>
      </c>
      <c r="F215" s="39"/>
      <c r="G215" s="20"/>
      <c r="H215" s="20"/>
      <c r="I215" s="20"/>
      <c r="J215" s="20"/>
      <c r="K215" s="20"/>
      <c r="L215" s="20"/>
      <c r="M215" s="20"/>
      <c r="N215" s="20"/>
      <c r="O215" s="20"/>
      <c r="P215" s="32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3"/>
      <c r="CA215" s="33"/>
      <c r="CB215" s="33"/>
      <c r="CC215" s="33"/>
      <c r="CD215" s="33"/>
      <c r="CE215" s="33"/>
      <c r="CF215" s="33"/>
      <c r="CG215" s="33"/>
      <c r="CH215" s="33"/>
      <c r="CI215" s="33"/>
      <c r="CJ215" s="33"/>
      <c r="CK215" s="33"/>
      <c r="CL215" s="33"/>
      <c r="CM215" s="33"/>
      <c r="CN215" s="33"/>
      <c r="CO215" s="33"/>
      <c r="CP215" s="33"/>
      <c r="CQ215" s="33"/>
      <c r="CR215" s="33"/>
      <c r="CS215" s="33"/>
      <c r="CT215" s="33"/>
      <c r="CU215" s="33"/>
      <c r="CV215" s="33"/>
      <c r="CW215" s="33"/>
      <c r="CX215" s="33"/>
      <c r="CY215" s="33"/>
      <c r="CZ215" s="33"/>
      <c r="DA215" s="33"/>
      <c r="DB215" s="33"/>
      <c r="DC215" s="33"/>
      <c r="DD215" s="33"/>
      <c r="DE215" s="33"/>
      <c r="DF215" s="33"/>
      <c r="DG215" s="33"/>
      <c r="DH215" s="33"/>
      <c r="DI215" s="33"/>
      <c r="DJ215" s="33"/>
      <c r="DK215" s="33"/>
      <c r="DL215" s="33"/>
      <c r="DM215" s="33"/>
      <c r="DN215" s="33"/>
      <c r="DO215" s="33"/>
      <c r="DP215" s="33"/>
      <c r="DQ215" s="33"/>
      <c r="DR215" s="33"/>
      <c r="DS215" s="33"/>
      <c r="DT215" s="33"/>
      <c r="DU215" s="33"/>
      <c r="DV215" s="33"/>
      <c r="DW215" s="33"/>
      <c r="DX215" s="33"/>
      <c r="DY215" s="33"/>
      <c r="DZ215" s="33"/>
      <c r="EA215" s="33"/>
      <c r="EB215" s="33"/>
      <c r="EC215" s="33"/>
      <c r="ED215" s="33"/>
      <c r="EE215" s="33"/>
      <c r="EF215" s="33"/>
      <c r="EG215" s="33"/>
      <c r="EH215" s="33"/>
      <c r="EI215" s="33"/>
      <c r="EJ215" s="33"/>
      <c r="EK215" s="33"/>
      <c r="EL215" s="33"/>
      <c r="EM215" s="33"/>
      <c r="EN215" s="33"/>
      <c r="EO215" s="33"/>
      <c r="EP215" s="33"/>
      <c r="EQ215" s="33"/>
      <c r="ER215" s="33"/>
      <c r="ES215" s="33"/>
      <c r="ET215" s="33"/>
      <c r="EU215" s="33"/>
      <c r="EV215" s="33"/>
      <c r="EW215" s="33"/>
      <c r="EX215" s="33"/>
      <c r="EY215" s="33"/>
      <c r="EZ215" s="33"/>
      <c r="FA215" s="33"/>
      <c r="FB215" s="33"/>
      <c r="FC215" s="33"/>
      <c r="FD215" s="33"/>
      <c r="FE215" s="33"/>
      <c r="FF215" s="33"/>
      <c r="FG215" s="33"/>
      <c r="FH215" s="33"/>
      <c r="FI215" s="33"/>
      <c r="FJ215" s="33"/>
      <c r="FK215" s="33"/>
      <c r="FL215" s="33"/>
      <c r="FM215" s="33"/>
      <c r="FN215" s="33"/>
      <c r="FO215" s="33"/>
      <c r="FP215" s="33"/>
      <c r="FQ215" s="33"/>
      <c r="FR215" s="33"/>
      <c r="FS215" s="33"/>
      <c r="FT215" s="33"/>
      <c r="FU215" s="33"/>
      <c r="FV215" s="33"/>
      <c r="FW215" s="33"/>
      <c r="FX215" s="33"/>
      <c r="FY215" s="33"/>
      <c r="FZ215" s="33"/>
      <c r="GA215" s="33"/>
      <c r="GB215" s="33"/>
      <c r="GC215" s="33"/>
      <c r="GD215" s="33"/>
      <c r="GE215" s="33"/>
      <c r="GF215" s="33"/>
      <c r="GG215" s="33"/>
      <c r="GH215" s="33"/>
      <c r="GI215" s="33"/>
      <c r="GJ215" s="33"/>
      <c r="GK215" s="33"/>
      <c r="GL215" s="33"/>
      <c r="GM215" s="33"/>
      <c r="GN215" s="33"/>
      <c r="GO215" s="33"/>
      <c r="GP215" s="33"/>
      <c r="GQ215" s="33"/>
      <c r="GR215" s="33"/>
      <c r="GS215" s="33"/>
      <c r="GT215" s="33"/>
      <c r="GU215" s="33"/>
      <c r="GV215" s="33"/>
      <c r="GW215" s="33"/>
      <c r="GX215" s="33"/>
      <c r="GY215" s="33"/>
      <c r="GZ215" s="33"/>
      <c r="HA215" s="33"/>
      <c r="HB215" s="33"/>
      <c r="HC215" s="33"/>
      <c r="HD215" s="33"/>
      <c r="HE215" s="33"/>
      <c r="HF215" s="33"/>
      <c r="HG215" s="33"/>
      <c r="HH215" s="33"/>
    </row>
    <row r="216" spans="1:216" ht="15.75" customHeight="1" x14ac:dyDescent="0.3">
      <c r="A216" s="7"/>
      <c r="B216" s="50"/>
      <c r="C216" s="24" t="s">
        <v>216</v>
      </c>
      <c r="D216" s="49"/>
      <c r="E216" s="9">
        <f>ALASMALANG!V216+'BENELAN KIDUL'!S216+CANTUK!T216+GAMBOR!N216+GUMIRIH!S216+KEMIRI!U216+LEMAHBANGKULON!Q216+PADANG!Q216+SINGOJURUH!AC216+SINGOLATREN!T216+SUMBERBARU!S216</f>
        <v>24</v>
      </c>
      <c r="F216" s="39"/>
      <c r="G216" s="20"/>
      <c r="H216" s="20"/>
      <c r="I216" s="20"/>
      <c r="J216" s="20"/>
      <c r="K216" s="20"/>
      <c r="L216" s="20"/>
      <c r="M216" s="20"/>
      <c r="N216" s="20"/>
      <c r="O216" s="20"/>
      <c r="P216" s="32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  <c r="BV216" s="33"/>
      <c r="BW216" s="33"/>
      <c r="BX216" s="33"/>
      <c r="BY216" s="33"/>
      <c r="BZ216" s="33"/>
      <c r="CA216" s="33"/>
      <c r="CB216" s="33"/>
      <c r="CC216" s="33"/>
      <c r="CD216" s="33"/>
      <c r="CE216" s="33"/>
      <c r="CF216" s="33"/>
      <c r="CG216" s="33"/>
      <c r="CH216" s="33"/>
      <c r="CI216" s="33"/>
      <c r="CJ216" s="33"/>
      <c r="CK216" s="33"/>
      <c r="CL216" s="33"/>
      <c r="CM216" s="33"/>
      <c r="CN216" s="33"/>
      <c r="CO216" s="33"/>
      <c r="CP216" s="33"/>
      <c r="CQ216" s="33"/>
      <c r="CR216" s="33"/>
      <c r="CS216" s="33"/>
      <c r="CT216" s="33"/>
      <c r="CU216" s="33"/>
      <c r="CV216" s="33"/>
      <c r="CW216" s="33"/>
      <c r="CX216" s="33"/>
      <c r="CY216" s="33"/>
      <c r="CZ216" s="33"/>
      <c r="DA216" s="33"/>
      <c r="DB216" s="33"/>
      <c r="DC216" s="33"/>
      <c r="DD216" s="33"/>
      <c r="DE216" s="33"/>
      <c r="DF216" s="33"/>
      <c r="DG216" s="33"/>
      <c r="DH216" s="33"/>
      <c r="DI216" s="33"/>
      <c r="DJ216" s="33"/>
      <c r="DK216" s="33"/>
      <c r="DL216" s="33"/>
      <c r="DM216" s="33"/>
      <c r="DN216" s="33"/>
      <c r="DO216" s="33"/>
      <c r="DP216" s="33"/>
      <c r="DQ216" s="33"/>
      <c r="DR216" s="33"/>
      <c r="DS216" s="33"/>
      <c r="DT216" s="33"/>
      <c r="DU216" s="33"/>
      <c r="DV216" s="33"/>
      <c r="DW216" s="33"/>
      <c r="DX216" s="33"/>
      <c r="DY216" s="33"/>
      <c r="DZ216" s="33"/>
      <c r="EA216" s="33"/>
      <c r="EB216" s="33"/>
      <c r="EC216" s="33"/>
      <c r="ED216" s="33"/>
      <c r="EE216" s="33"/>
      <c r="EF216" s="33"/>
      <c r="EG216" s="33"/>
      <c r="EH216" s="33"/>
      <c r="EI216" s="33"/>
      <c r="EJ216" s="33"/>
      <c r="EK216" s="33"/>
      <c r="EL216" s="33"/>
      <c r="EM216" s="33"/>
      <c r="EN216" s="33"/>
      <c r="EO216" s="33"/>
      <c r="EP216" s="33"/>
      <c r="EQ216" s="33"/>
      <c r="ER216" s="33"/>
      <c r="ES216" s="33"/>
      <c r="ET216" s="33"/>
      <c r="EU216" s="33"/>
      <c r="EV216" s="33"/>
      <c r="EW216" s="33"/>
      <c r="EX216" s="33"/>
      <c r="EY216" s="33"/>
      <c r="EZ216" s="33"/>
      <c r="FA216" s="33"/>
      <c r="FB216" s="33"/>
      <c r="FC216" s="33"/>
      <c r="FD216" s="33"/>
      <c r="FE216" s="33"/>
      <c r="FF216" s="33"/>
      <c r="FG216" s="33"/>
      <c r="FH216" s="33"/>
      <c r="FI216" s="33"/>
      <c r="FJ216" s="33"/>
      <c r="FK216" s="33"/>
      <c r="FL216" s="33"/>
      <c r="FM216" s="33"/>
      <c r="FN216" s="33"/>
      <c r="FO216" s="33"/>
      <c r="FP216" s="33"/>
      <c r="FQ216" s="33"/>
      <c r="FR216" s="33"/>
      <c r="FS216" s="33"/>
      <c r="FT216" s="33"/>
      <c r="FU216" s="33"/>
      <c r="FV216" s="33"/>
      <c r="FW216" s="33"/>
      <c r="FX216" s="33"/>
      <c r="FY216" s="33"/>
      <c r="FZ216" s="33"/>
      <c r="GA216" s="33"/>
      <c r="GB216" s="33"/>
      <c r="GC216" s="33"/>
      <c r="GD216" s="33"/>
      <c r="GE216" s="33"/>
      <c r="GF216" s="33"/>
      <c r="GG216" s="33"/>
      <c r="GH216" s="33"/>
      <c r="GI216" s="33"/>
      <c r="GJ216" s="33"/>
      <c r="GK216" s="33"/>
      <c r="GL216" s="33"/>
      <c r="GM216" s="33"/>
      <c r="GN216" s="33"/>
      <c r="GO216" s="33"/>
      <c r="GP216" s="33"/>
      <c r="GQ216" s="33"/>
      <c r="GR216" s="33"/>
      <c r="GS216" s="33"/>
      <c r="GT216" s="33"/>
      <c r="GU216" s="33"/>
      <c r="GV216" s="33"/>
      <c r="GW216" s="33"/>
      <c r="GX216" s="33"/>
      <c r="GY216" s="33"/>
      <c r="GZ216" s="33"/>
      <c r="HA216" s="33"/>
      <c r="HB216" s="33"/>
      <c r="HC216" s="33"/>
      <c r="HD216" s="33"/>
      <c r="HE216" s="33"/>
      <c r="HF216" s="33"/>
      <c r="HG216" s="33"/>
      <c r="HH216" s="33"/>
    </row>
    <row r="217" spans="1:216" ht="15.75" customHeight="1" x14ac:dyDescent="0.3">
      <c r="A217" s="7"/>
      <c r="B217" s="45"/>
      <c r="C217" s="46"/>
      <c r="D217" s="47"/>
      <c r="E217" s="54"/>
      <c r="F217" s="39"/>
      <c r="G217" s="20"/>
      <c r="H217" s="20"/>
      <c r="I217" s="20"/>
      <c r="J217" s="20"/>
      <c r="K217" s="20"/>
      <c r="L217" s="20"/>
      <c r="M217" s="20"/>
      <c r="N217" s="20"/>
      <c r="O217" s="20"/>
      <c r="P217" s="32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3"/>
      <c r="CA217" s="33"/>
      <c r="CB217" s="33"/>
      <c r="CC217" s="33"/>
      <c r="CD217" s="33"/>
      <c r="CE217" s="33"/>
      <c r="CF217" s="33"/>
      <c r="CG217" s="33"/>
      <c r="CH217" s="33"/>
      <c r="CI217" s="33"/>
      <c r="CJ217" s="33"/>
      <c r="CK217" s="33"/>
      <c r="CL217" s="33"/>
      <c r="CM217" s="33"/>
      <c r="CN217" s="33"/>
      <c r="CO217" s="33"/>
      <c r="CP217" s="33"/>
      <c r="CQ217" s="33"/>
      <c r="CR217" s="33"/>
      <c r="CS217" s="33"/>
      <c r="CT217" s="33"/>
      <c r="CU217" s="33"/>
      <c r="CV217" s="33"/>
      <c r="CW217" s="33"/>
      <c r="CX217" s="33"/>
      <c r="CY217" s="33"/>
      <c r="CZ217" s="33"/>
      <c r="DA217" s="33"/>
      <c r="DB217" s="33"/>
      <c r="DC217" s="33"/>
      <c r="DD217" s="33"/>
      <c r="DE217" s="33"/>
      <c r="DF217" s="33"/>
      <c r="DG217" s="33"/>
      <c r="DH217" s="33"/>
      <c r="DI217" s="33"/>
      <c r="DJ217" s="33"/>
      <c r="DK217" s="33"/>
      <c r="DL217" s="33"/>
      <c r="DM217" s="33"/>
      <c r="DN217" s="33"/>
      <c r="DO217" s="33"/>
      <c r="DP217" s="33"/>
      <c r="DQ217" s="33"/>
      <c r="DR217" s="33"/>
      <c r="DS217" s="33"/>
      <c r="DT217" s="33"/>
      <c r="DU217" s="33"/>
      <c r="DV217" s="33"/>
      <c r="DW217" s="33"/>
      <c r="DX217" s="33"/>
      <c r="DY217" s="33"/>
      <c r="DZ217" s="33"/>
      <c r="EA217" s="33"/>
      <c r="EB217" s="33"/>
      <c r="EC217" s="33"/>
      <c r="ED217" s="33"/>
      <c r="EE217" s="33"/>
      <c r="EF217" s="33"/>
      <c r="EG217" s="33"/>
      <c r="EH217" s="33"/>
      <c r="EI217" s="33"/>
      <c r="EJ217" s="33"/>
      <c r="EK217" s="33"/>
      <c r="EL217" s="33"/>
      <c r="EM217" s="33"/>
      <c r="EN217" s="33"/>
      <c r="EO217" s="33"/>
      <c r="EP217" s="33"/>
      <c r="EQ217" s="33"/>
      <c r="ER217" s="33"/>
      <c r="ES217" s="33"/>
      <c r="ET217" s="33"/>
      <c r="EU217" s="33"/>
      <c r="EV217" s="33"/>
      <c r="EW217" s="33"/>
      <c r="EX217" s="33"/>
      <c r="EY217" s="33"/>
      <c r="EZ217" s="33"/>
      <c r="FA217" s="33"/>
      <c r="FB217" s="33"/>
      <c r="FC217" s="33"/>
      <c r="FD217" s="33"/>
      <c r="FE217" s="33"/>
      <c r="FF217" s="33"/>
      <c r="FG217" s="33"/>
      <c r="FH217" s="33"/>
      <c r="FI217" s="33"/>
      <c r="FJ217" s="33"/>
      <c r="FK217" s="33"/>
      <c r="FL217" s="33"/>
      <c r="FM217" s="33"/>
      <c r="FN217" s="33"/>
      <c r="FO217" s="33"/>
      <c r="FP217" s="33"/>
      <c r="FQ217" s="33"/>
      <c r="FR217" s="33"/>
      <c r="FS217" s="33"/>
      <c r="FT217" s="33"/>
      <c r="FU217" s="33"/>
      <c r="FV217" s="33"/>
      <c r="FW217" s="33"/>
      <c r="FX217" s="33"/>
      <c r="FY217" s="33"/>
      <c r="FZ217" s="33"/>
      <c r="GA217" s="33"/>
      <c r="GB217" s="33"/>
      <c r="GC217" s="33"/>
      <c r="GD217" s="33"/>
      <c r="GE217" s="33"/>
      <c r="GF217" s="33"/>
      <c r="GG217" s="33"/>
      <c r="GH217" s="33"/>
      <c r="GI217" s="33"/>
      <c r="GJ217" s="33"/>
      <c r="GK217" s="33"/>
      <c r="GL217" s="33"/>
      <c r="GM217" s="33"/>
      <c r="GN217" s="33"/>
      <c r="GO217" s="33"/>
      <c r="GP217" s="33"/>
      <c r="GQ217" s="33"/>
      <c r="GR217" s="33"/>
      <c r="GS217" s="33"/>
      <c r="GT217" s="33"/>
      <c r="GU217" s="33"/>
      <c r="GV217" s="33"/>
      <c r="GW217" s="33"/>
      <c r="GX217" s="33"/>
      <c r="GY217" s="33"/>
      <c r="GZ217" s="33"/>
      <c r="HA217" s="33"/>
      <c r="HB217" s="33"/>
      <c r="HC217" s="33"/>
      <c r="HD217" s="33"/>
      <c r="HE217" s="33"/>
      <c r="HF217" s="33"/>
      <c r="HG217" s="33"/>
      <c r="HH217" s="33"/>
    </row>
    <row r="218" spans="1:216" ht="15.75" customHeight="1" x14ac:dyDescent="0.3">
      <c r="A218" s="7"/>
      <c r="B218" s="45"/>
      <c r="C218" s="46"/>
      <c r="D218" s="47"/>
      <c r="E218" s="54"/>
      <c r="F218" s="39"/>
      <c r="G218" s="20"/>
      <c r="H218" s="20"/>
      <c r="I218" s="20"/>
      <c r="J218" s="20"/>
      <c r="K218" s="20"/>
      <c r="L218" s="20"/>
      <c r="M218" s="20"/>
      <c r="N218" s="20"/>
      <c r="O218" s="20"/>
      <c r="P218" s="32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  <c r="BV218" s="33"/>
      <c r="BW218" s="33"/>
      <c r="BX218" s="33"/>
      <c r="BY218" s="33"/>
      <c r="BZ218" s="33"/>
      <c r="CA218" s="33"/>
      <c r="CB218" s="33"/>
      <c r="CC218" s="33"/>
      <c r="CD218" s="33"/>
      <c r="CE218" s="33"/>
      <c r="CF218" s="33"/>
      <c r="CG218" s="33"/>
      <c r="CH218" s="33"/>
      <c r="CI218" s="33"/>
      <c r="CJ218" s="33"/>
      <c r="CK218" s="33"/>
      <c r="CL218" s="33"/>
      <c r="CM218" s="33"/>
      <c r="CN218" s="33"/>
      <c r="CO218" s="33"/>
      <c r="CP218" s="33"/>
      <c r="CQ218" s="33"/>
      <c r="CR218" s="33"/>
      <c r="CS218" s="33"/>
      <c r="CT218" s="33"/>
      <c r="CU218" s="33"/>
      <c r="CV218" s="33"/>
      <c r="CW218" s="33"/>
      <c r="CX218" s="33"/>
      <c r="CY218" s="33"/>
      <c r="CZ218" s="33"/>
      <c r="DA218" s="33"/>
      <c r="DB218" s="33"/>
      <c r="DC218" s="33"/>
      <c r="DD218" s="33"/>
      <c r="DE218" s="33"/>
      <c r="DF218" s="33"/>
      <c r="DG218" s="33"/>
      <c r="DH218" s="33"/>
      <c r="DI218" s="33"/>
      <c r="DJ218" s="33"/>
      <c r="DK218" s="33"/>
      <c r="DL218" s="33"/>
      <c r="DM218" s="33"/>
      <c r="DN218" s="33"/>
      <c r="DO218" s="33"/>
      <c r="DP218" s="33"/>
      <c r="DQ218" s="33"/>
      <c r="DR218" s="33"/>
      <c r="DS218" s="33"/>
      <c r="DT218" s="33"/>
      <c r="DU218" s="33"/>
      <c r="DV218" s="33"/>
      <c r="DW218" s="33"/>
      <c r="DX218" s="33"/>
      <c r="DY218" s="33"/>
      <c r="DZ218" s="33"/>
      <c r="EA218" s="33"/>
      <c r="EB218" s="33"/>
      <c r="EC218" s="33"/>
      <c r="ED218" s="33"/>
      <c r="EE218" s="33"/>
      <c r="EF218" s="33"/>
      <c r="EG218" s="33"/>
      <c r="EH218" s="33"/>
      <c r="EI218" s="33"/>
      <c r="EJ218" s="33"/>
      <c r="EK218" s="33"/>
      <c r="EL218" s="33"/>
      <c r="EM218" s="33"/>
      <c r="EN218" s="33"/>
      <c r="EO218" s="33"/>
      <c r="EP218" s="33"/>
      <c r="EQ218" s="33"/>
      <c r="ER218" s="33"/>
      <c r="ES218" s="33"/>
      <c r="ET218" s="33"/>
      <c r="EU218" s="33"/>
      <c r="EV218" s="33"/>
      <c r="EW218" s="33"/>
      <c r="EX218" s="33"/>
      <c r="EY218" s="33"/>
      <c r="EZ218" s="33"/>
      <c r="FA218" s="33"/>
      <c r="FB218" s="33"/>
      <c r="FC218" s="33"/>
      <c r="FD218" s="33"/>
      <c r="FE218" s="33"/>
      <c r="FF218" s="33"/>
      <c r="FG218" s="33"/>
      <c r="FH218" s="33"/>
      <c r="FI218" s="33"/>
      <c r="FJ218" s="33"/>
      <c r="FK218" s="33"/>
      <c r="FL218" s="33"/>
      <c r="FM218" s="33"/>
      <c r="FN218" s="33"/>
      <c r="FO218" s="33"/>
      <c r="FP218" s="33"/>
      <c r="FQ218" s="33"/>
      <c r="FR218" s="33"/>
      <c r="FS218" s="33"/>
      <c r="FT218" s="33"/>
      <c r="FU218" s="33"/>
      <c r="FV218" s="33"/>
      <c r="FW218" s="33"/>
      <c r="FX218" s="33"/>
      <c r="FY218" s="33"/>
      <c r="FZ218" s="33"/>
      <c r="GA218" s="33"/>
      <c r="GB218" s="33"/>
      <c r="GC218" s="33"/>
      <c r="GD218" s="33"/>
      <c r="GE218" s="33"/>
      <c r="GF218" s="33"/>
      <c r="GG218" s="33"/>
      <c r="GH218" s="33"/>
      <c r="GI218" s="33"/>
      <c r="GJ218" s="33"/>
      <c r="GK218" s="33"/>
      <c r="GL218" s="33"/>
      <c r="GM218" s="33"/>
      <c r="GN218" s="33"/>
      <c r="GO218" s="33"/>
      <c r="GP218" s="33"/>
      <c r="GQ218" s="33"/>
      <c r="GR218" s="33"/>
      <c r="GS218" s="33"/>
      <c r="GT218" s="33"/>
      <c r="GU218" s="33"/>
      <c r="GV218" s="33"/>
      <c r="GW218" s="33"/>
      <c r="GX218" s="33"/>
      <c r="GY218" s="33"/>
      <c r="GZ218" s="33"/>
      <c r="HA218" s="33"/>
      <c r="HB218" s="33"/>
      <c r="HC218" s="33"/>
      <c r="HD218" s="33"/>
      <c r="HE218" s="33"/>
      <c r="HF218" s="33"/>
      <c r="HG218" s="33"/>
      <c r="HH218" s="33"/>
    </row>
    <row r="219" spans="1:216" ht="15.75" customHeight="1" x14ac:dyDescent="0.3">
      <c r="A219" s="7"/>
      <c r="B219" s="45"/>
      <c r="C219" s="46"/>
      <c r="D219" s="47"/>
      <c r="E219" s="54"/>
      <c r="F219" s="39"/>
      <c r="G219" s="20"/>
      <c r="H219" s="20"/>
      <c r="I219" s="20"/>
      <c r="J219" s="20"/>
      <c r="K219" s="20"/>
      <c r="L219" s="20"/>
      <c r="M219" s="20"/>
      <c r="N219" s="20"/>
      <c r="O219" s="20"/>
      <c r="P219" s="32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  <c r="BV219" s="33"/>
      <c r="BW219" s="33"/>
      <c r="BX219" s="33"/>
      <c r="BY219" s="33"/>
      <c r="BZ219" s="33"/>
      <c r="CA219" s="33"/>
      <c r="CB219" s="33"/>
      <c r="CC219" s="33"/>
      <c r="CD219" s="33"/>
      <c r="CE219" s="33"/>
      <c r="CF219" s="33"/>
      <c r="CG219" s="33"/>
      <c r="CH219" s="33"/>
      <c r="CI219" s="33"/>
      <c r="CJ219" s="33"/>
      <c r="CK219" s="33"/>
      <c r="CL219" s="33"/>
      <c r="CM219" s="33"/>
      <c r="CN219" s="33"/>
      <c r="CO219" s="33"/>
      <c r="CP219" s="33"/>
      <c r="CQ219" s="33"/>
      <c r="CR219" s="33"/>
      <c r="CS219" s="33"/>
      <c r="CT219" s="33"/>
      <c r="CU219" s="33"/>
      <c r="CV219" s="33"/>
      <c r="CW219" s="33"/>
      <c r="CX219" s="33"/>
      <c r="CY219" s="33"/>
      <c r="CZ219" s="33"/>
      <c r="DA219" s="33"/>
      <c r="DB219" s="33"/>
      <c r="DC219" s="33"/>
      <c r="DD219" s="33"/>
      <c r="DE219" s="33"/>
      <c r="DF219" s="33"/>
      <c r="DG219" s="33"/>
      <c r="DH219" s="33"/>
      <c r="DI219" s="33"/>
      <c r="DJ219" s="33"/>
      <c r="DK219" s="33"/>
      <c r="DL219" s="33"/>
      <c r="DM219" s="33"/>
      <c r="DN219" s="33"/>
      <c r="DO219" s="33"/>
      <c r="DP219" s="33"/>
      <c r="DQ219" s="33"/>
      <c r="DR219" s="33"/>
      <c r="DS219" s="33"/>
      <c r="DT219" s="33"/>
      <c r="DU219" s="33"/>
      <c r="DV219" s="33"/>
      <c r="DW219" s="33"/>
      <c r="DX219" s="33"/>
      <c r="DY219" s="33"/>
      <c r="DZ219" s="33"/>
      <c r="EA219" s="33"/>
      <c r="EB219" s="33"/>
      <c r="EC219" s="33"/>
      <c r="ED219" s="33"/>
      <c r="EE219" s="33"/>
      <c r="EF219" s="33"/>
      <c r="EG219" s="33"/>
      <c r="EH219" s="33"/>
      <c r="EI219" s="33"/>
      <c r="EJ219" s="33"/>
      <c r="EK219" s="33"/>
      <c r="EL219" s="33"/>
      <c r="EM219" s="33"/>
      <c r="EN219" s="33"/>
      <c r="EO219" s="33"/>
      <c r="EP219" s="33"/>
      <c r="EQ219" s="33"/>
      <c r="ER219" s="33"/>
      <c r="ES219" s="33"/>
      <c r="ET219" s="33"/>
      <c r="EU219" s="33"/>
      <c r="EV219" s="33"/>
      <c r="EW219" s="33"/>
      <c r="EX219" s="33"/>
      <c r="EY219" s="33"/>
      <c r="EZ219" s="33"/>
      <c r="FA219" s="33"/>
      <c r="FB219" s="33"/>
      <c r="FC219" s="33"/>
      <c r="FD219" s="33"/>
      <c r="FE219" s="33"/>
      <c r="FF219" s="33"/>
      <c r="FG219" s="33"/>
      <c r="FH219" s="33"/>
      <c r="FI219" s="33"/>
      <c r="FJ219" s="33"/>
      <c r="FK219" s="33"/>
      <c r="FL219" s="33"/>
      <c r="FM219" s="33"/>
      <c r="FN219" s="33"/>
      <c r="FO219" s="33"/>
      <c r="FP219" s="33"/>
      <c r="FQ219" s="33"/>
      <c r="FR219" s="33"/>
      <c r="FS219" s="33"/>
      <c r="FT219" s="33"/>
      <c r="FU219" s="33"/>
      <c r="FV219" s="33"/>
      <c r="FW219" s="33"/>
      <c r="FX219" s="33"/>
      <c r="FY219" s="33"/>
      <c r="FZ219" s="33"/>
      <c r="GA219" s="33"/>
      <c r="GB219" s="33"/>
      <c r="GC219" s="33"/>
      <c r="GD219" s="33"/>
      <c r="GE219" s="33"/>
      <c r="GF219" s="33"/>
      <c r="GG219" s="33"/>
      <c r="GH219" s="33"/>
      <c r="GI219" s="33"/>
      <c r="GJ219" s="33"/>
      <c r="GK219" s="33"/>
      <c r="GL219" s="33"/>
      <c r="GM219" s="33"/>
      <c r="GN219" s="33"/>
      <c r="GO219" s="33"/>
      <c r="GP219" s="33"/>
      <c r="GQ219" s="33"/>
      <c r="GR219" s="33"/>
      <c r="GS219" s="33"/>
      <c r="GT219" s="33"/>
      <c r="GU219" s="33"/>
      <c r="GV219" s="33"/>
      <c r="GW219" s="33"/>
      <c r="GX219" s="33"/>
      <c r="GY219" s="33"/>
      <c r="GZ219" s="33"/>
      <c r="HA219" s="33"/>
      <c r="HB219" s="33"/>
      <c r="HC219" s="33"/>
      <c r="HD219" s="33"/>
      <c r="HE219" s="33"/>
      <c r="HF219" s="33"/>
      <c r="HG219" s="33"/>
      <c r="HH219" s="33"/>
    </row>
    <row r="220" spans="1:216" ht="15.75" customHeight="1" x14ac:dyDescent="0.3">
      <c r="A220" s="7"/>
      <c r="B220" s="45"/>
      <c r="C220" s="46"/>
      <c r="D220" s="47"/>
      <c r="E220" s="54"/>
      <c r="F220" s="39"/>
      <c r="G220" s="20"/>
      <c r="H220" s="20"/>
      <c r="I220" s="20"/>
      <c r="J220" s="20"/>
      <c r="K220" s="20"/>
      <c r="L220" s="20"/>
      <c r="M220" s="20"/>
      <c r="N220" s="20"/>
      <c r="O220" s="20"/>
      <c r="P220" s="32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  <c r="BW220" s="33"/>
      <c r="BX220" s="33"/>
      <c r="BY220" s="33"/>
      <c r="BZ220" s="33"/>
      <c r="CA220" s="33"/>
      <c r="CB220" s="33"/>
      <c r="CC220" s="33"/>
      <c r="CD220" s="33"/>
      <c r="CE220" s="33"/>
      <c r="CF220" s="33"/>
      <c r="CG220" s="33"/>
      <c r="CH220" s="33"/>
      <c r="CI220" s="33"/>
      <c r="CJ220" s="33"/>
      <c r="CK220" s="33"/>
      <c r="CL220" s="33"/>
      <c r="CM220" s="33"/>
      <c r="CN220" s="33"/>
      <c r="CO220" s="33"/>
      <c r="CP220" s="33"/>
      <c r="CQ220" s="33"/>
      <c r="CR220" s="33"/>
      <c r="CS220" s="33"/>
      <c r="CT220" s="33"/>
      <c r="CU220" s="33"/>
      <c r="CV220" s="33"/>
      <c r="CW220" s="33"/>
      <c r="CX220" s="33"/>
      <c r="CY220" s="33"/>
      <c r="CZ220" s="33"/>
      <c r="DA220" s="33"/>
      <c r="DB220" s="33"/>
      <c r="DC220" s="33"/>
      <c r="DD220" s="33"/>
      <c r="DE220" s="33"/>
      <c r="DF220" s="33"/>
      <c r="DG220" s="33"/>
      <c r="DH220" s="33"/>
      <c r="DI220" s="33"/>
      <c r="DJ220" s="33"/>
      <c r="DK220" s="33"/>
      <c r="DL220" s="33"/>
      <c r="DM220" s="33"/>
      <c r="DN220" s="33"/>
      <c r="DO220" s="33"/>
      <c r="DP220" s="33"/>
      <c r="DQ220" s="33"/>
      <c r="DR220" s="33"/>
      <c r="DS220" s="33"/>
      <c r="DT220" s="33"/>
      <c r="DU220" s="33"/>
      <c r="DV220" s="33"/>
      <c r="DW220" s="33"/>
      <c r="DX220" s="33"/>
      <c r="DY220" s="33"/>
      <c r="DZ220" s="33"/>
      <c r="EA220" s="33"/>
      <c r="EB220" s="33"/>
      <c r="EC220" s="33"/>
      <c r="ED220" s="33"/>
      <c r="EE220" s="33"/>
      <c r="EF220" s="33"/>
      <c r="EG220" s="33"/>
      <c r="EH220" s="33"/>
      <c r="EI220" s="33"/>
      <c r="EJ220" s="33"/>
      <c r="EK220" s="33"/>
      <c r="EL220" s="33"/>
      <c r="EM220" s="33"/>
      <c r="EN220" s="33"/>
      <c r="EO220" s="33"/>
      <c r="EP220" s="33"/>
      <c r="EQ220" s="33"/>
      <c r="ER220" s="33"/>
      <c r="ES220" s="33"/>
      <c r="ET220" s="33"/>
      <c r="EU220" s="33"/>
      <c r="EV220" s="33"/>
      <c r="EW220" s="33"/>
      <c r="EX220" s="33"/>
      <c r="EY220" s="33"/>
      <c r="EZ220" s="33"/>
      <c r="FA220" s="33"/>
      <c r="FB220" s="33"/>
      <c r="FC220" s="33"/>
      <c r="FD220" s="33"/>
      <c r="FE220" s="33"/>
      <c r="FF220" s="33"/>
      <c r="FG220" s="33"/>
      <c r="FH220" s="33"/>
      <c r="FI220" s="33"/>
      <c r="FJ220" s="33"/>
      <c r="FK220" s="33"/>
      <c r="FL220" s="33"/>
      <c r="FM220" s="33"/>
      <c r="FN220" s="33"/>
      <c r="FO220" s="33"/>
      <c r="FP220" s="33"/>
      <c r="FQ220" s="33"/>
      <c r="FR220" s="33"/>
      <c r="FS220" s="33"/>
      <c r="FT220" s="33"/>
      <c r="FU220" s="33"/>
      <c r="FV220" s="33"/>
      <c r="FW220" s="33"/>
      <c r="FX220" s="33"/>
      <c r="FY220" s="33"/>
      <c r="FZ220" s="33"/>
      <c r="GA220" s="33"/>
      <c r="GB220" s="33"/>
      <c r="GC220" s="33"/>
      <c r="GD220" s="33"/>
      <c r="GE220" s="33"/>
      <c r="GF220" s="33"/>
      <c r="GG220" s="33"/>
      <c r="GH220" s="33"/>
      <c r="GI220" s="33"/>
      <c r="GJ220" s="33"/>
      <c r="GK220" s="33"/>
      <c r="GL220" s="33"/>
      <c r="GM220" s="33"/>
      <c r="GN220" s="33"/>
      <c r="GO220" s="33"/>
      <c r="GP220" s="33"/>
      <c r="GQ220" s="33"/>
      <c r="GR220" s="33"/>
      <c r="GS220" s="33"/>
      <c r="GT220" s="33"/>
      <c r="GU220" s="33"/>
      <c r="GV220" s="33"/>
      <c r="GW220" s="33"/>
      <c r="GX220" s="33"/>
      <c r="GY220" s="33"/>
      <c r="GZ220" s="33"/>
      <c r="HA220" s="33"/>
      <c r="HB220" s="33"/>
      <c r="HC220" s="33"/>
      <c r="HD220" s="33"/>
      <c r="HE220" s="33"/>
      <c r="HF220" s="33"/>
      <c r="HG220" s="33"/>
      <c r="HH220" s="33"/>
    </row>
    <row r="221" spans="1:216" ht="15.75" customHeight="1" x14ac:dyDescent="0.3">
      <c r="A221" s="7"/>
      <c r="B221" s="45"/>
      <c r="C221" s="46"/>
      <c r="D221" s="47"/>
      <c r="E221" s="54"/>
      <c r="F221" s="39"/>
      <c r="G221" s="20"/>
      <c r="H221" s="20"/>
      <c r="I221" s="20"/>
      <c r="J221" s="20"/>
      <c r="K221" s="20"/>
      <c r="L221" s="20"/>
      <c r="M221" s="20"/>
      <c r="N221" s="20"/>
      <c r="O221" s="20"/>
      <c r="P221" s="32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  <c r="BV221" s="33"/>
      <c r="BW221" s="33"/>
      <c r="BX221" s="33"/>
      <c r="BY221" s="33"/>
      <c r="BZ221" s="33"/>
      <c r="CA221" s="33"/>
      <c r="CB221" s="33"/>
      <c r="CC221" s="33"/>
      <c r="CD221" s="33"/>
      <c r="CE221" s="33"/>
      <c r="CF221" s="33"/>
      <c r="CG221" s="33"/>
      <c r="CH221" s="33"/>
      <c r="CI221" s="33"/>
      <c r="CJ221" s="33"/>
      <c r="CK221" s="33"/>
      <c r="CL221" s="33"/>
      <c r="CM221" s="33"/>
      <c r="CN221" s="33"/>
      <c r="CO221" s="33"/>
      <c r="CP221" s="33"/>
      <c r="CQ221" s="33"/>
      <c r="CR221" s="33"/>
      <c r="CS221" s="33"/>
      <c r="CT221" s="33"/>
      <c r="CU221" s="33"/>
      <c r="CV221" s="33"/>
      <c r="CW221" s="33"/>
      <c r="CX221" s="33"/>
      <c r="CY221" s="33"/>
      <c r="CZ221" s="33"/>
      <c r="DA221" s="33"/>
      <c r="DB221" s="33"/>
      <c r="DC221" s="33"/>
      <c r="DD221" s="33"/>
      <c r="DE221" s="33"/>
      <c r="DF221" s="33"/>
      <c r="DG221" s="33"/>
      <c r="DH221" s="33"/>
      <c r="DI221" s="33"/>
      <c r="DJ221" s="33"/>
      <c r="DK221" s="33"/>
      <c r="DL221" s="33"/>
      <c r="DM221" s="33"/>
      <c r="DN221" s="33"/>
      <c r="DO221" s="33"/>
      <c r="DP221" s="33"/>
      <c r="DQ221" s="33"/>
      <c r="DR221" s="33"/>
      <c r="DS221" s="33"/>
      <c r="DT221" s="33"/>
      <c r="DU221" s="33"/>
      <c r="DV221" s="33"/>
      <c r="DW221" s="33"/>
      <c r="DX221" s="33"/>
      <c r="DY221" s="33"/>
      <c r="DZ221" s="33"/>
      <c r="EA221" s="33"/>
      <c r="EB221" s="33"/>
      <c r="EC221" s="33"/>
      <c r="ED221" s="33"/>
      <c r="EE221" s="33"/>
      <c r="EF221" s="33"/>
      <c r="EG221" s="33"/>
      <c r="EH221" s="33"/>
      <c r="EI221" s="33"/>
      <c r="EJ221" s="33"/>
      <c r="EK221" s="33"/>
      <c r="EL221" s="33"/>
      <c r="EM221" s="33"/>
      <c r="EN221" s="33"/>
      <c r="EO221" s="33"/>
      <c r="EP221" s="33"/>
      <c r="EQ221" s="33"/>
      <c r="ER221" s="33"/>
      <c r="ES221" s="33"/>
      <c r="ET221" s="33"/>
      <c r="EU221" s="33"/>
      <c r="EV221" s="33"/>
      <c r="EW221" s="33"/>
      <c r="EX221" s="33"/>
      <c r="EY221" s="33"/>
      <c r="EZ221" s="33"/>
      <c r="FA221" s="33"/>
      <c r="FB221" s="33"/>
      <c r="FC221" s="33"/>
      <c r="FD221" s="33"/>
      <c r="FE221" s="33"/>
      <c r="FF221" s="33"/>
      <c r="FG221" s="33"/>
      <c r="FH221" s="33"/>
      <c r="FI221" s="33"/>
      <c r="FJ221" s="33"/>
      <c r="FK221" s="33"/>
      <c r="FL221" s="33"/>
      <c r="FM221" s="33"/>
      <c r="FN221" s="33"/>
      <c r="FO221" s="33"/>
      <c r="FP221" s="33"/>
      <c r="FQ221" s="33"/>
      <c r="FR221" s="33"/>
      <c r="FS221" s="33"/>
      <c r="FT221" s="33"/>
      <c r="FU221" s="33"/>
      <c r="FV221" s="33"/>
      <c r="FW221" s="33"/>
      <c r="FX221" s="33"/>
      <c r="FY221" s="33"/>
      <c r="FZ221" s="33"/>
      <c r="GA221" s="33"/>
      <c r="GB221" s="33"/>
      <c r="GC221" s="33"/>
      <c r="GD221" s="33"/>
      <c r="GE221" s="33"/>
      <c r="GF221" s="33"/>
      <c r="GG221" s="33"/>
      <c r="GH221" s="33"/>
      <c r="GI221" s="33"/>
      <c r="GJ221" s="33"/>
      <c r="GK221" s="33"/>
      <c r="GL221" s="33"/>
      <c r="GM221" s="33"/>
      <c r="GN221" s="33"/>
      <c r="GO221" s="33"/>
      <c r="GP221" s="33"/>
      <c r="GQ221" s="33"/>
      <c r="GR221" s="33"/>
      <c r="GS221" s="33"/>
      <c r="GT221" s="33"/>
      <c r="GU221" s="33"/>
      <c r="GV221" s="33"/>
      <c r="GW221" s="33"/>
      <c r="GX221" s="33"/>
      <c r="GY221" s="33"/>
      <c r="GZ221" s="33"/>
      <c r="HA221" s="33"/>
      <c r="HB221" s="33"/>
      <c r="HC221" s="33"/>
      <c r="HD221" s="33"/>
      <c r="HE221" s="33"/>
      <c r="HF221" s="33"/>
      <c r="HG221" s="33"/>
      <c r="HH221" s="33"/>
    </row>
    <row r="222" spans="1:216" ht="15.75" customHeight="1" x14ac:dyDescent="0.3">
      <c r="A222" s="7"/>
      <c r="B222" s="45"/>
      <c r="C222" s="46"/>
      <c r="D222" s="47"/>
      <c r="E222" s="54"/>
      <c r="F222" s="39"/>
      <c r="G222" s="20"/>
      <c r="H222" s="20"/>
      <c r="I222" s="20"/>
      <c r="J222" s="20"/>
      <c r="K222" s="20"/>
      <c r="L222" s="20"/>
      <c r="M222" s="20"/>
      <c r="N222" s="20"/>
      <c r="O222" s="20"/>
      <c r="P222" s="32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  <c r="BW222" s="33"/>
      <c r="BX222" s="33"/>
      <c r="BY222" s="33"/>
      <c r="BZ222" s="33"/>
      <c r="CA222" s="33"/>
      <c r="CB222" s="33"/>
      <c r="CC222" s="33"/>
      <c r="CD222" s="33"/>
      <c r="CE222" s="33"/>
      <c r="CF222" s="33"/>
      <c r="CG222" s="33"/>
      <c r="CH222" s="33"/>
      <c r="CI222" s="33"/>
      <c r="CJ222" s="33"/>
      <c r="CK222" s="33"/>
      <c r="CL222" s="33"/>
      <c r="CM222" s="33"/>
      <c r="CN222" s="33"/>
      <c r="CO222" s="33"/>
      <c r="CP222" s="33"/>
      <c r="CQ222" s="33"/>
      <c r="CR222" s="33"/>
      <c r="CS222" s="33"/>
      <c r="CT222" s="33"/>
      <c r="CU222" s="33"/>
      <c r="CV222" s="33"/>
      <c r="CW222" s="33"/>
      <c r="CX222" s="33"/>
      <c r="CY222" s="33"/>
      <c r="CZ222" s="33"/>
      <c r="DA222" s="33"/>
      <c r="DB222" s="33"/>
      <c r="DC222" s="33"/>
      <c r="DD222" s="33"/>
      <c r="DE222" s="33"/>
      <c r="DF222" s="33"/>
      <c r="DG222" s="33"/>
      <c r="DH222" s="33"/>
      <c r="DI222" s="33"/>
      <c r="DJ222" s="33"/>
      <c r="DK222" s="33"/>
      <c r="DL222" s="33"/>
      <c r="DM222" s="33"/>
      <c r="DN222" s="33"/>
      <c r="DO222" s="33"/>
      <c r="DP222" s="33"/>
      <c r="DQ222" s="33"/>
      <c r="DR222" s="33"/>
      <c r="DS222" s="33"/>
      <c r="DT222" s="33"/>
      <c r="DU222" s="33"/>
      <c r="DV222" s="33"/>
      <c r="DW222" s="33"/>
      <c r="DX222" s="33"/>
      <c r="DY222" s="33"/>
      <c r="DZ222" s="33"/>
      <c r="EA222" s="33"/>
      <c r="EB222" s="33"/>
      <c r="EC222" s="33"/>
      <c r="ED222" s="33"/>
      <c r="EE222" s="33"/>
      <c r="EF222" s="33"/>
      <c r="EG222" s="33"/>
      <c r="EH222" s="33"/>
      <c r="EI222" s="33"/>
      <c r="EJ222" s="33"/>
      <c r="EK222" s="33"/>
      <c r="EL222" s="33"/>
      <c r="EM222" s="33"/>
      <c r="EN222" s="33"/>
      <c r="EO222" s="33"/>
      <c r="EP222" s="33"/>
      <c r="EQ222" s="33"/>
      <c r="ER222" s="33"/>
      <c r="ES222" s="33"/>
      <c r="ET222" s="33"/>
      <c r="EU222" s="33"/>
      <c r="EV222" s="33"/>
      <c r="EW222" s="33"/>
      <c r="EX222" s="33"/>
      <c r="EY222" s="33"/>
      <c r="EZ222" s="33"/>
      <c r="FA222" s="33"/>
      <c r="FB222" s="33"/>
      <c r="FC222" s="33"/>
      <c r="FD222" s="33"/>
      <c r="FE222" s="33"/>
      <c r="FF222" s="33"/>
      <c r="FG222" s="33"/>
      <c r="FH222" s="33"/>
      <c r="FI222" s="33"/>
      <c r="FJ222" s="33"/>
      <c r="FK222" s="33"/>
      <c r="FL222" s="33"/>
      <c r="FM222" s="33"/>
      <c r="FN222" s="33"/>
      <c r="FO222" s="33"/>
      <c r="FP222" s="33"/>
      <c r="FQ222" s="33"/>
      <c r="FR222" s="33"/>
      <c r="FS222" s="33"/>
      <c r="FT222" s="33"/>
      <c r="FU222" s="33"/>
      <c r="FV222" s="33"/>
      <c r="FW222" s="33"/>
      <c r="FX222" s="33"/>
      <c r="FY222" s="33"/>
      <c r="FZ222" s="33"/>
      <c r="GA222" s="33"/>
      <c r="GB222" s="33"/>
      <c r="GC222" s="33"/>
      <c r="GD222" s="33"/>
      <c r="GE222" s="33"/>
      <c r="GF222" s="33"/>
      <c r="GG222" s="33"/>
      <c r="GH222" s="33"/>
      <c r="GI222" s="33"/>
      <c r="GJ222" s="33"/>
      <c r="GK222" s="33"/>
      <c r="GL222" s="33"/>
      <c r="GM222" s="33"/>
      <c r="GN222" s="33"/>
      <c r="GO222" s="33"/>
      <c r="GP222" s="33"/>
      <c r="GQ222" s="33"/>
      <c r="GR222" s="33"/>
      <c r="GS222" s="33"/>
      <c r="GT222" s="33"/>
      <c r="GU222" s="33"/>
      <c r="GV222" s="33"/>
      <c r="GW222" s="33"/>
      <c r="GX222" s="33"/>
      <c r="GY222" s="33"/>
      <c r="GZ222" s="33"/>
      <c r="HA222" s="33"/>
      <c r="HB222" s="33"/>
      <c r="HC222" s="33"/>
      <c r="HD222" s="33"/>
      <c r="HE222" s="33"/>
      <c r="HF222" s="33"/>
      <c r="HG222" s="33"/>
      <c r="HH222" s="33"/>
    </row>
    <row r="223" spans="1:216" ht="15.75" customHeight="1" x14ac:dyDescent="0.3">
      <c r="A223" s="6" t="s">
        <v>26</v>
      </c>
      <c r="B223" s="84" t="s">
        <v>51</v>
      </c>
      <c r="C223" s="87"/>
      <c r="D223" s="88"/>
      <c r="E223" s="5">
        <f>SUM(E213:E222)</f>
        <v>376</v>
      </c>
      <c r="F223" s="39"/>
      <c r="G223" s="20"/>
      <c r="H223" s="20"/>
      <c r="I223" s="20"/>
      <c r="J223" s="20"/>
      <c r="K223" s="20"/>
      <c r="L223" s="20"/>
      <c r="M223" s="20"/>
      <c r="N223" s="20"/>
      <c r="O223" s="20"/>
      <c r="P223" s="32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  <c r="BV223" s="33"/>
      <c r="BW223" s="33"/>
      <c r="BX223" s="33"/>
      <c r="BY223" s="33"/>
      <c r="BZ223" s="33"/>
      <c r="CA223" s="33"/>
      <c r="CB223" s="33"/>
      <c r="CC223" s="33"/>
      <c r="CD223" s="33"/>
      <c r="CE223" s="33"/>
      <c r="CF223" s="33"/>
      <c r="CG223" s="33"/>
      <c r="CH223" s="33"/>
      <c r="CI223" s="33"/>
      <c r="CJ223" s="33"/>
      <c r="CK223" s="33"/>
      <c r="CL223" s="33"/>
      <c r="CM223" s="33"/>
      <c r="CN223" s="33"/>
      <c r="CO223" s="33"/>
      <c r="CP223" s="33"/>
      <c r="CQ223" s="33"/>
      <c r="CR223" s="33"/>
      <c r="CS223" s="33"/>
      <c r="CT223" s="33"/>
      <c r="CU223" s="33"/>
      <c r="CV223" s="33"/>
      <c r="CW223" s="33"/>
      <c r="CX223" s="33"/>
      <c r="CY223" s="33"/>
      <c r="CZ223" s="33"/>
      <c r="DA223" s="33"/>
      <c r="DB223" s="33"/>
      <c r="DC223" s="33"/>
      <c r="DD223" s="33"/>
      <c r="DE223" s="33"/>
      <c r="DF223" s="33"/>
      <c r="DG223" s="33"/>
      <c r="DH223" s="33"/>
      <c r="DI223" s="33"/>
      <c r="DJ223" s="33"/>
      <c r="DK223" s="33"/>
      <c r="DL223" s="33"/>
      <c r="DM223" s="33"/>
      <c r="DN223" s="33"/>
      <c r="DO223" s="33"/>
      <c r="DP223" s="33"/>
      <c r="DQ223" s="33"/>
      <c r="DR223" s="33"/>
      <c r="DS223" s="33"/>
      <c r="DT223" s="33"/>
      <c r="DU223" s="33"/>
      <c r="DV223" s="33"/>
      <c r="DW223" s="33"/>
      <c r="DX223" s="33"/>
      <c r="DY223" s="33"/>
      <c r="DZ223" s="33"/>
      <c r="EA223" s="33"/>
      <c r="EB223" s="33"/>
      <c r="EC223" s="33"/>
      <c r="ED223" s="33"/>
      <c r="EE223" s="33"/>
      <c r="EF223" s="33"/>
      <c r="EG223" s="33"/>
      <c r="EH223" s="33"/>
      <c r="EI223" s="33"/>
      <c r="EJ223" s="33"/>
      <c r="EK223" s="33"/>
      <c r="EL223" s="33"/>
      <c r="EM223" s="33"/>
      <c r="EN223" s="33"/>
      <c r="EO223" s="33"/>
      <c r="EP223" s="33"/>
      <c r="EQ223" s="33"/>
      <c r="ER223" s="33"/>
      <c r="ES223" s="33"/>
      <c r="ET223" s="33"/>
      <c r="EU223" s="33"/>
      <c r="EV223" s="33"/>
      <c r="EW223" s="33"/>
      <c r="EX223" s="33"/>
      <c r="EY223" s="33"/>
      <c r="EZ223" s="33"/>
      <c r="FA223" s="33"/>
      <c r="FB223" s="33"/>
      <c r="FC223" s="33"/>
      <c r="FD223" s="33"/>
      <c r="FE223" s="33"/>
      <c r="FF223" s="33"/>
      <c r="FG223" s="33"/>
      <c r="FH223" s="33"/>
      <c r="FI223" s="33"/>
      <c r="FJ223" s="33"/>
      <c r="FK223" s="33"/>
      <c r="FL223" s="33"/>
      <c r="FM223" s="33"/>
      <c r="FN223" s="33"/>
      <c r="FO223" s="33"/>
      <c r="FP223" s="33"/>
      <c r="FQ223" s="33"/>
      <c r="FR223" s="33"/>
      <c r="FS223" s="33"/>
      <c r="FT223" s="33"/>
      <c r="FU223" s="33"/>
      <c r="FV223" s="33"/>
      <c r="FW223" s="33"/>
      <c r="FX223" s="33"/>
      <c r="FY223" s="33"/>
      <c r="FZ223" s="33"/>
      <c r="GA223" s="33"/>
      <c r="GB223" s="33"/>
      <c r="GC223" s="33"/>
      <c r="GD223" s="33"/>
      <c r="GE223" s="33"/>
      <c r="GF223" s="33"/>
      <c r="GG223" s="33"/>
      <c r="GH223" s="33"/>
      <c r="GI223" s="33"/>
      <c r="GJ223" s="33"/>
      <c r="GK223" s="33"/>
      <c r="GL223" s="33"/>
      <c r="GM223" s="33"/>
      <c r="GN223" s="33"/>
      <c r="GO223" s="33"/>
      <c r="GP223" s="33"/>
      <c r="GQ223" s="33"/>
      <c r="GR223" s="33"/>
      <c r="GS223" s="33"/>
      <c r="GT223" s="33"/>
      <c r="GU223" s="33"/>
      <c r="GV223" s="33"/>
      <c r="GW223" s="33"/>
      <c r="GX223" s="33"/>
      <c r="GY223" s="33"/>
      <c r="GZ223" s="33"/>
      <c r="HA223" s="33"/>
      <c r="HB223" s="33"/>
      <c r="HC223" s="33"/>
      <c r="HD223" s="33"/>
      <c r="HE223" s="33"/>
      <c r="HF223" s="33"/>
      <c r="HG223" s="33"/>
      <c r="HH223" s="33"/>
    </row>
    <row r="224" spans="1:216" ht="15.75" customHeight="1" x14ac:dyDescent="0.3">
      <c r="A224" s="62"/>
      <c r="B224" s="89"/>
      <c r="C224" s="89"/>
      <c r="D224" s="89"/>
      <c r="E224" s="90"/>
      <c r="F224" s="39"/>
      <c r="G224" s="20"/>
      <c r="H224" s="20"/>
      <c r="I224" s="20"/>
      <c r="J224" s="20"/>
      <c r="K224" s="20"/>
      <c r="L224" s="20"/>
      <c r="M224" s="20"/>
      <c r="N224" s="20"/>
      <c r="O224" s="20"/>
      <c r="P224" s="32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  <c r="BW224" s="33"/>
      <c r="BX224" s="33"/>
      <c r="BY224" s="33"/>
      <c r="BZ224" s="33"/>
      <c r="CA224" s="33"/>
      <c r="CB224" s="33"/>
      <c r="CC224" s="33"/>
      <c r="CD224" s="33"/>
      <c r="CE224" s="33"/>
      <c r="CF224" s="33"/>
      <c r="CG224" s="33"/>
      <c r="CH224" s="33"/>
      <c r="CI224" s="33"/>
      <c r="CJ224" s="33"/>
      <c r="CK224" s="33"/>
      <c r="CL224" s="33"/>
      <c r="CM224" s="33"/>
      <c r="CN224" s="33"/>
      <c r="CO224" s="33"/>
      <c r="CP224" s="33"/>
      <c r="CQ224" s="33"/>
      <c r="CR224" s="33"/>
      <c r="CS224" s="33"/>
      <c r="CT224" s="33"/>
      <c r="CU224" s="33"/>
      <c r="CV224" s="33"/>
      <c r="CW224" s="33"/>
      <c r="CX224" s="33"/>
      <c r="CY224" s="33"/>
      <c r="CZ224" s="33"/>
      <c r="DA224" s="33"/>
      <c r="DB224" s="33"/>
      <c r="DC224" s="33"/>
      <c r="DD224" s="33"/>
      <c r="DE224" s="33"/>
      <c r="DF224" s="33"/>
      <c r="DG224" s="33"/>
      <c r="DH224" s="33"/>
      <c r="DI224" s="33"/>
      <c r="DJ224" s="33"/>
      <c r="DK224" s="33"/>
      <c r="DL224" s="33"/>
      <c r="DM224" s="33"/>
      <c r="DN224" s="33"/>
      <c r="DO224" s="33"/>
      <c r="DP224" s="33"/>
      <c r="DQ224" s="33"/>
      <c r="DR224" s="33"/>
      <c r="DS224" s="33"/>
      <c r="DT224" s="33"/>
      <c r="DU224" s="33"/>
      <c r="DV224" s="33"/>
      <c r="DW224" s="33"/>
      <c r="DX224" s="33"/>
      <c r="DY224" s="33"/>
      <c r="DZ224" s="33"/>
      <c r="EA224" s="33"/>
      <c r="EB224" s="33"/>
      <c r="EC224" s="33"/>
      <c r="ED224" s="33"/>
      <c r="EE224" s="33"/>
      <c r="EF224" s="33"/>
      <c r="EG224" s="33"/>
      <c r="EH224" s="33"/>
      <c r="EI224" s="33"/>
      <c r="EJ224" s="33"/>
      <c r="EK224" s="33"/>
      <c r="EL224" s="33"/>
      <c r="EM224" s="33"/>
      <c r="EN224" s="33"/>
      <c r="EO224" s="33"/>
      <c r="EP224" s="33"/>
      <c r="EQ224" s="33"/>
      <c r="ER224" s="33"/>
      <c r="ES224" s="33"/>
      <c r="ET224" s="33"/>
      <c r="EU224" s="33"/>
      <c r="EV224" s="33"/>
      <c r="EW224" s="33"/>
      <c r="EX224" s="33"/>
      <c r="EY224" s="33"/>
      <c r="EZ224" s="33"/>
      <c r="FA224" s="33"/>
      <c r="FB224" s="33"/>
      <c r="FC224" s="33"/>
      <c r="FD224" s="33"/>
      <c r="FE224" s="33"/>
      <c r="FF224" s="33"/>
      <c r="FG224" s="33"/>
      <c r="FH224" s="33"/>
      <c r="FI224" s="33"/>
      <c r="FJ224" s="33"/>
      <c r="FK224" s="33"/>
      <c r="FL224" s="33"/>
      <c r="FM224" s="33"/>
      <c r="FN224" s="33"/>
      <c r="FO224" s="33"/>
      <c r="FP224" s="33"/>
      <c r="FQ224" s="33"/>
      <c r="FR224" s="33"/>
      <c r="FS224" s="33"/>
      <c r="FT224" s="33"/>
      <c r="FU224" s="33"/>
      <c r="FV224" s="33"/>
      <c r="FW224" s="33"/>
      <c r="FX224" s="33"/>
      <c r="FY224" s="33"/>
      <c r="FZ224" s="33"/>
      <c r="GA224" s="33"/>
      <c r="GB224" s="33"/>
      <c r="GC224" s="33"/>
      <c r="GD224" s="33"/>
      <c r="GE224" s="33"/>
      <c r="GF224" s="33"/>
      <c r="GG224" s="33"/>
      <c r="GH224" s="33"/>
      <c r="GI224" s="33"/>
      <c r="GJ224" s="33"/>
      <c r="GK224" s="33"/>
      <c r="GL224" s="33"/>
      <c r="GM224" s="33"/>
      <c r="GN224" s="33"/>
      <c r="GO224" s="33"/>
      <c r="GP224" s="33"/>
      <c r="GQ224" s="33"/>
      <c r="GR224" s="33"/>
      <c r="GS224" s="33"/>
      <c r="GT224" s="33"/>
      <c r="GU224" s="33"/>
      <c r="GV224" s="33"/>
      <c r="GW224" s="33"/>
      <c r="GX224" s="33"/>
      <c r="GY224" s="33"/>
      <c r="GZ224" s="33"/>
      <c r="HA224" s="33"/>
      <c r="HB224" s="33"/>
      <c r="HC224" s="33"/>
      <c r="HD224" s="33"/>
      <c r="HE224" s="33"/>
      <c r="HF224" s="33"/>
      <c r="HG224" s="33"/>
      <c r="HH224" s="33"/>
    </row>
    <row r="225" spans="1:216" ht="15.75" customHeight="1" x14ac:dyDescent="0.3">
      <c r="A225" s="11" t="s">
        <v>48</v>
      </c>
      <c r="B225" s="17" t="s">
        <v>77</v>
      </c>
      <c r="C225" s="86" t="s">
        <v>78</v>
      </c>
      <c r="D225" s="64"/>
      <c r="E225" s="9">
        <f>ALASMALANG!V225+'BENELAN KIDUL'!S225+CANTUK!T225+GAMBOR!N225+GUMIRIH!S225+KEMIRI!U225+LEMAHBANGKULON!Q225+PADANG!Q225+SINGOJURUH!AC225+SINGOLATREN!T225+SUMBERBARU!S225</f>
        <v>34</v>
      </c>
      <c r="F225" s="40"/>
      <c r="G225" s="1"/>
      <c r="H225" s="1"/>
      <c r="I225" s="1"/>
      <c r="J225" s="1"/>
      <c r="K225" s="1"/>
      <c r="L225" s="1"/>
      <c r="M225" s="1"/>
      <c r="N225" s="1"/>
      <c r="O225" s="1"/>
      <c r="P225" s="34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  <c r="CW225" s="31"/>
      <c r="CX225" s="31"/>
      <c r="CY225" s="31"/>
      <c r="CZ225" s="31"/>
      <c r="DA225" s="31"/>
      <c r="DB225" s="31"/>
      <c r="DC225" s="31"/>
      <c r="DD225" s="31"/>
      <c r="DE225" s="31"/>
      <c r="DF225" s="31"/>
      <c r="DG225" s="31"/>
      <c r="DH225" s="31"/>
      <c r="DI225" s="31"/>
      <c r="DJ225" s="31"/>
      <c r="DK225" s="31"/>
      <c r="DL225" s="31"/>
      <c r="DM225" s="31"/>
      <c r="DN225" s="31"/>
      <c r="DO225" s="31"/>
      <c r="DP225" s="31"/>
      <c r="DQ225" s="31"/>
      <c r="DR225" s="31"/>
      <c r="DS225" s="31"/>
      <c r="DT225" s="31"/>
      <c r="DU225" s="31"/>
      <c r="DV225" s="31"/>
      <c r="DW225" s="31"/>
      <c r="DX225" s="31"/>
      <c r="DY225" s="31"/>
      <c r="DZ225" s="31"/>
      <c r="EA225" s="31"/>
      <c r="EB225" s="31"/>
      <c r="EC225" s="31"/>
      <c r="ED225" s="31"/>
      <c r="EE225" s="31"/>
      <c r="EF225" s="31"/>
      <c r="EG225" s="31"/>
      <c r="EH225" s="31"/>
      <c r="EI225" s="31"/>
      <c r="EJ225" s="31"/>
      <c r="EK225" s="31"/>
      <c r="EL225" s="31"/>
      <c r="EM225" s="31"/>
      <c r="EN225" s="31"/>
      <c r="EO225" s="31"/>
      <c r="EP225" s="31"/>
      <c r="EQ225" s="31"/>
      <c r="ER225" s="31"/>
      <c r="ES225" s="31"/>
      <c r="ET225" s="31"/>
      <c r="EU225" s="31"/>
      <c r="EV225" s="31"/>
      <c r="EW225" s="31"/>
      <c r="EX225" s="31"/>
      <c r="EY225" s="31"/>
      <c r="EZ225" s="31"/>
      <c r="FA225" s="31"/>
      <c r="FB225" s="31"/>
      <c r="FC225" s="31"/>
      <c r="FD225" s="31"/>
      <c r="FE225" s="31"/>
      <c r="FF225" s="31"/>
      <c r="FG225" s="31"/>
      <c r="FH225" s="31"/>
      <c r="FI225" s="31"/>
      <c r="FJ225" s="31"/>
      <c r="FK225" s="31"/>
      <c r="FL225" s="31"/>
      <c r="FM225" s="31"/>
      <c r="FN225" s="31"/>
      <c r="FO225" s="31"/>
      <c r="FP225" s="31"/>
      <c r="FQ225" s="31"/>
      <c r="FR225" s="31"/>
      <c r="FS225" s="31"/>
      <c r="FT225" s="31"/>
      <c r="FU225" s="31"/>
      <c r="FV225" s="31"/>
      <c r="FW225" s="31"/>
      <c r="FX225" s="31"/>
      <c r="FY225" s="31"/>
      <c r="FZ225" s="31"/>
      <c r="GA225" s="31"/>
      <c r="GB225" s="31"/>
      <c r="GC225" s="31"/>
      <c r="GD225" s="31"/>
      <c r="GE225" s="31"/>
      <c r="GF225" s="31"/>
      <c r="GG225" s="31"/>
      <c r="GH225" s="31"/>
      <c r="GI225" s="31"/>
      <c r="GJ225" s="31"/>
      <c r="GK225" s="31"/>
      <c r="GL225" s="31"/>
      <c r="GM225" s="31"/>
      <c r="GN225" s="31"/>
      <c r="GO225" s="31"/>
      <c r="GP225" s="31"/>
      <c r="GQ225" s="31"/>
      <c r="GR225" s="31"/>
      <c r="GS225" s="31"/>
      <c r="GT225" s="31"/>
      <c r="GU225" s="31"/>
      <c r="GV225" s="31"/>
      <c r="GW225" s="31"/>
      <c r="GX225" s="31"/>
      <c r="GY225" s="31"/>
      <c r="GZ225" s="31"/>
      <c r="HA225" s="31"/>
      <c r="HB225" s="31"/>
      <c r="HC225" s="31"/>
      <c r="HD225" s="31"/>
      <c r="HE225" s="31"/>
      <c r="HF225" s="31"/>
      <c r="HG225" s="31"/>
      <c r="HH225" s="31"/>
    </row>
    <row r="226" spans="1:216" ht="15.75" customHeight="1" x14ac:dyDescent="0.3">
      <c r="A226" s="11" t="s">
        <v>50</v>
      </c>
      <c r="B226" s="50"/>
      <c r="C226" s="24" t="s">
        <v>217</v>
      </c>
      <c r="D226" s="49"/>
      <c r="E226" s="9">
        <f>ALASMALANG!V226+'BENELAN KIDUL'!S226+CANTUK!T226+GAMBOR!N226+GUMIRIH!S226+KEMIRI!U226+LEMAHBANGKULON!Q226+PADANG!Q226+SINGOJURUH!AC226+SINGOLATREN!T226+SUMBERBARU!S226</f>
        <v>33</v>
      </c>
      <c r="F226" s="42"/>
      <c r="G226" s="27"/>
      <c r="H226" s="27"/>
      <c r="I226" s="27"/>
      <c r="J226" s="27"/>
      <c r="K226" s="27"/>
      <c r="L226" s="27"/>
      <c r="M226" s="27"/>
      <c r="N226" s="27"/>
      <c r="O226" s="27"/>
      <c r="P226" s="37"/>
      <c r="Q226" s="30"/>
      <c r="R226" s="30"/>
      <c r="S226" s="30"/>
      <c r="T226" s="30"/>
      <c r="U226" s="30"/>
      <c r="V226" s="30"/>
      <c r="W226" s="38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0"/>
      <c r="BM226" s="30"/>
      <c r="BN226" s="30"/>
      <c r="BO226" s="30"/>
      <c r="BP226" s="30"/>
      <c r="BQ226" s="30"/>
      <c r="BR226" s="38"/>
      <c r="BS226" s="30"/>
      <c r="BT226" s="30"/>
      <c r="BU226" s="30"/>
      <c r="BV226" s="30"/>
      <c r="BW226" s="30"/>
      <c r="BX226" s="30"/>
      <c r="BY226" s="30"/>
      <c r="BZ226" s="30"/>
      <c r="CA226" s="38"/>
      <c r="CB226" s="38"/>
      <c r="CC226" s="38"/>
      <c r="CD226" s="38"/>
      <c r="CE226" s="38"/>
      <c r="CF226" s="38"/>
      <c r="CG226" s="38"/>
      <c r="CH226" s="38"/>
      <c r="CI226" s="38"/>
      <c r="CJ226" s="38"/>
      <c r="CK226" s="38"/>
      <c r="CL226" s="38"/>
      <c r="CM226" s="38"/>
      <c r="CN226" s="38"/>
      <c r="CO226" s="38"/>
      <c r="CP226" s="38"/>
      <c r="CQ226" s="38"/>
      <c r="CR226" s="38"/>
      <c r="CS226" s="38"/>
      <c r="CT226" s="38"/>
      <c r="CU226" s="38"/>
      <c r="CV226" s="38"/>
      <c r="CW226" s="38"/>
      <c r="CX226" s="38"/>
      <c r="CY226" s="38"/>
      <c r="CZ226" s="30"/>
      <c r="DA226" s="30"/>
      <c r="DB226" s="30"/>
      <c r="DC226" s="30"/>
      <c r="DD226" s="30"/>
      <c r="DE226" s="30"/>
      <c r="DF226" s="30"/>
      <c r="DG226" s="30"/>
      <c r="DH226" s="30"/>
      <c r="DI226" s="30"/>
      <c r="DJ226" s="30"/>
      <c r="DK226" s="38"/>
      <c r="DL226" s="38"/>
      <c r="DM226" s="38"/>
      <c r="DN226" s="38"/>
      <c r="DO226" s="38"/>
      <c r="DP226" s="38"/>
      <c r="DQ226" s="38"/>
      <c r="DR226" s="38"/>
      <c r="DS226" s="38"/>
      <c r="DT226" s="38"/>
      <c r="DU226" s="38"/>
      <c r="DV226" s="38"/>
      <c r="DW226" s="38"/>
      <c r="DX226" s="38"/>
      <c r="DY226" s="38"/>
      <c r="DZ226" s="38"/>
      <c r="EA226" s="38"/>
      <c r="EB226" s="38"/>
      <c r="EC226" s="38"/>
      <c r="ED226" s="38"/>
      <c r="EE226" s="38"/>
      <c r="EF226" s="38"/>
      <c r="EG226" s="38"/>
      <c r="EH226" s="38"/>
      <c r="EI226" s="38"/>
      <c r="EJ226" s="38"/>
      <c r="EK226" s="38"/>
      <c r="EL226" s="38"/>
      <c r="EM226" s="30"/>
      <c r="EN226" s="30"/>
      <c r="EO226" s="30"/>
      <c r="EP226" s="30"/>
      <c r="EQ226" s="30"/>
      <c r="ER226" s="30"/>
      <c r="ES226" s="30"/>
      <c r="ET226" s="30"/>
      <c r="EU226" s="30"/>
      <c r="EV226" s="30"/>
      <c r="EW226" s="30"/>
      <c r="EX226" s="30"/>
      <c r="EY226" s="38"/>
      <c r="EZ226" s="38"/>
      <c r="FA226" s="38"/>
      <c r="FB226" s="38"/>
      <c r="FC226" s="38"/>
      <c r="FD226" s="38"/>
      <c r="FE226" s="38"/>
      <c r="FF226" s="30"/>
      <c r="FG226" s="30"/>
      <c r="FH226" s="30"/>
      <c r="FI226" s="30"/>
      <c r="FJ226" s="38"/>
      <c r="FK226" s="38"/>
      <c r="FL226" s="38"/>
      <c r="FM226" s="38"/>
      <c r="FN226" s="38"/>
      <c r="FO226" s="38"/>
      <c r="FP226" s="38"/>
      <c r="FQ226" s="38"/>
      <c r="FR226" s="38"/>
      <c r="FS226" s="38"/>
      <c r="FT226" s="38"/>
      <c r="FU226" s="38"/>
      <c r="FV226" s="38"/>
      <c r="FW226" s="38"/>
      <c r="FX226" s="38"/>
      <c r="FY226" s="38"/>
      <c r="FZ226" s="38"/>
      <c r="GA226" s="38"/>
      <c r="GB226" s="38"/>
      <c r="GC226" s="38"/>
      <c r="GD226" s="38"/>
      <c r="GE226" s="38"/>
      <c r="GF226" s="38"/>
      <c r="GG226" s="38"/>
      <c r="GH226" s="38"/>
      <c r="GI226" s="38"/>
      <c r="GJ226" s="38"/>
      <c r="GK226" s="38"/>
      <c r="GL226" s="38"/>
      <c r="GM226" s="38"/>
      <c r="GN226" s="38"/>
      <c r="GO226" s="38"/>
      <c r="GP226" s="38"/>
      <c r="GQ226" s="38"/>
      <c r="GR226" s="38"/>
      <c r="GS226" s="38"/>
      <c r="GT226" s="38"/>
      <c r="GU226" s="38"/>
      <c r="GV226" s="38"/>
      <c r="GW226" s="38"/>
      <c r="GX226" s="38"/>
      <c r="GY226" s="38"/>
      <c r="GZ226" s="38"/>
      <c r="HA226" s="38"/>
      <c r="HB226" s="38"/>
      <c r="HC226" s="38"/>
      <c r="HD226" s="38"/>
      <c r="HE226" s="38"/>
      <c r="HF226" s="38"/>
      <c r="HG226" s="38"/>
      <c r="HH226" s="38"/>
    </row>
    <row r="227" spans="1:216" ht="15.75" customHeight="1" x14ac:dyDescent="0.3">
      <c r="A227" s="7"/>
      <c r="B227" s="50"/>
      <c r="C227" s="24" t="s">
        <v>218</v>
      </c>
      <c r="D227" s="49"/>
      <c r="E227" s="9">
        <f>ALASMALANG!V227+'BENELAN KIDUL'!S227+CANTUK!T227+GAMBOR!N227+GUMIRIH!S227+KEMIRI!U227+LEMAHBANGKULON!Q227+PADANG!Q227+SINGOJURUH!AC227+SINGOLATREN!T227+SUMBERBARU!S227</f>
        <v>6</v>
      </c>
      <c r="F227" s="39"/>
      <c r="G227" s="20"/>
      <c r="H227" s="20"/>
      <c r="I227" s="20"/>
      <c r="J227" s="20"/>
      <c r="K227" s="20"/>
      <c r="L227" s="20"/>
      <c r="M227" s="20"/>
      <c r="N227" s="20"/>
      <c r="O227" s="20"/>
      <c r="P227" s="32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  <c r="BU227" s="33"/>
      <c r="BV227" s="33"/>
      <c r="BW227" s="33"/>
      <c r="BX227" s="33"/>
      <c r="BY227" s="33"/>
      <c r="BZ227" s="33"/>
      <c r="CA227" s="33"/>
      <c r="CB227" s="33"/>
      <c r="CC227" s="33"/>
      <c r="CD227" s="33"/>
      <c r="CE227" s="33"/>
      <c r="CF227" s="33"/>
      <c r="CG227" s="33"/>
      <c r="CH227" s="33"/>
      <c r="CI227" s="33"/>
      <c r="CJ227" s="33"/>
      <c r="CK227" s="33"/>
      <c r="CL227" s="33"/>
      <c r="CM227" s="33"/>
      <c r="CN227" s="33"/>
      <c r="CO227" s="33"/>
      <c r="CP227" s="33"/>
      <c r="CQ227" s="33"/>
      <c r="CR227" s="33"/>
      <c r="CS227" s="33"/>
      <c r="CT227" s="33"/>
      <c r="CU227" s="33"/>
      <c r="CV227" s="33"/>
      <c r="CW227" s="33"/>
      <c r="CX227" s="33"/>
      <c r="CY227" s="33"/>
      <c r="CZ227" s="33"/>
      <c r="DA227" s="33"/>
      <c r="DB227" s="33"/>
      <c r="DC227" s="33"/>
      <c r="DD227" s="33"/>
      <c r="DE227" s="33"/>
      <c r="DF227" s="33"/>
      <c r="DG227" s="33"/>
      <c r="DH227" s="33"/>
      <c r="DI227" s="33"/>
      <c r="DJ227" s="33"/>
      <c r="DK227" s="33"/>
      <c r="DL227" s="33"/>
      <c r="DM227" s="33"/>
      <c r="DN227" s="33"/>
      <c r="DO227" s="33"/>
      <c r="DP227" s="33"/>
      <c r="DQ227" s="33"/>
      <c r="DR227" s="33"/>
      <c r="DS227" s="33"/>
      <c r="DT227" s="33"/>
      <c r="DU227" s="33"/>
      <c r="DV227" s="33"/>
      <c r="DW227" s="33"/>
      <c r="DX227" s="33"/>
      <c r="DY227" s="33"/>
      <c r="DZ227" s="33"/>
      <c r="EA227" s="33"/>
      <c r="EB227" s="33"/>
      <c r="EC227" s="33"/>
      <c r="ED227" s="33"/>
      <c r="EE227" s="33"/>
      <c r="EF227" s="33"/>
      <c r="EG227" s="33"/>
      <c r="EH227" s="33"/>
      <c r="EI227" s="33"/>
      <c r="EJ227" s="33"/>
      <c r="EK227" s="33"/>
      <c r="EL227" s="33"/>
      <c r="EM227" s="33"/>
      <c r="EN227" s="33"/>
      <c r="EO227" s="33"/>
      <c r="EP227" s="33"/>
      <c r="EQ227" s="33"/>
      <c r="ER227" s="33"/>
      <c r="ES227" s="33"/>
      <c r="ET227" s="33"/>
      <c r="EU227" s="33"/>
      <c r="EV227" s="33"/>
      <c r="EW227" s="33"/>
      <c r="EX227" s="33"/>
      <c r="EY227" s="33"/>
      <c r="EZ227" s="33"/>
      <c r="FA227" s="33"/>
      <c r="FB227" s="33"/>
      <c r="FC227" s="33"/>
      <c r="FD227" s="33"/>
      <c r="FE227" s="33"/>
      <c r="FF227" s="33"/>
      <c r="FG227" s="33"/>
      <c r="FH227" s="33"/>
      <c r="FI227" s="33"/>
      <c r="FJ227" s="33"/>
      <c r="FK227" s="33"/>
      <c r="FL227" s="33"/>
      <c r="FM227" s="33"/>
      <c r="FN227" s="33"/>
      <c r="FO227" s="33"/>
      <c r="FP227" s="33"/>
      <c r="FQ227" s="33"/>
      <c r="FR227" s="33"/>
      <c r="FS227" s="33"/>
      <c r="FT227" s="33"/>
      <c r="FU227" s="33"/>
      <c r="FV227" s="33"/>
      <c r="FW227" s="33"/>
      <c r="FX227" s="33"/>
      <c r="FY227" s="33"/>
      <c r="FZ227" s="33"/>
      <c r="GA227" s="33"/>
      <c r="GB227" s="33"/>
      <c r="GC227" s="33"/>
      <c r="GD227" s="33"/>
      <c r="GE227" s="33"/>
      <c r="GF227" s="33"/>
      <c r="GG227" s="33"/>
      <c r="GH227" s="33"/>
      <c r="GI227" s="33"/>
      <c r="GJ227" s="33"/>
      <c r="GK227" s="33"/>
      <c r="GL227" s="33"/>
      <c r="GM227" s="33"/>
      <c r="GN227" s="33"/>
      <c r="GO227" s="33"/>
      <c r="GP227" s="33"/>
      <c r="GQ227" s="33"/>
      <c r="GR227" s="33"/>
      <c r="GS227" s="33"/>
      <c r="GT227" s="33"/>
      <c r="GU227" s="33"/>
      <c r="GV227" s="33"/>
      <c r="GW227" s="33"/>
      <c r="GX227" s="33"/>
      <c r="GY227" s="33"/>
      <c r="GZ227" s="33"/>
      <c r="HA227" s="33"/>
      <c r="HB227" s="33"/>
      <c r="HC227" s="33"/>
      <c r="HD227" s="33"/>
      <c r="HE227" s="33"/>
      <c r="HF227" s="33"/>
      <c r="HG227" s="33"/>
      <c r="HH227" s="33"/>
    </row>
    <row r="228" spans="1:216" ht="15.75" customHeight="1" x14ac:dyDescent="0.3">
      <c r="A228" s="7"/>
      <c r="B228" s="50"/>
      <c r="C228" s="24" t="s">
        <v>219</v>
      </c>
      <c r="D228" s="49"/>
      <c r="E228" s="9">
        <f>ALASMALANG!V228+'BENELAN KIDUL'!S228+CANTUK!T228+GAMBOR!N228+GUMIRIH!S228+KEMIRI!U228+LEMAHBANGKULON!Q228+PADANG!Q228+SINGOJURUH!AC228+SINGOLATREN!T228+SUMBERBARU!S228</f>
        <v>3</v>
      </c>
      <c r="F228" s="39"/>
      <c r="G228" s="20"/>
      <c r="H228" s="20"/>
      <c r="I228" s="20"/>
      <c r="J228" s="20"/>
      <c r="K228" s="20"/>
      <c r="L228" s="20"/>
      <c r="M228" s="20"/>
      <c r="N228" s="20"/>
      <c r="O228" s="20"/>
      <c r="P228" s="32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  <c r="BW228" s="33"/>
      <c r="BX228" s="33"/>
      <c r="BY228" s="33"/>
      <c r="BZ228" s="33"/>
      <c r="CA228" s="33"/>
      <c r="CB228" s="33"/>
      <c r="CC228" s="33"/>
      <c r="CD228" s="33"/>
      <c r="CE228" s="33"/>
      <c r="CF228" s="33"/>
      <c r="CG228" s="33"/>
      <c r="CH228" s="33"/>
      <c r="CI228" s="33"/>
      <c r="CJ228" s="33"/>
      <c r="CK228" s="33"/>
      <c r="CL228" s="33"/>
      <c r="CM228" s="33"/>
      <c r="CN228" s="33"/>
      <c r="CO228" s="33"/>
      <c r="CP228" s="33"/>
      <c r="CQ228" s="33"/>
      <c r="CR228" s="33"/>
      <c r="CS228" s="33"/>
      <c r="CT228" s="33"/>
      <c r="CU228" s="33"/>
      <c r="CV228" s="33"/>
      <c r="CW228" s="33"/>
      <c r="CX228" s="33"/>
      <c r="CY228" s="33"/>
      <c r="CZ228" s="33"/>
      <c r="DA228" s="33"/>
      <c r="DB228" s="33"/>
      <c r="DC228" s="33"/>
      <c r="DD228" s="33"/>
      <c r="DE228" s="33"/>
      <c r="DF228" s="33"/>
      <c r="DG228" s="33"/>
      <c r="DH228" s="33"/>
      <c r="DI228" s="33"/>
      <c r="DJ228" s="33"/>
      <c r="DK228" s="33"/>
      <c r="DL228" s="33"/>
      <c r="DM228" s="33"/>
      <c r="DN228" s="33"/>
      <c r="DO228" s="33"/>
      <c r="DP228" s="33"/>
      <c r="DQ228" s="33"/>
      <c r="DR228" s="33"/>
      <c r="DS228" s="33"/>
      <c r="DT228" s="33"/>
      <c r="DU228" s="33"/>
      <c r="DV228" s="33"/>
      <c r="DW228" s="33"/>
      <c r="DX228" s="33"/>
      <c r="DY228" s="33"/>
      <c r="DZ228" s="33"/>
      <c r="EA228" s="33"/>
      <c r="EB228" s="33"/>
      <c r="EC228" s="33"/>
      <c r="ED228" s="33"/>
      <c r="EE228" s="33"/>
      <c r="EF228" s="33"/>
      <c r="EG228" s="33"/>
      <c r="EH228" s="33"/>
      <c r="EI228" s="33"/>
      <c r="EJ228" s="33"/>
      <c r="EK228" s="33"/>
      <c r="EL228" s="33"/>
      <c r="EM228" s="33"/>
      <c r="EN228" s="33"/>
      <c r="EO228" s="33"/>
      <c r="EP228" s="33"/>
      <c r="EQ228" s="33"/>
      <c r="ER228" s="33"/>
      <c r="ES228" s="33"/>
      <c r="ET228" s="33"/>
      <c r="EU228" s="33"/>
      <c r="EV228" s="33"/>
      <c r="EW228" s="33"/>
      <c r="EX228" s="33"/>
      <c r="EY228" s="33"/>
      <c r="EZ228" s="33"/>
      <c r="FA228" s="33"/>
      <c r="FB228" s="33"/>
      <c r="FC228" s="33"/>
      <c r="FD228" s="33"/>
      <c r="FE228" s="33"/>
      <c r="FF228" s="33"/>
      <c r="FG228" s="33"/>
      <c r="FH228" s="33"/>
      <c r="FI228" s="33"/>
      <c r="FJ228" s="33"/>
      <c r="FK228" s="33"/>
      <c r="FL228" s="33"/>
      <c r="FM228" s="33"/>
      <c r="FN228" s="33"/>
      <c r="FO228" s="33"/>
      <c r="FP228" s="33"/>
      <c r="FQ228" s="33"/>
      <c r="FR228" s="33"/>
      <c r="FS228" s="33"/>
      <c r="FT228" s="33"/>
      <c r="FU228" s="33"/>
      <c r="FV228" s="33"/>
      <c r="FW228" s="33"/>
      <c r="FX228" s="33"/>
      <c r="FY228" s="33"/>
      <c r="FZ228" s="33"/>
      <c r="GA228" s="33"/>
      <c r="GB228" s="33"/>
      <c r="GC228" s="33"/>
      <c r="GD228" s="33"/>
      <c r="GE228" s="33"/>
      <c r="GF228" s="33"/>
      <c r="GG228" s="33"/>
      <c r="GH228" s="33"/>
      <c r="GI228" s="33"/>
      <c r="GJ228" s="33"/>
      <c r="GK228" s="33"/>
      <c r="GL228" s="33"/>
      <c r="GM228" s="33"/>
      <c r="GN228" s="33"/>
      <c r="GO228" s="33"/>
      <c r="GP228" s="33"/>
      <c r="GQ228" s="33"/>
      <c r="GR228" s="33"/>
      <c r="GS228" s="33"/>
      <c r="GT228" s="33"/>
      <c r="GU228" s="33"/>
      <c r="GV228" s="33"/>
      <c r="GW228" s="33"/>
      <c r="GX228" s="33"/>
      <c r="GY228" s="33"/>
      <c r="GZ228" s="33"/>
      <c r="HA228" s="33"/>
      <c r="HB228" s="33"/>
      <c r="HC228" s="33"/>
      <c r="HD228" s="33"/>
      <c r="HE228" s="33"/>
      <c r="HF228" s="33"/>
      <c r="HG228" s="33"/>
      <c r="HH228" s="33"/>
    </row>
    <row r="229" spans="1:216" ht="15.75" customHeight="1" x14ac:dyDescent="0.3">
      <c r="A229" s="7"/>
      <c r="B229" s="50"/>
      <c r="C229" s="24" t="s">
        <v>220</v>
      </c>
      <c r="D229" s="49"/>
      <c r="E229" s="9">
        <f>ALASMALANG!V229+'BENELAN KIDUL'!S229+CANTUK!T229+GAMBOR!N229+GUMIRIH!S229+KEMIRI!U229+LEMAHBANGKULON!Q229+PADANG!Q229+SINGOJURUH!AC229+SINGOLATREN!T229+SUMBERBARU!S229</f>
        <v>4</v>
      </c>
      <c r="F229" s="39"/>
      <c r="G229" s="20"/>
      <c r="H229" s="20"/>
      <c r="I229" s="20"/>
      <c r="J229" s="20"/>
      <c r="K229" s="20"/>
      <c r="L229" s="20"/>
      <c r="M229" s="20"/>
      <c r="N229" s="20"/>
      <c r="O229" s="20"/>
      <c r="P229" s="32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T229" s="33"/>
      <c r="BU229" s="33"/>
      <c r="BV229" s="33"/>
      <c r="BW229" s="33"/>
      <c r="BX229" s="33"/>
      <c r="BY229" s="33"/>
      <c r="BZ229" s="33"/>
      <c r="CA229" s="33"/>
      <c r="CB229" s="33"/>
      <c r="CC229" s="33"/>
      <c r="CD229" s="33"/>
      <c r="CE229" s="33"/>
      <c r="CF229" s="33"/>
      <c r="CG229" s="33"/>
      <c r="CH229" s="33"/>
      <c r="CI229" s="33"/>
      <c r="CJ229" s="33"/>
      <c r="CK229" s="33"/>
      <c r="CL229" s="33"/>
      <c r="CM229" s="33"/>
      <c r="CN229" s="33"/>
      <c r="CO229" s="33"/>
      <c r="CP229" s="33"/>
      <c r="CQ229" s="33"/>
      <c r="CR229" s="33"/>
      <c r="CS229" s="33"/>
      <c r="CT229" s="33"/>
      <c r="CU229" s="33"/>
      <c r="CV229" s="33"/>
      <c r="CW229" s="33"/>
      <c r="CX229" s="33"/>
      <c r="CY229" s="33"/>
      <c r="CZ229" s="33"/>
      <c r="DA229" s="33"/>
      <c r="DB229" s="33"/>
      <c r="DC229" s="33"/>
      <c r="DD229" s="33"/>
      <c r="DE229" s="33"/>
      <c r="DF229" s="33"/>
      <c r="DG229" s="33"/>
      <c r="DH229" s="33"/>
      <c r="DI229" s="33"/>
      <c r="DJ229" s="33"/>
      <c r="DK229" s="33"/>
      <c r="DL229" s="33"/>
      <c r="DM229" s="33"/>
      <c r="DN229" s="33"/>
      <c r="DO229" s="33"/>
      <c r="DP229" s="33"/>
      <c r="DQ229" s="33"/>
      <c r="DR229" s="33"/>
      <c r="DS229" s="33"/>
      <c r="DT229" s="33"/>
      <c r="DU229" s="33"/>
      <c r="DV229" s="33"/>
      <c r="DW229" s="33"/>
      <c r="DX229" s="33"/>
      <c r="DY229" s="33"/>
      <c r="DZ229" s="33"/>
      <c r="EA229" s="33"/>
      <c r="EB229" s="33"/>
      <c r="EC229" s="33"/>
      <c r="ED229" s="33"/>
      <c r="EE229" s="33"/>
      <c r="EF229" s="33"/>
      <c r="EG229" s="33"/>
      <c r="EH229" s="33"/>
      <c r="EI229" s="33"/>
      <c r="EJ229" s="33"/>
      <c r="EK229" s="33"/>
      <c r="EL229" s="33"/>
      <c r="EM229" s="33"/>
      <c r="EN229" s="33"/>
      <c r="EO229" s="33"/>
      <c r="EP229" s="33"/>
      <c r="EQ229" s="33"/>
      <c r="ER229" s="33"/>
      <c r="ES229" s="33"/>
      <c r="ET229" s="33"/>
      <c r="EU229" s="33"/>
      <c r="EV229" s="33"/>
      <c r="EW229" s="33"/>
      <c r="EX229" s="33"/>
      <c r="EY229" s="33"/>
      <c r="EZ229" s="33"/>
      <c r="FA229" s="33"/>
      <c r="FB229" s="33"/>
      <c r="FC229" s="33"/>
      <c r="FD229" s="33"/>
      <c r="FE229" s="33"/>
      <c r="FF229" s="33"/>
      <c r="FG229" s="33"/>
      <c r="FH229" s="33"/>
      <c r="FI229" s="33"/>
      <c r="FJ229" s="33"/>
      <c r="FK229" s="33"/>
      <c r="FL229" s="33"/>
      <c r="FM229" s="33"/>
      <c r="FN229" s="33"/>
      <c r="FO229" s="33"/>
      <c r="FP229" s="33"/>
      <c r="FQ229" s="33"/>
      <c r="FR229" s="33"/>
      <c r="FS229" s="33"/>
      <c r="FT229" s="33"/>
      <c r="FU229" s="33"/>
      <c r="FV229" s="33"/>
      <c r="FW229" s="33"/>
      <c r="FX229" s="33"/>
      <c r="FY229" s="33"/>
      <c r="FZ229" s="33"/>
      <c r="GA229" s="33"/>
      <c r="GB229" s="33"/>
      <c r="GC229" s="33"/>
      <c r="GD229" s="33"/>
      <c r="GE229" s="33"/>
      <c r="GF229" s="33"/>
      <c r="GG229" s="33"/>
      <c r="GH229" s="33"/>
      <c r="GI229" s="33"/>
      <c r="GJ229" s="33"/>
      <c r="GK229" s="33"/>
      <c r="GL229" s="33"/>
      <c r="GM229" s="33"/>
      <c r="GN229" s="33"/>
      <c r="GO229" s="33"/>
      <c r="GP229" s="33"/>
      <c r="GQ229" s="33"/>
      <c r="GR229" s="33"/>
      <c r="GS229" s="33"/>
      <c r="GT229" s="33"/>
      <c r="GU229" s="33"/>
      <c r="GV229" s="33"/>
      <c r="GW229" s="33"/>
      <c r="GX229" s="33"/>
      <c r="GY229" s="33"/>
      <c r="GZ229" s="33"/>
      <c r="HA229" s="33"/>
      <c r="HB229" s="33"/>
      <c r="HC229" s="33"/>
      <c r="HD229" s="33"/>
      <c r="HE229" s="33"/>
      <c r="HF229" s="33"/>
      <c r="HG229" s="33"/>
      <c r="HH229" s="33"/>
    </row>
    <row r="230" spans="1:216" ht="15.75" customHeight="1" x14ac:dyDescent="0.3">
      <c r="A230" s="7"/>
      <c r="B230" s="45"/>
      <c r="C230" s="46"/>
      <c r="D230" s="48"/>
      <c r="E230" s="54"/>
      <c r="F230" s="39"/>
      <c r="G230" s="20"/>
      <c r="H230" s="20"/>
      <c r="I230" s="20"/>
      <c r="J230" s="20"/>
      <c r="K230" s="20"/>
      <c r="L230" s="20"/>
      <c r="M230" s="20"/>
      <c r="N230" s="20"/>
      <c r="O230" s="20"/>
      <c r="P230" s="32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T230" s="33"/>
      <c r="BU230" s="33"/>
      <c r="BV230" s="33"/>
      <c r="BW230" s="33"/>
      <c r="BX230" s="33"/>
      <c r="BY230" s="33"/>
      <c r="BZ230" s="33"/>
      <c r="CA230" s="33"/>
      <c r="CB230" s="33"/>
      <c r="CC230" s="33"/>
      <c r="CD230" s="33"/>
      <c r="CE230" s="33"/>
      <c r="CF230" s="33"/>
      <c r="CG230" s="33"/>
      <c r="CH230" s="33"/>
      <c r="CI230" s="33"/>
      <c r="CJ230" s="33"/>
      <c r="CK230" s="33"/>
      <c r="CL230" s="33"/>
      <c r="CM230" s="33"/>
      <c r="CN230" s="33"/>
      <c r="CO230" s="33"/>
      <c r="CP230" s="33"/>
      <c r="CQ230" s="33"/>
      <c r="CR230" s="33"/>
      <c r="CS230" s="33"/>
      <c r="CT230" s="33"/>
      <c r="CU230" s="33"/>
      <c r="CV230" s="33"/>
      <c r="CW230" s="33"/>
      <c r="CX230" s="33"/>
      <c r="CY230" s="33"/>
      <c r="CZ230" s="33"/>
      <c r="DA230" s="33"/>
      <c r="DB230" s="33"/>
      <c r="DC230" s="33"/>
      <c r="DD230" s="33"/>
      <c r="DE230" s="33"/>
      <c r="DF230" s="33"/>
      <c r="DG230" s="33"/>
      <c r="DH230" s="33"/>
      <c r="DI230" s="33"/>
      <c r="DJ230" s="33"/>
      <c r="DK230" s="33"/>
      <c r="DL230" s="33"/>
      <c r="DM230" s="33"/>
      <c r="DN230" s="33"/>
      <c r="DO230" s="33"/>
      <c r="DP230" s="33"/>
      <c r="DQ230" s="33"/>
      <c r="DR230" s="33"/>
      <c r="DS230" s="33"/>
      <c r="DT230" s="33"/>
      <c r="DU230" s="33"/>
      <c r="DV230" s="33"/>
      <c r="DW230" s="33"/>
      <c r="DX230" s="33"/>
      <c r="DY230" s="33"/>
      <c r="DZ230" s="33"/>
      <c r="EA230" s="33"/>
      <c r="EB230" s="33"/>
      <c r="EC230" s="33"/>
      <c r="ED230" s="33"/>
      <c r="EE230" s="33"/>
      <c r="EF230" s="33"/>
      <c r="EG230" s="33"/>
      <c r="EH230" s="33"/>
      <c r="EI230" s="33"/>
      <c r="EJ230" s="33"/>
      <c r="EK230" s="33"/>
      <c r="EL230" s="33"/>
      <c r="EM230" s="33"/>
      <c r="EN230" s="33"/>
      <c r="EO230" s="33"/>
      <c r="EP230" s="33"/>
      <c r="EQ230" s="33"/>
      <c r="ER230" s="33"/>
      <c r="ES230" s="33"/>
      <c r="ET230" s="33"/>
      <c r="EU230" s="33"/>
      <c r="EV230" s="33"/>
      <c r="EW230" s="33"/>
      <c r="EX230" s="33"/>
      <c r="EY230" s="33"/>
      <c r="EZ230" s="33"/>
      <c r="FA230" s="33"/>
      <c r="FB230" s="33"/>
      <c r="FC230" s="33"/>
      <c r="FD230" s="33"/>
      <c r="FE230" s="33"/>
      <c r="FF230" s="33"/>
      <c r="FG230" s="33"/>
      <c r="FH230" s="33"/>
      <c r="FI230" s="33"/>
      <c r="FJ230" s="33"/>
      <c r="FK230" s="33"/>
      <c r="FL230" s="33"/>
      <c r="FM230" s="33"/>
      <c r="FN230" s="33"/>
      <c r="FO230" s="33"/>
      <c r="FP230" s="33"/>
      <c r="FQ230" s="33"/>
      <c r="FR230" s="33"/>
      <c r="FS230" s="33"/>
      <c r="FT230" s="33"/>
      <c r="FU230" s="33"/>
      <c r="FV230" s="33"/>
      <c r="FW230" s="33"/>
      <c r="FX230" s="33"/>
      <c r="FY230" s="33"/>
      <c r="FZ230" s="33"/>
      <c r="GA230" s="33"/>
      <c r="GB230" s="33"/>
      <c r="GC230" s="33"/>
      <c r="GD230" s="33"/>
      <c r="GE230" s="33"/>
      <c r="GF230" s="33"/>
      <c r="GG230" s="33"/>
      <c r="GH230" s="33"/>
      <c r="GI230" s="33"/>
      <c r="GJ230" s="33"/>
      <c r="GK230" s="33"/>
      <c r="GL230" s="33"/>
      <c r="GM230" s="33"/>
      <c r="GN230" s="33"/>
      <c r="GO230" s="33"/>
      <c r="GP230" s="33"/>
      <c r="GQ230" s="33"/>
      <c r="GR230" s="33"/>
      <c r="GS230" s="33"/>
      <c r="GT230" s="33"/>
      <c r="GU230" s="33"/>
      <c r="GV230" s="33"/>
      <c r="GW230" s="33"/>
      <c r="GX230" s="33"/>
      <c r="GY230" s="33"/>
      <c r="GZ230" s="33"/>
      <c r="HA230" s="33"/>
      <c r="HB230" s="33"/>
      <c r="HC230" s="33"/>
      <c r="HD230" s="33"/>
      <c r="HE230" s="33"/>
      <c r="HF230" s="33"/>
      <c r="HG230" s="33"/>
      <c r="HH230" s="33"/>
    </row>
    <row r="231" spans="1:216" ht="15.75" customHeight="1" x14ac:dyDescent="0.3">
      <c r="A231" s="7"/>
      <c r="B231" s="45"/>
      <c r="C231" s="46"/>
      <c r="D231" s="48"/>
      <c r="E231" s="54"/>
      <c r="F231" s="39"/>
      <c r="G231" s="20"/>
      <c r="H231" s="20"/>
      <c r="I231" s="20"/>
      <c r="J231" s="20"/>
      <c r="K231" s="20"/>
      <c r="L231" s="20"/>
      <c r="M231" s="20"/>
      <c r="N231" s="20"/>
      <c r="O231" s="20"/>
      <c r="P231" s="32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T231" s="33"/>
      <c r="BU231" s="33"/>
      <c r="BV231" s="33"/>
      <c r="BW231" s="33"/>
      <c r="BX231" s="33"/>
      <c r="BY231" s="33"/>
      <c r="BZ231" s="33"/>
      <c r="CA231" s="33"/>
      <c r="CB231" s="33"/>
      <c r="CC231" s="33"/>
      <c r="CD231" s="33"/>
      <c r="CE231" s="33"/>
      <c r="CF231" s="33"/>
      <c r="CG231" s="33"/>
      <c r="CH231" s="33"/>
      <c r="CI231" s="33"/>
      <c r="CJ231" s="33"/>
      <c r="CK231" s="33"/>
      <c r="CL231" s="33"/>
      <c r="CM231" s="33"/>
      <c r="CN231" s="33"/>
      <c r="CO231" s="33"/>
      <c r="CP231" s="33"/>
      <c r="CQ231" s="33"/>
      <c r="CR231" s="33"/>
      <c r="CS231" s="33"/>
      <c r="CT231" s="33"/>
      <c r="CU231" s="33"/>
      <c r="CV231" s="33"/>
      <c r="CW231" s="33"/>
      <c r="CX231" s="33"/>
      <c r="CY231" s="33"/>
      <c r="CZ231" s="33"/>
      <c r="DA231" s="33"/>
      <c r="DB231" s="33"/>
      <c r="DC231" s="33"/>
      <c r="DD231" s="33"/>
      <c r="DE231" s="33"/>
      <c r="DF231" s="33"/>
      <c r="DG231" s="33"/>
      <c r="DH231" s="33"/>
      <c r="DI231" s="33"/>
      <c r="DJ231" s="33"/>
      <c r="DK231" s="33"/>
      <c r="DL231" s="33"/>
      <c r="DM231" s="33"/>
      <c r="DN231" s="33"/>
      <c r="DO231" s="33"/>
      <c r="DP231" s="33"/>
      <c r="DQ231" s="33"/>
      <c r="DR231" s="33"/>
      <c r="DS231" s="33"/>
      <c r="DT231" s="33"/>
      <c r="DU231" s="33"/>
      <c r="DV231" s="33"/>
      <c r="DW231" s="33"/>
      <c r="DX231" s="33"/>
      <c r="DY231" s="33"/>
      <c r="DZ231" s="33"/>
      <c r="EA231" s="33"/>
      <c r="EB231" s="33"/>
      <c r="EC231" s="33"/>
      <c r="ED231" s="33"/>
      <c r="EE231" s="33"/>
      <c r="EF231" s="33"/>
      <c r="EG231" s="33"/>
      <c r="EH231" s="33"/>
      <c r="EI231" s="33"/>
      <c r="EJ231" s="33"/>
      <c r="EK231" s="33"/>
      <c r="EL231" s="33"/>
      <c r="EM231" s="33"/>
      <c r="EN231" s="33"/>
      <c r="EO231" s="33"/>
      <c r="EP231" s="33"/>
      <c r="EQ231" s="33"/>
      <c r="ER231" s="33"/>
      <c r="ES231" s="33"/>
      <c r="ET231" s="33"/>
      <c r="EU231" s="33"/>
      <c r="EV231" s="33"/>
      <c r="EW231" s="33"/>
      <c r="EX231" s="33"/>
      <c r="EY231" s="33"/>
      <c r="EZ231" s="33"/>
      <c r="FA231" s="33"/>
      <c r="FB231" s="33"/>
      <c r="FC231" s="33"/>
      <c r="FD231" s="33"/>
      <c r="FE231" s="33"/>
      <c r="FF231" s="33"/>
      <c r="FG231" s="33"/>
      <c r="FH231" s="33"/>
      <c r="FI231" s="33"/>
      <c r="FJ231" s="33"/>
      <c r="FK231" s="33"/>
      <c r="FL231" s="33"/>
      <c r="FM231" s="33"/>
      <c r="FN231" s="33"/>
      <c r="FO231" s="33"/>
      <c r="FP231" s="33"/>
      <c r="FQ231" s="33"/>
      <c r="FR231" s="33"/>
      <c r="FS231" s="33"/>
      <c r="FT231" s="33"/>
      <c r="FU231" s="33"/>
      <c r="FV231" s="33"/>
      <c r="FW231" s="33"/>
      <c r="FX231" s="33"/>
      <c r="FY231" s="33"/>
      <c r="FZ231" s="33"/>
      <c r="GA231" s="33"/>
      <c r="GB231" s="33"/>
      <c r="GC231" s="33"/>
      <c r="GD231" s="33"/>
      <c r="GE231" s="33"/>
      <c r="GF231" s="33"/>
      <c r="GG231" s="33"/>
      <c r="GH231" s="33"/>
      <c r="GI231" s="33"/>
      <c r="GJ231" s="33"/>
      <c r="GK231" s="33"/>
      <c r="GL231" s="33"/>
      <c r="GM231" s="33"/>
      <c r="GN231" s="33"/>
      <c r="GO231" s="33"/>
      <c r="GP231" s="33"/>
      <c r="GQ231" s="33"/>
      <c r="GR231" s="33"/>
      <c r="GS231" s="33"/>
      <c r="GT231" s="33"/>
      <c r="GU231" s="33"/>
      <c r="GV231" s="33"/>
      <c r="GW231" s="33"/>
      <c r="GX231" s="33"/>
      <c r="GY231" s="33"/>
      <c r="GZ231" s="33"/>
      <c r="HA231" s="33"/>
      <c r="HB231" s="33"/>
      <c r="HC231" s="33"/>
      <c r="HD231" s="33"/>
      <c r="HE231" s="33"/>
      <c r="HF231" s="33"/>
      <c r="HG231" s="33"/>
      <c r="HH231" s="33"/>
    </row>
    <row r="232" spans="1:216" ht="15.75" customHeight="1" x14ac:dyDescent="0.3">
      <c r="A232" s="7"/>
      <c r="B232" s="45"/>
      <c r="C232" s="46"/>
      <c r="D232" s="48"/>
      <c r="E232" s="54"/>
      <c r="F232" s="39"/>
      <c r="G232" s="20"/>
      <c r="H232" s="20"/>
      <c r="I232" s="20"/>
      <c r="J232" s="20"/>
      <c r="K232" s="20"/>
      <c r="L232" s="20"/>
      <c r="M232" s="20"/>
      <c r="N232" s="20"/>
      <c r="O232" s="20"/>
      <c r="P232" s="32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  <c r="BV232" s="33"/>
      <c r="BW232" s="33"/>
      <c r="BX232" s="33"/>
      <c r="BY232" s="33"/>
      <c r="BZ232" s="33"/>
      <c r="CA232" s="33"/>
      <c r="CB232" s="33"/>
      <c r="CC232" s="33"/>
      <c r="CD232" s="33"/>
      <c r="CE232" s="33"/>
      <c r="CF232" s="33"/>
      <c r="CG232" s="33"/>
      <c r="CH232" s="33"/>
      <c r="CI232" s="33"/>
      <c r="CJ232" s="33"/>
      <c r="CK232" s="33"/>
      <c r="CL232" s="33"/>
      <c r="CM232" s="33"/>
      <c r="CN232" s="33"/>
      <c r="CO232" s="33"/>
      <c r="CP232" s="33"/>
      <c r="CQ232" s="33"/>
      <c r="CR232" s="33"/>
      <c r="CS232" s="33"/>
      <c r="CT232" s="33"/>
      <c r="CU232" s="33"/>
      <c r="CV232" s="33"/>
      <c r="CW232" s="33"/>
      <c r="CX232" s="33"/>
      <c r="CY232" s="33"/>
      <c r="CZ232" s="33"/>
      <c r="DA232" s="33"/>
      <c r="DB232" s="33"/>
      <c r="DC232" s="33"/>
      <c r="DD232" s="33"/>
      <c r="DE232" s="33"/>
      <c r="DF232" s="33"/>
      <c r="DG232" s="33"/>
      <c r="DH232" s="33"/>
      <c r="DI232" s="33"/>
      <c r="DJ232" s="33"/>
      <c r="DK232" s="33"/>
      <c r="DL232" s="33"/>
      <c r="DM232" s="33"/>
      <c r="DN232" s="33"/>
      <c r="DO232" s="33"/>
      <c r="DP232" s="33"/>
      <c r="DQ232" s="33"/>
      <c r="DR232" s="33"/>
      <c r="DS232" s="33"/>
      <c r="DT232" s="33"/>
      <c r="DU232" s="33"/>
      <c r="DV232" s="33"/>
      <c r="DW232" s="33"/>
      <c r="DX232" s="33"/>
      <c r="DY232" s="33"/>
      <c r="DZ232" s="33"/>
      <c r="EA232" s="33"/>
      <c r="EB232" s="33"/>
      <c r="EC232" s="33"/>
      <c r="ED232" s="33"/>
      <c r="EE232" s="33"/>
      <c r="EF232" s="33"/>
      <c r="EG232" s="33"/>
      <c r="EH232" s="33"/>
      <c r="EI232" s="33"/>
      <c r="EJ232" s="33"/>
      <c r="EK232" s="33"/>
      <c r="EL232" s="33"/>
      <c r="EM232" s="33"/>
      <c r="EN232" s="33"/>
      <c r="EO232" s="33"/>
      <c r="EP232" s="33"/>
      <c r="EQ232" s="33"/>
      <c r="ER232" s="33"/>
      <c r="ES232" s="33"/>
      <c r="ET232" s="33"/>
      <c r="EU232" s="33"/>
      <c r="EV232" s="33"/>
      <c r="EW232" s="33"/>
      <c r="EX232" s="33"/>
      <c r="EY232" s="33"/>
      <c r="EZ232" s="33"/>
      <c r="FA232" s="33"/>
      <c r="FB232" s="33"/>
      <c r="FC232" s="33"/>
      <c r="FD232" s="33"/>
      <c r="FE232" s="33"/>
      <c r="FF232" s="33"/>
      <c r="FG232" s="33"/>
      <c r="FH232" s="33"/>
      <c r="FI232" s="33"/>
      <c r="FJ232" s="33"/>
      <c r="FK232" s="33"/>
      <c r="FL232" s="33"/>
      <c r="FM232" s="33"/>
      <c r="FN232" s="33"/>
      <c r="FO232" s="33"/>
      <c r="FP232" s="33"/>
      <c r="FQ232" s="33"/>
      <c r="FR232" s="33"/>
      <c r="FS232" s="33"/>
      <c r="FT232" s="33"/>
      <c r="FU232" s="33"/>
      <c r="FV232" s="33"/>
      <c r="FW232" s="33"/>
      <c r="FX232" s="33"/>
      <c r="FY232" s="33"/>
      <c r="FZ232" s="33"/>
      <c r="GA232" s="33"/>
      <c r="GB232" s="33"/>
      <c r="GC232" s="33"/>
      <c r="GD232" s="33"/>
      <c r="GE232" s="33"/>
      <c r="GF232" s="33"/>
      <c r="GG232" s="33"/>
      <c r="GH232" s="33"/>
      <c r="GI232" s="33"/>
      <c r="GJ232" s="33"/>
      <c r="GK232" s="33"/>
      <c r="GL232" s="33"/>
      <c r="GM232" s="33"/>
      <c r="GN232" s="33"/>
      <c r="GO232" s="33"/>
      <c r="GP232" s="33"/>
      <c r="GQ232" s="33"/>
      <c r="GR232" s="33"/>
      <c r="GS232" s="33"/>
      <c r="GT232" s="33"/>
      <c r="GU232" s="33"/>
      <c r="GV232" s="33"/>
      <c r="GW232" s="33"/>
      <c r="GX232" s="33"/>
      <c r="GY232" s="33"/>
      <c r="GZ232" s="33"/>
      <c r="HA232" s="33"/>
      <c r="HB232" s="33"/>
      <c r="HC232" s="33"/>
      <c r="HD232" s="33"/>
      <c r="HE232" s="33"/>
      <c r="HF232" s="33"/>
      <c r="HG232" s="33"/>
      <c r="HH232" s="33"/>
    </row>
    <row r="233" spans="1:216" ht="15.75" customHeight="1" x14ac:dyDescent="0.3">
      <c r="A233" s="7"/>
      <c r="B233" s="45"/>
      <c r="C233" s="46"/>
      <c r="D233" s="48"/>
      <c r="E233" s="54"/>
      <c r="F233" s="39"/>
      <c r="G233" s="20"/>
      <c r="H233" s="20"/>
      <c r="I233" s="20"/>
      <c r="J233" s="20"/>
      <c r="K233" s="20"/>
      <c r="L233" s="20"/>
      <c r="M233" s="20"/>
      <c r="N233" s="20"/>
      <c r="O233" s="20"/>
      <c r="P233" s="32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  <c r="BW233" s="33"/>
      <c r="BX233" s="33"/>
      <c r="BY233" s="33"/>
      <c r="BZ233" s="33"/>
      <c r="CA233" s="33"/>
      <c r="CB233" s="33"/>
      <c r="CC233" s="33"/>
      <c r="CD233" s="33"/>
      <c r="CE233" s="33"/>
      <c r="CF233" s="33"/>
      <c r="CG233" s="33"/>
      <c r="CH233" s="33"/>
      <c r="CI233" s="33"/>
      <c r="CJ233" s="33"/>
      <c r="CK233" s="33"/>
      <c r="CL233" s="33"/>
      <c r="CM233" s="33"/>
      <c r="CN233" s="33"/>
      <c r="CO233" s="33"/>
      <c r="CP233" s="33"/>
      <c r="CQ233" s="33"/>
      <c r="CR233" s="33"/>
      <c r="CS233" s="33"/>
      <c r="CT233" s="33"/>
      <c r="CU233" s="33"/>
      <c r="CV233" s="33"/>
      <c r="CW233" s="33"/>
      <c r="CX233" s="33"/>
      <c r="CY233" s="33"/>
      <c r="CZ233" s="33"/>
      <c r="DA233" s="33"/>
      <c r="DB233" s="33"/>
      <c r="DC233" s="33"/>
      <c r="DD233" s="33"/>
      <c r="DE233" s="33"/>
      <c r="DF233" s="33"/>
      <c r="DG233" s="33"/>
      <c r="DH233" s="33"/>
      <c r="DI233" s="33"/>
      <c r="DJ233" s="33"/>
      <c r="DK233" s="33"/>
      <c r="DL233" s="33"/>
      <c r="DM233" s="33"/>
      <c r="DN233" s="33"/>
      <c r="DO233" s="33"/>
      <c r="DP233" s="33"/>
      <c r="DQ233" s="33"/>
      <c r="DR233" s="33"/>
      <c r="DS233" s="33"/>
      <c r="DT233" s="33"/>
      <c r="DU233" s="33"/>
      <c r="DV233" s="33"/>
      <c r="DW233" s="33"/>
      <c r="DX233" s="33"/>
      <c r="DY233" s="33"/>
      <c r="DZ233" s="33"/>
      <c r="EA233" s="33"/>
      <c r="EB233" s="33"/>
      <c r="EC233" s="33"/>
      <c r="ED233" s="33"/>
      <c r="EE233" s="33"/>
      <c r="EF233" s="33"/>
      <c r="EG233" s="33"/>
      <c r="EH233" s="33"/>
      <c r="EI233" s="33"/>
      <c r="EJ233" s="33"/>
      <c r="EK233" s="33"/>
      <c r="EL233" s="33"/>
      <c r="EM233" s="33"/>
      <c r="EN233" s="33"/>
      <c r="EO233" s="33"/>
      <c r="EP233" s="33"/>
      <c r="EQ233" s="33"/>
      <c r="ER233" s="33"/>
      <c r="ES233" s="33"/>
      <c r="ET233" s="33"/>
      <c r="EU233" s="33"/>
      <c r="EV233" s="33"/>
      <c r="EW233" s="33"/>
      <c r="EX233" s="33"/>
      <c r="EY233" s="33"/>
      <c r="EZ233" s="33"/>
      <c r="FA233" s="33"/>
      <c r="FB233" s="33"/>
      <c r="FC233" s="33"/>
      <c r="FD233" s="33"/>
      <c r="FE233" s="33"/>
      <c r="FF233" s="33"/>
      <c r="FG233" s="33"/>
      <c r="FH233" s="33"/>
      <c r="FI233" s="33"/>
      <c r="FJ233" s="33"/>
      <c r="FK233" s="33"/>
      <c r="FL233" s="33"/>
      <c r="FM233" s="33"/>
      <c r="FN233" s="33"/>
      <c r="FO233" s="33"/>
      <c r="FP233" s="33"/>
      <c r="FQ233" s="33"/>
      <c r="FR233" s="33"/>
      <c r="FS233" s="33"/>
      <c r="FT233" s="33"/>
      <c r="FU233" s="33"/>
      <c r="FV233" s="33"/>
      <c r="FW233" s="33"/>
      <c r="FX233" s="33"/>
      <c r="FY233" s="33"/>
      <c r="FZ233" s="33"/>
      <c r="GA233" s="33"/>
      <c r="GB233" s="33"/>
      <c r="GC233" s="33"/>
      <c r="GD233" s="33"/>
      <c r="GE233" s="33"/>
      <c r="GF233" s="33"/>
      <c r="GG233" s="33"/>
      <c r="GH233" s="33"/>
      <c r="GI233" s="33"/>
      <c r="GJ233" s="33"/>
      <c r="GK233" s="33"/>
      <c r="GL233" s="33"/>
      <c r="GM233" s="33"/>
      <c r="GN233" s="33"/>
      <c r="GO233" s="33"/>
      <c r="GP233" s="33"/>
      <c r="GQ233" s="33"/>
      <c r="GR233" s="33"/>
      <c r="GS233" s="33"/>
      <c r="GT233" s="33"/>
      <c r="GU233" s="33"/>
      <c r="GV233" s="33"/>
      <c r="GW233" s="33"/>
      <c r="GX233" s="33"/>
      <c r="GY233" s="33"/>
      <c r="GZ233" s="33"/>
      <c r="HA233" s="33"/>
      <c r="HB233" s="33"/>
      <c r="HC233" s="33"/>
      <c r="HD233" s="33"/>
      <c r="HE233" s="33"/>
      <c r="HF233" s="33"/>
      <c r="HG233" s="33"/>
      <c r="HH233" s="33"/>
    </row>
    <row r="234" spans="1:216" ht="15.75" customHeight="1" x14ac:dyDescent="0.3">
      <c r="A234" s="7"/>
      <c r="B234" s="45"/>
      <c r="C234" s="46"/>
      <c r="D234" s="48"/>
      <c r="E234" s="54"/>
      <c r="F234" s="39"/>
      <c r="G234" s="20"/>
      <c r="H234" s="20"/>
      <c r="I234" s="20"/>
      <c r="J234" s="20"/>
      <c r="K234" s="20"/>
      <c r="L234" s="20"/>
      <c r="M234" s="20"/>
      <c r="N234" s="20"/>
      <c r="O234" s="20"/>
      <c r="P234" s="32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  <c r="BU234" s="33"/>
      <c r="BV234" s="33"/>
      <c r="BW234" s="33"/>
      <c r="BX234" s="33"/>
      <c r="BY234" s="33"/>
      <c r="BZ234" s="33"/>
      <c r="CA234" s="33"/>
      <c r="CB234" s="33"/>
      <c r="CC234" s="33"/>
      <c r="CD234" s="33"/>
      <c r="CE234" s="33"/>
      <c r="CF234" s="33"/>
      <c r="CG234" s="33"/>
      <c r="CH234" s="33"/>
      <c r="CI234" s="33"/>
      <c r="CJ234" s="33"/>
      <c r="CK234" s="33"/>
      <c r="CL234" s="33"/>
      <c r="CM234" s="33"/>
      <c r="CN234" s="33"/>
      <c r="CO234" s="33"/>
      <c r="CP234" s="33"/>
      <c r="CQ234" s="33"/>
      <c r="CR234" s="33"/>
      <c r="CS234" s="33"/>
      <c r="CT234" s="33"/>
      <c r="CU234" s="33"/>
      <c r="CV234" s="33"/>
      <c r="CW234" s="33"/>
      <c r="CX234" s="33"/>
      <c r="CY234" s="33"/>
      <c r="CZ234" s="33"/>
      <c r="DA234" s="33"/>
      <c r="DB234" s="33"/>
      <c r="DC234" s="33"/>
      <c r="DD234" s="33"/>
      <c r="DE234" s="33"/>
      <c r="DF234" s="33"/>
      <c r="DG234" s="33"/>
      <c r="DH234" s="33"/>
      <c r="DI234" s="33"/>
      <c r="DJ234" s="33"/>
      <c r="DK234" s="33"/>
      <c r="DL234" s="33"/>
      <c r="DM234" s="33"/>
      <c r="DN234" s="33"/>
      <c r="DO234" s="33"/>
      <c r="DP234" s="33"/>
      <c r="DQ234" s="33"/>
      <c r="DR234" s="33"/>
      <c r="DS234" s="33"/>
      <c r="DT234" s="33"/>
      <c r="DU234" s="33"/>
      <c r="DV234" s="33"/>
      <c r="DW234" s="33"/>
      <c r="DX234" s="33"/>
      <c r="DY234" s="33"/>
      <c r="DZ234" s="33"/>
      <c r="EA234" s="33"/>
      <c r="EB234" s="33"/>
      <c r="EC234" s="33"/>
      <c r="ED234" s="33"/>
      <c r="EE234" s="33"/>
      <c r="EF234" s="33"/>
      <c r="EG234" s="33"/>
      <c r="EH234" s="33"/>
      <c r="EI234" s="33"/>
      <c r="EJ234" s="33"/>
      <c r="EK234" s="33"/>
      <c r="EL234" s="33"/>
      <c r="EM234" s="33"/>
      <c r="EN234" s="33"/>
      <c r="EO234" s="33"/>
      <c r="EP234" s="33"/>
      <c r="EQ234" s="33"/>
      <c r="ER234" s="33"/>
      <c r="ES234" s="33"/>
      <c r="ET234" s="33"/>
      <c r="EU234" s="33"/>
      <c r="EV234" s="33"/>
      <c r="EW234" s="33"/>
      <c r="EX234" s="33"/>
      <c r="EY234" s="33"/>
      <c r="EZ234" s="33"/>
      <c r="FA234" s="33"/>
      <c r="FB234" s="33"/>
      <c r="FC234" s="33"/>
      <c r="FD234" s="33"/>
      <c r="FE234" s="33"/>
      <c r="FF234" s="33"/>
      <c r="FG234" s="33"/>
      <c r="FH234" s="33"/>
      <c r="FI234" s="33"/>
      <c r="FJ234" s="33"/>
      <c r="FK234" s="33"/>
      <c r="FL234" s="33"/>
      <c r="FM234" s="33"/>
      <c r="FN234" s="33"/>
      <c r="FO234" s="33"/>
      <c r="FP234" s="33"/>
      <c r="FQ234" s="33"/>
      <c r="FR234" s="33"/>
      <c r="FS234" s="33"/>
      <c r="FT234" s="33"/>
      <c r="FU234" s="33"/>
      <c r="FV234" s="33"/>
      <c r="FW234" s="33"/>
      <c r="FX234" s="33"/>
      <c r="FY234" s="33"/>
      <c r="FZ234" s="33"/>
      <c r="GA234" s="33"/>
      <c r="GB234" s="33"/>
      <c r="GC234" s="33"/>
      <c r="GD234" s="33"/>
      <c r="GE234" s="33"/>
      <c r="GF234" s="33"/>
      <c r="GG234" s="33"/>
      <c r="GH234" s="33"/>
      <c r="GI234" s="33"/>
      <c r="GJ234" s="33"/>
      <c r="GK234" s="33"/>
      <c r="GL234" s="33"/>
      <c r="GM234" s="33"/>
      <c r="GN234" s="33"/>
      <c r="GO234" s="33"/>
      <c r="GP234" s="33"/>
      <c r="GQ234" s="33"/>
      <c r="GR234" s="33"/>
      <c r="GS234" s="33"/>
      <c r="GT234" s="33"/>
      <c r="GU234" s="33"/>
      <c r="GV234" s="33"/>
      <c r="GW234" s="33"/>
      <c r="GX234" s="33"/>
      <c r="GY234" s="33"/>
      <c r="GZ234" s="33"/>
      <c r="HA234" s="33"/>
      <c r="HB234" s="33"/>
      <c r="HC234" s="33"/>
      <c r="HD234" s="33"/>
      <c r="HE234" s="33"/>
      <c r="HF234" s="33"/>
      <c r="HG234" s="33"/>
      <c r="HH234" s="33"/>
    </row>
    <row r="235" spans="1:216" ht="15.75" customHeight="1" x14ac:dyDescent="0.3">
      <c r="A235" s="6" t="s">
        <v>26</v>
      </c>
      <c r="B235" s="84" t="s">
        <v>51</v>
      </c>
      <c r="C235" s="87"/>
      <c r="D235" s="88"/>
      <c r="E235" s="5">
        <f>SUM(E225:E234)</f>
        <v>80</v>
      </c>
      <c r="F235" s="39"/>
      <c r="G235" s="20"/>
      <c r="H235" s="20"/>
      <c r="I235" s="20"/>
      <c r="J235" s="20"/>
      <c r="K235" s="20"/>
      <c r="L235" s="20"/>
      <c r="M235" s="20"/>
      <c r="N235" s="20"/>
      <c r="O235" s="20"/>
      <c r="P235" s="32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  <c r="BW235" s="33"/>
      <c r="BX235" s="33"/>
      <c r="BY235" s="33"/>
      <c r="BZ235" s="33"/>
      <c r="CA235" s="33"/>
      <c r="CB235" s="33"/>
      <c r="CC235" s="33"/>
      <c r="CD235" s="33"/>
      <c r="CE235" s="33"/>
      <c r="CF235" s="33"/>
      <c r="CG235" s="33"/>
      <c r="CH235" s="33"/>
      <c r="CI235" s="33"/>
      <c r="CJ235" s="33"/>
      <c r="CK235" s="33"/>
      <c r="CL235" s="33"/>
      <c r="CM235" s="33"/>
      <c r="CN235" s="33"/>
      <c r="CO235" s="33"/>
      <c r="CP235" s="33"/>
      <c r="CQ235" s="33"/>
      <c r="CR235" s="33"/>
      <c r="CS235" s="33"/>
      <c r="CT235" s="33"/>
      <c r="CU235" s="33"/>
      <c r="CV235" s="33"/>
      <c r="CW235" s="33"/>
      <c r="CX235" s="33"/>
      <c r="CY235" s="33"/>
      <c r="CZ235" s="33"/>
      <c r="DA235" s="33"/>
      <c r="DB235" s="33"/>
      <c r="DC235" s="33"/>
      <c r="DD235" s="33"/>
      <c r="DE235" s="33"/>
      <c r="DF235" s="33"/>
      <c r="DG235" s="33"/>
      <c r="DH235" s="33"/>
      <c r="DI235" s="33"/>
      <c r="DJ235" s="33"/>
      <c r="DK235" s="33"/>
      <c r="DL235" s="33"/>
      <c r="DM235" s="33"/>
      <c r="DN235" s="33"/>
      <c r="DO235" s="33"/>
      <c r="DP235" s="33"/>
      <c r="DQ235" s="33"/>
      <c r="DR235" s="33"/>
      <c r="DS235" s="33"/>
      <c r="DT235" s="33"/>
      <c r="DU235" s="33"/>
      <c r="DV235" s="33"/>
      <c r="DW235" s="33"/>
      <c r="DX235" s="33"/>
      <c r="DY235" s="33"/>
      <c r="DZ235" s="33"/>
      <c r="EA235" s="33"/>
      <c r="EB235" s="33"/>
      <c r="EC235" s="33"/>
      <c r="ED235" s="33"/>
      <c r="EE235" s="33"/>
      <c r="EF235" s="33"/>
      <c r="EG235" s="33"/>
      <c r="EH235" s="33"/>
      <c r="EI235" s="33"/>
      <c r="EJ235" s="33"/>
      <c r="EK235" s="33"/>
      <c r="EL235" s="33"/>
      <c r="EM235" s="33"/>
      <c r="EN235" s="33"/>
      <c r="EO235" s="33"/>
      <c r="EP235" s="33"/>
      <c r="EQ235" s="33"/>
      <c r="ER235" s="33"/>
      <c r="ES235" s="33"/>
      <c r="ET235" s="33"/>
      <c r="EU235" s="33"/>
      <c r="EV235" s="33"/>
      <c r="EW235" s="33"/>
      <c r="EX235" s="33"/>
      <c r="EY235" s="33"/>
      <c r="EZ235" s="33"/>
      <c r="FA235" s="33"/>
      <c r="FB235" s="33"/>
      <c r="FC235" s="33"/>
      <c r="FD235" s="33"/>
      <c r="FE235" s="33"/>
      <c r="FF235" s="33"/>
      <c r="FG235" s="33"/>
      <c r="FH235" s="33"/>
      <c r="FI235" s="33"/>
      <c r="FJ235" s="33"/>
      <c r="FK235" s="33"/>
      <c r="FL235" s="33"/>
      <c r="FM235" s="33"/>
      <c r="FN235" s="33"/>
      <c r="FO235" s="33"/>
      <c r="FP235" s="33"/>
      <c r="FQ235" s="33"/>
      <c r="FR235" s="33"/>
      <c r="FS235" s="33"/>
      <c r="FT235" s="33"/>
      <c r="FU235" s="33"/>
      <c r="FV235" s="33"/>
      <c r="FW235" s="33"/>
      <c r="FX235" s="33"/>
      <c r="FY235" s="33"/>
      <c r="FZ235" s="33"/>
      <c r="GA235" s="33"/>
      <c r="GB235" s="33"/>
      <c r="GC235" s="33"/>
      <c r="GD235" s="33"/>
      <c r="GE235" s="33"/>
      <c r="GF235" s="33"/>
      <c r="GG235" s="33"/>
      <c r="GH235" s="33"/>
      <c r="GI235" s="33"/>
      <c r="GJ235" s="33"/>
      <c r="GK235" s="33"/>
      <c r="GL235" s="33"/>
      <c r="GM235" s="33"/>
      <c r="GN235" s="33"/>
      <c r="GO235" s="33"/>
      <c r="GP235" s="33"/>
      <c r="GQ235" s="33"/>
      <c r="GR235" s="33"/>
      <c r="GS235" s="33"/>
      <c r="GT235" s="33"/>
      <c r="GU235" s="33"/>
      <c r="GV235" s="33"/>
      <c r="GW235" s="33"/>
      <c r="GX235" s="33"/>
      <c r="GY235" s="33"/>
      <c r="GZ235" s="33"/>
      <c r="HA235" s="33"/>
      <c r="HB235" s="33"/>
      <c r="HC235" s="33"/>
      <c r="HD235" s="33"/>
      <c r="HE235" s="33"/>
      <c r="HF235" s="33"/>
      <c r="HG235" s="33"/>
      <c r="HH235" s="33"/>
    </row>
    <row r="236" spans="1:216" ht="15.75" customHeight="1" x14ac:dyDescent="0.3">
      <c r="A236" s="62"/>
      <c r="B236" s="89"/>
      <c r="C236" s="89"/>
      <c r="D236" s="89"/>
      <c r="E236" s="90"/>
      <c r="F236" s="39"/>
      <c r="G236" s="20"/>
      <c r="H236" s="20"/>
      <c r="I236" s="20"/>
      <c r="J236" s="20"/>
      <c r="K236" s="20"/>
      <c r="L236" s="20"/>
      <c r="M236" s="20"/>
      <c r="N236" s="20"/>
      <c r="O236" s="20"/>
      <c r="P236" s="32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  <c r="BW236" s="33"/>
      <c r="BX236" s="33"/>
      <c r="BY236" s="33"/>
      <c r="BZ236" s="33"/>
      <c r="CA236" s="33"/>
      <c r="CB236" s="33"/>
      <c r="CC236" s="33"/>
      <c r="CD236" s="33"/>
      <c r="CE236" s="33"/>
      <c r="CF236" s="33"/>
      <c r="CG236" s="33"/>
      <c r="CH236" s="33"/>
      <c r="CI236" s="33"/>
      <c r="CJ236" s="33"/>
      <c r="CK236" s="33"/>
      <c r="CL236" s="33"/>
      <c r="CM236" s="33"/>
      <c r="CN236" s="33"/>
      <c r="CO236" s="33"/>
      <c r="CP236" s="33"/>
      <c r="CQ236" s="33"/>
      <c r="CR236" s="33"/>
      <c r="CS236" s="33"/>
      <c r="CT236" s="33"/>
      <c r="CU236" s="33"/>
      <c r="CV236" s="33"/>
      <c r="CW236" s="33"/>
      <c r="CX236" s="33"/>
      <c r="CY236" s="33"/>
      <c r="CZ236" s="33"/>
      <c r="DA236" s="33"/>
      <c r="DB236" s="33"/>
      <c r="DC236" s="33"/>
      <c r="DD236" s="33"/>
      <c r="DE236" s="33"/>
      <c r="DF236" s="33"/>
      <c r="DG236" s="33"/>
      <c r="DH236" s="33"/>
      <c r="DI236" s="33"/>
      <c r="DJ236" s="33"/>
      <c r="DK236" s="33"/>
      <c r="DL236" s="33"/>
      <c r="DM236" s="33"/>
      <c r="DN236" s="33"/>
      <c r="DO236" s="33"/>
      <c r="DP236" s="33"/>
      <c r="DQ236" s="33"/>
      <c r="DR236" s="33"/>
      <c r="DS236" s="33"/>
      <c r="DT236" s="33"/>
      <c r="DU236" s="33"/>
      <c r="DV236" s="33"/>
      <c r="DW236" s="33"/>
      <c r="DX236" s="33"/>
      <c r="DY236" s="33"/>
      <c r="DZ236" s="33"/>
      <c r="EA236" s="33"/>
      <c r="EB236" s="33"/>
      <c r="EC236" s="33"/>
      <c r="ED236" s="33"/>
      <c r="EE236" s="33"/>
      <c r="EF236" s="33"/>
      <c r="EG236" s="33"/>
      <c r="EH236" s="33"/>
      <c r="EI236" s="33"/>
      <c r="EJ236" s="33"/>
      <c r="EK236" s="33"/>
      <c r="EL236" s="33"/>
      <c r="EM236" s="33"/>
      <c r="EN236" s="33"/>
      <c r="EO236" s="33"/>
      <c r="EP236" s="33"/>
      <c r="EQ236" s="33"/>
      <c r="ER236" s="33"/>
      <c r="ES236" s="33"/>
      <c r="ET236" s="33"/>
      <c r="EU236" s="33"/>
      <c r="EV236" s="33"/>
      <c r="EW236" s="33"/>
      <c r="EX236" s="33"/>
      <c r="EY236" s="33"/>
      <c r="EZ236" s="33"/>
      <c r="FA236" s="33"/>
      <c r="FB236" s="33"/>
      <c r="FC236" s="33"/>
      <c r="FD236" s="33"/>
      <c r="FE236" s="33"/>
      <c r="FF236" s="33"/>
      <c r="FG236" s="33"/>
      <c r="FH236" s="33"/>
      <c r="FI236" s="33"/>
      <c r="FJ236" s="33"/>
      <c r="FK236" s="33"/>
      <c r="FL236" s="33"/>
      <c r="FM236" s="33"/>
      <c r="FN236" s="33"/>
      <c r="FO236" s="33"/>
      <c r="FP236" s="33"/>
      <c r="FQ236" s="33"/>
      <c r="FR236" s="33"/>
      <c r="FS236" s="33"/>
      <c r="FT236" s="33"/>
      <c r="FU236" s="33"/>
      <c r="FV236" s="33"/>
      <c r="FW236" s="33"/>
      <c r="FX236" s="33"/>
      <c r="FY236" s="33"/>
      <c r="FZ236" s="33"/>
      <c r="GA236" s="33"/>
      <c r="GB236" s="33"/>
      <c r="GC236" s="33"/>
      <c r="GD236" s="33"/>
      <c r="GE236" s="33"/>
      <c r="GF236" s="33"/>
      <c r="GG236" s="33"/>
      <c r="GH236" s="33"/>
      <c r="GI236" s="33"/>
      <c r="GJ236" s="33"/>
      <c r="GK236" s="33"/>
      <c r="GL236" s="33"/>
      <c r="GM236" s="33"/>
      <c r="GN236" s="33"/>
      <c r="GO236" s="33"/>
      <c r="GP236" s="33"/>
      <c r="GQ236" s="33"/>
      <c r="GR236" s="33"/>
      <c r="GS236" s="33"/>
      <c r="GT236" s="33"/>
      <c r="GU236" s="33"/>
      <c r="GV236" s="33"/>
      <c r="GW236" s="33"/>
      <c r="GX236" s="33"/>
      <c r="GY236" s="33"/>
      <c r="GZ236" s="33"/>
      <c r="HA236" s="33"/>
      <c r="HB236" s="33"/>
      <c r="HC236" s="33"/>
      <c r="HD236" s="33"/>
      <c r="HE236" s="33"/>
      <c r="HF236" s="33"/>
      <c r="HG236" s="33"/>
      <c r="HH236" s="33"/>
    </row>
    <row r="237" spans="1:216" ht="15.75" customHeight="1" x14ac:dyDescent="0.3">
      <c r="A237" s="11" t="s">
        <v>48</v>
      </c>
      <c r="B237" s="17" t="s">
        <v>79</v>
      </c>
      <c r="C237" s="86" t="s">
        <v>80</v>
      </c>
      <c r="D237" s="64"/>
      <c r="E237" s="9">
        <f>ALASMALANG!V237+'BENELAN KIDUL'!S237+CANTUK!T237+GAMBOR!N237+GUMIRIH!S237+KEMIRI!U237+LEMAHBANGKULON!Q237+PADANG!Q237+SINGOJURUH!AC237+SINGOLATREN!T237+SUMBERBARU!S237</f>
        <v>206</v>
      </c>
      <c r="F237" s="40"/>
      <c r="G237" s="1"/>
      <c r="H237" s="1"/>
      <c r="I237" s="1"/>
      <c r="J237" s="1"/>
      <c r="K237" s="1"/>
      <c r="L237" s="1"/>
      <c r="M237" s="1"/>
      <c r="N237" s="1"/>
      <c r="O237" s="1"/>
      <c r="P237" s="34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  <c r="CW237" s="31"/>
      <c r="CX237" s="31"/>
      <c r="CY237" s="31"/>
      <c r="CZ237" s="31"/>
      <c r="DA237" s="31"/>
      <c r="DB237" s="31"/>
      <c r="DC237" s="31"/>
      <c r="DD237" s="31"/>
      <c r="DE237" s="31"/>
      <c r="DF237" s="31"/>
      <c r="DG237" s="31"/>
      <c r="DH237" s="31"/>
      <c r="DI237" s="31"/>
      <c r="DJ237" s="31"/>
      <c r="DK237" s="31"/>
      <c r="DL237" s="31"/>
      <c r="DM237" s="31"/>
      <c r="DN237" s="31"/>
      <c r="DO237" s="31"/>
      <c r="DP237" s="31"/>
      <c r="DQ237" s="31"/>
      <c r="DR237" s="31"/>
      <c r="DS237" s="31"/>
      <c r="DT237" s="31"/>
      <c r="DU237" s="31"/>
      <c r="DV237" s="31"/>
      <c r="DW237" s="31"/>
      <c r="DX237" s="31"/>
      <c r="DY237" s="31"/>
      <c r="DZ237" s="31"/>
      <c r="EA237" s="31"/>
      <c r="EB237" s="31"/>
      <c r="EC237" s="31"/>
      <c r="ED237" s="31"/>
      <c r="EE237" s="31"/>
      <c r="EF237" s="31"/>
      <c r="EG237" s="31"/>
      <c r="EH237" s="31"/>
      <c r="EI237" s="31"/>
      <c r="EJ237" s="31"/>
      <c r="EK237" s="31"/>
      <c r="EL237" s="31"/>
      <c r="EM237" s="31"/>
      <c r="EN237" s="31"/>
      <c r="EO237" s="31"/>
      <c r="EP237" s="31"/>
      <c r="EQ237" s="31"/>
      <c r="ER237" s="31"/>
      <c r="ES237" s="31"/>
      <c r="ET237" s="31"/>
      <c r="EU237" s="31"/>
      <c r="EV237" s="31"/>
      <c r="EW237" s="31"/>
      <c r="EX237" s="31"/>
      <c r="EY237" s="31"/>
      <c r="EZ237" s="31"/>
      <c r="FA237" s="31"/>
      <c r="FB237" s="31"/>
      <c r="FC237" s="31"/>
      <c r="FD237" s="31"/>
      <c r="FE237" s="31"/>
      <c r="FF237" s="31"/>
      <c r="FG237" s="31"/>
      <c r="FH237" s="31"/>
      <c r="FI237" s="31"/>
      <c r="FJ237" s="31"/>
      <c r="FK237" s="31"/>
      <c r="FL237" s="31"/>
      <c r="FM237" s="31"/>
      <c r="FN237" s="31"/>
      <c r="FO237" s="31"/>
      <c r="FP237" s="31"/>
      <c r="FQ237" s="31"/>
      <c r="FR237" s="31"/>
      <c r="FS237" s="31"/>
      <c r="FT237" s="31"/>
      <c r="FU237" s="31"/>
      <c r="FV237" s="31"/>
      <c r="FW237" s="31"/>
      <c r="FX237" s="31"/>
      <c r="FY237" s="31"/>
      <c r="FZ237" s="31"/>
      <c r="GA237" s="31"/>
      <c r="GB237" s="31"/>
      <c r="GC237" s="31"/>
      <c r="GD237" s="31"/>
      <c r="GE237" s="31"/>
      <c r="GF237" s="31"/>
      <c r="GG237" s="31"/>
      <c r="GH237" s="31"/>
      <c r="GI237" s="31"/>
      <c r="GJ237" s="31"/>
      <c r="GK237" s="31"/>
      <c r="GL237" s="31"/>
      <c r="GM237" s="31"/>
      <c r="GN237" s="31"/>
      <c r="GO237" s="31"/>
      <c r="GP237" s="31"/>
      <c r="GQ237" s="31"/>
      <c r="GR237" s="31"/>
      <c r="GS237" s="31"/>
      <c r="GT237" s="31"/>
      <c r="GU237" s="31"/>
      <c r="GV237" s="31"/>
      <c r="GW237" s="31"/>
      <c r="GX237" s="31"/>
      <c r="GY237" s="31"/>
      <c r="GZ237" s="31"/>
      <c r="HA237" s="31"/>
      <c r="HB237" s="31"/>
      <c r="HC237" s="31"/>
      <c r="HD237" s="31"/>
      <c r="HE237" s="31"/>
      <c r="HF237" s="31"/>
      <c r="HG237" s="31"/>
      <c r="HH237" s="31"/>
    </row>
    <row r="238" spans="1:216" ht="15.75" customHeight="1" x14ac:dyDescent="0.3">
      <c r="A238" s="11" t="s">
        <v>50</v>
      </c>
      <c r="B238" s="50"/>
      <c r="C238" s="24" t="s">
        <v>221</v>
      </c>
      <c r="D238" s="49"/>
      <c r="E238" s="9">
        <f>ALASMALANG!V238+'BENELAN KIDUL'!S238+CANTUK!T238+GAMBOR!N238+GUMIRIH!S238+KEMIRI!U238+LEMAHBANGKULON!Q238+PADANG!Q238+SINGOJURUH!AC238+SINGOLATREN!T238+SUMBERBARU!S238</f>
        <v>227</v>
      </c>
      <c r="F238" s="42"/>
      <c r="G238" s="27"/>
      <c r="H238" s="27"/>
      <c r="I238" s="27"/>
      <c r="J238" s="27"/>
      <c r="K238" s="27"/>
      <c r="L238" s="27"/>
      <c r="M238" s="27"/>
      <c r="N238" s="27"/>
      <c r="O238" s="27"/>
      <c r="P238" s="37"/>
      <c r="Q238" s="30"/>
      <c r="R238" s="30"/>
      <c r="S238" s="30"/>
      <c r="T238" s="30"/>
      <c r="U238" s="30"/>
      <c r="V238" s="30"/>
      <c r="W238" s="38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0"/>
      <c r="BM238" s="30"/>
      <c r="BN238" s="30"/>
      <c r="BO238" s="30"/>
      <c r="BP238" s="30"/>
      <c r="BQ238" s="30"/>
      <c r="BR238" s="38"/>
      <c r="BS238" s="30"/>
      <c r="BT238" s="30"/>
      <c r="BU238" s="30"/>
      <c r="BV238" s="30"/>
      <c r="BW238" s="30"/>
      <c r="BX238" s="30"/>
      <c r="BY238" s="30"/>
      <c r="BZ238" s="30"/>
      <c r="CA238" s="38"/>
      <c r="CB238" s="38"/>
      <c r="CC238" s="38"/>
      <c r="CD238" s="38"/>
      <c r="CE238" s="38"/>
      <c r="CF238" s="38"/>
      <c r="CG238" s="38"/>
      <c r="CH238" s="38"/>
      <c r="CI238" s="38"/>
      <c r="CJ238" s="38"/>
      <c r="CK238" s="38"/>
      <c r="CL238" s="38"/>
      <c r="CM238" s="38"/>
      <c r="CN238" s="38"/>
      <c r="CO238" s="38"/>
      <c r="CP238" s="38"/>
      <c r="CQ238" s="38"/>
      <c r="CR238" s="38"/>
      <c r="CS238" s="38"/>
      <c r="CT238" s="38"/>
      <c r="CU238" s="38"/>
      <c r="CV238" s="38"/>
      <c r="CW238" s="38"/>
      <c r="CX238" s="38"/>
      <c r="CY238" s="38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8"/>
      <c r="DL238" s="38"/>
      <c r="DM238" s="38"/>
      <c r="DN238" s="38"/>
      <c r="DO238" s="38"/>
      <c r="DP238" s="38"/>
      <c r="DQ238" s="38"/>
      <c r="DR238" s="38"/>
      <c r="DS238" s="38"/>
      <c r="DT238" s="38"/>
      <c r="DU238" s="38"/>
      <c r="DV238" s="38"/>
      <c r="DW238" s="38"/>
      <c r="DX238" s="38"/>
      <c r="DY238" s="38"/>
      <c r="DZ238" s="38"/>
      <c r="EA238" s="38"/>
      <c r="EB238" s="38"/>
      <c r="EC238" s="38"/>
      <c r="ED238" s="38"/>
      <c r="EE238" s="38"/>
      <c r="EF238" s="38"/>
      <c r="EG238" s="38"/>
      <c r="EH238" s="38"/>
      <c r="EI238" s="38"/>
      <c r="EJ238" s="38"/>
      <c r="EK238" s="38"/>
      <c r="EL238" s="38"/>
      <c r="EM238" s="30"/>
      <c r="EN238" s="30"/>
      <c r="EO238" s="30"/>
      <c r="EP238" s="30"/>
      <c r="EQ238" s="30"/>
      <c r="ER238" s="30"/>
      <c r="ES238" s="30"/>
      <c r="ET238" s="30"/>
      <c r="EU238" s="30"/>
      <c r="EV238" s="30"/>
      <c r="EW238" s="30"/>
      <c r="EX238" s="30"/>
      <c r="EY238" s="38"/>
      <c r="EZ238" s="38"/>
      <c r="FA238" s="38"/>
      <c r="FB238" s="38"/>
      <c r="FC238" s="38"/>
      <c r="FD238" s="38"/>
      <c r="FE238" s="38"/>
      <c r="FF238" s="30"/>
      <c r="FG238" s="30"/>
      <c r="FH238" s="30"/>
      <c r="FI238" s="30"/>
      <c r="FJ238" s="38"/>
      <c r="FK238" s="38"/>
      <c r="FL238" s="38"/>
      <c r="FM238" s="38"/>
      <c r="FN238" s="38"/>
      <c r="FO238" s="38"/>
      <c r="FP238" s="38"/>
      <c r="FQ238" s="38"/>
      <c r="FR238" s="38"/>
      <c r="FS238" s="38"/>
      <c r="FT238" s="38"/>
      <c r="FU238" s="38"/>
      <c r="FV238" s="38"/>
      <c r="FW238" s="38"/>
      <c r="FX238" s="38"/>
      <c r="FY238" s="38"/>
      <c r="FZ238" s="38"/>
      <c r="GA238" s="38"/>
      <c r="GB238" s="38"/>
      <c r="GC238" s="38"/>
      <c r="GD238" s="38"/>
      <c r="GE238" s="38"/>
      <c r="GF238" s="38"/>
      <c r="GG238" s="38"/>
      <c r="GH238" s="38"/>
      <c r="GI238" s="38"/>
      <c r="GJ238" s="38"/>
      <c r="GK238" s="38"/>
      <c r="GL238" s="38"/>
      <c r="GM238" s="38"/>
      <c r="GN238" s="38"/>
      <c r="GO238" s="38"/>
      <c r="GP238" s="38"/>
      <c r="GQ238" s="38"/>
      <c r="GR238" s="38"/>
      <c r="GS238" s="38"/>
      <c r="GT238" s="38"/>
      <c r="GU238" s="38"/>
      <c r="GV238" s="38"/>
      <c r="GW238" s="38"/>
      <c r="GX238" s="38"/>
      <c r="GY238" s="38"/>
      <c r="GZ238" s="38"/>
      <c r="HA238" s="38"/>
      <c r="HB238" s="38"/>
      <c r="HC238" s="38"/>
      <c r="HD238" s="38"/>
      <c r="HE238" s="38"/>
      <c r="HF238" s="38"/>
      <c r="HG238" s="38"/>
      <c r="HH238" s="38"/>
    </row>
    <row r="239" spans="1:216" ht="15.75" customHeight="1" x14ac:dyDescent="0.3">
      <c r="A239" s="7"/>
      <c r="B239" s="50"/>
      <c r="C239" s="24" t="s">
        <v>222</v>
      </c>
      <c r="D239" s="49"/>
      <c r="E239" s="9">
        <f>ALASMALANG!V239+'BENELAN KIDUL'!S239+CANTUK!T239+GAMBOR!N239+GUMIRIH!S239+KEMIRI!U239+LEMAHBANGKULON!Q239+PADANG!Q239+SINGOJURUH!AC239+SINGOLATREN!T239+SUMBERBARU!S239</f>
        <v>154</v>
      </c>
      <c r="F239" s="39"/>
      <c r="G239" s="20"/>
      <c r="H239" s="20"/>
      <c r="I239" s="20"/>
      <c r="J239" s="20"/>
      <c r="K239" s="20"/>
      <c r="L239" s="20"/>
      <c r="M239" s="20"/>
      <c r="N239" s="20"/>
      <c r="O239" s="20"/>
      <c r="P239" s="32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  <c r="BU239" s="33"/>
      <c r="BV239" s="33"/>
      <c r="BW239" s="33"/>
      <c r="BX239" s="33"/>
      <c r="BY239" s="33"/>
      <c r="BZ239" s="33"/>
      <c r="CA239" s="33"/>
      <c r="CB239" s="33"/>
      <c r="CC239" s="33"/>
      <c r="CD239" s="33"/>
      <c r="CE239" s="33"/>
      <c r="CF239" s="33"/>
      <c r="CG239" s="33"/>
      <c r="CH239" s="33"/>
      <c r="CI239" s="33"/>
      <c r="CJ239" s="33"/>
      <c r="CK239" s="33"/>
      <c r="CL239" s="33"/>
      <c r="CM239" s="33"/>
      <c r="CN239" s="33"/>
      <c r="CO239" s="33"/>
      <c r="CP239" s="33"/>
      <c r="CQ239" s="33"/>
      <c r="CR239" s="33"/>
      <c r="CS239" s="33"/>
      <c r="CT239" s="33"/>
      <c r="CU239" s="33"/>
      <c r="CV239" s="33"/>
      <c r="CW239" s="33"/>
      <c r="CX239" s="33"/>
      <c r="CY239" s="33"/>
      <c r="CZ239" s="33"/>
      <c r="DA239" s="33"/>
      <c r="DB239" s="33"/>
      <c r="DC239" s="33"/>
      <c r="DD239" s="33"/>
      <c r="DE239" s="33"/>
      <c r="DF239" s="33"/>
      <c r="DG239" s="33"/>
      <c r="DH239" s="33"/>
      <c r="DI239" s="33"/>
      <c r="DJ239" s="33"/>
      <c r="DK239" s="33"/>
      <c r="DL239" s="33"/>
      <c r="DM239" s="33"/>
      <c r="DN239" s="33"/>
      <c r="DO239" s="33"/>
      <c r="DP239" s="33"/>
      <c r="DQ239" s="33"/>
      <c r="DR239" s="33"/>
      <c r="DS239" s="33"/>
      <c r="DT239" s="33"/>
      <c r="DU239" s="33"/>
      <c r="DV239" s="33"/>
      <c r="DW239" s="33"/>
      <c r="DX239" s="33"/>
      <c r="DY239" s="33"/>
      <c r="DZ239" s="33"/>
      <c r="EA239" s="33"/>
      <c r="EB239" s="33"/>
      <c r="EC239" s="33"/>
      <c r="ED239" s="33"/>
      <c r="EE239" s="33"/>
      <c r="EF239" s="33"/>
      <c r="EG239" s="33"/>
      <c r="EH239" s="33"/>
      <c r="EI239" s="33"/>
      <c r="EJ239" s="33"/>
      <c r="EK239" s="33"/>
      <c r="EL239" s="33"/>
      <c r="EM239" s="33"/>
      <c r="EN239" s="33"/>
      <c r="EO239" s="33"/>
      <c r="EP239" s="33"/>
      <c r="EQ239" s="33"/>
      <c r="ER239" s="33"/>
      <c r="ES239" s="33"/>
      <c r="ET239" s="33"/>
      <c r="EU239" s="33"/>
      <c r="EV239" s="33"/>
      <c r="EW239" s="33"/>
      <c r="EX239" s="33"/>
      <c r="EY239" s="33"/>
      <c r="EZ239" s="33"/>
      <c r="FA239" s="33"/>
      <c r="FB239" s="33"/>
      <c r="FC239" s="33"/>
      <c r="FD239" s="33"/>
      <c r="FE239" s="33"/>
      <c r="FF239" s="33"/>
      <c r="FG239" s="33"/>
      <c r="FH239" s="33"/>
      <c r="FI239" s="33"/>
      <c r="FJ239" s="33"/>
      <c r="FK239" s="33"/>
      <c r="FL239" s="33"/>
      <c r="FM239" s="33"/>
      <c r="FN239" s="33"/>
      <c r="FO239" s="33"/>
      <c r="FP239" s="33"/>
      <c r="FQ239" s="33"/>
      <c r="FR239" s="33"/>
      <c r="FS239" s="33"/>
      <c r="FT239" s="33"/>
      <c r="FU239" s="33"/>
      <c r="FV239" s="33"/>
      <c r="FW239" s="33"/>
      <c r="FX239" s="33"/>
      <c r="FY239" s="33"/>
      <c r="FZ239" s="33"/>
      <c r="GA239" s="33"/>
      <c r="GB239" s="33"/>
      <c r="GC239" s="33"/>
      <c r="GD239" s="33"/>
      <c r="GE239" s="33"/>
      <c r="GF239" s="33"/>
      <c r="GG239" s="33"/>
      <c r="GH239" s="33"/>
      <c r="GI239" s="33"/>
      <c r="GJ239" s="33"/>
      <c r="GK239" s="33"/>
      <c r="GL239" s="33"/>
      <c r="GM239" s="33"/>
      <c r="GN239" s="33"/>
      <c r="GO239" s="33"/>
      <c r="GP239" s="33"/>
      <c r="GQ239" s="33"/>
      <c r="GR239" s="33"/>
      <c r="GS239" s="33"/>
      <c r="GT239" s="33"/>
      <c r="GU239" s="33"/>
      <c r="GV239" s="33"/>
      <c r="GW239" s="33"/>
      <c r="GX239" s="33"/>
      <c r="GY239" s="33"/>
      <c r="GZ239" s="33"/>
      <c r="HA239" s="33"/>
      <c r="HB239" s="33"/>
      <c r="HC239" s="33"/>
      <c r="HD239" s="33"/>
      <c r="HE239" s="33"/>
      <c r="HF239" s="33"/>
      <c r="HG239" s="33"/>
      <c r="HH239" s="33"/>
    </row>
    <row r="240" spans="1:216" ht="15.75" customHeight="1" x14ac:dyDescent="0.3">
      <c r="A240" s="7"/>
      <c r="B240" s="50"/>
      <c r="C240" s="24" t="s">
        <v>223</v>
      </c>
      <c r="D240" s="49"/>
      <c r="E240" s="9">
        <f>ALASMALANG!V240+'BENELAN KIDUL'!S240+CANTUK!T240+GAMBOR!N240+GUMIRIH!S240+KEMIRI!U240+LEMAHBANGKULON!Q240+PADANG!Q240+SINGOJURUH!AC240+SINGOLATREN!T240+SUMBERBARU!S240</f>
        <v>16</v>
      </c>
      <c r="F240" s="39"/>
      <c r="G240" s="20"/>
      <c r="H240" s="20"/>
      <c r="I240" s="20"/>
      <c r="J240" s="20"/>
      <c r="K240" s="20"/>
      <c r="L240" s="20"/>
      <c r="M240" s="20"/>
      <c r="N240" s="20"/>
      <c r="O240" s="20"/>
      <c r="P240" s="32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  <c r="BU240" s="33"/>
      <c r="BV240" s="33"/>
      <c r="BW240" s="33"/>
      <c r="BX240" s="33"/>
      <c r="BY240" s="33"/>
      <c r="BZ240" s="33"/>
      <c r="CA240" s="33"/>
      <c r="CB240" s="33"/>
      <c r="CC240" s="33"/>
      <c r="CD240" s="33"/>
      <c r="CE240" s="33"/>
      <c r="CF240" s="33"/>
      <c r="CG240" s="33"/>
      <c r="CH240" s="33"/>
      <c r="CI240" s="33"/>
      <c r="CJ240" s="33"/>
      <c r="CK240" s="33"/>
      <c r="CL240" s="33"/>
      <c r="CM240" s="33"/>
      <c r="CN240" s="33"/>
      <c r="CO240" s="33"/>
      <c r="CP240" s="33"/>
      <c r="CQ240" s="33"/>
      <c r="CR240" s="33"/>
      <c r="CS240" s="33"/>
      <c r="CT240" s="33"/>
      <c r="CU240" s="33"/>
      <c r="CV240" s="33"/>
      <c r="CW240" s="33"/>
      <c r="CX240" s="33"/>
      <c r="CY240" s="33"/>
      <c r="CZ240" s="33"/>
      <c r="DA240" s="33"/>
      <c r="DB240" s="33"/>
      <c r="DC240" s="33"/>
      <c r="DD240" s="33"/>
      <c r="DE240" s="33"/>
      <c r="DF240" s="33"/>
      <c r="DG240" s="33"/>
      <c r="DH240" s="33"/>
      <c r="DI240" s="33"/>
      <c r="DJ240" s="33"/>
      <c r="DK240" s="33"/>
      <c r="DL240" s="33"/>
      <c r="DM240" s="33"/>
      <c r="DN240" s="33"/>
      <c r="DO240" s="33"/>
      <c r="DP240" s="33"/>
      <c r="DQ240" s="33"/>
      <c r="DR240" s="33"/>
      <c r="DS240" s="33"/>
      <c r="DT240" s="33"/>
      <c r="DU240" s="33"/>
      <c r="DV240" s="33"/>
      <c r="DW240" s="33"/>
      <c r="DX240" s="33"/>
      <c r="DY240" s="33"/>
      <c r="DZ240" s="33"/>
      <c r="EA240" s="33"/>
      <c r="EB240" s="33"/>
      <c r="EC240" s="33"/>
      <c r="ED240" s="33"/>
      <c r="EE240" s="33"/>
      <c r="EF240" s="33"/>
      <c r="EG240" s="33"/>
      <c r="EH240" s="33"/>
      <c r="EI240" s="33"/>
      <c r="EJ240" s="33"/>
      <c r="EK240" s="33"/>
      <c r="EL240" s="33"/>
      <c r="EM240" s="33"/>
      <c r="EN240" s="33"/>
      <c r="EO240" s="33"/>
      <c r="EP240" s="33"/>
      <c r="EQ240" s="33"/>
      <c r="ER240" s="33"/>
      <c r="ES240" s="33"/>
      <c r="ET240" s="33"/>
      <c r="EU240" s="33"/>
      <c r="EV240" s="33"/>
      <c r="EW240" s="33"/>
      <c r="EX240" s="33"/>
      <c r="EY240" s="33"/>
      <c r="EZ240" s="33"/>
      <c r="FA240" s="33"/>
      <c r="FB240" s="33"/>
      <c r="FC240" s="33"/>
      <c r="FD240" s="33"/>
      <c r="FE240" s="33"/>
      <c r="FF240" s="33"/>
      <c r="FG240" s="33"/>
      <c r="FH240" s="33"/>
      <c r="FI240" s="33"/>
      <c r="FJ240" s="33"/>
      <c r="FK240" s="33"/>
      <c r="FL240" s="33"/>
      <c r="FM240" s="33"/>
      <c r="FN240" s="33"/>
      <c r="FO240" s="33"/>
      <c r="FP240" s="33"/>
      <c r="FQ240" s="33"/>
      <c r="FR240" s="33"/>
      <c r="FS240" s="33"/>
      <c r="FT240" s="33"/>
      <c r="FU240" s="33"/>
      <c r="FV240" s="33"/>
      <c r="FW240" s="33"/>
      <c r="FX240" s="33"/>
      <c r="FY240" s="33"/>
      <c r="FZ240" s="33"/>
      <c r="GA240" s="33"/>
      <c r="GB240" s="33"/>
      <c r="GC240" s="33"/>
      <c r="GD240" s="33"/>
      <c r="GE240" s="33"/>
      <c r="GF240" s="33"/>
      <c r="GG240" s="33"/>
      <c r="GH240" s="33"/>
      <c r="GI240" s="33"/>
      <c r="GJ240" s="33"/>
      <c r="GK240" s="33"/>
      <c r="GL240" s="33"/>
      <c r="GM240" s="33"/>
      <c r="GN240" s="33"/>
      <c r="GO240" s="33"/>
      <c r="GP240" s="33"/>
      <c r="GQ240" s="33"/>
      <c r="GR240" s="33"/>
      <c r="GS240" s="33"/>
      <c r="GT240" s="33"/>
      <c r="GU240" s="33"/>
      <c r="GV240" s="33"/>
      <c r="GW240" s="33"/>
      <c r="GX240" s="33"/>
      <c r="GY240" s="33"/>
      <c r="GZ240" s="33"/>
      <c r="HA240" s="33"/>
      <c r="HB240" s="33"/>
      <c r="HC240" s="33"/>
      <c r="HD240" s="33"/>
      <c r="HE240" s="33"/>
      <c r="HF240" s="33"/>
      <c r="HG240" s="33"/>
      <c r="HH240" s="33"/>
    </row>
    <row r="241" spans="1:216" ht="15.75" customHeight="1" x14ac:dyDescent="0.3">
      <c r="A241" s="7"/>
      <c r="B241" s="50"/>
      <c r="C241" s="24" t="s">
        <v>224</v>
      </c>
      <c r="D241" s="49"/>
      <c r="E241" s="9">
        <f>ALASMALANG!V241+'BENELAN KIDUL'!S241+CANTUK!T241+GAMBOR!N241+GUMIRIH!S241+KEMIRI!U241+LEMAHBANGKULON!Q241+PADANG!Q241+SINGOJURUH!AC241+SINGOLATREN!T241+SUMBERBARU!S241</f>
        <v>21</v>
      </c>
      <c r="F241" s="39"/>
      <c r="G241" s="20"/>
      <c r="H241" s="20"/>
      <c r="I241" s="20"/>
      <c r="J241" s="20"/>
      <c r="K241" s="20"/>
      <c r="L241" s="20"/>
      <c r="M241" s="20"/>
      <c r="N241" s="20"/>
      <c r="O241" s="20"/>
      <c r="P241" s="32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  <c r="BU241" s="33"/>
      <c r="BV241" s="33"/>
      <c r="BW241" s="33"/>
      <c r="BX241" s="33"/>
      <c r="BY241" s="33"/>
      <c r="BZ241" s="33"/>
      <c r="CA241" s="33"/>
      <c r="CB241" s="33"/>
      <c r="CC241" s="33"/>
      <c r="CD241" s="33"/>
      <c r="CE241" s="33"/>
      <c r="CF241" s="33"/>
      <c r="CG241" s="33"/>
      <c r="CH241" s="33"/>
      <c r="CI241" s="33"/>
      <c r="CJ241" s="33"/>
      <c r="CK241" s="33"/>
      <c r="CL241" s="33"/>
      <c r="CM241" s="33"/>
      <c r="CN241" s="33"/>
      <c r="CO241" s="33"/>
      <c r="CP241" s="33"/>
      <c r="CQ241" s="33"/>
      <c r="CR241" s="33"/>
      <c r="CS241" s="33"/>
      <c r="CT241" s="33"/>
      <c r="CU241" s="33"/>
      <c r="CV241" s="33"/>
      <c r="CW241" s="33"/>
      <c r="CX241" s="33"/>
      <c r="CY241" s="33"/>
      <c r="CZ241" s="33"/>
      <c r="DA241" s="33"/>
      <c r="DB241" s="33"/>
      <c r="DC241" s="33"/>
      <c r="DD241" s="33"/>
      <c r="DE241" s="33"/>
      <c r="DF241" s="33"/>
      <c r="DG241" s="33"/>
      <c r="DH241" s="33"/>
      <c r="DI241" s="33"/>
      <c r="DJ241" s="33"/>
      <c r="DK241" s="33"/>
      <c r="DL241" s="33"/>
      <c r="DM241" s="33"/>
      <c r="DN241" s="33"/>
      <c r="DO241" s="33"/>
      <c r="DP241" s="33"/>
      <c r="DQ241" s="33"/>
      <c r="DR241" s="33"/>
      <c r="DS241" s="33"/>
      <c r="DT241" s="33"/>
      <c r="DU241" s="33"/>
      <c r="DV241" s="33"/>
      <c r="DW241" s="33"/>
      <c r="DX241" s="33"/>
      <c r="DY241" s="33"/>
      <c r="DZ241" s="33"/>
      <c r="EA241" s="33"/>
      <c r="EB241" s="33"/>
      <c r="EC241" s="33"/>
      <c r="ED241" s="33"/>
      <c r="EE241" s="33"/>
      <c r="EF241" s="33"/>
      <c r="EG241" s="33"/>
      <c r="EH241" s="33"/>
      <c r="EI241" s="33"/>
      <c r="EJ241" s="33"/>
      <c r="EK241" s="33"/>
      <c r="EL241" s="33"/>
      <c r="EM241" s="33"/>
      <c r="EN241" s="33"/>
      <c r="EO241" s="33"/>
      <c r="EP241" s="33"/>
      <c r="EQ241" s="33"/>
      <c r="ER241" s="33"/>
      <c r="ES241" s="33"/>
      <c r="ET241" s="33"/>
      <c r="EU241" s="33"/>
      <c r="EV241" s="33"/>
      <c r="EW241" s="33"/>
      <c r="EX241" s="33"/>
      <c r="EY241" s="33"/>
      <c r="EZ241" s="33"/>
      <c r="FA241" s="33"/>
      <c r="FB241" s="33"/>
      <c r="FC241" s="33"/>
      <c r="FD241" s="33"/>
      <c r="FE241" s="33"/>
      <c r="FF241" s="33"/>
      <c r="FG241" s="33"/>
      <c r="FH241" s="33"/>
      <c r="FI241" s="33"/>
      <c r="FJ241" s="33"/>
      <c r="FK241" s="33"/>
      <c r="FL241" s="33"/>
      <c r="FM241" s="33"/>
      <c r="FN241" s="33"/>
      <c r="FO241" s="33"/>
      <c r="FP241" s="33"/>
      <c r="FQ241" s="33"/>
      <c r="FR241" s="33"/>
      <c r="FS241" s="33"/>
      <c r="FT241" s="33"/>
      <c r="FU241" s="33"/>
      <c r="FV241" s="33"/>
      <c r="FW241" s="33"/>
      <c r="FX241" s="33"/>
      <c r="FY241" s="33"/>
      <c r="FZ241" s="33"/>
      <c r="GA241" s="33"/>
      <c r="GB241" s="33"/>
      <c r="GC241" s="33"/>
      <c r="GD241" s="33"/>
      <c r="GE241" s="33"/>
      <c r="GF241" s="33"/>
      <c r="GG241" s="33"/>
      <c r="GH241" s="33"/>
      <c r="GI241" s="33"/>
      <c r="GJ241" s="33"/>
      <c r="GK241" s="33"/>
      <c r="GL241" s="33"/>
      <c r="GM241" s="33"/>
      <c r="GN241" s="33"/>
      <c r="GO241" s="33"/>
      <c r="GP241" s="33"/>
      <c r="GQ241" s="33"/>
      <c r="GR241" s="33"/>
      <c r="GS241" s="33"/>
      <c r="GT241" s="33"/>
      <c r="GU241" s="33"/>
      <c r="GV241" s="33"/>
      <c r="GW241" s="33"/>
      <c r="GX241" s="33"/>
      <c r="GY241" s="33"/>
      <c r="GZ241" s="33"/>
      <c r="HA241" s="33"/>
      <c r="HB241" s="33"/>
      <c r="HC241" s="33"/>
      <c r="HD241" s="33"/>
      <c r="HE241" s="33"/>
      <c r="HF241" s="33"/>
      <c r="HG241" s="33"/>
      <c r="HH241" s="33"/>
    </row>
    <row r="242" spans="1:216" ht="15.75" customHeight="1" x14ac:dyDescent="0.3">
      <c r="A242" s="7"/>
      <c r="B242" s="50"/>
      <c r="C242" s="24" t="s">
        <v>225</v>
      </c>
      <c r="D242" s="49"/>
      <c r="E242" s="9">
        <f>ALASMALANG!V242+'BENELAN KIDUL'!S242+CANTUK!T242+GAMBOR!N242+GUMIRIH!S242+KEMIRI!U242+LEMAHBANGKULON!Q242+PADANG!Q242+SINGOJURUH!AC242+SINGOLATREN!T242+SUMBERBARU!S242</f>
        <v>121</v>
      </c>
      <c r="F242" s="39"/>
      <c r="G242" s="20"/>
      <c r="H242" s="20"/>
      <c r="I242" s="20"/>
      <c r="J242" s="20"/>
      <c r="K242" s="20"/>
      <c r="L242" s="20"/>
      <c r="M242" s="20"/>
      <c r="N242" s="20"/>
      <c r="O242" s="20"/>
      <c r="P242" s="32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  <c r="BU242" s="33"/>
      <c r="BV242" s="33"/>
      <c r="BW242" s="33"/>
      <c r="BX242" s="33"/>
      <c r="BY242" s="33"/>
      <c r="BZ242" s="33"/>
      <c r="CA242" s="33"/>
      <c r="CB242" s="33"/>
      <c r="CC242" s="33"/>
      <c r="CD242" s="33"/>
      <c r="CE242" s="33"/>
      <c r="CF242" s="33"/>
      <c r="CG242" s="33"/>
      <c r="CH242" s="33"/>
      <c r="CI242" s="33"/>
      <c r="CJ242" s="33"/>
      <c r="CK242" s="33"/>
      <c r="CL242" s="33"/>
      <c r="CM242" s="33"/>
      <c r="CN242" s="33"/>
      <c r="CO242" s="33"/>
      <c r="CP242" s="33"/>
      <c r="CQ242" s="33"/>
      <c r="CR242" s="33"/>
      <c r="CS242" s="33"/>
      <c r="CT242" s="33"/>
      <c r="CU242" s="33"/>
      <c r="CV242" s="33"/>
      <c r="CW242" s="33"/>
      <c r="CX242" s="33"/>
      <c r="CY242" s="33"/>
      <c r="CZ242" s="33"/>
      <c r="DA242" s="33"/>
      <c r="DB242" s="33"/>
      <c r="DC242" s="33"/>
      <c r="DD242" s="33"/>
      <c r="DE242" s="33"/>
      <c r="DF242" s="33"/>
      <c r="DG242" s="33"/>
      <c r="DH242" s="33"/>
      <c r="DI242" s="33"/>
      <c r="DJ242" s="33"/>
      <c r="DK242" s="33"/>
      <c r="DL242" s="33"/>
      <c r="DM242" s="33"/>
      <c r="DN242" s="33"/>
      <c r="DO242" s="33"/>
      <c r="DP242" s="33"/>
      <c r="DQ242" s="33"/>
      <c r="DR242" s="33"/>
      <c r="DS242" s="33"/>
      <c r="DT242" s="33"/>
      <c r="DU242" s="33"/>
      <c r="DV242" s="33"/>
      <c r="DW242" s="33"/>
      <c r="DX242" s="33"/>
      <c r="DY242" s="33"/>
      <c r="DZ242" s="33"/>
      <c r="EA242" s="33"/>
      <c r="EB242" s="33"/>
      <c r="EC242" s="33"/>
      <c r="ED242" s="33"/>
      <c r="EE242" s="33"/>
      <c r="EF242" s="33"/>
      <c r="EG242" s="33"/>
      <c r="EH242" s="33"/>
      <c r="EI242" s="33"/>
      <c r="EJ242" s="33"/>
      <c r="EK242" s="33"/>
      <c r="EL242" s="33"/>
      <c r="EM242" s="33"/>
      <c r="EN242" s="33"/>
      <c r="EO242" s="33"/>
      <c r="EP242" s="33"/>
      <c r="EQ242" s="33"/>
      <c r="ER242" s="33"/>
      <c r="ES242" s="33"/>
      <c r="ET242" s="33"/>
      <c r="EU242" s="33"/>
      <c r="EV242" s="33"/>
      <c r="EW242" s="33"/>
      <c r="EX242" s="33"/>
      <c r="EY242" s="33"/>
      <c r="EZ242" s="33"/>
      <c r="FA242" s="33"/>
      <c r="FB242" s="33"/>
      <c r="FC242" s="33"/>
      <c r="FD242" s="33"/>
      <c r="FE242" s="33"/>
      <c r="FF242" s="33"/>
      <c r="FG242" s="33"/>
      <c r="FH242" s="33"/>
      <c r="FI242" s="33"/>
      <c r="FJ242" s="33"/>
      <c r="FK242" s="33"/>
      <c r="FL242" s="33"/>
      <c r="FM242" s="33"/>
      <c r="FN242" s="33"/>
      <c r="FO242" s="33"/>
      <c r="FP242" s="33"/>
      <c r="FQ242" s="33"/>
      <c r="FR242" s="33"/>
      <c r="FS242" s="33"/>
      <c r="FT242" s="33"/>
      <c r="FU242" s="33"/>
      <c r="FV242" s="33"/>
      <c r="FW242" s="33"/>
      <c r="FX242" s="33"/>
      <c r="FY242" s="33"/>
      <c r="FZ242" s="33"/>
      <c r="GA242" s="33"/>
      <c r="GB242" s="33"/>
      <c r="GC242" s="33"/>
      <c r="GD242" s="33"/>
      <c r="GE242" s="33"/>
      <c r="GF242" s="33"/>
      <c r="GG242" s="33"/>
      <c r="GH242" s="33"/>
      <c r="GI242" s="33"/>
      <c r="GJ242" s="33"/>
      <c r="GK242" s="33"/>
      <c r="GL242" s="33"/>
      <c r="GM242" s="33"/>
      <c r="GN242" s="33"/>
      <c r="GO242" s="33"/>
      <c r="GP242" s="33"/>
      <c r="GQ242" s="33"/>
      <c r="GR242" s="33"/>
      <c r="GS242" s="33"/>
      <c r="GT242" s="33"/>
      <c r="GU242" s="33"/>
      <c r="GV242" s="33"/>
      <c r="GW242" s="33"/>
      <c r="GX242" s="33"/>
      <c r="GY242" s="33"/>
      <c r="GZ242" s="33"/>
      <c r="HA242" s="33"/>
      <c r="HB242" s="33"/>
      <c r="HC242" s="33"/>
      <c r="HD242" s="33"/>
      <c r="HE242" s="33"/>
      <c r="HF242" s="33"/>
      <c r="HG242" s="33"/>
      <c r="HH242" s="33"/>
    </row>
    <row r="243" spans="1:216" ht="15.75" customHeight="1" x14ac:dyDescent="0.3">
      <c r="A243" s="7"/>
      <c r="B243" s="50"/>
      <c r="C243" s="24" t="s">
        <v>226</v>
      </c>
      <c r="D243" s="49"/>
      <c r="E243" s="9">
        <f>ALASMALANG!V243+'BENELAN KIDUL'!S243+CANTUK!T243+GAMBOR!N243+GUMIRIH!S243+KEMIRI!U243+LEMAHBANGKULON!Q243+PADANG!Q243+SINGOJURUH!AC243+SINGOLATREN!T243+SUMBERBARU!S243</f>
        <v>9</v>
      </c>
      <c r="F243" s="39"/>
      <c r="G243" s="20"/>
      <c r="H243" s="20"/>
      <c r="I243" s="20"/>
      <c r="J243" s="20"/>
      <c r="K243" s="20"/>
      <c r="L243" s="20"/>
      <c r="M243" s="20"/>
      <c r="N243" s="20"/>
      <c r="O243" s="20"/>
      <c r="P243" s="32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  <c r="BV243" s="33"/>
      <c r="BW243" s="33"/>
      <c r="BX243" s="33"/>
      <c r="BY243" s="33"/>
      <c r="BZ243" s="33"/>
      <c r="CA243" s="33"/>
      <c r="CB243" s="33"/>
      <c r="CC243" s="33"/>
      <c r="CD243" s="33"/>
      <c r="CE243" s="33"/>
      <c r="CF243" s="33"/>
      <c r="CG243" s="33"/>
      <c r="CH243" s="33"/>
      <c r="CI243" s="33"/>
      <c r="CJ243" s="33"/>
      <c r="CK243" s="33"/>
      <c r="CL243" s="33"/>
      <c r="CM243" s="33"/>
      <c r="CN243" s="33"/>
      <c r="CO243" s="33"/>
      <c r="CP243" s="33"/>
      <c r="CQ243" s="33"/>
      <c r="CR243" s="33"/>
      <c r="CS243" s="33"/>
      <c r="CT243" s="33"/>
      <c r="CU243" s="33"/>
      <c r="CV243" s="33"/>
      <c r="CW243" s="33"/>
      <c r="CX243" s="33"/>
      <c r="CY243" s="33"/>
      <c r="CZ243" s="33"/>
      <c r="DA243" s="33"/>
      <c r="DB243" s="33"/>
      <c r="DC243" s="33"/>
      <c r="DD243" s="33"/>
      <c r="DE243" s="33"/>
      <c r="DF243" s="33"/>
      <c r="DG243" s="33"/>
      <c r="DH243" s="33"/>
      <c r="DI243" s="33"/>
      <c r="DJ243" s="33"/>
      <c r="DK243" s="33"/>
      <c r="DL243" s="33"/>
      <c r="DM243" s="33"/>
      <c r="DN243" s="33"/>
      <c r="DO243" s="33"/>
      <c r="DP243" s="33"/>
      <c r="DQ243" s="33"/>
      <c r="DR243" s="33"/>
      <c r="DS243" s="33"/>
      <c r="DT243" s="33"/>
      <c r="DU243" s="33"/>
      <c r="DV243" s="33"/>
      <c r="DW243" s="33"/>
      <c r="DX243" s="33"/>
      <c r="DY243" s="33"/>
      <c r="DZ243" s="33"/>
      <c r="EA243" s="33"/>
      <c r="EB243" s="33"/>
      <c r="EC243" s="33"/>
      <c r="ED243" s="33"/>
      <c r="EE243" s="33"/>
      <c r="EF243" s="33"/>
      <c r="EG243" s="33"/>
      <c r="EH243" s="33"/>
      <c r="EI243" s="33"/>
      <c r="EJ243" s="33"/>
      <c r="EK243" s="33"/>
      <c r="EL243" s="33"/>
      <c r="EM243" s="33"/>
      <c r="EN243" s="33"/>
      <c r="EO243" s="33"/>
      <c r="EP243" s="33"/>
      <c r="EQ243" s="33"/>
      <c r="ER243" s="33"/>
      <c r="ES243" s="33"/>
      <c r="ET243" s="33"/>
      <c r="EU243" s="33"/>
      <c r="EV243" s="33"/>
      <c r="EW243" s="33"/>
      <c r="EX243" s="33"/>
      <c r="EY243" s="33"/>
      <c r="EZ243" s="33"/>
      <c r="FA243" s="33"/>
      <c r="FB243" s="33"/>
      <c r="FC243" s="33"/>
      <c r="FD243" s="33"/>
      <c r="FE243" s="33"/>
      <c r="FF243" s="33"/>
      <c r="FG243" s="33"/>
      <c r="FH243" s="33"/>
      <c r="FI243" s="33"/>
      <c r="FJ243" s="33"/>
      <c r="FK243" s="33"/>
      <c r="FL243" s="33"/>
      <c r="FM243" s="33"/>
      <c r="FN243" s="33"/>
      <c r="FO243" s="33"/>
      <c r="FP243" s="33"/>
      <c r="FQ243" s="33"/>
      <c r="FR243" s="33"/>
      <c r="FS243" s="33"/>
      <c r="FT243" s="33"/>
      <c r="FU243" s="33"/>
      <c r="FV243" s="33"/>
      <c r="FW243" s="33"/>
      <c r="FX243" s="33"/>
      <c r="FY243" s="33"/>
      <c r="FZ243" s="33"/>
      <c r="GA243" s="33"/>
      <c r="GB243" s="33"/>
      <c r="GC243" s="33"/>
      <c r="GD243" s="33"/>
      <c r="GE243" s="33"/>
      <c r="GF243" s="33"/>
      <c r="GG243" s="33"/>
      <c r="GH243" s="33"/>
      <c r="GI243" s="33"/>
      <c r="GJ243" s="33"/>
      <c r="GK243" s="33"/>
      <c r="GL243" s="33"/>
      <c r="GM243" s="33"/>
      <c r="GN243" s="33"/>
      <c r="GO243" s="33"/>
      <c r="GP243" s="33"/>
      <c r="GQ243" s="33"/>
      <c r="GR243" s="33"/>
      <c r="GS243" s="33"/>
      <c r="GT243" s="33"/>
      <c r="GU243" s="33"/>
      <c r="GV243" s="33"/>
      <c r="GW243" s="33"/>
      <c r="GX243" s="33"/>
      <c r="GY243" s="33"/>
      <c r="GZ243" s="33"/>
      <c r="HA243" s="33"/>
      <c r="HB243" s="33"/>
      <c r="HC243" s="33"/>
      <c r="HD243" s="33"/>
      <c r="HE243" s="33"/>
      <c r="HF243" s="33"/>
      <c r="HG243" s="33"/>
      <c r="HH243" s="33"/>
    </row>
    <row r="244" spans="1:216" ht="15.75" customHeight="1" x14ac:dyDescent="0.3">
      <c r="A244" s="7"/>
      <c r="B244" s="50"/>
      <c r="C244" s="24" t="s">
        <v>227</v>
      </c>
      <c r="D244" s="49"/>
      <c r="E244" s="9">
        <f>ALASMALANG!V244+'BENELAN KIDUL'!S244+CANTUK!T244+GAMBOR!N244+GUMIRIH!S244+KEMIRI!U244+LEMAHBANGKULON!Q244+PADANG!Q244+SINGOJURUH!AC244+SINGOLATREN!T244+SUMBERBARU!S244</f>
        <v>13</v>
      </c>
      <c r="F244" s="39"/>
      <c r="G244" s="20"/>
      <c r="H244" s="20"/>
      <c r="I244" s="20"/>
      <c r="J244" s="20"/>
      <c r="K244" s="20"/>
      <c r="L244" s="20"/>
      <c r="M244" s="20"/>
      <c r="N244" s="20"/>
      <c r="O244" s="20"/>
      <c r="P244" s="32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  <c r="BW244" s="33"/>
      <c r="BX244" s="33"/>
      <c r="BY244" s="33"/>
      <c r="BZ244" s="33"/>
      <c r="CA244" s="33"/>
      <c r="CB244" s="33"/>
      <c r="CC244" s="33"/>
      <c r="CD244" s="33"/>
      <c r="CE244" s="33"/>
      <c r="CF244" s="33"/>
      <c r="CG244" s="33"/>
      <c r="CH244" s="33"/>
      <c r="CI244" s="33"/>
      <c r="CJ244" s="33"/>
      <c r="CK244" s="33"/>
      <c r="CL244" s="33"/>
      <c r="CM244" s="33"/>
      <c r="CN244" s="33"/>
      <c r="CO244" s="33"/>
      <c r="CP244" s="33"/>
      <c r="CQ244" s="33"/>
      <c r="CR244" s="33"/>
      <c r="CS244" s="33"/>
      <c r="CT244" s="33"/>
      <c r="CU244" s="33"/>
      <c r="CV244" s="33"/>
      <c r="CW244" s="33"/>
      <c r="CX244" s="33"/>
      <c r="CY244" s="33"/>
      <c r="CZ244" s="33"/>
      <c r="DA244" s="33"/>
      <c r="DB244" s="33"/>
      <c r="DC244" s="33"/>
      <c r="DD244" s="33"/>
      <c r="DE244" s="33"/>
      <c r="DF244" s="33"/>
      <c r="DG244" s="33"/>
      <c r="DH244" s="33"/>
      <c r="DI244" s="33"/>
      <c r="DJ244" s="33"/>
      <c r="DK244" s="33"/>
      <c r="DL244" s="33"/>
      <c r="DM244" s="33"/>
      <c r="DN244" s="33"/>
      <c r="DO244" s="33"/>
      <c r="DP244" s="33"/>
      <c r="DQ244" s="33"/>
      <c r="DR244" s="33"/>
      <c r="DS244" s="33"/>
      <c r="DT244" s="33"/>
      <c r="DU244" s="33"/>
      <c r="DV244" s="33"/>
      <c r="DW244" s="33"/>
      <c r="DX244" s="33"/>
      <c r="DY244" s="33"/>
      <c r="DZ244" s="33"/>
      <c r="EA244" s="33"/>
      <c r="EB244" s="33"/>
      <c r="EC244" s="33"/>
      <c r="ED244" s="33"/>
      <c r="EE244" s="33"/>
      <c r="EF244" s="33"/>
      <c r="EG244" s="33"/>
      <c r="EH244" s="33"/>
      <c r="EI244" s="33"/>
      <c r="EJ244" s="33"/>
      <c r="EK244" s="33"/>
      <c r="EL244" s="33"/>
      <c r="EM244" s="33"/>
      <c r="EN244" s="33"/>
      <c r="EO244" s="33"/>
      <c r="EP244" s="33"/>
      <c r="EQ244" s="33"/>
      <c r="ER244" s="33"/>
      <c r="ES244" s="33"/>
      <c r="ET244" s="33"/>
      <c r="EU244" s="33"/>
      <c r="EV244" s="33"/>
      <c r="EW244" s="33"/>
      <c r="EX244" s="33"/>
      <c r="EY244" s="33"/>
      <c r="EZ244" s="33"/>
      <c r="FA244" s="33"/>
      <c r="FB244" s="33"/>
      <c r="FC244" s="33"/>
      <c r="FD244" s="33"/>
      <c r="FE244" s="33"/>
      <c r="FF244" s="33"/>
      <c r="FG244" s="33"/>
      <c r="FH244" s="33"/>
      <c r="FI244" s="33"/>
      <c r="FJ244" s="33"/>
      <c r="FK244" s="33"/>
      <c r="FL244" s="33"/>
      <c r="FM244" s="33"/>
      <c r="FN244" s="33"/>
      <c r="FO244" s="33"/>
      <c r="FP244" s="33"/>
      <c r="FQ244" s="33"/>
      <c r="FR244" s="33"/>
      <c r="FS244" s="33"/>
      <c r="FT244" s="33"/>
      <c r="FU244" s="33"/>
      <c r="FV244" s="33"/>
      <c r="FW244" s="33"/>
      <c r="FX244" s="33"/>
      <c r="FY244" s="33"/>
      <c r="FZ244" s="33"/>
      <c r="GA244" s="33"/>
      <c r="GB244" s="33"/>
      <c r="GC244" s="33"/>
      <c r="GD244" s="33"/>
      <c r="GE244" s="33"/>
      <c r="GF244" s="33"/>
      <c r="GG244" s="33"/>
      <c r="GH244" s="33"/>
      <c r="GI244" s="33"/>
      <c r="GJ244" s="33"/>
      <c r="GK244" s="33"/>
      <c r="GL244" s="33"/>
      <c r="GM244" s="33"/>
      <c r="GN244" s="33"/>
      <c r="GO244" s="33"/>
      <c r="GP244" s="33"/>
      <c r="GQ244" s="33"/>
      <c r="GR244" s="33"/>
      <c r="GS244" s="33"/>
      <c r="GT244" s="33"/>
      <c r="GU244" s="33"/>
      <c r="GV244" s="33"/>
      <c r="GW244" s="33"/>
      <c r="GX244" s="33"/>
      <c r="GY244" s="33"/>
      <c r="GZ244" s="33"/>
      <c r="HA244" s="33"/>
      <c r="HB244" s="33"/>
      <c r="HC244" s="33"/>
      <c r="HD244" s="33"/>
      <c r="HE244" s="33"/>
      <c r="HF244" s="33"/>
      <c r="HG244" s="33"/>
      <c r="HH244" s="33"/>
    </row>
    <row r="245" spans="1:216" ht="15.75" customHeight="1" x14ac:dyDescent="0.3">
      <c r="A245" s="7"/>
      <c r="B245" s="50"/>
      <c r="C245" s="24" t="s">
        <v>228</v>
      </c>
      <c r="D245" s="49"/>
      <c r="E245" s="9">
        <f>ALASMALANG!V245+'BENELAN KIDUL'!S245+CANTUK!T245+GAMBOR!N245+GUMIRIH!S245+KEMIRI!U245+LEMAHBANGKULON!Q245+PADANG!Q245+SINGOJURUH!AC245+SINGOLATREN!T245+SUMBERBARU!S245</f>
        <v>5</v>
      </c>
      <c r="F245" s="39"/>
      <c r="G245" s="20"/>
      <c r="H245" s="20"/>
      <c r="I245" s="20"/>
      <c r="J245" s="20"/>
      <c r="K245" s="20"/>
      <c r="L245" s="20"/>
      <c r="M245" s="20"/>
      <c r="N245" s="20"/>
      <c r="O245" s="20"/>
      <c r="P245" s="32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  <c r="BU245" s="33"/>
      <c r="BV245" s="33"/>
      <c r="BW245" s="33"/>
      <c r="BX245" s="33"/>
      <c r="BY245" s="33"/>
      <c r="BZ245" s="33"/>
      <c r="CA245" s="33"/>
      <c r="CB245" s="33"/>
      <c r="CC245" s="33"/>
      <c r="CD245" s="33"/>
      <c r="CE245" s="33"/>
      <c r="CF245" s="33"/>
      <c r="CG245" s="33"/>
      <c r="CH245" s="33"/>
      <c r="CI245" s="33"/>
      <c r="CJ245" s="33"/>
      <c r="CK245" s="33"/>
      <c r="CL245" s="33"/>
      <c r="CM245" s="33"/>
      <c r="CN245" s="33"/>
      <c r="CO245" s="33"/>
      <c r="CP245" s="33"/>
      <c r="CQ245" s="33"/>
      <c r="CR245" s="33"/>
      <c r="CS245" s="33"/>
      <c r="CT245" s="33"/>
      <c r="CU245" s="33"/>
      <c r="CV245" s="33"/>
      <c r="CW245" s="33"/>
      <c r="CX245" s="33"/>
      <c r="CY245" s="33"/>
      <c r="CZ245" s="33"/>
      <c r="DA245" s="33"/>
      <c r="DB245" s="33"/>
      <c r="DC245" s="33"/>
      <c r="DD245" s="33"/>
      <c r="DE245" s="33"/>
      <c r="DF245" s="33"/>
      <c r="DG245" s="33"/>
      <c r="DH245" s="33"/>
      <c r="DI245" s="33"/>
      <c r="DJ245" s="33"/>
      <c r="DK245" s="33"/>
      <c r="DL245" s="33"/>
      <c r="DM245" s="33"/>
      <c r="DN245" s="33"/>
      <c r="DO245" s="33"/>
      <c r="DP245" s="33"/>
      <c r="DQ245" s="33"/>
      <c r="DR245" s="33"/>
      <c r="DS245" s="33"/>
      <c r="DT245" s="33"/>
      <c r="DU245" s="33"/>
      <c r="DV245" s="33"/>
      <c r="DW245" s="33"/>
      <c r="DX245" s="33"/>
      <c r="DY245" s="33"/>
      <c r="DZ245" s="33"/>
      <c r="EA245" s="33"/>
      <c r="EB245" s="33"/>
      <c r="EC245" s="33"/>
      <c r="ED245" s="33"/>
      <c r="EE245" s="33"/>
      <c r="EF245" s="33"/>
      <c r="EG245" s="33"/>
      <c r="EH245" s="33"/>
      <c r="EI245" s="33"/>
      <c r="EJ245" s="33"/>
      <c r="EK245" s="33"/>
      <c r="EL245" s="33"/>
      <c r="EM245" s="33"/>
      <c r="EN245" s="33"/>
      <c r="EO245" s="33"/>
      <c r="EP245" s="33"/>
      <c r="EQ245" s="33"/>
      <c r="ER245" s="33"/>
      <c r="ES245" s="33"/>
      <c r="ET245" s="33"/>
      <c r="EU245" s="33"/>
      <c r="EV245" s="33"/>
      <c r="EW245" s="33"/>
      <c r="EX245" s="33"/>
      <c r="EY245" s="33"/>
      <c r="EZ245" s="33"/>
      <c r="FA245" s="33"/>
      <c r="FB245" s="33"/>
      <c r="FC245" s="33"/>
      <c r="FD245" s="33"/>
      <c r="FE245" s="33"/>
      <c r="FF245" s="33"/>
      <c r="FG245" s="33"/>
      <c r="FH245" s="33"/>
      <c r="FI245" s="33"/>
      <c r="FJ245" s="33"/>
      <c r="FK245" s="33"/>
      <c r="FL245" s="33"/>
      <c r="FM245" s="33"/>
      <c r="FN245" s="33"/>
      <c r="FO245" s="33"/>
      <c r="FP245" s="33"/>
      <c r="FQ245" s="33"/>
      <c r="FR245" s="33"/>
      <c r="FS245" s="33"/>
      <c r="FT245" s="33"/>
      <c r="FU245" s="33"/>
      <c r="FV245" s="33"/>
      <c r="FW245" s="33"/>
      <c r="FX245" s="33"/>
      <c r="FY245" s="33"/>
      <c r="FZ245" s="33"/>
      <c r="GA245" s="33"/>
      <c r="GB245" s="33"/>
      <c r="GC245" s="33"/>
      <c r="GD245" s="33"/>
      <c r="GE245" s="33"/>
      <c r="GF245" s="33"/>
      <c r="GG245" s="33"/>
      <c r="GH245" s="33"/>
      <c r="GI245" s="33"/>
      <c r="GJ245" s="33"/>
      <c r="GK245" s="33"/>
      <c r="GL245" s="33"/>
      <c r="GM245" s="33"/>
      <c r="GN245" s="33"/>
      <c r="GO245" s="33"/>
      <c r="GP245" s="33"/>
      <c r="GQ245" s="33"/>
      <c r="GR245" s="33"/>
      <c r="GS245" s="33"/>
      <c r="GT245" s="33"/>
      <c r="GU245" s="33"/>
      <c r="GV245" s="33"/>
      <c r="GW245" s="33"/>
      <c r="GX245" s="33"/>
      <c r="GY245" s="33"/>
      <c r="GZ245" s="33"/>
      <c r="HA245" s="33"/>
      <c r="HB245" s="33"/>
      <c r="HC245" s="33"/>
      <c r="HD245" s="33"/>
      <c r="HE245" s="33"/>
      <c r="HF245" s="33"/>
      <c r="HG245" s="33"/>
      <c r="HH245" s="33"/>
    </row>
    <row r="246" spans="1:216" ht="15.75" customHeight="1" x14ac:dyDescent="0.3">
      <c r="A246" s="7"/>
      <c r="B246" s="50"/>
      <c r="C246" s="24" t="s">
        <v>229</v>
      </c>
      <c r="D246" s="49"/>
      <c r="E246" s="9">
        <f>ALASMALANG!V246+'BENELAN KIDUL'!S246+CANTUK!T246+GAMBOR!N246+GUMIRIH!S246+KEMIRI!U246+LEMAHBANGKULON!Q246+PADANG!Q246+SINGOJURUH!AC246+SINGOLATREN!T246+SUMBERBARU!S246</f>
        <v>10</v>
      </c>
      <c r="F246" s="39"/>
      <c r="G246" s="20"/>
      <c r="H246" s="20"/>
      <c r="I246" s="20"/>
      <c r="J246" s="20"/>
      <c r="K246" s="20"/>
      <c r="L246" s="20"/>
      <c r="M246" s="20"/>
      <c r="N246" s="20"/>
      <c r="O246" s="20"/>
      <c r="P246" s="32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  <c r="BV246" s="33"/>
      <c r="BW246" s="33"/>
      <c r="BX246" s="33"/>
      <c r="BY246" s="33"/>
      <c r="BZ246" s="33"/>
      <c r="CA246" s="33"/>
      <c r="CB246" s="33"/>
      <c r="CC246" s="33"/>
      <c r="CD246" s="33"/>
      <c r="CE246" s="33"/>
      <c r="CF246" s="33"/>
      <c r="CG246" s="33"/>
      <c r="CH246" s="33"/>
      <c r="CI246" s="33"/>
      <c r="CJ246" s="33"/>
      <c r="CK246" s="33"/>
      <c r="CL246" s="33"/>
      <c r="CM246" s="33"/>
      <c r="CN246" s="33"/>
      <c r="CO246" s="33"/>
      <c r="CP246" s="33"/>
      <c r="CQ246" s="33"/>
      <c r="CR246" s="33"/>
      <c r="CS246" s="33"/>
      <c r="CT246" s="33"/>
      <c r="CU246" s="33"/>
      <c r="CV246" s="33"/>
      <c r="CW246" s="33"/>
      <c r="CX246" s="33"/>
      <c r="CY246" s="33"/>
      <c r="CZ246" s="33"/>
      <c r="DA246" s="33"/>
      <c r="DB246" s="33"/>
      <c r="DC246" s="33"/>
      <c r="DD246" s="33"/>
      <c r="DE246" s="33"/>
      <c r="DF246" s="33"/>
      <c r="DG246" s="33"/>
      <c r="DH246" s="33"/>
      <c r="DI246" s="33"/>
      <c r="DJ246" s="33"/>
      <c r="DK246" s="33"/>
      <c r="DL246" s="33"/>
      <c r="DM246" s="33"/>
      <c r="DN246" s="33"/>
      <c r="DO246" s="33"/>
      <c r="DP246" s="33"/>
      <c r="DQ246" s="33"/>
      <c r="DR246" s="33"/>
      <c r="DS246" s="33"/>
      <c r="DT246" s="33"/>
      <c r="DU246" s="33"/>
      <c r="DV246" s="33"/>
      <c r="DW246" s="33"/>
      <c r="DX246" s="33"/>
      <c r="DY246" s="33"/>
      <c r="DZ246" s="33"/>
      <c r="EA246" s="33"/>
      <c r="EB246" s="33"/>
      <c r="EC246" s="33"/>
      <c r="ED246" s="33"/>
      <c r="EE246" s="33"/>
      <c r="EF246" s="33"/>
      <c r="EG246" s="33"/>
      <c r="EH246" s="33"/>
      <c r="EI246" s="33"/>
      <c r="EJ246" s="33"/>
      <c r="EK246" s="33"/>
      <c r="EL246" s="33"/>
      <c r="EM246" s="33"/>
      <c r="EN246" s="33"/>
      <c r="EO246" s="33"/>
      <c r="EP246" s="33"/>
      <c r="EQ246" s="33"/>
      <c r="ER246" s="33"/>
      <c r="ES246" s="33"/>
      <c r="ET246" s="33"/>
      <c r="EU246" s="33"/>
      <c r="EV246" s="33"/>
      <c r="EW246" s="33"/>
      <c r="EX246" s="33"/>
      <c r="EY246" s="33"/>
      <c r="EZ246" s="33"/>
      <c r="FA246" s="33"/>
      <c r="FB246" s="33"/>
      <c r="FC246" s="33"/>
      <c r="FD246" s="33"/>
      <c r="FE246" s="33"/>
      <c r="FF246" s="33"/>
      <c r="FG246" s="33"/>
      <c r="FH246" s="33"/>
      <c r="FI246" s="33"/>
      <c r="FJ246" s="33"/>
      <c r="FK246" s="33"/>
      <c r="FL246" s="33"/>
      <c r="FM246" s="33"/>
      <c r="FN246" s="33"/>
      <c r="FO246" s="33"/>
      <c r="FP246" s="33"/>
      <c r="FQ246" s="33"/>
      <c r="FR246" s="33"/>
      <c r="FS246" s="33"/>
      <c r="FT246" s="33"/>
      <c r="FU246" s="33"/>
      <c r="FV246" s="33"/>
      <c r="FW246" s="33"/>
      <c r="FX246" s="33"/>
      <c r="FY246" s="33"/>
      <c r="FZ246" s="33"/>
      <c r="GA246" s="33"/>
      <c r="GB246" s="33"/>
      <c r="GC246" s="33"/>
      <c r="GD246" s="33"/>
      <c r="GE246" s="33"/>
      <c r="GF246" s="33"/>
      <c r="GG246" s="33"/>
      <c r="GH246" s="33"/>
      <c r="GI246" s="33"/>
      <c r="GJ246" s="33"/>
      <c r="GK246" s="33"/>
      <c r="GL246" s="33"/>
      <c r="GM246" s="33"/>
      <c r="GN246" s="33"/>
      <c r="GO246" s="33"/>
      <c r="GP246" s="33"/>
      <c r="GQ246" s="33"/>
      <c r="GR246" s="33"/>
      <c r="GS246" s="33"/>
      <c r="GT246" s="33"/>
      <c r="GU246" s="33"/>
      <c r="GV246" s="33"/>
      <c r="GW246" s="33"/>
      <c r="GX246" s="33"/>
      <c r="GY246" s="33"/>
      <c r="GZ246" s="33"/>
      <c r="HA246" s="33"/>
      <c r="HB246" s="33"/>
      <c r="HC246" s="33"/>
      <c r="HD246" s="33"/>
      <c r="HE246" s="33"/>
      <c r="HF246" s="33"/>
      <c r="HG246" s="33"/>
      <c r="HH246" s="33"/>
    </row>
    <row r="247" spans="1:216" ht="15.75" customHeight="1" x14ac:dyDescent="0.3">
      <c r="A247" s="6" t="s">
        <v>26</v>
      </c>
      <c r="B247" s="84" t="s">
        <v>51</v>
      </c>
      <c r="C247" s="87"/>
      <c r="D247" s="88"/>
      <c r="E247" s="5">
        <f>SUM(E237:E246)</f>
        <v>782</v>
      </c>
      <c r="F247" s="39"/>
      <c r="G247" s="20"/>
      <c r="H247" s="20"/>
      <c r="I247" s="20"/>
      <c r="J247" s="20"/>
      <c r="K247" s="20"/>
      <c r="L247" s="20"/>
      <c r="M247" s="20"/>
      <c r="N247" s="20"/>
      <c r="O247" s="20"/>
      <c r="P247" s="32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T247" s="33"/>
      <c r="BU247" s="33"/>
      <c r="BV247" s="33"/>
      <c r="BW247" s="33"/>
      <c r="BX247" s="33"/>
      <c r="BY247" s="33"/>
      <c r="BZ247" s="33"/>
      <c r="CA247" s="33"/>
      <c r="CB247" s="33"/>
      <c r="CC247" s="33"/>
      <c r="CD247" s="33"/>
      <c r="CE247" s="33"/>
      <c r="CF247" s="33"/>
      <c r="CG247" s="33"/>
      <c r="CH247" s="33"/>
      <c r="CI247" s="33"/>
      <c r="CJ247" s="33"/>
      <c r="CK247" s="33"/>
      <c r="CL247" s="33"/>
      <c r="CM247" s="33"/>
      <c r="CN247" s="33"/>
      <c r="CO247" s="33"/>
      <c r="CP247" s="33"/>
      <c r="CQ247" s="33"/>
      <c r="CR247" s="33"/>
      <c r="CS247" s="33"/>
      <c r="CT247" s="33"/>
      <c r="CU247" s="33"/>
      <c r="CV247" s="33"/>
      <c r="CW247" s="33"/>
      <c r="CX247" s="33"/>
      <c r="CY247" s="33"/>
      <c r="CZ247" s="33"/>
      <c r="DA247" s="33"/>
      <c r="DB247" s="33"/>
      <c r="DC247" s="33"/>
      <c r="DD247" s="33"/>
      <c r="DE247" s="33"/>
      <c r="DF247" s="33"/>
      <c r="DG247" s="33"/>
      <c r="DH247" s="33"/>
      <c r="DI247" s="33"/>
      <c r="DJ247" s="33"/>
      <c r="DK247" s="33"/>
      <c r="DL247" s="33"/>
      <c r="DM247" s="33"/>
      <c r="DN247" s="33"/>
      <c r="DO247" s="33"/>
      <c r="DP247" s="33"/>
      <c r="DQ247" s="33"/>
      <c r="DR247" s="33"/>
      <c r="DS247" s="33"/>
      <c r="DT247" s="33"/>
      <c r="DU247" s="33"/>
      <c r="DV247" s="33"/>
      <c r="DW247" s="33"/>
      <c r="DX247" s="33"/>
      <c r="DY247" s="33"/>
      <c r="DZ247" s="33"/>
      <c r="EA247" s="33"/>
      <c r="EB247" s="33"/>
      <c r="EC247" s="33"/>
      <c r="ED247" s="33"/>
      <c r="EE247" s="33"/>
      <c r="EF247" s="33"/>
      <c r="EG247" s="33"/>
      <c r="EH247" s="33"/>
      <c r="EI247" s="33"/>
      <c r="EJ247" s="33"/>
      <c r="EK247" s="33"/>
      <c r="EL247" s="33"/>
      <c r="EM247" s="33"/>
      <c r="EN247" s="33"/>
      <c r="EO247" s="33"/>
      <c r="EP247" s="33"/>
      <c r="EQ247" s="33"/>
      <c r="ER247" s="33"/>
      <c r="ES247" s="33"/>
      <c r="ET247" s="33"/>
      <c r="EU247" s="33"/>
      <c r="EV247" s="33"/>
      <c r="EW247" s="33"/>
      <c r="EX247" s="33"/>
      <c r="EY247" s="33"/>
      <c r="EZ247" s="33"/>
      <c r="FA247" s="33"/>
      <c r="FB247" s="33"/>
      <c r="FC247" s="33"/>
      <c r="FD247" s="33"/>
      <c r="FE247" s="33"/>
      <c r="FF247" s="33"/>
      <c r="FG247" s="33"/>
      <c r="FH247" s="33"/>
      <c r="FI247" s="33"/>
      <c r="FJ247" s="33"/>
      <c r="FK247" s="33"/>
      <c r="FL247" s="33"/>
      <c r="FM247" s="33"/>
      <c r="FN247" s="33"/>
      <c r="FO247" s="33"/>
      <c r="FP247" s="33"/>
      <c r="FQ247" s="33"/>
      <c r="FR247" s="33"/>
      <c r="FS247" s="33"/>
      <c r="FT247" s="33"/>
      <c r="FU247" s="33"/>
      <c r="FV247" s="33"/>
      <c r="FW247" s="33"/>
      <c r="FX247" s="33"/>
      <c r="FY247" s="33"/>
      <c r="FZ247" s="33"/>
      <c r="GA247" s="33"/>
      <c r="GB247" s="33"/>
      <c r="GC247" s="33"/>
      <c r="GD247" s="33"/>
      <c r="GE247" s="33"/>
      <c r="GF247" s="33"/>
      <c r="GG247" s="33"/>
      <c r="GH247" s="33"/>
      <c r="GI247" s="33"/>
      <c r="GJ247" s="33"/>
      <c r="GK247" s="33"/>
      <c r="GL247" s="33"/>
      <c r="GM247" s="33"/>
      <c r="GN247" s="33"/>
      <c r="GO247" s="33"/>
      <c r="GP247" s="33"/>
      <c r="GQ247" s="33"/>
      <c r="GR247" s="33"/>
      <c r="GS247" s="33"/>
      <c r="GT247" s="33"/>
      <c r="GU247" s="33"/>
      <c r="GV247" s="33"/>
      <c r="GW247" s="33"/>
      <c r="GX247" s="33"/>
      <c r="GY247" s="33"/>
      <c r="GZ247" s="33"/>
      <c r="HA247" s="33"/>
      <c r="HB247" s="33"/>
      <c r="HC247" s="33"/>
      <c r="HD247" s="33"/>
      <c r="HE247" s="33"/>
      <c r="HF247" s="33"/>
      <c r="HG247" s="33"/>
      <c r="HH247" s="33"/>
    </row>
    <row r="248" spans="1:216" ht="15.75" customHeight="1" x14ac:dyDescent="0.3">
      <c r="A248" s="62"/>
      <c r="B248" s="89"/>
      <c r="C248" s="89"/>
      <c r="D248" s="89"/>
      <c r="E248" s="90"/>
      <c r="F248" s="39"/>
      <c r="G248" s="20"/>
      <c r="H248" s="20"/>
      <c r="I248" s="20"/>
      <c r="J248" s="20"/>
      <c r="K248" s="20"/>
      <c r="L248" s="20"/>
      <c r="M248" s="20"/>
      <c r="N248" s="20"/>
      <c r="O248" s="20"/>
      <c r="P248" s="32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T248" s="33"/>
      <c r="BU248" s="33"/>
      <c r="BV248" s="33"/>
      <c r="BW248" s="33"/>
      <c r="BX248" s="33"/>
      <c r="BY248" s="33"/>
      <c r="BZ248" s="33"/>
      <c r="CA248" s="33"/>
      <c r="CB248" s="33"/>
      <c r="CC248" s="33"/>
      <c r="CD248" s="33"/>
      <c r="CE248" s="33"/>
      <c r="CF248" s="33"/>
      <c r="CG248" s="33"/>
      <c r="CH248" s="33"/>
      <c r="CI248" s="33"/>
      <c r="CJ248" s="33"/>
      <c r="CK248" s="33"/>
      <c r="CL248" s="33"/>
      <c r="CM248" s="33"/>
      <c r="CN248" s="33"/>
      <c r="CO248" s="33"/>
      <c r="CP248" s="33"/>
      <c r="CQ248" s="33"/>
      <c r="CR248" s="33"/>
      <c r="CS248" s="33"/>
      <c r="CT248" s="33"/>
      <c r="CU248" s="33"/>
      <c r="CV248" s="33"/>
      <c r="CW248" s="33"/>
      <c r="CX248" s="33"/>
      <c r="CY248" s="33"/>
      <c r="CZ248" s="33"/>
      <c r="DA248" s="33"/>
      <c r="DB248" s="33"/>
      <c r="DC248" s="33"/>
      <c r="DD248" s="33"/>
      <c r="DE248" s="33"/>
      <c r="DF248" s="33"/>
      <c r="DG248" s="33"/>
      <c r="DH248" s="33"/>
      <c r="DI248" s="33"/>
      <c r="DJ248" s="33"/>
      <c r="DK248" s="33"/>
      <c r="DL248" s="33"/>
      <c r="DM248" s="33"/>
      <c r="DN248" s="33"/>
      <c r="DO248" s="33"/>
      <c r="DP248" s="33"/>
      <c r="DQ248" s="33"/>
      <c r="DR248" s="33"/>
      <c r="DS248" s="33"/>
      <c r="DT248" s="33"/>
      <c r="DU248" s="33"/>
      <c r="DV248" s="33"/>
      <c r="DW248" s="33"/>
      <c r="DX248" s="33"/>
      <c r="DY248" s="33"/>
      <c r="DZ248" s="33"/>
      <c r="EA248" s="33"/>
      <c r="EB248" s="33"/>
      <c r="EC248" s="33"/>
      <c r="ED248" s="33"/>
      <c r="EE248" s="33"/>
      <c r="EF248" s="33"/>
      <c r="EG248" s="33"/>
      <c r="EH248" s="33"/>
      <c r="EI248" s="33"/>
      <c r="EJ248" s="33"/>
      <c r="EK248" s="33"/>
      <c r="EL248" s="33"/>
      <c r="EM248" s="33"/>
      <c r="EN248" s="33"/>
      <c r="EO248" s="33"/>
      <c r="EP248" s="33"/>
      <c r="EQ248" s="33"/>
      <c r="ER248" s="33"/>
      <c r="ES248" s="33"/>
      <c r="ET248" s="33"/>
      <c r="EU248" s="33"/>
      <c r="EV248" s="33"/>
      <c r="EW248" s="33"/>
      <c r="EX248" s="33"/>
      <c r="EY248" s="33"/>
      <c r="EZ248" s="33"/>
      <c r="FA248" s="33"/>
      <c r="FB248" s="33"/>
      <c r="FC248" s="33"/>
      <c r="FD248" s="33"/>
      <c r="FE248" s="33"/>
      <c r="FF248" s="33"/>
      <c r="FG248" s="33"/>
      <c r="FH248" s="33"/>
      <c r="FI248" s="33"/>
      <c r="FJ248" s="33"/>
      <c r="FK248" s="33"/>
      <c r="FL248" s="33"/>
      <c r="FM248" s="33"/>
      <c r="FN248" s="33"/>
      <c r="FO248" s="33"/>
      <c r="FP248" s="33"/>
      <c r="FQ248" s="33"/>
      <c r="FR248" s="33"/>
      <c r="FS248" s="33"/>
      <c r="FT248" s="33"/>
      <c r="FU248" s="33"/>
      <c r="FV248" s="33"/>
      <c r="FW248" s="33"/>
      <c r="FX248" s="33"/>
      <c r="FY248" s="33"/>
      <c r="FZ248" s="33"/>
      <c r="GA248" s="33"/>
      <c r="GB248" s="33"/>
      <c r="GC248" s="33"/>
      <c r="GD248" s="33"/>
      <c r="GE248" s="33"/>
      <c r="GF248" s="33"/>
      <c r="GG248" s="33"/>
      <c r="GH248" s="33"/>
      <c r="GI248" s="33"/>
      <c r="GJ248" s="33"/>
      <c r="GK248" s="33"/>
      <c r="GL248" s="33"/>
      <c r="GM248" s="33"/>
      <c r="GN248" s="33"/>
      <c r="GO248" s="33"/>
      <c r="GP248" s="33"/>
      <c r="GQ248" s="33"/>
      <c r="GR248" s="33"/>
      <c r="GS248" s="33"/>
      <c r="GT248" s="33"/>
      <c r="GU248" s="33"/>
      <c r="GV248" s="33"/>
      <c r="GW248" s="33"/>
      <c r="GX248" s="33"/>
      <c r="GY248" s="33"/>
      <c r="GZ248" s="33"/>
      <c r="HA248" s="33"/>
      <c r="HB248" s="33"/>
      <c r="HC248" s="33"/>
      <c r="HD248" s="33"/>
      <c r="HE248" s="33"/>
      <c r="HF248" s="33"/>
      <c r="HG248" s="33"/>
      <c r="HH248" s="33"/>
    </row>
    <row r="249" spans="1:216" ht="15.75" customHeight="1" x14ac:dyDescent="0.3">
      <c r="A249" s="11" t="s">
        <v>48</v>
      </c>
      <c r="B249" s="17" t="s">
        <v>81</v>
      </c>
      <c r="C249" s="86" t="s">
        <v>82</v>
      </c>
      <c r="D249" s="64"/>
      <c r="E249" s="9">
        <f>ALASMALANG!V249+'BENELAN KIDUL'!S249+CANTUK!T249+GAMBOR!N249+GUMIRIH!S249+KEMIRI!U249+LEMAHBANGKULON!Q249+PADANG!Q249+SINGOJURUH!AC249+SINGOLATREN!T249+SUMBERBARU!S249</f>
        <v>17</v>
      </c>
      <c r="F249" s="40"/>
      <c r="G249" s="1"/>
      <c r="H249" s="1"/>
      <c r="I249" s="1"/>
      <c r="J249" s="1"/>
      <c r="K249" s="1"/>
      <c r="L249" s="1"/>
      <c r="M249" s="1"/>
      <c r="N249" s="1"/>
      <c r="O249" s="1"/>
      <c r="P249" s="34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  <c r="CW249" s="31"/>
      <c r="CX249" s="31"/>
      <c r="CY249" s="31"/>
      <c r="CZ249" s="31"/>
      <c r="DA249" s="31"/>
      <c r="DB249" s="31"/>
      <c r="DC249" s="31"/>
      <c r="DD249" s="31"/>
      <c r="DE249" s="31"/>
      <c r="DF249" s="31"/>
      <c r="DG249" s="31"/>
      <c r="DH249" s="31"/>
      <c r="DI249" s="31"/>
      <c r="DJ249" s="31"/>
      <c r="DK249" s="31"/>
      <c r="DL249" s="31"/>
      <c r="DM249" s="31"/>
      <c r="DN249" s="31"/>
      <c r="DO249" s="31"/>
      <c r="DP249" s="31"/>
      <c r="DQ249" s="31"/>
      <c r="DR249" s="31"/>
      <c r="DS249" s="31"/>
      <c r="DT249" s="31"/>
      <c r="DU249" s="31"/>
      <c r="DV249" s="31"/>
      <c r="DW249" s="31"/>
      <c r="DX249" s="31"/>
      <c r="DY249" s="31"/>
      <c r="DZ249" s="31"/>
      <c r="EA249" s="31"/>
      <c r="EB249" s="31"/>
      <c r="EC249" s="31"/>
      <c r="ED249" s="31"/>
      <c r="EE249" s="31"/>
      <c r="EF249" s="31"/>
      <c r="EG249" s="31"/>
      <c r="EH249" s="31"/>
      <c r="EI249" s="31"/>
      <c r="EJ249" s="31"/>
      <c r="EK249" s="31"/>
      <c r="EL249" s="31"/>
      <c r="EM249" s="31"/>
      <c r="EN249" s="31"/>
      <c r="EO249" s="31"/>
      <c r="EP249" s="31"/>
      <c r="EQ249" s="31"/>
      <c r="ER249" s="31"/>
      <c r="ES249" s="31"/>
      <c r="ET249" s="31"/>
      <c r="EU249" s="31"/>
      <c r="EV249" s="31"/>
      <c r="EW249" s="31"/>
      <c r="EX249" s="31"/>
      <c r="EY249" s="31"/>
      <c r="EZ249" s="31"/>
      <c r="FA249" s="31"/>
      <c r="FB249" s="31"/>
      <c r="FC249" s="31"/>
      <c r="FD249" s="31"/>
      <c r="FE249" s="31"/>
      <c r="FF249" s="31"/>
      <c r="FG249" s="31"/>
      <c r="FH249" s="31"/>
      <c r="FI249" s="31"/>
      <c r="FJ249" s="31"/>
      <c r="FK249" s="31"/>
      <c r="FL249" s="31"/>
      <c r="FM249" s="31"/>
      <c r="FN249" s="31"/>
      <c r="FO249" s="31"/>
      <c r="FP249" s="31"/>
      <c r="FQ249" s="31"/>
      <c r="FR249" s="31"/>
      <c r="FS249" s="31"/>
      <c r="FT249" s="31"/>
      <c r="FU249" s="31"/>
      <c r="FV249" s="31"/>
      <c r="FW249" s="31"/>
      <c r="FX249" s="31"/>
      <c r="FY249" s="31"/>
      <c r="FZ249" s="31"/>
      <c r="GA249" s="31"/>
      <c r="GB249" s="31"/>
      <c r="GC249" s="31"/>
      <c r="GD249" s="31"/>
      <c r="GE249" s="31"/>
      <c r="GF249" s="31"/>
      <c r="GG249" s="31"/>
      <c r="GH249" s="31"/>
      <c r="GI249" s="31"/>
      <c r="GJ249" s="31"/>
      <c r="GK249" s="31"/>
      <c r="GL249" s="31"/>
      <c r="GM249" s="31"/>
      <c r="GN249" s="31"/>
      <c r="GO249" s="31"/>
      <c r="GP249" s="31"/>
      <c r="GQ249" s="31"/>
      <c r="GR249" s="31"/>
      <c r="GS249" s="31"/>
      <c r="GT249" s="31"/>
      <c r="GU249" s="31"/>
      <c r="GV249" s="31"/>
      <c r="GW249" s="31"/>
      <c r="GX249" s="31"/>
      <c r="GY249" s="31"/>
      <c r="GZ249" s="31"/>
      <c r="HA249" s="31"/>
      <c r="HB249" s="31"/>
      <c r="HC249" s="31"/>
      <c r="HD249" s="31"/>
      <c r="HE249" s="31"/>
      <c r="HF249" s="31"/>
      <c r="HG249" s="31"/>
      <c r="HH249" s="31"/>
    </row>
    <row r="250" spans="1:216" ht="15.75" customHeight="1" x14ac:dyDescent="0.3">
      <c r="A250" s="11" t="s">
        <v>50</v>
      </c>
      <c r="B250" s="50"/>
      <c r="C250" s="24" t="s">
        <v>230</v>
      </c>
      <c r="D250" s="49"/>
      <c r="E250" s="9">
        <f>ALASMALANG!V250+'BENELAN KIDUL'!S250+CANTUK!T250+GAMBOR!N250+GUMIRIH!S250+KEMIRI!U250+LEMAHBANGKULON!Q250+PADANG!Q250+SINGOJURUH!AC250+SINGOLATREN!T250+SUMBERBARU!S250</f>
        <v>10</v>
      </c>
      <c r="F250" s="39"/>
      <c r="G250" s="20"/>
      <c r="H250" s="20"/>
      <c r="I250" s="20"/>
      <c r="J250" s="20"/>
      <c r="K250" s="20"/>
      <c r="L250" s="20"/>
      <c r="M250" s="20"/>
      <c r="N250" s="20"/>
      <c r="O250" s="23"/>
      <c r="P250" s="35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</row>
    <row r="251" spans="1:216" ht="15.75" customHeight="1" x14ac:dyDescent="0.3">
      <c r="A251" s="7"/>
      <c r="B251" s="50"/>
      <c r="C251" s="24" t="s">
        <v>231</v>
      </c>
      <c r="D251" s="49"/>
      <c r="E251" s="9">
        <f>ALASMALANG!V251+'BENELAN KIDUL'!S251+CANTUK!T251+GAMBOR!N251+GUMIRIH!S251+KEMIRI!U251+LEMAHBANGKULON!Q251+PADANG!Q251+SINGOJURUH!AC251+SINGOLATREN!T251+SUMBERBARU!S251</f>
        <v>1</v>
      </c>
      <c r="F251" s="40"/>
      <c r="G251" s="1"/>
      <c r="H251" s="1"/>
      <c r="I251" s="1"/>
      <c r="J251" s="1"/>
      <c r="K251" s="1"/>
      <c r="L251" s="1"/>
      <c r="M251" s="1"/>
      <c r="N251" s="1"/>
      <c r="O251" s="3"/>
      <c r="P251" s="35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</row>
    <row r="252" spans="1:216" ht="15.75" customHeight="1" x14ac:dyDescent="0.3">
      <c r="A252" s="7"/>
      <c r="B252" s="50"/>
      <c r="C252" s="24" t="s">
        <v>232</v>
      </c>
      <c r="D252" s="49"/>
      <c r="E252" s="9">
        <f>ALASMALANG!V252+'BENELAN KIDUL'!S252+CANTUK!T252+GAMBOR!N252+GUMIRIH!S252+KEMIRI!U252+LEMAHBANGKULON!Q252+PADANG!Q252+SINGOJURUH!AC252+SINGOLATREN!T252+SUMBERBARU!S252</f>
        <v>3</v>
      </c>
      <c r="F252" s="40"/>
      <c r="G252" s="1"/>
      <c r="H252" s="1"/>
      <c r="I252" s="1"/>
      <c r="J252" s="1"/>
      <c r="K252" s="1"/>
      <c r="L252" s="1"/>
      <c r="M252" s="1"/>
      <c r="N252" s="1"/>
      <c r="O252" s="1"/>
      <c r="P252" s="34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  <c r="CW252" s="31"/>
      <c r="CX252" s="31"/>
      <c r="CY252" s="31"/>
      <c r="CZ252" s="31"/>
      <c r="DA252" s="31"/>
      <c r="DB252" s="31"/>
      <c r="DC252" s="31"/>
      <c r="DD252" s="31"/>
      <c r="DE252" s="31"/>
      <c r="DF252" s="31"/>
      <c r="DG252" s="31"/>
      <c r="DH252" s="31"/>
      <c r="DI252" s="31"/>
      <c r="DJ252" s="31"/>
      <c r="DK252" s="31"/>
      <c r="DL252" s="31"/>
      <c r="DM252" s="31"/>
      <c r="DN252" s="31"/>
      <c r="DO252" s="31"/>
      <c r="DP252" s="31"/>
      <c r="DQ252" s="31"/>
      <c r="DR252" s="31"/>
      <c r="DS252" s="31"/>
      <c r="DT252" s="31"/>
      <c r="DU252" s="31"/>
      <c r="DV252" s="31"/>
      <c r="DW252" s="31"/>
      <c r="DX252" s="31"/>
      <c r="DY252" s="31"/>
      <c r="DZ252" s="31"/>
      <c r="EA252" s="31"/>
      <c r="EB252" s="31"/>
      <c r="EC252" s="31"/>
      <c r="ED252" s="31"/>
      <c r="EE252" s="31"/>
      <c r="EF252" s="31"/>
      <c r="EG252" s="31"/>
      <c r="EH252" s="31"/>
      <c r="EI252" s="31"/>
      <c r="EJ252" s="31"/>
      <c r="EK252" s="31"/>
      <c r="EL252" s="31"/>
      <c r="EM252" s="31"/>
      <c r="EN252" s="31"/>
      <c r="EO252" s="31"/>
      <c r="EP252" s="31"/>
      <c r="EQ252" s="31"/>
      <c r="ER252" s="31"/>
      <c r="ES252" s="31"/>
      <c r="ET252" s="31"/>
      <c r="EU252" s="31"/>
      <c r="EV252" s="31"/>
      <c r="EW252" s="31"/>
      <c r="EX252" s="31"/>
      <c r="EY252" s="31"/>
      <c r="EZ252" s="31"/>
      <c r="FA252" s="31"/>
      <c r="FB252" s="31"/>
      <c r="FC252" s="31"/>
      <c r="FD252" s="31"/>
      <c r="FE252" s="31"/>
      <c r="FF252" s="31"/>
      <c r="FG252" s="31"/>
      <c r="FH252" s="31"/>
      <c r="FI252" s="31"/>
      <c r="FJ252" s="31"/>
      <c r="FK252" s="31"/>
      <c r="FL252" s="31"/>
      <c r="FM252" s="31"/>
      <c r="FN252" s="31"/>
      <c r="FO252" s="31"/>
      <c r="FP252" s="31"/>
      <c r="FQ252" s="31"/>
      <c r="FR252" s="31"/>
      <c r="FS252" s="31"/>
      <c r="FT252" s="31"/>
      <c r="FU252" s="31"/>
      <c r="FV252" s="31"/>
      <c r="FW252" s="31"/>
      <c r="FX252" s="31"/>
      <c r="FY252" s="31"/>
      <c r="FZ252" s="31"/>
      <c r="GA252" s="31"/>
      <c r="GB252" s="31"/>
      <c r="GC252" s="31"/>
      <c r="GD252" s="31"/>
      <c r="GE252" s="31"/>
      <c r="GF252" s="31"/>
      <c r="GG252" s="31"/>
      <c r="GH252" s="31"/>
      <c r="GI252" s="31"/>
      <c r="GJ252" s="31"/>
      <c r="GK252" s="31"/>
      <c r="GL252" s="31"/>
      <c r="GM252" s="31"/>
      <c r="GN252" s="31"/>
      <c r="GO252" s="31"/>
      <c r="GP252" s="31"/>
      <c r="GQ252" s="31"/>
      <c r="GR252" s="31"/>
      <c r="GS252" s="31"/>
      <c r="GT252" s="31"/>
      <c r="GU252" s="31"/>
      <c r="GV252" s="31"/>
      <c r="GW252" s="31"/>
      <c r="GX252" s="31"/>
      <c r="GY252" s="31"/>
      <c r="GZ252" s="31"/>
      <c r="HA252" s="31"/>
      <c r="HB252" s="31"/>
      <c r="HC252" s="31"/>
      <c r="HD252" s="31"/>
      <c r="HE252" s="31"/>
      <c r="HF252" s="31"/>
      <c r="HG252" s="31"/>
      <c r="HH252" s="31"/>
    </row>
    <row r="253" spans="1:216" ht="15.75" customHeight="1" x14ac:dyDescent="0.3">
      <c r="A253" s="7"/>
      <c r="B253" s="45"/>
      <c r="C253" s="61"/>
      <c r="D253" s="48"/>
      <c r="E253" s="54"/>
      <c r="F253" s="39"/>
      <c r="G253" s="20"/>
      <c r="H253" s="20"/>
      <c r="I253" s="20"/>
      <c r="J253" s="20"/>
      <c r="K253" s="20"/>
      <c r="L253" s="20"/>
      <c r="M253" s="20"/>
      <c r="N253" s="20"/>
      <c r="O253" s="20"/>
      <c r="P253" s="32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3"/>
      <c r="CA253" s="33"/>
      <c r="CB253" s="33"/>
      <c r="CC253" s="33"/>
      <c r="CD253" s="33"/>
      <c r="CE253" s="33"/>
      <c r="CF253" s="33"/>
      <c r="CG253" s="33"/>
      <c r="CH253" s="33"/>
      <c r="CI253" s="33"/>
      <c r="CJ253" s="33"/>
      <c r="CK253" s="33"/>
      <c r="CL253" s="33"/>
      <c r="CM253" s="33"/>
      <c r="CN253" s="33"/>
      <c r="CO253" s="33"/>
      <c r="CP253" s="33"/>
      <c r="CQ253" s="33"/>
      <c r="CR253" s="33"/>
      <c r="CS253" s="33"/>
      <c r="CT253" s="33"/>
      <c r="CU253" s="33"/>
      <c r="CV253" s="33"/>
      <c r="CW253" s="33"/>
      <c r="CX253" s="33"/>
      <c r="CY253" s="33"/>
      <c r="CZ253" s="33"/>
      <c r="DA253" s="33"/>
      <c r="DB253" s="33"/>
      <c r="DC253" s="33"/>
      <c r="DD253" s="33"/>
      <c r="DE253" s="33"/>
      <c r="DF253" s="33"/>
      <c r="DG253" s="33"/>
      <c r="DH253" s="33"/>
      <c r="DI253" s="33"/>
      <c r="DJ253" s="33"/>
      <c r="DK253" s="33"/>
      <c r="DL253" s="33"/>
      <c r="DM253" s="33"/>
      <c r="DN253" s="33"/>
      <c r="DO253" s="33"/>
      <c r="DP253" s="33"/>
      <c r="DQ253" s="33"/>
      <c r="DR253" s="33"/>
      <c r="DS253" s="33"/>
      <c r="DT253" s="33"/>
      <c r="DU253" s="33"/>
      <c r="DV253" s="33"/>
      <c r="DW253" s="33"/>
      <c r="DX253" s="33"/>
      <c r="DY253" s="33"/>
      <c r="DZ253" s="33"/>
      <c r="EA253" s="33"/>
      <c r="EB253" s="33"/>
      <c r="EC253" s="33"/>
      <c r="ED253" s="33"/>
      <c r="EE253" s="33"/>
      <c r="EF253" s="33"/>
      <c r="EG253" s="33"/>
      <c r="EH253" s="33"/>
      <c r="EI253" s="33"/>
      <c r="EJ253" s="33"/>
      <c r="EK253" s="33"/>
      <c r="EL253" s="33"/>
      <c r="EM253" s="33"/>
      <c r="EN253" s="33"/>
      <c r="EO253" s="33"/>
      <c r="EP253" s="33"/>
      <c r="EQ253" s="33"/>
      <c r="ER253" s="33"/>
      <c r="ES253" s="33"/>
      <c r="ET253" s="33"/>
      <c r="EU253" s="33"/>
      <c r="EV253" s="33"/>
      <c r="EW253" s="33"/>
      <c r="EX253" s="33"/>
      <c r="EY253" s="33"/>
      <c r="EZ253" s="33"/>
      <c r="FA253" s="33"/>
      <c r="FB253" s="33"/>
      <c r="FC253" s="33"/>
      <c r="FD253" s="33"/>
      <c r="FE253" s="33"/>
      <c r="FF253" s="33"/>
      <c r="FG253" s="33"/>
      <c r="FH253" s="33"/>
      <c r="FI253" s="33"/>
      <c r="FJ253" s="33"/>
      <c r="FK253" s="33"/>
      <c r="FL253" s="33"/>
      <c r="FM253" s="33"/>
      <c r="FN253" s="33"/>
      <c r="FO253" s="33"/>
      <c r="FP253" s="33"/>
      <c r="FQ253" s="33"/>
      <c r="FR253" s="33"/>
      <c r="FS253" s="33"/>
      <c r="FT253" s="33"/>
      <c r="FU253" s="33"/>
      <c r="FV253" s="33"/>
      <c r="FW253" s="33"/>
      <c r="FX253" s="33"/>
      <c r="FY253" s="33"/>
      <c r="FZ253" s="33"/>
      <c r="GA253" s="33"/>
      <c r="GB253" s="33"/>
      <c r="GC253" s="33"/>
      <c r="GD253" s="33"/>
      <c r="GE253" s="33"/>
      <c r="GF253" s="33"/>
      <c r="GG253" s="33"/>
      <c r="GH253" s="33"/>
      <c r="GI253" s="33"/>
      <c r="GJ253" s="33"/>
      <c r="GK253" s="33"/>
      <c r="GL253" s="33"/>
      <c r="GM253" s="33"/>
      <c r="GN253" s="33"/>
      <c r="GO253" s="33"/>
      <c r="GP253" s="33"/>
      <c r="GQ253" s="33"/>
      <c r="GR253" s="33"/>
      <c r="GS253" s="33"/>
      <c r="GT253" s="33"/>
      <c r="GU253" s="33"/>
      <c r="GV253" s="33"/>
      <c r="GW253" s="33"/>
      <c r="GX253" s="33"/>
      <c r="GY253" s="33"/>
      <c r="GZ253" s="33"/>
      <c r="HA253" s="33"/>
      <c r="HB253" s="33"/>
      <c r="HC253" s="33"/>
      <c r="HD253" s="33"/>
      <c r="HE253" s="33"/>
      <c r="HF253" s="33"/>
      <c r="HG253" s="33"/>
      <c r="HH253" s="33"/>
    </row>
    <row r="254" spans="1:216" ht="15.75" customHeight="1" x14ac:dyDescent="0.3">
      <c r="A254" s="7"/>
      <c r="B254" s="45"/>
      <c r="C254" s="61"/>
      <c r="D254" s="48"/>
      <c r="E254" s="54"/>
      <c r="F254" s="40"/>
      <c r="G254" s="1"/>
      <c r="H254" s="1"/>
      <c r="I254" s="1"/>
      <c r="J254" s="1"/>
      <c r="K254" s="1"/>
      <c r="L254" s="1"/>
      <c r="M254" s="1"/>
      <c r="N254" s="1"/>
      <c r="O254" s="1"/>
      <c r="P254" s="34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  <c r="CW254" s="31"/>
      <c r="CX254" s="31"/>
      <c r="CY254" s="31"/>
      <c r="CZ254" s="31"/>
      <c r="DA254" s="31"/>
      <c r="DB254" s="31"/>
      <c r="DC254" s="31"/>
      <c r="DD254" s="31"/>
      <c r="DE254" s="31"/>
      <c r="DF254" s="31"/>
      <c r="DG254" s="31"/>
      <c r="DH254" s="31"/>
      <c r="DI254" s="31"/>
      <c r="DJ254" s="31"/>
      <c r="DK254" s="31"/>
      <c r="DL254" s="31"/>
      <c r="DM254" s="31"/>
      <c r="DN254" s="31"/>
      <c r="DO254" s="31"/>
      <c r="DP254" s="31"/>
      <c r="DQ254" s="31"/>
      <c r="DR254" s="31"/>
      <c r="DS254" s="31"/>
      <c r="DT254" s="31"/>
      <c r="DU254" s="31"/>
      <c r="DV254" s="31"/>
      <c r="DW254" s="31"/>
      <c r="DX254" s="31"/>
      <c r="DY254" s="31"/>
      <c r="DZ254" s="31"/>
      <c r="EA254" s="31"/>
      <c r="EB254" s="31"/>
      <c r="EC254" s="31"/>
      <c r="ED254" s="31"/>
      <c r="EE254" s="31"/>
      <c r="EF254" s="31"/>
      <c r="EG254" s="31"/>
      <c r="EH254" s="31"/>
      <c r="EI254" s="31"/>
      <c r="EJ254" s="31"/>
      <c r="EK254" s="31"/>
      <c r="EL254" s="31"/>
      <c r="EM254" s="31"/>
      <c r="EN254" s="31"/>
      <c r="EO254" s="31"/>
      <c r="EP254" s="31"/>
      <c r="EQ254" s="31"/>
      <c r="ER254" s="31"/>
      <c r="ES254" s="31"/>
      <c r="ET254" s="31"/>
      <c r="EU254" s="31"/>
      <c r="EV254" s="31"/>
      <c r="EW254" s="31"/>
      <c r="EX254" s="31"/>
      <c r="EY254" s="31"/>
      <c r="EZ254" s="31"/>
      <c r="FA254" s="31"/>
      <c r="FB254" s="31"/>
      <c r="FC254" s="31"/>
      <c r="FD254" s="31"/>
      <c r="FE254" s="31"/>
      <c r="FF254" s="31"/>
      <c r="FG254" s="31"/>
      <c r="FH254" s="31"/>
      <c r="FI254" s="31"/>
      <c r="FJ254" s="31"/>
      <c r="FK254" s="31"/>
      <c r="FL254" s="31"/>
      <c r="FM254" s="31"/>
      <c r="FN254" s="31"/>
      <c r="FO254" s="31"/>
      <c r="FP254" s="31"/>
      <c r="FQ254" s="31"/>
      <c r="FR254" s="31"/>
      <c r="FS254" s="31"/>
      <c r="FT254" s="31"/>
      <c r="FU254" s="31"/>
      <c r="FV254" s="31"/>
      <c r="FW254" s="31"/>
      <c r="FX254" s="31"/>
      <c r="FY254" s="31"/>
      <c r="FZ254" s="31"/>
      <c r="GA254" s="31"/>
      <c r="GB254" s="31"/>
      <c r="GC254" s="31"/>
      <c r="GD254" s="31"/>
      <c r="GE254" s="31"/>
      <c r="GF254" s="31"/>
      <c r="GG254" s="31"/>
      <c r="GH254" s="31"/>
      <c r="GI254" s="31"/>
      <c r="GJ254" s="31"/>
      <c r="GK254" s="31"/>
      <c r="GL254" s="31"/>
      <c r="GM254" s="31"/>
      <c r="GN254" s="31"/>
      <c r="GO254" s="31"/>
      <c r="GP254" s="31"/>
      <c r="GQ254" s="31"/>
      <c r="GR254" s="31"/>
      <c r="GS254" s="31"/>
      <c r="GT254" s="31"/>
      <c r="GU254" s="31"/>
      <c r="GV254" s="31"/>
      <c r="GW254" s="31"/>
      <c r="GX254" s="31"/>
      <c r="GY254" s="31"/>
      <c r="GZ254" s="31"/>
      <c r="HA254" s="31"/>
      <c r="HB254" s="31"/>
      <c r="HC254" s="31"/>
      <c r="HD254" s="31"/>
      <c r="HE254" s="31"/>
      <c r="HF254" s="31"/>
      <c r="HG254" s="31"/>
      <c r="HH254" s="31"/>
    </row>
    <row r="255" spans="1:216" ht="15.75" customHeight="1" x14ac:dyDescent="0.3">
      <c r="A255" s="7"/>
      <c r="B255" s="45"/>
      <c r="C255" s="61"/>
      <c r="D255" s="48"/>
      <c r="E255" s="54"/>
      <c r="F255" s="39"/>
      <c r="G255" s="20"/>
      <c r="H255" s="20"/>
      <c r="I255" s="20"/>
      <c r="J255" s="20"/>
      <c r="K255" s="20"/>
      <c r="L255" s="20"/>
      <c r="M255" s="20"/>
      <c r="N255" s="20"/>
      <c r="O255" s="2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</row>
    <row r="256" spans="1:216" ht="15.75" customHeight="1" x14ac:dyDescent="0.3">
      <c r="A256" s="7"/>
      <c r="B256" s="45"/>
      <c r="C256" s="60"/>
      <c r="D256" s="48"/>
      <c r="E256" s="54"/>
      <c r="F256" s="39"/>
      <c r="G256" s="20"/>
      <c r="H256" s="20"/>
      <c r="I256" s="20"/>
      <c r="J256" s="20"/>
      <c r="K256" s="20"/>
      <c r="L256" s="20"/>
      <c r="M256" s="20"/>
      <c r="N256" s="20"/>
      <c r="O256" s="2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</row>
    <row r="257" spans="1:216" ht="15.75" customHeight="1" x14ac:dyDescent="0.3">
      <c r="A257" s="7"/>
      <c r="B257" s="45"/>
      <c r="C257" s="60"/>
      <c r="D257" s="48"/>
      <c r="E257" s="54"/>
      <c r="F257" s="39"/>
      <c r="G257" s="20"/>
      <c r="H257" s="20"/>
      <c r="I257" s="20"/>
      <c r="J257" s="20"/>
      <c r="K257" s="20"/>
      <c r="L257" s="20"/>
      <c r="M257" s="20"/>
      <c r="N257" s="20"/>
      <c r="O257" s="2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</row>
    <row r="258" spans="1:216" ht="15.75" customHeight="1" x14ac:dyDescent="0.3">
      <c r="A258" s="7"/>
      <c r="B258" s="45"/>
      <c r="C258" s="60"/>
      <c r="D258" s="48"/>
      <c r="E258" s="54"/>
      <c r="F258" s="39"/>
      <c r="G258" s="20"/>
      <c r="H258" s="20"/>
      <c r="I258" s="20"/>
      <c r="J258" s="20"/>
      <c r="K258" s="20"/>
      <c r="L258" s="20"/>
      <c r="M258" s="20"/>
      <c r="N258" s="20"/>
      <c r="O258" s="2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</row>
    <row r="259" spans="1:216" ht="15.75" customHeight="1" x14ac:dyDescent="0.3">
      <c r="A259" s="6" t="s">
        <v>26</v>
      </c>
      <c r="B259" s="84" t="s">
        <v>51</v>
      </c>
      <c r="C259" s="87"/>
      <c r="D259" s="88"/>
      <c r="E259" s="5">
        <f>SUM(E249:E258)</f>
        <v>31</v>
      </c>
      <c r="F259" s="39"/>
      <c r="G259" s="20"/>
      <c r="H259" s="20"/>
      <c r="I259" s="20"/>
      <c r="J259" s="20"/>
      <c r="K259" s="20"/>
      <c r="L259" s="20"/>
      <c r="M259" s="20"/>
      <c r="N259" s="20"/>
      <c r="O259" s="20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</row>
    <row r="260" spans="1:216" ht="15.75" customHeight="1" x14ac:dyDescent="0.3">
      <c r="F260" s="39"/>
      <c r="G260" s="20"/>
      <c r="H260" s="20"/>
      <c r="I260" s="20"/>
      <c r="J260" s="20"/>
      <c r="K260" s="20"/>
      <c r="L260" s="20"/>
      <c r="M260" s="20"/>
      <c r="N260" s="20"/>
      <c r="O260" s="20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</row>
    <row r="261" spans="1:216" ht="15.75" customHeight="1" x14ac:dyDescent="0.3">
      <c r="A261" s="16" t="s">
        <v>83</v>
      </c>
      <c r="B261" s="65" t="s">
        <v>84</v>
      </c>
      <c r="C261" s="97"/>
      <c r="D261" s="98"/>
      <c r="E261" s="5"/>
      <c r="F261" s="39"/>
      <c r="G261" s="20"/>
      <c r="H261" s="20"/>
      <c r="I261" s="20"/>
      <c r="J261" s="20"/>
      <c r="K261" s="20"/>
      <c r="L261" s="20"/>
      <c r="M261" s="20"/>
      <c r="N261" s="20"/>
      <c r="O261" s="20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</row>
    <row r="262" spans="1:216" ht="15.75" customHeight="1" x14ac:dyDescent="0.3">
      <c r="A262" s="16"/>
      <c r="B262" s="19" t="s">
        <v>85</v>
      </c>
      <c r="C262" s="95" t="s">
        <v>86</v>
      </c>
      <c r="D262" s="96"/>
      <c r="E262" s="9">
        <f>ALASMALANG!V262+'BENELAN KIDUL'!S262+CANTUK!T262+GAMBOR!N262+GUMIRIH!S262+KEMIRI!U262+LEMAHBANGKULON!Q262+PADANG!Q262+SINGOJURUH!AC262+SINGOLATREN!T262+SUMBERBARU!S262</f>
        <v>21512</v>
      </c>
      <c r="F262" s="39"/>
      <c r="G262" s="20"/>
      <c r="H262" s="20"/>
      <c r="I262" s="20"/>
      <c r="J262" s="20"/>
      <c r="K262" s="20"/>
      <c r="L262" s="20"/>
      <c r="M262" s="20"/>
      <c r="N262" s="20"/>
      <c r="O262" s="2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</row>
    <row r="263" spans="1:216" ht="15.75" customHeight="1" x14ac:dyDescent="0.3">
      <c r="A263" s="13"/>
      <c r="B263" s="19" t="s">
        <v>87</v>
      </c>
      <c r="C263" s="95" t="s">
        <v>88</v>
      </c>
      <c r="D263" s="96"/>
      <c r="E263" s="9">
        <f>ALASMALANG!V263+'BENELAN KIDUL'!S263+CANTUK!T263+GAMBOR!N263+GUMIRIH!S263+KEMIRI!U263+LEMAHBANGKULON!Q263+PADANG!Q263+SINGOJURUH!AC263+SINGOLATREN!T263+SUMBERBARU!S263</f>
        <v>4279</v>
      </c>
      <c r="F263" s="39"/>
      <c r="G263" s="20"/>
      <c r="H263" s="20"/>
      <c r="I263" s="20"/>
      <c r="J263" s="20"/>
      <c r="K263" s="20"/>
      <c r="L263" s="20"/>
      <c r="M263" s="20"/>
      <c r="N263" s="20"/>
      <c r="O263" s="2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</row>
    <row r="264" spans="1:216" ht="15.75" customHeight="1" x14ac:dyDescent="0.3">
      <c r="A264" s="14"/>
      <c r="B264" s="19" t="s">
        <v>89</v>
      </c>
      <c r="C264" s="95" t="s">
        <v>90</v>
      </c>
      <c r="D264" s="96"/>
      <c r="E264" s="5">
        <f t="shared" ref="E264" si="8">SUM(E262:E263)</f>
        <v>25791</v>
      </c>
      <c r="F264" s="39"/>
      <c r="G264" s="20"/>
      <c r="H264" s="20"/>
      <c r="I264" s="20"/>
      <c r="J264" s="20"/>
      <c r="K264" s="20"/>
      <c r="L264" s="20"/>
      <c r="M264" s="20"/>
      <c r="N264" s="20"/>
      <c r="O264" s="2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</row>
    <row r="265" spans="1:216" ht="15.75" customHeight="1" x14ac:dyDescent="0.3">
      <c r="A265" s="20"/>
      <c r="B265" s="21"/>
      <c r="C265" s="22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</row>
    <row r="266" spans="1:216" ht="15.75" customHeight="1" x14ac:dyDescent="0.3">
      <c r="A266" s="20"/>
      <c r="B266" s="21"/>
      <c r="C266" s="22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3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</row>
    <row r="267" spans="1:216" ht="15.75" customHeight="1" x14ac:dyDescent="0.3">
      <c r="A267" s="20"/>
      <c r="B267" s="21"/>
      <c r="C267" s="22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3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</row>
    <row r="268" spans="1:216" ht="15.75" hidden="1" customHeight="1" x14ac:dyDescent="0.3">
      <c r="A268" s="20"/>
      <c r="B268" s="21"/>
      <c r="C268" s="22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3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</row>
    <row r="269" spans="1:216" ht="15.75" hidden="1" customHeight="1" x14ac:dyDescent="0.3">
      <c r="A269" s="20"/>
      <c r="B269" s="21"/>
      <c r="C269" s="22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3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</row>
    <row r="270" spans="1:216" ht="15.75" hidden="1" customHeight="1" x14ac:dyDescent="0.3">
      <c r="A270" s="20"/>
      <c r="B270" s="21"/>
      <c r="C270" s="22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3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</row>
    <row r="271" spans="1:216" ht="15.75" hidden="1" customHeight="1" x14ac:dyDescent="0.3">
      <c r="A271" s="20"/>
      <c r="B271" s="21"/>
      <c r="C271" s="22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3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</row>
    <row r="272" spans="1:216" ht="15.75" hidden="1" customHeight="1" x14ac:dyDescent="0.3">
      <c r="A272" s="20"/>
      <c r="B272" s="21"/>
      <c r="C272" s="22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3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</row>
    <row r="273" spans="1:216" ht="15.75" hidden="1" customHeight="1" x14ac:dyDescent="0.3">
      <c r="A273" s="20"/>
      <c r="B273" s="21"/>
      <c r="C273" s="22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</row>
    <row r="274" spans="1:216" ht="15.75" hidden="1" customHeight="1" x14ac:dyDescent="0.3">
      <c r="A274" s="20"/>
      <c r="B274" s="21"/>
      <c r="C274" s="22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3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</row>
    <row r="275" spans="1:216" ht="15.75" hidden="1" customHeight="1" x14ac:dyDescent="0.3">
      <c r="A275" s="20"/>
      <c r="B275" s="21"/>
      <c r="C275" s="22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3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</row>
    <row r="276" spans="1:216" ht="15.75" hidden="1" customHeight="1" x14ac:dyDescent="0.3">
      <c r="A276" s="20"/>
      <c r="B276" s="21"/>
      <c r="C276" s="22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3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</row>
    <row r="277" spans="1:216" ht="15.75" hidden="1" customHeight="1" x14ac:dyDescent="0.3">
      <c r="A277" s="20"/>
      <c r="B277" s="21"/>
      <c r="C277" s="22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</row>
    <row r="278" spans="1:216" ht="15.75" hidden="1" customHeight="1" x14ac:dyDescent="0.3">
      <c r="A278" s="20"/>
      <c r="B278" s="21"/>
      <c r="C278" s="22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3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</row>
    <row r="279" spans="1:216" ht="15.75" hidden="1" customHeight="1" x14ac:dyDescent="0.3">
      <c r="A279" s="20"/>
      <c r="B279" s="21"/>
      <c r="C279" s="22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3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</row>
    <row r="280" spans="1:216" ht="15.75" hidden="1" customHeight="1" x14ac:dyDescent="0.3">
      <c r="A280" s="20"/>
      <c r="B280" s="21"/>
      <c r="C280" s="22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3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</row>
    <row r="281" spans="1:216" ht="15.75" hidden="1" customHeight="1" x14ac:dyDescent="0.3">
      <c r="A281" s="20"/>
      <c r="B281" s="21"/>
      <c r="C281" s="22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3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</row>
    <row r="282" spans="1:216" ht="15.75" hidden="1" customHeight="1" x14ac:dyDescent="0.3">
      <c r="A282" s="20"/>
      <c r="B282" s="21"/>
      <c r="C282" s="22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</row>
    <row r="283" spans="1:216" ht="15.75" hidden="1" customHeight="1" x14ac:dyDescent="0.3">
      <c r="A283" s="20"/>
      <c r="B283" s="21"/>
      <c r="C283" s="22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3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</row>
    <row r="284" spans="1:216" ht="15.75" hidden="1" customHeight="1" x14ac:dyDescent="0.3">
      <c r="A284" s="20"/>
      <c r="B284" s="21"/>
      <c r="C284" s="22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3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</row>
    <row r="285" spans="1:216" ht="15.75" hidden="1" customHeight="1" x14ac:dyDescent="0.3">
      <c r="A285" s="20"/>
      <c r="B285" s="21"/>
      <c r="C285" s="22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3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</row>
    <row r="286" spans="1:216" ht="15.75" hidden="1" customHeight="1" x14ac:dyDescent="0.3">
      <c r="A286" s="20"/>
      <c r="B286" s="21"/>
      <c r="C286" s="22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3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</row>
    <row r="287" spans="1:216" ht="15.75" hidden="1" customHeight="1" x14ac:dyDescent="0.3">
      <c r="A287" s="20"/>
      <c r="B287" s="21"/>
      <c r="C287" s="22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3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</row>
    <row r="288" spans="1:216" ht="15.75" hidden="1" customHeight="1" x14ac:dyDescent="0.3">
      <c r="A288" s="20"/>
      <c r="B288" s="21"/>
      <c r="C288" s="22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3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</row>
    <row r="289" spans="1:216" ht="15.75" hidden="1" customHeight="1" x14ac:dyDescent="0.3">
      <c r="A289" s="20"/>
      <c r="B289" s="21"/>
      <c r="C289" s="22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3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</row>
    <row r="290" spans="1:216" ht="15.75" hidden="1" customHeight="1" x14ac:dyDescent="0.3">
      <c r="A290" s="20"/>
      <c r="B290" s="21"/>
      <c r="C290" s="22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3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</row>
    <row r="291" spans="1:216" ht="15.75" hidden="1" customHeight="1" x14ac:dyDescent="0.3">
      <c r="A291" s="20"/>
      <c r="B291" s="21"/>
      <c r="C291" s="22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3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</row>
    <row r="292" spans="1:216" ht="15.75" hidden="1" customHeight="1" x14ac:dyDescent="0.3">
      <c r="A292" s="20"/>
      <c r="B292" s="21"/>
      <c r="C292" s="22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3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</row>
    <row r="293" spans="1:216" ht="15.75" hidden="1" customHeight="1" x14ac:dyDescent="0.3">
      <c r="A293" s="20"/>
      <c r="B293" s="21"/>
      <c r="C293" s="22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3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</row>
    <row r="294" spans="1:216" ht="15.75" hidden="1" customHeight="1" x14ac:dyDescent="0.3">
      <c r="A294" s="20"/>
      <c r="B294" s="21"/>
      <c r="C294" s="22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3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</row>
    <row r="295" spans="1:216" ht="15.75" hidden="1" customHeight="1" x14ac:dyDescent="0.3">
      <c r="A295" s="20"/>
      <c r="B295" s="21"/>
      <c r="C295" s="22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3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</row>
    <row r="296" spans="1:216" ht="15.75" hidden="1" customHeight="1" x14ac:dyDescent="0.3">
      <c r="A296" s="20"/>
      <c r="B296" s="21"/>
      <c r="C296" s="22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3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</row>
    <row r="297" spans="1:216" ht="15.75" hidden="1" customHeight="1" x14ac:dyDescent="0.3">
      <c r="A297" s="20"/>
      <c r="B297" s="21"/>
      <c r="C297" s="22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3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</row>
    <row r="298" spans="1:216" ht="15.75" hidden="1" customHeight="1" x14ac:dyDescent="0.3">
      <c r="A298" s="20"/>
      <c r="B298" s="21"/>
      <c r="C298" s="22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3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</row>
    <row r="299" spans="1:216" ht="15.75" hidden="1" customHeight="1" x14ac:dyDescent="0.3">
      <c r="A299" s="20"/>
      <c r="B299" s="21"/>
      <c r="C299" s="22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3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</row>
    <row r="300" spans="1:216" ht="15.75" hidden="1" customHeight="1" x14ac:dyDescent="0.3">
      <c r="A300" s="20"/>
      <c r="B300" s="21"/>
      <c r="C300" s="22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3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</row>
    <row r="301" spans="1:216" ht="15.75" hidden="1" customHeight="1" x14ac:dyDescent="0.3">
      <c r="A301" s="20"/>
      <c r="B301" s="21"/>
      <c r="C301" s="22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3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</row>
    <row r="302" spans="1:216" ht="15.75" hidden="1" customHeight="1" x14ac:dyDescent="0.3">
      <c r="A302" s="20"/>
      <c r="B302" s="21"/>
      <c r="C302" s="22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3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</row>
    <row r="303" spans="1:216" ht="15.75" hidden="1" customHeight="1" x14ac:dyDescent="0.3">
      <c r="A303" s="20"/>
      <c r="B303" s="21"/>
      <c r="C303" s="22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3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</row>
    <row r="304" spans="1:216" ht="15.75" hidden="1" customHeight="1" x14ac:dyDescent="0.3">
      <c r="A304" s="20"/>
      <c r="B304" s="21"/>
      <c r="C304" s="22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3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</row>
    <row r="305" spans="1:216" ht="15.75" hidden="1" customHeight="1" x14ac:dyDescent="0.3">
      <c r="A305" s="20"/>
      <c r="B305" s="21"/>
      <c r="C305" s="22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3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</row>
    <row r="306" spans="1:216" ht="15.75" hidden="1" customHeight="1" x14ac:dyDescent="0.3">
      <c r="A306" s="20"/>
      <c r="B306" s="21"/>
      <c r="C306" s="22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3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</row>
    <row r="307" spans="1:216" ht="15.75" hidden="1" customHeight="1" x14ac:dyDescent="0.3">
      <c r="A307" s="20"/>
      <c r="B307" s="21"/>
      <c r="C307" s="22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3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</row>
    <row r="308" spans="1:216" ht="15.75" hidden="1" customHeight="1" x14ac:dyDescent="0.3">
      <c r="A308" s="20"/>
      <c r="B308" s="21"/>
      <c r="C308" s="22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3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</row>
    <row r="309" spans="1:216" ht="15.75" hidden="1" customHeight="1" x14ac:dyDescent="0.3">
      <c r="A309" s="20"/>
      <c r="B309" s="21"/>
      <c r="C309" s="22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3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</row>
    <row r="310" spans="1:216" ht="15.75" hidden="1" customHeight="1" x14ac:dyDescent="0.3">
      <c r="A310" s="20"/>
      <c r="B310" s="21"/>
      <c r="C310" s="22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3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</row>
    <row r="311" spans="1:216" ht="15.75" hidden="1" customHeight="1" x14ac:dyDescent="0.3">
      <c r="A311" s="20"/>
      <c r="B311" s="21"/>
      <c r="C311" s="22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3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</row>
    <row r="312" spans="1:216" ht="15.75" hidden="1" customHeight="1" x14ac:dyDescent="0.3">
      <c r="A312" s="20"/>
      <c r="B312" s="21"/>
      <c r="C312" s="22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3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</row>
    <row r="313" spans="1:216" ht="15.75" hidden="1" customHeight="1" x14ac:dyDescent="0.3">
      <c r="A313" s="20"/>
      <c r="B313" s="21"/>
      <c r="C313" s="22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3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</row>
    <row r="314" spans="1:216" ht="15.75" hidden="1" customHeight="1" x14ac:dyDescent="0.3">
      <c r="A314" s="20"/>
      <c r="B314" s="21"/>
      <c r="C314" s="22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3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</row>
    <row r="315" spans="1:216" ht="15.75" hidden="1" customHeight="1" x14ac:dyDescent="0.3">
      <c r="A315" s="20"/>
      <c r="B315" s="21"/>
      <c r="C315" s="22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3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</row>
    <row r="316" spans="1:216" ht="15.75" hidden="1" customHeight="1" x14ac:dyDescent="0.3">
      <c r="A316" s="20"/>
      <c r="B316" s="21"/>
      <c r="C316" s="22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3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</row>
    <row r="317" spans="1:216" ht="15.75" hidden="1" customHeight="1" x14ac:dyDescent="0.3">
      <c r="A317" s="20"/>
      <c r="B317" s="21"/>
      <c r="C317" s="22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3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</row>
    <row r="318" spans="1:216" ht="15.75" hidden="1" customHeight="1" x14ac:dyDescent="0.3">
      <c r="A318" s="20"/>
      <c r="B318" s="21"/>
      <c r="C318" s="22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3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</row>
    <row r="319" spans="1:216" ht="15.75" hidden="1" customHeight="1" x14ac:dyDescent="0.3">
      <c r="A319" s="20"/>
      <c r="B319" s="21"/>
      <c r="C319" s="22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3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</row>
    <row r="320" spans="1:216" ht="15.75" hidden="1" customHeight="1" x14ac:dyDescent="0.3">
      <c r="A320" s="20"/>
      <c r="B320" s="21"/>
      <c r="C320" s="22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3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</row>
    <row r="321" spans="1:216" ht="15.75" hidden="1" customHeight="1" x14ac:dyDescent="0.3">
      <c r="A321" s="20"/>
      <c r="B321" s="21"/>
      <c r="C321" s="22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3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</row>
    <row r="322" spans="1:216" ht="15.75" hidden="1" customHeight="1" x14ac:dyDescent="0.3">
      <c r="A322" s="20"/>
      <c r="B322" s="21"/>
      <c r="C322" s="22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3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</row>
    <row r="323" spans="1:216" ht="15.75" hidden="1" customHeight="1" x14ac:dyDescent="0.3">
      <c r="A323" s="20"/>
      <c r="B323" s="21"/>
      <c r="C323" s="22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3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</row>
    <row r="324" spans="1:216" ht="15.75" hidden="1" customHeight="1" x14ac:dyDescent="0.3">
      <c r="A324" s="20"/>
      <c r="B324" s="21"/>
      <c r="C324" s="22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3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</row>
    <row r="325" spans="1:216" ht="15.75" hidden="1" customHeight="1" x14ac:dyDescent="0.3">
      <c r="A325" s="20"/>
      <c r="B325" s="21"/>
      <c r="C325" s="22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3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</row>
    <row r="326" spans="1:216" ht="15.75" hidden="1" customHeight="1" x14ac:dyDescent="0.3">
      <c r="A326" s="20"/>
      <c r="B326" s="21"/>
      <c r="C326" s="22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3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</row>
    <row r="327" spans="1:216" ht="15.75" hidden="1" customHeight="1" x14ac:dyDescent="0.3">
      <c r="A327" s="20"/>
      <c r="B327" s="21"/>
      <c r="C327" s="22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3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</row>
    <row r="328" spans="1:216" ht="15.75" hidden="1" customHeight="1" x14ac:dyDescent="0.3">
      <c r="A328" s="20"/>
      <c r="B328" s="21"/>
      <c r="C328" s="22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3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</row>
    <row r="329" spans="1:216" ht="15.75" hidden="1" customHeight="1" x14ac:dyDescent="0.3">
      <c r="A329" s="20"/>
      <c r="B329" s="21"/>
      <c r="C329" s="22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3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</row>
    <row r="330" spans="1:216" ht="15.75" hidden="1" customHeight="1" x14ac:dyDescent="0.3">
      <c r="A330" s="20"/>
      <c r="B330" s="21"/>
      <c r="C330" s="22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3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</row>
    <row r="331" spans="1:216" ht="15.75" hidden="1" customHeight="1" x14ac:dyDescent="0.3">
      <c r="A331" s="20"/>
      <c r="B331" s="21"/>
      <c r="C331" s="22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3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</row>
    <row r="332" spans="1:216" ht="15.75" hidden="1" customHeight="1" x14ac:dyDescent="0.3">
      <c r="A332" s="20"/>
      <c r="B332" s="21"/>
      <c r="C332" s="22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3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</row>
    <row r="333" spans="1:216" ht="15.75" hidden="1" customHeight="1" x14ac:dyDescent="0.3">
      <c r="A333" s="20"/>
      <c r="B333" s="21"/>
      <c r="C333" s="22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3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</row>
    <row r="334" spans="1:216" ht="15.75" hidden="1" customHeight="1" x14ac:dyDescent="0.3">
      <c r="A334" s="20"/>
      <c r="B334" s="21"/>
      <c r="C334" s="22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3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</row>
    <row r="335" spans="1:216" ht="15.75" hidden="1" customHeight="1" x14ac:dyDescent="0.3">
      <c r="A335" s="20"/>
      <c r="B335" s="21"/>
      <c r="C335" s="22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3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</row>
    <row r="336" spans="1:216" ht="15.75" hidden="1" customHeight="1" x14ac:dyDescent="0.3">
      <c r="A336" s="20"/>
      <c r="B336" s="21"/>
      <c r="C336" s="22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3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</row>
    <row r="337" spans="1:216" ht="15.75" hidden="1" customHeight="1" x14ac:dyDescent="0.3">
      <c r="A337" s="20"/>
      <c r="B337" s="21"/>
      <c r="C337" s="22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3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</row>
    <row r="338" spans="1:216" ht="15.75" hidden="1" customHeight="1" x14ac:dyDescent="0.3">
      <c r="A338" s="20"/>
      <c r="B338" s="21"/>
      <c r="C338" s="22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3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</row>
    <row r="339" spans="1:216" ht="15.75" hidden="1" customHeight="1" x14ac:dyDescent="0.3">
      <c r="A339" s="20"/>
      <c r="B339" s="21"/>
      <c r="C339" s="22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3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</row>
    <row r="340" spans="1:216" ht="15.75" hidden="1" customHeight="1" x14ac:dyDescent="0.3">
      <c r="A340" s="20"/>
      <c r="B340" s="21"/>
      <c r="C340" s="22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3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</row>
    <row r="341" spans="1:216" ht="15.75" hidden="1" customHeight="1" x14ac:dyDescent="0.3">
      <c r="A341" s="20"/>
      <c r="B341" s="21"/>
      <c r="C341" s="22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3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</row>
    <row r="342" spans="1:216" ht="15.75" hidden="1" customHeight="1" x14ac:dyDescent="0.3">
      <c r="A342" s="20"/>
      <c r="B342" s="21"/>
      <c r="C342" s="22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3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</row>
    <row r="343" spans="1:216" ht="15.75" hidden="1" customHeight="1" x14ac:dyDescent="0.3">
      <c r="A343" s="20"/>
      <c r="B343" s="21"/>
      <c r="C343" s="22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3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</row>
    <row r="344" spans="1:216" ht="15.75" hidden="1" customHeight="1" x14ac:dyDescent="0.3">
      <c r="A344" s="20"/>
      <c r="B344" s="21"/>
      <c r="C344" s="22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3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</row>
    <row r="345" spans="1:216" ht="15.75" hidden="1" customHeight="1" x14ac:dyDescent="0.3">
      <c r="A345" s="20"/>
      <c r="B345" s="21"/>
      <c r="C345" s="22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3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</row>
    <row r="346" spans="1:216" ht="15.75" hidden="1" customHeight="1" x14ac:dyDescent="0.3">
      <c r="A346" s="20"/>
      <c r="B346" s="21"/>
      <c r="C346" s="22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3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</row>
    <row r="347" spans="1:216" ht="15.75" hidden="1" customHeight="1" x14ac:dyDescent="0.3">
      <c r="A347" s="20"/>
      <c r="B347" s="21"/>
      <c r="C347" s="22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3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</row>
    <row r="348" spans="1:216" ht="15.75" hidden="1" customHeight="1" x14ac:dyDescent="0.3">
      <c r="A348" s="20"/>
      <c r="B348" s="21"/>
      <c r="C348" s="22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3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</row>
    <row r="349" spans="1:216" ht="15.75" hidden="1" customHeight="1" x14ac:dyDescent="0.3">
      <c r="A349" s="20"/>
      <c r="B349" s="21"/>
      <c r="C349" s="22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3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</row>
    <row r="350" spans="1:216" ht="15.75" hidden="1" customHeight="1" x14ac:dyDescent="0.3">
      <c r="A350" s="20"/>
      <c r="B350" s="21"/>
      <c r="C350" s="22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3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</row>
    <row r="351" spans="1:216" ht="15.75" hidden="1" customHeight="1" x14ac:dyDescent="0.3">
      <c r="A351" s="20"/>
      <c r="B351" s="21"/>
      <c r="C351" s="22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3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</row>
    <row r="352" spans="1:216" ht="15.75" hidden="1" customHeight="1" x14ac:dyDescent="0.3">
      <c r="A352" s="20"/>
      <c r="B352" s="21"/>
      <c r="C352" s="22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3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</row>
    <row r="353" spans="1:216" ht="15.75" hidden="1" customHeight="1" x14ac:dyDescent="0.3">
      <c r="A353" s="20"/>
      <c r="B353" s="21"/>
      <c r="C353" s="22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3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</row>
    <row r="354" spans="1:216" ht="15.75" hidden="1" customHeight="1" x14ac:dyDescent="0.3">
      <c r="A354" s="20"/>
      <c r="B354" s="21"/>
      <c r="C354" s="22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3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</row>
    <row r="355" spans="1:216" ht="15.75" hidden="1" customHeight="1" x14ac:dyDescent="0.3">
      <c r="A355" s="20"/>
      <c r="B355" s="21"/>
      <c r="C355" s="22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3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</row>
    <row r="356" spans="1:216" ht="15.75" hidden="1" customHeight="1" x14ac:dyDescent="0.3">
      <c r="A356" s="20"/>
      <c r="B356" s="21"/>
      <c r="C356" s="22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3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</row>
    <row r="357" spans="1:216" ht="15.75" hidden="1" customHeight="1" x14ac:dyDescent="0.3">
      <c r="A357" s="20"/>
      <c r="B357" s="21"/>
      <c r="C357" s="22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3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</row>
    <row r="358" spans="1:216" ht="15.75" hidden="1" customHeight="1" x14ac:dyDescent="0.3">
      <c r="A358" s="20"/>
      <c r="B358" s="21"/>
      <c r="C358" s="22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3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</row>
    <row r="359" spans="1:216" ht="15.75" hidden="1" customHeight="1" x14ac:dyDescent="0.3">
      <c r="A359" s="20"/>
      <c r="B359" s="21"/>
      <c r="C359" s="22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3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</row>
    <row r="360" spans="1:216" ht="15.75" hidden="1" customHeight="1" x14ac:dyDescent="0.3">
      <c r="A360" s="20"/>
      <c r="B360" s="21"/>
      <c r="C360" s="22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3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</row>
    <row r="361" spans="1:216" ht="15.75" hidden="1" customHeight="1" x14ac:dyDescent="0.3">
      <c r="A361" s="20"/>
      <c r="B361" s="21"/>
      <c r="C361" s="22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3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</row>
    <row r="362" spans="1:216" ht="15.75" hidden="1" customHeight="1" x14ac:dyDescent="0.3">
      <c r="A362" s="20"/>
      <c r="B362" s="21"/>
      <c r="C362" s="22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3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</row>
    <row r="363" spans="1:216" ht="15.75" hidden="1" customHeight="1" x14ac:dyDescent="0.3">
      <c r="A363" s="20"/>
      <c r="B363" s="21"/>
      <c r="C363" s="22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3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</row>
    <row r="364" spans="1:216" ht="15.75" hidden="1" customHeight="1" x14ac:dyDescent="0.3">
      <c r="A364" s="20"/>
      <c r="B364" s="21"/>
      <c r="C364" s="22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3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</row>
    <row r="365" spans="1:216" ht="15.75" hidden="1" customHeight="1" x14ac:dyDescent="0.3">
      <c r="A365" s="20"/>
      <c r="B365" s="21"/>
      <c r="C365" s="22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3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</row>
    <row r="366" spans="1:216" ht="15.75" hidden="1" customHeight="1" x14ac:dyDescent="0.3">
      <c r="A366" s="20"/>
      <c r="B366" s="21"/>
      <c r="C366" s="22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3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</row>
    <row r="367" spans="1:216" ht="15.75" hidden="1" customHeight="1" x14ac:dyDescent="0.3">
      <c r="A367" s="20"/>
      <c r="B367" s="21"/>
      <c r="C367" s="22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3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</row>
    <row r="368" spans="1:216" ht="15.75" hidden="1" customHeight="1" x14ac:dyDescent="0.3">
      <c r="A368" s="20"/>
      <c r="B368" s="21"/>
      <c r="C368" s="22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3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</row>
    <row r="369" spans="1:216" ht="15.75" hidden="1" customHeight="1" x14ac:dyDescent="0.3">
      <c r="A369" s="20"/>
      <c r="B369" s="21"/>
      <c r="C369" s="22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3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</row>
    <row r="370" spans="1:216" ht="15.75" hidden="1" customHeight="1" x14ac:dyDescent="0.3">
      <c r="A370" s="20"/>
      <c r="B370" s="21"/>
      <c r="C370" s="22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3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</row>
    <row r="371" spans="1:216" ht="15.75" hidden="1" customHeight="1" x14ac:dyDescent="0.3">
      <c r="A371" s="20"/>
      <c r="B371" s="21"/>
      <c r="C371" s="22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3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</row>
    <row r="372" spans="1:216" ht="15.75" hidden="1" customHeight="1" x14ac:dyDescent="0.3">
      <c r="A372" s="20"/>
      <c r="B372" s="21"/>
      <c r="C372" s="22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3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</row>
    <row r="373" spans="1:216" ht="15.75" hidden="1" customHeight="1" x14ac:dyDescent="0.3">
      <c r="A373" s="20"/>
      <c r="B373" s="21"/>
      <c r="C373" s="22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3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</row>
    <row r="374" spans="1:216" ht="15.75" hidden="1" customHeight="1" x14ac:dyDescent="0.3">
      <c r="A374" s="20"/>
      <c r="B374" s="21"/>
      <c r="C374" s="22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3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</row>
    <row r="375" spans="1:216" ht="15.75" hidden="1" customHeight="1" x14ac:dyDescent="0.3">
      <c r="A375" s="20"/>
      <c r="B375" s="21"/>
      <c r="C375" s="22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3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</row>
    <row r="376" spans="1:216" ht="15.75" hidden="1" customHeight="1" x14ac:dyDescent="0.3">
      <c r="A376" s="20"/>
      <c r="B376" s="21"/>
      <c r="C376" s="22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3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</row>
    <row r="377" spans="1:216" ht="15.75" hidden="1" customHeight="1" x14ac:dyDescent="0.3">
      <c r="A377" s="20"/>
      <c r="B377" s="21"/>
      <c r="C377" s="22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3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</row>
    <row r="378" spans="1:216" ht="15.75" hidden="1" customHeight="1" x14ac:dyDescent="0.3">
      <c r="A378" s="20"/>
      <c r="B378" s="21"/>
      <c r="C378" s="22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3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</row>
    <row r="379" spans="1:216" ht="15.75" hidden="1" customHeight="1" x14ac:dyDescent="0.3">
      <c r="A379" s="20"/>
      <c r="B379" s="21"/>
      <c r="C379" s="22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3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</row>
    <row r="380" spans="1:216" ht="15.75" hidden="1" customHeight="1" x14ac:dyDescent="0.3">
      <c r="A380" s="20"/>
      <c r="B380" s="21"/>
      <c r="C380" s="22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3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</row>
    <row r="381" spans="1:216" ht="15.75" hidden="1" customHeight="1" x14ac:dyDescent="0.3">
      <c r="A381" s="20"/>
      <c r="B381" s="21"/>
      <c r="C381" s="22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3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</row>
    <row r="382" spans="1:216" ht="15.75" hidden="1" customHeight="1" x14ac:dyDescent="0.3">
      <c r="A382" s="20"/>
      <c r="B382" s="21"/>
      <c r="C382" s="22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3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</row>
    <row r="383" spans="1:216" ht="15.75" hidden="1" customHeight="1" x14ac:dyDescent="0.3">
      <c r="A383" s="20"/>
      <c r="B383" s="21"/>
      <c r="C383" s="22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3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</row>
    <row r="384" spans="1:216" ht="15.75" hidden="1" customHeight="1" x14ac:dyDescent="0.3">
      <c r="A384" s="20"/>
      <c r="B384" s="21"/>
      <c r="C384" s="22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3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</row>
    <row r="385" spans="1:216" ht="15.75" hidden="1" customHeight="1" x14ac:dyDescent="0.3">
      <c r="A385" s="20"/>
      <c r="B385" s="21"/>
      <c r="C385" s="22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3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</row>
    <row r="386" spans="1:216" ht="15.75" hidden="1" customHeight="1" x14ac:dyDescent="0.3">
      <c r="A386" s="20"/>
      <c r="B386" s="21"/>
      <c r="C386" s="22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3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</row>
    <row r="387" spans="1:216" ht="15.75" hidden="1" customHeight="1" x14ac:dyDescent="0.3">
      <c r="A387" s="20"/>
      <c r="B387" s="21"/>
      <c r="C387" s="22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3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</row>
    <row r="388" spans="1:216" ht="15.75" hidden="1" customHeight="1" x14ac:dyDescent="0.3">
      <c r="A388" s="20"/>
      <c r="B388" s="21"/>
      <c r="C388" s="22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3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</row>
    <row r="389" spans="1:216" ht="15.75" hidden="1" customHeight="1" x14ac:dyDescent="0.3">
      <c r="A389" s="20"/>
      <c r="B389" s="21"/>
      <c r="C389" s="22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3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</row>
    <row r="390" spans="1:216" ht="15.75" hidden="1" customHeight="1" x14ac:dyDescent="0.3">
      <c r="A390" s="20"/>
      <c r="B390" s="21"/>
      <c r="C390" s="22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3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</row>
    <row r="391" spans="1:216" ht="15.75" hidden="1" customHeight="1" x14ac:dyDescent="0.3">
      <c r="A391" s="20"/>
      <c r="B391" s="21"/>
      <c r="C391" s="22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3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</row>
    <row r="392" spans="1:216" ht="15.75" hidden="1" customHeight="1" x14ac:dyDescent="0.3">
      <c r="A392" s="20"/>
      <c r="B392" s="21"/>
      <c r="C392" s="22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3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</row>
    <row r="393" spans="1:216" ht="15.75" hidden="1" customHeight="1" x14ac:dyDescent="0.3">
      <c r="A393" s="20"/>
      <c r="B393" s="21"/>
      <c r="C393" s="22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3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</row>
    <row r="394" spans="1:216" ht="15.75" hidden="1" customHeight="1" x14ac:dyDescent="0.3">
      <c r="A394" s="20"/>
      <c r="B394" s="21"/>
      <c r="C394" s="22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3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</row>
    <row r="395" spans="1:216" ht="15.75" hidden="1" customHeight="1" x14ac:dyDescent="0.3">
      <c r="A395" s="20"/>
      <c r="B395" s="21"/>
      <c r="C395" s="22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3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</row>
    <row r="396" spans="1:216" ht="15.75" hidden="1" customHeight="1" x14ac:dyDescent="0.3">
      <c r="A396" s="20"/>
      <c r="B396" s="21"/>
      <c r="C396" s="22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3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</row>
    <row r="397" spans="1:216" ht="15.75" hidden="1" customHeight="1" x14ac:dyDescent="0.3">
      <c r="A397" s="20"/>
      <c r="B397" s="21"/>
      <c r="C397" s="22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3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</row>
    <row r="398" spans="1:216" ht="15.75" hidden="1" customHeight="1" x14ac:dyDescent="0.3">
      <c r="A398" s="20"/>
      <c r="B398" s="21"/>
      <c r="C398" s="22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3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</row>
    <row r="399" spans="1:216" ht="15.75" hidden="1" customHeight="1" x14ac:dyDescent="0.3">
      <c r="A399" s="20"/>
      <c r="B399" s="21"/>
      <c r="C399" s="22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3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</row>
    <row r="400" spans="1:216" ht="15.75" hidden="1" customHeight="1" x14ac:dyDescent="0.3">
      <c r="A400" s="20"/>
      <c r="B400" s="21"/>
      <c r="C400" s="22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3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</row>
    <row r="401" spans="1:216" ht="15.75" hidden="1" customHeight="1" x14ac:dyDescent="0.3">
      <c r="A401" s="20"/>
      <c r="B401" s="21"/>
      <c r="C401" s="22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3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</row>
    <row r="402" spans="1:216" ht="15.75" hidden="1" customHeight="1" x14ac:dyDescent="0.3">
      <c r="A402" s="20"/>
      <c r="B402" s="21"/>
      <c r="C402" s="22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3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</row>
    <row r="403" spans="1:216" ht="15.75" hidden="1" customHeight="1" x14ac:dyDescent="0.3">
      <c r="A403" s="20"/>
      <c r="B403" s="21"/>
      <c r="C403" s="22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3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</row>
    <row r="404" spans="1:216" ht="15.75" hidden="1" customHeight="1" x14ac:dyDescent="0.3">
      <c r="A404" s="20"/>
      <c r="B404" s="21"/>
      <c r="C404" s="22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3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</row>
    <row r="405" spans="1:216" ht="15.75" hidden="1" customHeight="1" x14ac:dyDescent="0.3">
      <c r="A405" s="20"/>
      <c r="B405" s="21"/>
      <c r="C405" s="22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3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</row>
    <row r="406" spans="1:216" ht="15.75" hidden="1" customHeight="1" x14ac:dyDescent="0.3">
      <c r="A406" s="20"/>
      <c r="B406" s="21"/>
      <c r="C406" s="22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3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</row>
    <row r="407" spans="1:216" ht="15.75" hidden="1" customHeight="1" x14ac:dyDescent="0.3">
      <c r="A407" s="20"/>
      <c r="B407" s="21"/>
      <c r="C407" s="22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3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</row>
    <row r="408" spans="1:216" ht="15.75" hidden="1" customHeight="1" x14ac:dyDescent="0.3">
      <c r="A408" s="20"/>
      <c r="B408" s="21"/>
      <c r="C408" s="22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3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</row>
    <row r="409" spans="1:216" ht="15.75" hidden="1" customHeight="1" x14ac:dyDescent="0.3">
      <c r="A409" s="20"/>
      <c r="B409" s="21"/>
      <c r="C409" s="22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3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</row>
    <row r="410" spans="1:216" ht="15.75" hidden="1" customHeight="1" x14ac:dyDescent="0.3">
      <c r="A410" s="20"/>
      <c r="B410" s="21"/>
      <c r="C410" s="22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3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</row>
    <row r="411" spans="1:216" ht="15.75" hidden="1" customHeight="1" x14ac:dyDescent="0.3">
      <c r="A411" s="20"/>
      <c r="B411" s="21"/>
      <c r="C411" s="22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3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</row>
    <row r="412" spans="1:216" ht="15.75" hidden="1" customHeight="1" x14ac:dyDescent="0.3">
      <c r="A412" s="20"/>
      <c r="B412" s="21"/>
      <c r="C412" s="22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3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</row>
    <row r="413" spans="1:216" ht="15.75" hidden="1" customHeight="1" x14ac:dyDescent="0.3">
      <c r="A413" s="20"/>
      <c r="B413" s="21"/>
      <c r="C413" s="22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3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</row>
    <row r="414" spans="1:216" ht="15.75" hidden="1" customHeight="1" x14ac:dyDescent="0.3">
      <c r="A414" s="20"/>
      <c r="B414" s="21"/>
      <c r="C414" s="22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3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</row>
    <row r="415" spans="1:216" ht="15.75" hidden="1" customHeight="1" x14ac:dyDescent="0.3">
      <c r="A415" s="20"/>
      <c r="B415" s="21"/>
      <c r="C415" s="22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3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</row>
    <row r="416" spans="1:216" ht="15.75" hidden="1" customHeight="1" x14ac:dyDescent="0.3">
      <c r="A416" s="20"/>
      <c r="B416" s="21"/>
      <c r="C416" s="22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3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</row>
    <row r="417" spans="1:216" ht="15.75" hidden="1" customHeight="1" x14ac:dyDescent="0.3">
      <c r="A417" s="20"/>
      <c r="B417" s="21"/>
      <c r="C417" s="22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3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</row>
    <row r="418" spans="1:216" ht="15.75" hidden="1" customHeight="1" x14ac:dyDescent="0.3">
      <c r="A418" s="20"/>
      <c r="B418" s="21"/>
      <c r="C418" s="22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3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</row>
    <row r="419" spans="1:216" ht="15.75" hidden="1" customHeight="1" x14ac:dyDescent="0.3">
      <c r="A419" s="20"/>
      <c r="B419" s="21"/>
      <c r="C419" s="22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3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</row>
    <row r="420" spans="1:216" ht="15.75" hidden="1" customHeight="1" x14ac:dyDescent="0.3">
      <c r="A420" s="20"/>
      <c r="B420" s="21"/>
      <c r="C420" s="22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3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</row>
    <row r="421" spans="1:216" ht="15.75" hidden="1" customHeight="1" x14ac:dyDescent="0.3">
      <c r="A421" s="20"/>
      <c r="B421" s="21"/>
      <c r="C421" s="22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3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</row>
    <row r="422" spans="1:216" ht="15.75" hidden="1" customHeight="1" x14ac:dyDescent="0.3">
      <c r="A422" s="20"/>
      <c r="B422" s="21"/>
      <c r="C422" s="22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3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</row>
    <row r="423" spans="1:216" ht="15.75" hidden="1" customHeight="1" x14ac:dyDescent="0.3">
      <c r="A423" s="20"/>
      <c r="B423" s="21"/>
      <c r="C423" s="22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3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</row>
    <row r="424" spans="1:216" ht="15.75" hidden="1" customHeight="1" x14ac:dyDescent="0.3">
      <c r="A424" s="20"/>
      <c r="B424" s="21"/>
      <c r="C424" s="22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3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</row>
    <row r="425" spans="1:216" ht="15.75" hidden="1" customHeight="1" x14ac:dyDescent="0.3">
      <c r="A425" s="20"/>
      <c r="B425" s="21"/>
      <c r="C425" s="22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3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</row>
    <row r="426" spans="1:216" ht="15.75" hidden="1" customHeight="1" x14ac:dyDescent="0.3">
      <c r="A426" s="20"/>
      <c r="B426" s="21"/>
      <c r="C426" s="22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3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</row>
    <row r="427" spans="1:216" ht="15.75" hidden="1" customHeight="1" x14ac:dyDescent="0.3">
      <c r="A427" s="20"/>
      <c r="B427" s="21"/>
      <c r="C427" s="22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3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</row>
    <row r="428" spans="1:216" ht="15.75" hidden="1" customHeight="1" x14ac:dyDescent="0.3">
      <c r="A428" s="20"/>
      <c r="B428" s="21"/>
      <c r="C428" s="22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3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</row>
    <row r="429" spans="1:216" ht="15.75" hidden="1" customHeight="1" x14ac:dyDescent="0.3">
      <c r="A429" s="20"/>
      <c r="B429" s="21"/>
      <c r="C429" s="22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3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</row>
    <row r="430" spans="1:216" ht="15.75" hidden="1" customHeight="1" x14ac:dyDescent="0.3">
      <c r="A430" s="20"/>
      <c r="B430" s="21"/>
      <c r="C430" s="22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3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</row>
    <row r="431" spans="1:216" ht="15.75" hidden="1" customHeight="1" x14ac:dyDescent="0.3">
      <c r="A431" s="20"/>
      <c r="B431" s="21"/>
      <c r="C431" s="22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3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</row>
    <row r="432" spans="1:216" ht="15.75" hidden="1" customHeight="1" x14ac:dyDescent="0.3">
      <c r="A432" s="20"/>
      <c r="B432" s="21"/>
      <c r="C432" s="22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3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</row>
    <row r="433" spans="1:216" ht="15.75" hidden="1" customHeight="1" x14ac:dyDescent="0.3">
      <c r="A433" s="20"/>
      <c r="B433" s="21"/>
      <c r="C433" s="22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3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</row>
    <row r="434" spans="1:216" ht="15.75" hidden="1" customHeight="1" x14ac:dyDescent="0.3">
      <c r="A434" s="20"/>
      <c r="B434" s="21"/>
      <c r="C434" s="22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3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</row>
    <row r="435" spans="1:216" ht="15.75" hidden="1" customHeight="1" x14ac:dyDescent="0.3">
      <c r="A435" s="20"/>
      <c r="B435" s="21"/>
      <c r="C435" s="22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3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</row>
    <row r="436" spans="1:216" ht="15.75" hidden="1" customHeight="1" x14ac:dyDescent="0.3">
      <c r="A436" s="20"/>
      <c r="B436" s="21"/>
      <c r="C436" s="22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3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</row>
    <row r="437" spans="1:216" ht="15.75" hidden="1" customHeight="1" x14ac:dyDescent="0.3">
      <c r="A437" s="20"/>
      <c r="B437" s="21"/>
      <c r="C437" s="22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3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</row>
    <row r="438" spans="1:216" ht="15.75" hidden="1" customHeight="1" x14ac:dyDescent="0.3">
      <c r="A438" s="20"/>
      <c r="B438" s="21"/>
      <c r="C438" s="22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3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</row>
    <row r="439" spans="1:216" ht="15.75" hidden="1" customHeight="1" x14ac:dyDescent="0.3">
      <c r="A439" s="20"/>
      <c r="B439" s="21"/>
      <c r="C439" s="22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3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</row>
    <row r="440" spans="1:216" ht="15.75" hidden="1" customHeight="1" x14ac:dyDescent="0.3">
      <c r="A440" s="20"/>
      <c r="B440" s="21"/>
      <c r="C440" s="22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3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</row>
    <row r="441" spans="1:216" ht="15.75" hidden="1" customHeight="1" x14ac:dyDescent="0.3">
      <c r="A441" s="20"/>
      <c r="B441" s="21"/>
      <c r="C441" s="22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3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</row>
    <row r="442" spans="1:216" ht="15.75" hidden="1" customHeight="1" x14ac:dyDescent="0.3">
      <c r="A442" s="20"/>
      <c r="B442" s="21"/>
      <c r="C442" s="22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3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</row>
    <row r="443" spans="1:216" ht="15.75" hidden="1" customHeight="1" x14ac:dyDescent="0.3">
      <c r="A443" s="20"/>
      <c r="B443" s="21"/>
      <c r="C443" s="22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3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</row>
    <row r="444" spans="1:216" ht="15.75" hidden="1" customHeight="1" x14ac:dyDescent="0.3">
      <c r="A444" s="20"/>
      <c r="B444" s="21"/>
      <c r="C444" s="22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3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</row>
    <row r="445" spans="1:216" ht="15.75" hidden="1" customHeight="1" x14ac:dyDescent="0.3">
      <c r="A445" s="20"/>
      <c r="B445" s="21"/>
      <c r="C445" s="22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3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</row>
    <row r="446" spans="1:216" ht="15.75" hidden="1" customHeight="1" x14ac:dyDescent="0.3">
      <c r="A446" s="20"/>
      <c r="B446" s="21"/>
      <c r="C446" s="22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3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</row>
    <row r="447" spans="1:216" ht="15.75" hidden="1" customHeight="1" x14ac:dyDescent="0.3">
      <c r="A447" s="20"/>
      <c r="B447" s="21"/>
      <c r="C447" s="22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3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</row>
    <row r="448" spans="1:216" ht="15.75" hidden="1" customHeight="1" x14ac:dyDescent="0.3">
      <c r="A448" s="20"/>
      <c r="B448" s="21"/>
      <c r="C448" s="22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3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</row>
    <row r="449" spans="1:216" ht="15.75" hidden="1" customHeight="1" x14ac:dyDescent="0.3">
      <c r="A449" s="20"/>
      <c r="B449" s="21"/>
      <c r="C449" s="22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3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</row>
    <row r="450" spans="1:216" ht="15.75" hidden="1" customHeight="1" x14ac:dyDescent="0.3">
      <c r="A450" s="20"/>
      <c r="B450" s="21"/>
      <c r="C450" s="22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3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</row>
    <row r="451" spans="1:216" ht="15.75" hidden="1" customHeight="1" x14ac:dyDescent="0.3">
      <c r="A451" s="20"/>
      <c r="B451" s="21"/>
      <c r="C451" s="22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3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</row>
    <row r="452" spans="1:216" ht="15.75" hidden="1" customHeight="1" x14ac:dyDescent="0.3">
      <c r="A452" s="20"/>
      <c r="B452" s="21"/>
      <c r="C452" s="22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3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</row>
    <row r="453" spans="1:216" ht="15.75" hidden="1" customHeight="1" x14ac:dyDescent="0.3">
      <c r="A453" s="20"/>
      <c r="B453" s="21"/>
      <c r="C453" s="22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3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</row>
    <row r="454" spans="1:216" ht="15.75" hidden="1" customHeight="1" x14ac:dyDescent="0.3">
      <c r="A454" s="20"/>
      <c r="B454" s="21"/>
      <c r="C454" s="22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3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</row>
    <row r="455" spans="1:216" ht="15.75" hidden="1" customHeight="1" x14ac:dyDescent="0.3">
      <c r="A455" s="20"/>
      <c r="B455" s="21"/>
      <c r="C455" s="22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3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</row>
    <row r="456" spans="1:216" ht="15.75" hidden="1" customHeight="1" x14ac:dyDescent="0.3">
      <c r="A456" s="20"/>
      <c r="B456" s="21"/>
      <c r="C456" s="22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3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</row>
    <row r="457" spans="1:216" ht="15.75" hidden="1" customHeight="1" x14ac:dyDescent="0.3">
      <c r="A457" s="20"/>
      <c r="B457" s="21"/>
      <c r="C457" s="22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3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</row>
    <row r="458" spans="1:216" ht="15.75" hidden="1" customHeight="1" x14ac:dyDescent="0.3">
      <c r="A458" s="20"/>
      <c r="B458" s="21"/>
      <c r="C458" s="22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3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</row>
    <row r="459" spans="1:216" ht="15.75" hidden="1" customHeight="1" x14ac:dyDescent="0.3">
      <c r="A459" s="20"/>
      <c r="B459" s="21"/>
      <c r="C459" s="22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3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</row>
    <row r="460" spans="1:216" ht="15.75" hidden="1" customHeight="1" x14ac:dyDescent="0.3">
      <c r="A460" s="20"/>
      <c r="B460" s="21"/>
      <c r="C460" s="22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3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</row>
    <row r="461" spans="1:216" ht="15.75" hidden="1" customHeight="1" x14ac:dyDescent="0.3">
      <c r="A461" s="20"/>
      <c r="B461" s="21"/>
      <c r="C461" s="22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3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</row>
    <row r="462" spans="1:216" ht="15.75" hidden="1" customHeight="1" x14ac:dyDescent="0.3">
      <c r="A462" s="20"/>
      <c r="B462" s="21"/>
      <c r="C462" s="22"/>
      <c r="D462" s="20"/>
      <c r="E462" s="20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</row>
    <row r="463" spans="1:216" ht="15.75" hidden="1" customHeight="1" x14ac:dyDescent="0.3">
      <c r="A463" s="20"/>
      <c r="B463" s="21"/>
      <c r="C463" s="22"/>
      <c r="D463" s="20"/>
      <c r="E463" s="20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</row>
    <row r="464" spans="1:216" ht="15.75" hidden="1" customHeight="1" x14ac:dyDescent="0.3">
      <c r="A464" s="20"/>
      <c r="B464" s="21"/>
      <c r="C464" s="22"/>
      <c r="D464" s="20"/>
      <c r="E464" s="20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</row>
    <row r="465" spans="1:216" ht="15.75" hidden="1" customHeight="1" x14ac:dyDescent="0.3">
      <c r="A465" s="20"/>
      <c r="B465" s="21"/>
      <c r="C465" s="22"/>
      <c r="D465" s="20"/>
      <c r="E465" s="20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</row>
    <row r="466" spans="1:216" ht="15.75" hidden="1" customHeight="1" x14ac:dyDescent="0.3">
      <c r="A466" s="20"/>
      <c r="B466" s="21"/>
      <c r="C466" s="22"/>
      <c r="D466" s="20"/>
      <c r="E466" s="20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</row>
    <row r="467" spans="1:216" ht="15.75" hidden="1" customHeight="1" x14ac:dyDescent="0.3">
      <c r="A467" s="20"/>
      <c r="B467" s="21"/>
      <c r="C467" s="22"/>
      <c r="D467" s="20"/>
      <c r="E467" s="20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</row>
    <row r="468" spans="1:216" ht="15.75" hidden="1" customHeight="1" x14ac:dyDescent="0.3">
      <c r="A468" s="20"/>
      <c r="B468" s="21"/>
      <c r="C468" s="22"/>
      <c r="D468" s="20"/>
      <c r="E468" s="20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</row>
    <row r="469" spans="1:216" ht="15.75" hidden="1" customHeight="1" x14ac:dyDescent="0.3"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</row>
    <row r="470" spans="1:216" ht="15.75" hidden="1" customHeight="1" x14ac:dyDescent="0.3"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</row>
    <row r="471" spans="1:216" ht="15.75" hidden="1" customHeight="1" x14ac:dyDescent="0.3"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</row>
    <row r="472" spans="1:216" ht="15.75" hidden="1" customHeight="1" x14ac:dyDescent="0.3"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</row>
    <row r="473" spans="1:216" ht="15.75" hidden="1" customHeight="1" x14ac:dyDescent="0.3"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</row>
    <row r="474" spans="1:216" ht="15.75" hidden="1" customHeight="1" x14ac:dyDescent="0.3"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</row>
    <row r="475" spans="1:216" ht="15.75" hidden="1" customHeight="1" x14ac:dyDescent="0.3"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</row>
    <row r="476" spans="1:216" ht="15.75" hidden="1" customHeight="1" x14ac:dyDescent="0.3"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</row>
    <row r="477" spans="1:216" ht="15.75" hidden="1" customHeight="1" x14ac:dyDescent="0.3"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</row>
    <row r="478" spans="1:216" ht="15.75" hidden="1" customHeight="1" x14ac:dyDescent="0.3"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</row>
    <row r="479" spans="1:216" ht="15.75" hidden="1" customHeight="1" x14ac:dyDescent="0.3"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</row>
    <row r="480" spans="1:216" ht="15.75" hidden="1" customHeight="1" x14ac:dyDescent="0.3"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</row>
    <row r="481" spans="16:216" ht="15.75" hidden="1" customHeight="1" x14ac:dyDescent="0.3"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</row>
    <row r="482" spans="16:216" ht="15.75" hidden="1" customHeight="1" x14ac:dyDescent="0.3"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</row>
    <row r="483" spans="16:216" ht="15.75" hidden="1" customHeight="1" x14ac:dyDescent="0.3"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</row>
    <row r="484" spans="16:216" ht="15.75" hidden="1" customHeight="1" x14ac:dyDescent="0.3"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</row>
    <row r="485" spans="16:216" ht="15.75" hidden="1" customHeight="1" x14ac:dyDescent="0.3"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</row>
    <row r="486" spans="16:216" ht="15.75" hidden="1" customHeight="1" x14ac:dyDescent="0.3"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</row>
    <row r="487" spans="16:216" ht="15.75" hidden="1" customHeight="1" x14ac:dyDescent="0.3"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</row>
    <row r="488" spans="16:216" ht="15.75" hidden="1" customHeight="1" x14ac:dyDescent="0.3"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</row>
    <row r="489" spans="16:216" ht="15.75" hidden="1" customHeight="1" x14ac:dyDescent="0.3"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</row>
    <row r="490" spans="16:216" ht="15.75" hidden="1" customHeight="1" x14ac:dyDescent="0.3"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</row>
    <row r="491" spans="16:216" ht="15.75" hidden="1" customHeight="1" x14ac:dyDescent="0.3"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</row>
    <row r="492" spans="16:216" ht="15.75" hidden="1" customHeight="1" x14ac:dyDescent="0.3"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</row>
    <row r="493" spans="16:216" ht="15.75" hidden="1" customHeight="1" x14ac:dyDescent="0.3"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</row>
    <row r="494" spans="16:216" ht="15.75" hidden="1" customHeight="1" x14ac:dyDescent="0.3"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</row>
    <row r="495" spans="16:216" ht="15.75" hidden="1" customHeight="1" x14ac:dyDescent="0.3"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</row>
    <row r="496" spans="16:216" ht="15.75" hidden="1" customHeight="1" x14ac:dyDescent="0.3"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</row>
    <row r="497" spans="16:216" ht="15.75" hidden="1" customHeight="1" x14ac:dyDescent="0.3"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</row>
    <row r="498" spans="16:216" ht="15.75" hidden="1" customHeight="1" x14ac:dyDescent="0.3"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</row>
    <row r="499" spans="16:216" ht="15.75" hidden="1" customHeight="1" x14ac:dyDescent="0.3"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</row>
    <row r="500" spans="16:216" ht="15.75" hidden="1" customHeight="1" x14ac:dyDescent="0.3"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</row>
    <row r="501" spans="16:216" ht="15.75" hidden="1" customHeight="1" x14ac:dyDescent="0.3"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</row>
    <row r="502" spans="16:216" ht="15.75" hidden="1" customHeight="1" x14ac:dyDescent="0.3"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</row>
    <row r="503" spans="16:216" ht="15.75" hidden="1" customHeight="1" x14ac:dyDescent="0.3"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</row>
    <row r="504" spans="16:216" ht="15.75" hidden="1" customHeight="1" x14ac:dyDescent="0.3"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</row>
    <row r="505" spans="16:216" ht="15.75" hidden="1" customHeight="1" x14ac:dyDescent="0.3"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</row>
    <row r="506" spans="16:216" ht="15.75" hidden="1" customHeight="1" x14ac:dyDescent="0.3"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</row>
    <row r="507" spans="16:216" ht="15.75" hidden="1" customHeight="1" x14ac:dyDescent="0.3"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</row>
    <row r="508" spans="16:216" ht="15.75" hidden="1" customHeight="1" x14ac:dyDescent="0.3"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</row>
    <row r="509" spans="16:216" ht="15.75" hidden="1" customHeight="1" x14ac:dyDescent="0.3"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</row>
    <row r="510" spans="16:216" ht="15.75" hidden="1" customHeight="1" x14ac:dyDescent="0.3"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</row>
    <row r="511" spans="16:216" ht="15.75" hidden="1" customHeight="1" x14ac:dyDescent="0.3"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</row>
    <row r="512" spans="16:216" ht="15.75" hidden="1" customHeight="1" x14ac:dyDescent="0.3"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</row>
    <row r="513" spans="16:216" ht="15.75" hidden="1" customHeight="1" x14ac:dyDescent="0.3"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</row>
    <row r="514" spans="16:216" ht="15.75" hidden="1" customHeight="1" x14ac:dyDescent="0.3"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</row>
    <row r="515" spans="16:216" ht="15.75" hidden="1" customHeight="1" x14ac:dyDescent="0.3"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</row>
    <row r="516" spans="16:216" ht="15.75" hidden="1" customHeight="1" x14ac:dyDescent="0.3"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</row>
    <row r="517" spans="16:216" ht="15.75" hidden="1" customHeight="1" x14ac:dyDescent="0.3"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</row>
    <row r="518" spans="16:216" ht="15.75" hidden="1" customHeight="1" x14ac:dyDescent="0.3"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</row>
    <row r="519" spans="16:216" ht="15.75" hidden="1" customHeight="1" x14ac:dyDescent="0.3"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</row>
    <row r="520" spans="16:216" ht="15.75" hidden="1" customHeight="1" x14ac:dyDescent="0.3"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</row>
    <row r="521" spans="16:216" ht="15.75" hidden="1" customHeight="1" x14ac:dyDescent="0.3"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</row>
    <row r="522" spans="16:216" ht="15.75" hidden="1" customHeight="1" x14ac:dyDescent="0.3"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</row>
    <row r="523" spans="16:216" ht="15.75" hidden="1" customHeight="1" x14ac:dyDescent="0.3"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</row>
    <row r="524" spans="16:216" ht="15.75" hidden="1" customHeight="1" x14ac:dyDescent="0.3"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</row>
    <row r="525" spans="16:216" ht="15.75" hidden="1" customHeight="1" x14ac:dyDescent="0.3"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</row>
    <row r="526" spans="16:216" ht="15.75" hidden="1" customHeight="1" x14ac:dyDescent="0.3"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</row>
    <row r="527" spans="16:216" ht="15.75" hidden="1" customHeight="1" x14ac:dyDescent="0.3"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</row>
    <row r="528" spans="16:216" ht="15.75" hidden="1" customHeight="1" x14ac:dyDescent="0.3"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</row>
    <row r="529" spans="16:216" ht="15.75" hidden="1" customHeight="1" x14ac:dyDescent="0.3"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</row>
    <row r="530" spans="16:216" ht="15.75" hidden="1" customHeight="1" x14ac:dyDescent="0.3"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</row>
    <row r="531" spans="16:216" ht="15.75" hidden="1" customHeight="1" x14ac:dyDescent="0.3"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</row>
    <row r="532" spans="16:216" ht="15.75" hidden="1" customHeight="1" x14ac:dyDescent="0.3"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</row>
    <row r="533" spans="16:216" ht="15.75" hidden="1" customHeight="1" x14ac:dyDescent="0.3"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</row>
    <row r="534" spans="16:216" ht="15.75" hidden="1" customHeight="1" x14ac:dyDescent="0.3"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</row>
    <row r="535" spans="16:216" ht="15.75" hidden="1" customHeight="1" x14ac:dyDescent="0.3"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</row>
    <row r="536" spans="16:216" ht="15.75" hidden="1" customHeight="1" x14ac:dyDescent="0.3"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</row>
    <row r="537" spans="16:216" ht="15.75" hidden="1" customHeight="1" x14ac:dyDescent="0.3"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</row>
    <row r="538" spans="16:216" ht="15.75" hidden="1" customHeight="1" x14ac:dyDescent="0.3"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</row>
    <row r="539" spans="16:216" ht="15.75" hidden="1" customHeight="1" x14ac:dyDescent="0.3"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</row>
    <row r="540" spans="16:216" ht="15.75" hidden="1" customHeight="1" x14ac:dyDescent="0.3"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</row>
    <row r="541" spans="16:216" ht="15.75" hidden="1" customHeight="1" x14ac:dyDescent="0.3"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</row>
    <row r="542" spans="16:216" ht="15.75" hidden="1" customHeight="1" x14ac:dyDescent="0.3"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</row>
    <row r="543" spans="16:216" ht="15.75" hidden="1" customHeight="1" x14ac:dyDescent="0.3"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</row>
    <row r="544" spans="16:216" ht="15.75" hidden="1" customHeight="1" x14ac:dyDescent="0.3"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</row>
    <row r="545" spans="16:216" ht="15.75" hidden="1" customHeight="1" x14ac:dyDescent="0.3"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</row>
    <row r="546" spans="16:216" ht="15.75" hidden="1" customHeight="1" x14ac:dyDescent="0.3"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</row>
    <row r="547" spans="16:216" ht="15.75" hidden="1" customHeight="1" x14ac:dyDescent="0.3"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</row>
    <row r="548" spans="16:216" ht="15.75" hidden="1" customHeight="1" x14ac:dyDescent="0.3"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</row>
    <row r="549" spans="16:216" ht="15.75" hidden="1" customHeight="1" x14ac:dyDescent="0.3"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</row>
    <row r="550" spans="16:216" ht="15.75" hidden="1" customHeight="1" x14ac:dyDescent="0.3"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</row>
    <row r="551" spans="16:216" ht="15.75" hidden="1" customHeight="1" x14ac:dyDescent="0.3"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</row>
    <row r="552" spans="16:216" ht="15.75" hidden="1" customHeight="1" x14ac:dyDescent="0.3"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</row>
    <row r="553" spans="16:216" ht="15.75" hidden="1" customHeight="1" x14ac:dyDescent="0.3"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</row>
    <row r="554" spans="16:216" ht="15.75" hidden="1" customHeight="1" x14ac:dyDescent="0.3"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</row>
    <row r="555" spans="16:216" ht="15.75" hidden="1" customHeight="1" x14ac:dyDescent="0.3"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</row>
    <row r="556" spans="16:216" ht="15.75" hidden="1" customHeight="1" x14ac:dyDescent="0.3"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</row>
    <row r="557" spans="16:216" ht="15.75" hidden="1" customHeight="1" x14ac:dyDescent="0.3"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</row>
    <row r="558" spans="16:216" ht="15.75" hidden="1" customHeight="1" x14ac:dyDescent="0.3"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</row>
    <row r="559" spans="16:216" ht="15.75" hidden="1" customHeight="1" x14ac:dyDescent="0.3"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</row>
    <row r="560" spans="16:216" ht="15.75" hidden="1" customHeight="1" x14ac:dyDescent="0.3"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</row>
    <row r="561" spans="16:216" ht="15.75" hidden="1" customHeight="1" x14ac:dyDescent="0.3"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</row>
    <row r="562" spans="16:216" ht="15.75" hidden="1" customHeight="1" x14ac:dyDescent="0.3"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</row>
    <row r="563" spans="16:216" ht="15.75" hidden="1" customHeight="1" x14ac:dyDescent="0.3"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</row>
    <row r="564" spans="16:216" ht="15.75" hidden="1" customHeight="1" x14ac:dyDescent="0.3"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</row>
    <row r="565" spans="16:216" ht="15.75" hidden="1" customHeight="1" x14ac:dyDescent="0.3"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</row>
    <row r="566" spans="16:216" ht="15.75" hidden="1" customHeight="1" x14ac:dyDescent="0.3"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</row>
    <row r="567" spans="16:216" ht="15.75" hidden="1" customHeight="1" x14ac:dyDescent="0.3"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</row>
    <row r="568" spans="16:216" ht="15.75" hidden="1" customHeight="1" x14ac:dyDescent="0.3"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</row>
    <row r="569" spans="16:216" ht="15.75" hidden="1" customHeight="1" x14ac:dyDescent="0.3"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</row>
    <row r="570" spans="16:216" ht="15.75" hidden="1" customHeight="1" x14ac:dyDescent="0.3"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</row>
    <row r="571" spans="16:216" ht="15.75" hidden="1" customHeight="1" x14ac:dyDescent="0.3"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</row>
    <row r="572" spans="16:216" ht="15.75" hidden="1" customHeight="1" x14ac:dyDescent="0.3"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</row>
    <row r="573" spans="16:216" ht="15.75" hidden="1" customHeight="1" x14ac:dyDescent="0.3"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</row>
    <row r="574" spans="16:216" ht="15.75" hidden="1" customHeight="1" x14ac:dyDescent="0.3"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</row>
    <row r="575" spans="16:216" ht="15.75" hidden="1" customHeight="1" x14ac:dyDescent="0.3"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</row>
    <row r="576" spans="16:216" ht="15.75" hidden="1" customHeight="1" x14ac:dyDescent="0.3"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</row>
    <row r="577" spans="16:216" ht="15.75" hidden="1" customHeight="1" x14ac:dyDescent="0.3"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</row>
    <row r="578" spans="16:216" ht="15.75" hidden="1" customHeight="1" x14ac:dyDescent="0.3"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</row>
    <row r="579" spans="16:216" ht="15.75" hidden="1" customHeight="1" x14ac:dyDescent="0.3"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</row>
    <row r="580" spans="16:216" ht="15.75" hidden="1" customHeight="1" x14ac:dyDescent="0.3"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</row>
    <row r="581" spans="16:216" ht="15.75" hidden="1" customHeight="1" x14ac:dyDescent="0.3"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</row>
    <row r="582" spans="16:216" ht="15.75" hidden="1" customHeight="1" x14ac:dyDescent="0.3"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</row>
    <row r="583" spans="16:216" ht="15.75" hidden="1" customHeight="1" x14ac:dyDescent="0.3"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</row>
    <row r="584" spans="16:216" ht="15.75" hidden="1" customHeight="1" x14ac:dyDescent="0.3"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</row>
    <row r="585" spans="16:216" ht="15.75" hidden="1" customHeight="1" x14ac:dyDescent="0.3"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</row>
    <row r="586" spans="16:216" ht="15.75" hidden="1" customHeight="1" x14ac:dyDescent="0.3"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</row>
    <row r="587" spans="16:216" ht="15.75" hidden="1" customHeight="1" x14ac:dyDescent="0.3"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</row>
    <row r="588" spans="16:216" ht="15.75" hidden="1" customHeight="1" x14ac:dyDescent="0.3"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</row>
    <row r="589" spans="16:216" ht="15.75" hidden="1" customHeight="1" x14ac:dyDescent="0.3"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</row>
    <row r="590" spans="16:216" ht="15.75" hidden="1" customHeight="1" x14ac:dyDescent="0.3"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</row>
    <row r="591" spans="16:216" ht="15.75" hidden="1" customHeight="1" x14ac:dyDescent="0.3"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</row>
    <row r="592" spans="16:216" ht="15.75" hidden="1" customHeight="1" x14ac:dyDescent="0.3"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</row>
    <row r="593" spans="16:216" ht="15.75" hidden="1" customHeight="1" x14ac:dyDescent="0.3"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</row>
    <row r="594" spans="16:216" ht="15.75" hidden="1" customHeight="1" x14ac:dyDescent="0.3"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</row>
    <row r="595" spans="16:216" ht="15.75" hidden="1" customHeight="1" x14ac:dyDescent="0.3"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</row>
    <row r="596" spans="16:216" ht="15.75" hidden="1" customHeight="1" x14ac:dyDescent="0.3"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</row>
    <row r="597" spans="16:216" ht="15.75" hidden="1" customHeight="1" x14ac:dyDescent="0.3"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</row>
    <row r="598" spans="16:216" ht="15.75" hidden="1" customHeight="1" x14ac:dyDescent="0.3"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</row>
    <row r="599" spans="16:216" ht="15.75" hidden="1" customHeight="1" x14ac:dyDescent="0.3"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</row>
    <row r="600" spans="16:216" ht="15.75" hidden="1" customHeight="1" x14ac:dyDescent="0.3"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</row>
    <row r="601" spans="16:216" ht="15.75" hidden="1" customHeight="1" x14ac:dyDescent="0.3"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</row>
    <row r="602" spans="16:216" ht="15.75" hidden="1" customHeight="1" x14ac:dyDescent="0.3"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</row>
    <row r="603" spans="16:216" ht="15.75" hidden="1" customHeight="1" x14ac:dyDescent="0.3"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</row>
    <row r="604" spans="16:216" ht="15.75" hidden="1" customHeight="1" x14ac:dyDescent="0.3"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</row>
    <row r="605" spans="16:216" ht="15.75" hidden="1" customHeight="1" x14ac:dyDescent="0.3"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</row>
    <row r="606" spans="16:216" ht="15.75" hidden="1" customHeight="1" x14ac:dyDescent="0.3"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</row>
    <row r="607" spans="16:216" ht="15.75" hidden="1" customHeight="1" x14ac:dyDescent="0.3"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</row>
    <row r="608" spans="16:216" ht="15.75" hidden="1" customHeight="1" x14ac:dyDescent="0.3"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</row>
    <row r="609" spans="16:216" ht="15.75" hidden="1" customHeight="1" x14ac:dyDescent="0.3"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</row>
    <row r="610" spans="16:216" ht="15.75" hidden="1" customHeight="1" x14ac:dyDescent="0.3"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</row>
    <row r="611" spans="16:216" ht="15.75" hidden="1" customHeight="1" x14ac:dyDescent="0.3"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</row>
    <row r="612" spans="16:216" ht="15.75" hidden="1" customHeight="1" x14ac:dyDescent="0.3"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</row>
    <row r="613" spans="16:216" ht="15.75" hidden="1" customHeight="1" x14ac:dyDescent="0.3"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</row>
    <row r="614" spans="16:216" ht="15.75" hidden="1" customHeight="1" x14ac:dyDescent="0.3"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</row>
    <row r="615" spans="16:216" ht="15.75" hidden="1" customHeight="1" x14ac:dyDescent="0.3"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</row>
    <row r="616" spans="16:216" ht="15.75" hidden="1" customHeight="1" x14ac:dyDescent="0.3"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</row>
    <row r="617" spans="16:216" ht="15.75" hidden="1" customHeight="1" x14ac:dyDescent="0.3"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</row>
    <row r="618" spans="16:216" ht="15.75" hidden="1" customHeight="1" x14ac:dyDescent="0.3"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</row>
    <row r="619" spans="16:216" ht="15.75" hidden="1" customHeight="1" x14ac:dyDescent="0.3"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</row>
    <row r="620" spans="16:216" ht="15.75" hidden="1" customHeight="1" x14ac:dyDescent="0.3"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</row>
    <row r="621" spans="16:216" ht="15.75" hidden="1" customHeight="1" x14ac:dyDescent="0.3"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</row>
    <row r="622" spans="16:216" ht="15.75" hidden="1" customHeight="1" x14ac:dyDescent="0.3"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</row>
    <row r="623" spans="16:216" ht="15.75" hidden="1" customHeight="1" x14ac:dyDescent="0.3"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</row>
    <row r="624" spans="16:216" ht="15.75" hidden="1" customHeight="1" x14ac:dyDescent="0.3"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</row>
    <row r="625" spans="16:216" ht="15.75" hidden="1" customHeight="1" x14ac:dyDescent="0.3"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</row>
    <row r="626" spans="16:216" ht="15.75" hidden="1" customHeight="1" x14ac:dyDescent="0.3"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</row>
    <row r="627" spans="16:216" ht="15.75" hidden="1" customHeight="1" x14ac:dyDescent="0.3"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</row>
    <row r="628" spans="16:216" ht="15.75" hidden="1" customHeight="1" x14ac:dyDescent="0.3"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</row>
    <row r="629" spans="16:216" ht="15.75" hidden="1" customHeight="1" x14ac:dyDescent="0.3"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</row>
    <row r="630" spans="16:216" ht="15.75" hidden="1" customHeight="1" x14ac:dyDescent="0.3"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</row>
    <row r="631" spans="16:216" ht="15.75" hidden="1" customHeight="1" x14ac:dyDescent="0.3"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</row>
    <row r="632" spans="16:216" ht="15.75" hidden="1" customHeight="1" x14ac:dyDescent="0.3"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</row>
    <row r="633" spans="16:216" ht="15.75" hidden="1" customHeight="1" x14ac:dyDescent="0.3"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</row>
    <row r="634" spans="16:216" ht="15.75" hidden="1" customHeight="1" x14ac:dyDescent="0.3"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</row>
    <row r="635" spans="16:216" ht="15.75" hidden="1" customHeight="1" x14ac:dyDescent="0.3"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</row>
    <row r="636" spans="16:216" ht="15.75" hidden="1" customHeight="1" x14ac:dyDescent="0.3"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</row>
    <row r="637" spans="16:216" ht="15.75" hidden="1" customHeight="1" x14ac:dyDescent="0.3"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</row>
    <row r="638" spans="16:216" ht="15.75" hidden="1" customHeight="1" x14ac:dyDescent="0.3"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</row>
    <row r="639" spans="16:216" ht="15.75" hidden="1" customHeight="1" x14ac:dyDescent="0.3"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</row>
    <row r="640" spans="16:216" ht="15.75" hidden="1" customHeight="1" x14ac:dyDescent="0.3"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</row>
    <row r="641" spans="16:216" ht="15.75" hidden="1" customHeight="1" x14ac:dyDescent="0.3"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</row>
    <row r="642" spans="16:216" ht="15.75" hidden="1" customHeight="1" x14ac:dyDescent="0.3"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</row>
    <row r="643" spans="16:216" ht="15.75" hidden="1" customHeight="1" x14ac:dyDescent="0.3"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</row>
    <row r="644" spans="16:216" ht="15.75" hidden="1" customHeight="1" x14ac:dyDescent="0.3"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</row>
    <row r="645" spans="16:216" ht="15.75" hidden="1" customHeight="1" x14ac:dyDescent="0.3"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</row>
    <row r="646" spans="16:216" ht="15.75" hidden="1" customHeight="1" x14ac:dyDescent="0.3"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</row>
    <row r="647" spans="16:216" ht="15.75" hidden="1" customHeight="1" x14ac:dyDescent="0.3"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</row>
    <row r="648" spans="16:216" ht="15.75" hidden="1" customHeight="1" x14ac:dyDescent="0.3"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</row>
    <row r="649" spans="16:216" ht="15.75" hidden="1" customHeight="1" x14ac:dyDescent="0.3"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</row>
    <row r="650" spans="16:216" ht="15.75" hidden="1" customHeight="1" x14ac:dyDescent="0.3"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</row>
    <row r="651" spans="16:216" ht="15.75" hidden="1" customHeight="1" x14ac:dyDescent="0.3"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</row>
    <row r="652" spans="16:216" ht="15.75" hidden="1" customHeight="1" x14ac:dyDescent="0.3"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</row>
    <row r="653" spans="16:216" ht="15.75" hidden="1" customHeight="1" x14ac:dyDescent="0.3"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</row>
    <row r="654" spans="16:216" ht="15.75" hidden="1" customHeight="1" x14ac:dyDescent="0.3"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</row>
    <row r="655" spans="16:216" ht="15.75" hidden="1" customHeight="1" x14ac:dyDescent="0.3"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</row>
    <row r="656" spans="16:216" ht="15.75" hidden="1" customHeight="1" x14ac:dyDescent="0.3"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</row>
    <row r="657" spans="16:216" ht="15.75" hidden="1" customHeight="1" x14ac:dyDescent="0.3"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</row>
    <row r="658" spans="16:216" ht="15.75" hidden="1" customHeight="1" x14ac:dyDescent="0.3"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</row>
    <row r="659" spans="16:216" ht="15.75" hidden="1" customHeight="1" x14ac:dyDescent="0.3"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</row>
    <row r="660" spans="16:216" ht="15.75" hidden="1" customHeight="1" x14ac:dyDescent="0.3"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</row>
    <row r="661" spans="16:216" ht="15.75" hidden="1" customHeight="1" x14ac:dyDescent="0.3"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</row>
    <row r="662" spans="16:216" ht="15.75" hidden="1" customHeight="1" x14ac:dyDescent="0.3"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</row>
    <row r="663" spans="16:216" ht="15.75" hidden="1" customHeight="1" x14ac:dyDescent="0.3"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</row>
    <row r="664" spans="16:216" ht="15.75" hidden="1" customHeight="1" x14ac:dyDescent="0.3"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</row>
    <row r="665" spans="16:216" ht="15.75" hidden="1" customHeight="1" x14ac:dyDescent="0.3"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</row>
    <row r="666" spans="16:216" ht="15.75" hidden="1" customHeight="1" x14ac:dyDescent="0.3"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</row>
    <row r="667" spans="16:216" ht="15.75" hidden="1" customHeight="1" x14ac:dyDescent="0.3"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</row>
    <row r="668" spans="16:216" ht="15.75" hidden="1" customHeight="1" x14ac:dyDescent="0.3"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</row>
    <row r="669" spans="16:216" ht="15.75" hidden="1" customHeight="1" x14ac:dyDescent="0.3"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</row>
    <row r="670" spans="16:216" ht="15.75" hidden="1" customHeight="1" x14ac:dyDescent="0.3"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</row>
    <row r="671" spans="16:216" ht="15.75" hidden="1" customHeight="1" x14ac:dyDescent="0.3"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</row>
    <row r="672" spans="16:216" ht="15.75" hidden="1" customHeight="1" x14ac:dyDescent="0.3"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</row>
    <row r="673" spans="16:216" ht="15.75" hidden="1" customHeight="1" x14ac:dyDescent="0.3"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</row>
    <row r="674" spans="16:216" ht="15.75" hidden="1" customHeight="1" x14ac:dyDescent="0.3"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</row>
    <row r="675" spans="16:216" ht="15.75" hidden="1" customHeight="1" x14ac:dyDescent="0.3"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</row>
    <row r="676" spans="16:216" ht="15.75" hidden="1" customHeight="1" x14ac:dyDescent="0.3"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</row>
    <row r="677" spans="16:216" ht="15.75" hidden="1" customHeight="1" x14ac:dyDescent="0.3"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</row>
    <row r="678" spans="16:216" ht="15.75" hidden="1" customHeight="1" x14ac:dyDescent="0.3"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</row>
    <row r="679" spans="16:216" ht="15.75" hidden="1" customHeight="1" x14ac:dyDescent="0.3"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</row>
    <row r="680" spans="16:216" ht="15.75" hidden="1" customHeight="1" x14ac:dyDescent="0.3"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</row>
    <row r="681" spans="16:216" ht="15.75" hidden="1" customHeight="1" x14ac:dyDescent="0.3"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</row>
    <row r="682" spans="16:216" ht="15.75" hidden="1" customHeight="1" x14ac:dyDescent="0.3"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</row>
    <row r="683" spans="16:216" ht="15.75" hidden="1" customHeight="1" x14ac:dyDescent="0.3"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</row>
    <row r="684" spans="16:216" ht="15.75" hidden="1" customHeight="1" x14ac:dyDescent="0.3"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</row>
    <row r="685" spans="16:216" ht="15.75" hidden="1" customHeight="1" x14ac:dyDescent="0.3"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</row>
    <row r="686" spans="16:216" ht="15.75" hidden="1" customHeight="1" x14ac:dyDescent="0.3"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</row>
    <row r="687" spans="16:216" ht="15.75" hidden="1" customHeight="1" x14ac:dyDescent="0.3"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</row>
    <row r="688" spans="16:216" ht="15.75" hidden="1" customHeight="1" x14ac:dyDescent="0.3"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</row>
    <row r="689" spans="16:216" ht="15.75" hidden="1" customHeight="1" x14ac:dyDescent="0.3"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</row>
    <row r="690" spans="16:216" ht="15.75" hidden="1" customHeight="1" x14ac:dyDescent="0.3"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</row>
    <row r="691" spans="16:216" ht="15.75" hidden="1" customHeight="1" x14ac:dyDescent="0.3"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</row>
    <row r="692" spans="16:216" ht="15.75" hidden="1" customHeight="1" x14ac:dyDescent="0.3"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</row>
    <row r="693" spans="16:216" ht="15.75" hidden="1" customHeight="1" x14ac:dyDescent="0.3"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</row>
    <row r="694" spans="16:216" ht="15.75" hidden="1" customHeight="1" x14ac:dyDescent="0.3"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</row>
    <row r="695" spans="16:216" ht="15.75" hidden="1" customHeight="1" x14ac:dyDescent="0.3"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</row>
    <row r="696" spans="16:216" ht="15.75" hidden="1" customHeight="1" x14ac:dyDescent="0.3"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</row>
    <row r="697" spans="16:216" ht="15.75" hidden="1" customHeight="1" x14ac:dyDescent="0.3"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</row>
    <row r="698" spans="16:216" ht="15.75" hidden="1" customHeight="1" x14ac:dyDescent="0.3"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</row>
    <row r="699" spans="16:216" ht="15.75" hidden="1" customHeight="1" x14ac:dyDescent="0.3"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</row>
    <row r="700" spans="16:216" ht="15.75" hidden="1" customHeight="1" x14ac:dyDescent="0.3"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</row>
    <row r="701" spans="16:216" ht="15.75" hidden="1" customHeight="1" x14ac:dyDescent="0.3"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</row>
    <row r="702" spans="16:216" ht="15.75" hidden="1" customHeight="1" x14ac:dyDescent="0.3"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</row>
    <row r="703" spans="16:216" ht="15.75" hidden="1" customHeight="1" x14ac:dyDescent="0.3"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</row>
    <row r="704" spans="16:216" ht="15.75" hidden="1" customHeight="1" x14ac:dyDescent="0.3"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</row>
    <row r="705" spans="16:216" ht="15.75" hidden="1" customHeight="1" x14ac:dyDescent="0.3"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</row>
    <row r="706" spans="16:216" ht="15.75" hidden="1" customHeight="1" x14ac:dyDescent="0.3"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</row>
    <row r="707" spans="16:216" ht="15.75" hidden="1" customHeight="1" x14ac:dyDescent="0.3"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</row>
    <row r="708" spans="16:216" ht="15.75" hidden="1" customHeight="1" x14ac:dyDescent="0.3"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</row>
    <row r="709" spans="16:216" ht="15.75" hidden="1" customHeight="1" x14ac:dyDescent="0.3"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</row>
    <row r="710" spans="16:216" ht="15.75" hidden="1" customHeight="1" x14ac:dyDescent="0.3"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</row>
    <row r="711" spans="16:216" ht="15.75" hidden="1" customHeight="1" x14ac:dyDescent="0.3"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</row>
    <row r="712" spans="16:216" ht="15.75" hidden="1" customHeight="1" x14ac:dyDescent="0.3"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</row>
    <row r="713" spans="16:216" ht="15.75" hidden="1" customHeight="1" x14ac:dyDescent="0.3"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</row>
    <row r="714" spans="16:216" ht="15.75" hidden="1" customHeight="1" x14ac:dyDescent="0.3"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</row>
    <row r="715" spans="16:216" ht="15.75" hidden="1" customHeight="1" x14ac:dyDescent="0.3"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</row>
    <row r="716" spans="16:216" ht="15.75" hidden="1" customHeight="1" x14ac:dyDescent="0.3"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</row>
    <row r="717" spans="16:216" ht="15.75" hidden="1" customHeight="1" x14ac:dyDescent="0.3"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</row>
    <row r="718" spans="16:216" ht="15.75" hidden="1" customHeight="1" x14ac:dyDescent="0.3"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</row>
    <row r="719" spans="16:216" ht="15.75" hidden="1" customHeight="1" x14ac:dyDescent="0.3"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</row>
    <row r="720" spans="16:216" ht="15.75" hidden="1" customHeight="1" x14ac:dyDescent="0.3"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</row>
    <row r="721" spans="16:216" ht="15.75" hidden="1" customHeight="1" x14ac:dyDescent="0.3"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</row>
    <row r="722" spans="16:216" ht="15.75" hidden="1" customHeight="1" x14ac:dyDescent="0.3"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</row>
    <row r="723" spans="16:216" ht="15.75" hidden="1" customHeight="1" x14ac:dyDescent="0.3"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</row>
    <row r="724" spans="16:216" ht="15.75" hidden="1" customHeight="1" x14ac:dyDescent="0.3"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</row>
    <row r="725" spans="16:216" ht="15.75" hidden="1" customHeight="1" x14ac:dyDescent="0.3"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</row>
    <row r="726" spans="16:216" ht="15.75" hidden="1" customHeight="1" x14ac:dyDescent="0.3"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</row>
    <row r="727" spans="16:216" ht="15.75" hidden="1" customHeight="1" x14ac:dyDescent="0.3"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</row>
    <row r="728" spans="16:216" ht="15.75" hidden="1" customHeight="1" x14ac:dyDescent="0.3"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</row>
    <row r="729" spans="16:216" ht="15.75" hidden="1" customHeight="1" x14ac:dyDescent="0.3"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</row>
    <row r="730" spans="16:216" ht="15.75" hidden="1" customHeight="1" x14ac:dyDescent="0.3"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</row>
    <row r="731" spans="16:216" ht="15.75" hidden="1" customHeight="1" x14ac:dyDescent="0.3"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</row>
    <row r="732" spans="16:216" ht="15.75" hidden="1" customHeight="1" x14ac:dyDescent="0.3"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</row>
    <row r="733" spans="16:216" ht="15.75" hidden="1" customHeight="1" x14ac:dyDescent="0.3"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</row>
    <row r="734" spans="16:216" ht="15.75" hidden="1" customHeight="1" x14ac:dyDescent="0.3"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</row>
    <row r="735" spans="16:216" ht="15.75" hidden="1" customHeight="1" x14ac:dyDescent="0.3"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</row>
    <row r="736" spans="16:216" ht="15.75" hidden="1" customHeight="1" x14ac:dyDescent="0.3"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</row>
    <row r="737" spans="16:216" ht="15.75" hidden="1" customHeight="1" x14ac:dyDescent="0.3"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</row>
    <row r="738" spans="16:216" ht="15.75" hidden="1" customHeight="1" x14ac:dyDescent="0.3"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</row>
    <row r="739" spans="16:216" ht="15.75" hidden="1" customHeight="1" x14ac:dyDescent="0.3"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</row>
    <row r="740" spans="16:216" ht="15.75" hidden="1" customHeight="1" x14ac:dyDescent="0.3"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</row>
    <row r="741" spans="16:216" ht="15.75" hidden="1" customHeight="1" x14ac:dyDescent="0.3"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</row>
    <row r="742" spans="16:216" ht="15.75" hidden="1" customHeight="1" x14ac:dyDescent="0.3"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</row>
    <row r="743" spans="16:216" ht="15.75" hidden="1" customHeight="1" x14ac:dyDescent="0.3"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</row>
    <row r="744" spans="16:216" ht="15.75" hidden="1" customHeight="1" x14ac:dyDescent="0.3"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</row>
    <row r="745" spans="16:216" ht="15.75" hidden="1" customHeight="1" x14ac:dyDescent="0.3"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</row>
    <row r="746" spans="16:216" ht="15.75" hidden="1" customHeight="1" x14ac:dyDescent="0.3"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</row>
    <row r="747" spans="16:216" ht="15.75" hidden="1" customHeight="1" x14ac:dyDescent="0.3"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</row>
    <row r="748" spans="16:216" ht="15.75" hidden="1" customHeight="1" x14ac:dyDescent="0.3"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</row>
    <row r="749" spans="16:216" ht="15.75" hidden="1" customHeight="1" x14ac:dyDescent="0.3"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</row>
    <row r="750" spans="16:216" ht="15.75" hidden="1" customHeight="1" x14ac:dyDescent="0.3"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</row>
    <row r="751" spans="16:216" ht="15.75" hidden="1" customHeight="1" x14ac:dyDescent="0.3"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</row>
    <row r="752" spans="16:216" ht="15.75" hidden="1" customHeight="1" x14ac:dyDescent="0.3"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</row>
    <row r="753" spans="16:216" ht="15.75" hidden="1" customHeight="1" x14ac:dyDescent="0.3"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</row>
    <row r="754" spans="16:216" ht="15.75" hidden="1" customHeight="1" x14ac:dyDescent="0.3"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</row>
    <row r="755" spans="16:216" ht="15.75" hidden="1" customHeight="1" x14ac:dyDescent="0.3"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</row>
    <row r="756" spans="16:216" ht="15.75" hidden="1" customHeight="1" x14ac:dyDescent="0.3"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</row>
    <row r="757" spans="16:216" ht="15.75" hidden="1" customHeight="1" x14ac:dyDescent="0.3"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</row>
    <row r="758" spans="16:216" ht="15.75" hidden="1" customHeight="1" x14ac:dyDescent="0.3"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</row>
    <row r="759" spans="16:216" ht="15.75" hidden="1" customHeight="1" x14ac:dyDescent="0.3"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</row>
    <row r="760" spans="16:216" ht="15.75" hidden="1" customHeight="1" x14ac:dyDescent="0.3"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</row>
    <row r="761" spans="16:216" ht="15.75" hidden="1" customHeight="1" x14ac:dyDescent="0.3"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</row>
    <row r="762" spans="16:216" ht="15.75" hidden="1" customHeight="1" x14ac:dyDescent="0.3"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</row>
    <row r="763" spans="16:216" ht="15.75" hidden="1" customHeight="1" x14ac:dyDescent="0.3"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</row>
    <row r="764" spans="16:216" ht="15.75" hidden="1" customHeight="1" x14ac:dyDescent="0.3"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</row>
    <row r="765" spans="16:216" ht="15.75" hidden="1" customHeight="1" x14ac:dyDescent="0.3"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</row>
    <row r="766" spans="16:216" ht="15.75" hidden="1" customHeight="1" x14ac:dyDescent="0.3"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</row>
    <row r="767" spans="16:216" ht="15.75" hidden="1" customHeight="1" x14ac:dyDescent="0.3"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</row>
    <row r="768" spans="16:216" ht="15.75" hidden="1" customHeight="1" x14ac:dyDescent="0.3"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</row>
    <row r="769" spans="16:216" ht="15.75" hidden="1" customHeight="1" x14ac:dyDescent="0.3"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</row>
    <row r="770" spans="16:216" ht="15.75" hidden="1" customHeight="1" x14ac:dyDescent="0.3"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</row>
    <row r="771" spans="16:216" ht="15.75" hidden="1" customHeight="1" x14ac:dyDescent="0.3"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</row>
    <row r="772" spans="16:216" ht="15.75" hidden="1" customHeight="1" x14ac:dyDescent="0.3"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</row>
    <row r="773" spans="16:216" ht="15.75" hidden="1" customHeight="1" x14ac:dyDescent="0.3"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</row>
    <row r="774" spans="16:216" ht="15.75" hidden="1" customHeight="1" x14ac:dyDescent="0.3"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</row>
    <row r="775" spans="16:216" ht="15.75" hidden="1" customHeight="1" x14ac:dyDescent="0.3"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</row>
    <row r="776" spans="16:216" ht="15.75" hidden="1" customHeight="1" x14ac:dyDescent="0.3"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</row>
    <row r="777" spans="16:216" ht="15.75" hidden="1" customHeight="1" x14ac:dyDescent="0.3"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</row>
    <row r="778" spans="16:216" ht="15.75" hidden="1" customHeight="1" x14ac:dyDescent="0.3"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</row>
    <row r="779" spans="16:216" ht="15.75" hidden="1" customHeight="1" x14ac:dyDescent="0.3"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</row>
    <row r="780" spans="16:216" ht="15.75" hidden="1" customHeight="1" x14ac:dyDescent="0.3"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</row>
    <row r="781" spans="16:216" ht="15.75" hidden="1" customHeight="1" x14ac:dyDescent="0.3"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</row>
    <row r="782" spans="16:216" ht="15.75" hidden="1" customHeight="1" x14ac:dyDescent="0.3"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</row>
    <row r="783" spans="16:216" ht="15.75" hidden="1" customHeight="1" x14ac:dyDescent="0.3"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</row>
    <row r="784" spans="16:216" ht="15.75" hidden="1" customHeight="1" x14ac:dyDescent="0.3"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</row>
    <row r="785" spans="16:216" ht="15.75" hidden="1" customHeight="1" x14ac:dyDescent="0.3"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</row>
    <row r="786" spans="16:216" ht="15.75" hidden="1" customHeight="1" x14ac:dyDescent="0.3"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</row>
    <row r="787" spans="16:216" ht="15.75" hidden="1" customHeight="1" x14ac:dyDescent="0.3"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</row>
    <row r="788" spans="16:216" ht="15.75" hidden="1" customHeight="1" x14ac:dyDescent="0.3"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</row>
    <row r="789" spans="16:216" ht="15.75" hidden="1" customHeight="1" x14ac:dyDescent="0.3"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</row>
    <row r="790" spans="16:216" ht="15.75" hidden="1" customHeight="1" x14ac:dyDescent="0.3"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</row>
    <row r="791" spans="16:216" ht="15.75" hidden="1" customHeight="1" x14ac:dyDescent="0.3"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</row>
    <row r="792" spans="16:216" ht="15.75" hidden="1" customHeight="1" x14ac:dyDescent="0.3"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</row>
    <row r="793" spans="16:216" ht="15.75" hidden="1" customHeight="1" x14ac:dyDescent="0.3"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</row>
    <row r="794" spans="16:216" ht="15.75" hidden="1" customHeight="1" x14ac:dyDescent="0.3"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</row>
    <row r="795" spans="16:216" ht="15.75" hidden="1" customHeight="1" x14ac:dyDescent="0.3"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</row>
    <row r="796" spans="16:216" ht="15.75" hidden="1" customHeight="1" x14ac:dyDescent="0.3"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</row>
    <row r="797" spans="16:216" ht="15.75" hidden="1" customHeight="1" x14ac:dyDescent="0.3"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</row>
    <row r="798" spans="16:216" ht="15.75" hidden="1" customHeight="1" x14ac:dyDescent="0.3"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</row>
    <row r="799" spans="16:216" ht="15.75" hidden="1" customHeight="1" x14ac:dyDescent="0.3"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</row>
    <row r="800" spans="16:216" ht="15.75" hidden="1" customHeight="1" x14ac:dyDescent="0.3"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</row>
    <row r="801" spans="16:216" ht="15.75" hidden="1" customHeight="1" x14ac:dyDescent="0.3"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</row>
    <row r="802" spans="16:216" ht="15.75" hidden="1" customHeight="1" x14ac:dyDescent="0.3"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</row>
    <row r="803" spans="16:216" ht="15.75" hidden="1" customHeight="1" x14ac:dyDescent="0.3"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</row>
    <row r="804" spans="16:216" ht="15.75" hidden="1" customHeight="1" x14ac:dyDescent="0.3"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</row>
    <row r="805" spans="16:216" ht="15.75" hidden="1" customHeight="1" x14ac:dyDescent="0.3"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</row>
    <row r="806" spans="16:216" ht="15.75" hidden="1" customHeight="1" x14ac:dyDescent="0.3"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</row>
    <row r="807" spans="16:216" ht="15.75" hidden="1" customHeight="1" x14ac:dyDescent="0.3"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</row>
    <row r="808" spans="16:216" ht="15.75" hidden="1" customHeight="1" x14ac:dyDescent="0.3"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</row>
    <row r="809" spans="16:216" ht="15.75" hidden="1" customHeight="1" x14ac:dyDescent="0.3"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</row>
    <row r="810" spans="16:216" ht="15.75" hidden="1" customHeight="1" x14ac:dyDescent="0.3"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</row>
    <row r="811" spans="16:216" ht="15.75" hidden="1" customHeight="1" x14ac:dyDescent="0.3"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</row>
    <row r="812" spans="16:216" ht="15.75" hidden="1" customHeight="1" x14ac:dyDescent="0.3"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</row>
    <row r="813" spans="16:216" ht="15.75" hidden="1" customHeight="1" x14ac:dyDescent="0.3"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</row>
    <row r="814" spans="16:216" ht="15.75" hidden="1" customHeight="1" x14ac:dyDescent="0.3"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</row>
    <row r="815" spans="16:216" ht="15.75" hidden="1" customHeight="1" x14ac:dyDescent="0.3"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</row>
    <row r="816" spans="16:216" ht="15.75" hidden="1" customHeight="1" x14ac:dyDescent="0.3"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</row>
    <row r="817" spans="16:216" ht="15.75" hidden="1" customHeight="1" x14ac:dyDescent="0.3"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</row>
    <row r="818" spans="16:216" ht="15.75" hidden="1" customHeight="1" x14ac:dyDescent="0.3"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</row>
    <row r="819" spans="16:216" ht="15.75" hidden="1" customHeight="1" x14ac:dyDescent="0.3"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</row>
    <row r="820" spans="16:216" ht="15.75" hidden="1" customHeight="1" x14ac:dyDescent="0.3"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</row>
    <row r="821" spans="16:216" ht="15.75" hidden="1" customHeight="1" x14ac:dyDescent="0.3"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</row>
    <row r="822" spans="16:216" ht="15.75" hidden="1" customHeight="1" x14ac:dyDescent="0.3"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</row>
    <row r="823" spans="16:216" ht="15.75" hidden="1" customHeight="1" x14ac:dyDescent="0.3"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</row>
    <row r="824" spans="16:216" ht="15.75" hidden="1" customHeight="1" x14ac:dyDescent="0.3"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</row>
    <row r="825" spans="16:216" ht="15.75" hidden="1" customHeight="1" x14ac:dyDescent="0.3"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</row>
    <row r="826" spans="16:216" ht="15.75" hidden="1" customHeight="1" x14ac:dyDescent="0.3"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</row>
    <row r="827" spans="16:216" ht="15.75" hidden="1" customHeight="1" x14ac:dyDescent="0.3"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  <c r="HD827" s="4"/>
      <c r="HE827" s="4"/>
      <c r="HF827" s="4"/>
      <c r="HG827" s="4"/>
      <c r="HH827" s="4"/>
    </row>
    <row r="828" spans="16:216" ht="15.75" hidden="1" customHeight="1" x14ac:dyDescent="0.3"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</row>
    <row r="829" spans="16:216" ht="15.75" hidden="1" customHeight="1" x14ac:dyDescent="0.3"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</row>
    <row r="830" spans="16:216" ht="15.75" hidden="1" customHeight="1" x14ac:dyDescent="0.3"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</row>
    <row r="831" spans="16:216" ht="15.75" hidden="1" customHeight="1" x14ac:dyDescent="0.3"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</row>
    <row r="832" spans="16:216" ht="15.75" hidden="1" customHeight="1" x14ac:dyDescent="0.3"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</row>
    <row r="833" spans="16:216" ht="15.75" hidden="1" customHeight="1" x14ac:dyDescent="0.3"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</row>
    <row r="834" spans="16:216" ht="15.75" hidden="1" customHeight="1" x14ac:dyDescent="0.3"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</row>
    <row r="835" spans="16:216" ht="15.75" hidden="1" customHeight="1" x14ac:dyDescent="0.3"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</row>
    <row r="836" spans="16:216" ht="15.75" hidden="1" customHeight="1" x14ac:dyDescent="0.3"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</row>
    <row r="837" spans="16:216" ht="15.75" hidden="1" customHeight="1" x14ac:dyDescent="0.3"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</row>
    <row r="838" spans="16:216" ht="15.75" hidden="1" customHeight="1" x14ac:dyDescent="0.3"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</row>
    <row r="839" spans="16:216" ht="15.75" hidden="1" customHeight="1" x14ac:dyDescent="0.3"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</row>
    <row r="840" spans="16:216" ht="15.75" hidden="1" customHeight="1" x14ac:dyDescent="0.3"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</row>
    <row r="841" spans="16:216" ht="15.75" hidden="1" customHeight="1" x14ac:dyDescent="0.3"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</row>
    <row r="842" spans="16:216" ht="15.75" hidden="1" customHeight="1" x14ac:dyDescent="0.3"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</row>
    <row r="843" spans="16:216" ht="15.75" hidden="1" customHeight="1" x14ac:dyDescent="0.3"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</row>
    <row r="844" spans="16:216" ht="15.75" hidden="1" customHeight="1" x14ac:dyDescent="0.3"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</row>
    <row r="845" spans="16:216" ht="15.75" hidden="1" customHeight="1" x14ac:dyDescent="0.3"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</row>
    <row r="846" spans="16:216" ht="15.75" hidden="1" customHeight="1" x14ac:dyDescent="0.3"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</row>
    <row r="847" spans="16:216" ht="15.75" hidden="1" customHeight="1" x14ac:dyDescent="0.3"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</row>
    <row r="848" spans="16:216" ht="15.75" hidden="1" customHeight="1" x14ac:dyDescent="0.3"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</row>
    <row r="849" spans="16:216" ht="15.75" hidden="1" customHeight="1" x14ac:dyDescent="0.3"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</row>
    <row r="850" spans="16:216" ht="15.75" hidden="1" customHeight="1" x14ac:dyDescent="0.3"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</row>
    <row r="851" spans="16:216" ht="15.75" hidden="1" customHeight="1" x14ac:dyDescent="0.3"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</row>
    <row r="852" spans="16:216" ht="15.75" hidden="1" customHeight="1" x14ac:dyDescent="0.3"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</row>
    <row r="853" spans="16:216" ht="15.75" hidden="1" customHeight="1" x14ac:dyDescent="0.3"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4"/>
      <c r="GX853" s="4"/>
      <c r="GY853" s="4"/>
      <c r="GZ853" s="4"/>
      <c r="HA853" s="4"/>
      <c r="HB853" s="4"/>
      <c r="HC853" s="4"/>
      <c r="HD853" s="4"/>
      <c r="HE853" s="4"/>
      <c r="HF853" s="4"/>
      <c r="HG853" s="4"/>
      <c r="HH853" s="4"/>
    </row>
    <row r="854" spans="16:216" ht="15.75" hidden="1" customHeight="1" x14ac:dyDescent="0.3"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</row>
    <row r="855" spans="16:216" ht="15.75" hidden="1" customHeight="1" x14ac:dyDescent="0.3"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</row>
    <row r="856" spans="16:216" ht="15.75" hidden="1" customHeight="1" x14ac:dyDescent="0.3"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</row>
    <row r="857" spans="16:216" ht="15.75" hidden="1" customHeight="1" x14ac:dyDescent="0.3"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</row>
    <row r="858" spans="16:216" ht="15.75" hidden="1" customHeight="1" x14ac:dyDescent="0.3"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</row>
    <row r="859" spans="16:216" ht="15.75" hidden="1" customHeight="1" x14ac:dyDescent="0.3"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4"/>
      <c r="GX859" s="4"/>
      <c r="GY859" s="4"/>
      <c r="GZ859" s="4"/>
      <c r="HA859" s="4"/>
      <c r="HB859" s="4"/>
      <c r="HC859" s="4"/>
      <c r="HD859" s="4"/>
      <c r="HE859" s="4"/>
      <c r="HF859" s="4"/>
      <c r="HG859" s="4"/>
      <c r="HH859" s="4"/>
    </row>
    <row r="860" spans="16:216" ht="15.75" hidden="1" customHeight="1" x14ac:dyDescent="0.3"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</row>
    <row r="861" spans="16:216" ht="15.75" hidden="1" customHeight="1" x14ac:dyDescent="0.3"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4"/>
      <c r="FS861" s="4"/>
      <c r="FT861" s="4"/>
      <c r="FU861" s="4"/>
      <c r="FV861" s="4"/>
      <c r="FW861" s="4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/>
      <c r="GK861" s="4"/>
      <c r="GL861" s="4"/>
      <c r="GM861" s="4"/>
      <c r="GN861" s="4"/>
      <c r="GO861" s="4"/>
      <c r="GP861" s="4"/>
      <c r="GQ861" s="4"/>
      <c r="GR861" s="4"/>
      <c r="GS861" s="4"/>
      <c r="GT861" s="4"/>
      <c r="GU861" s="4"/>
      <c r="GV861" s="4"/>
      <c r="GW861" s="4"/>
      <c r="GX861" s="4"/>
      <c r="GY861" s="4"/>
      <c r="GZ861" s="4"/>
      <c r="HA861" s="4"/>
      <c r="HB861" s="4"/>
      <c r="HC861" s="4"/>
      <c r="HD861" s="4"/>
      <c r="HE861" s="4"/>
      <c r="HF861" s="4"/>
      <c r="HG861" s="4"/>
      <c r="HH861" s="4"/>
    </row>
    <row r="862" spans="16:216" ht="15.75" hidden="1" customHeight="1" x14ac:dyDescent="0.3"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</row>
    <row r="863" spans="16:216" ht="15.75" hidden="1" customHeight="1" x14ac:dyDescent="0.3"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  <c r="HD863" s="4"/>
      <c r="HE863" s="4"/>
      <c r="HF863" s="4"/>
      <c r="HG863" s="4"/>
      <c r="HH863" s="4"/>
    </row>
    <row r="864" spans="16:216" ht="15.75" hidden="1" customHeight="1" x14ac:dyDescent="0.3"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</row>
    <row r="865" spans="16:216" ht="15.75" hidden="1" customHeight="1" x14ac:dyDescent="0.3"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</row>
    <row r="866" spans="16:216" ht="15.75" hidden="1" customHeight="1" x14ac:dyDescent="0.3"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</row>
    <row r="867" spans="16:216" ht="15.75" hidden="1" customHeight="1" x14ac:dyDescent="0.3"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/>
      <c r="GK867" s="4"/>
      <c r="GL867" s="4"/>
      <c r="GM867" s="4"/>
      <c r="GN867" s="4"/>
      <c r="GO867" s="4"/>
      <c r="GP867" s="4"/>
      <c r="GQ867" s="4"/>
      <c r="GR867" s="4"/>
      <c r="GS867" s="4"/>
      <c r="GT867" s="4"/>
      <c r="GU867" s="4"/>
      <c r="GV867" s="4"/>
      <c r="GW867" s="4"/>
      <c r="GX867" s="4"/>
      <c r="GY867" s="4"/>
      <c r="GZ867" s="4"/>
      <c r="HA867" s="4"/>
      <c r="HB867" s="4"/>
      <c r="HC867" s="4"/>
      <c r="HD867" s="4"/>
      <c r="HE867" s="4"/>
      <c r="HF867" s="4"/>
      <c r="HG867" s="4"/>
      <c r="HH867" s="4"/>
    </row>
    <row r="868" spans="16:216" ht="15.75" hidden="1" customHeight="1" x14ac:dyDescent="0.3"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</row>
    <row r="869" spans="16:216" ht="15.75" hidden="1" customHeight="1" x14ac:dyDescent="0.3"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/>
      <c r="GK869" s="4"/>
      <c r="GL869" s="4"/>
      <c r="GM869" s="4"/>
      <c r="GN869" s="4"/>
      <c r="GO869" s="4"/>
      <c r="GP869" s="4"/>
      <c r="GQ869" s="4"/>
      <c r="GR869" s="4"/>
      <c r="GS869" s="4"/>
      <c r="GT869" s="4"/>
      <c r="GU869" s="4"/>
      <c r="GV869" s="4"/>
      <c r="GW869" s="4"/>
      <c r="GX869" s="4"/>
      <c r="GY869" s="4"/>
      <c r="GZ869" s="4"/>
      <c r="HA869" s="4"/>
      <c r="HB869" s="4"/>
      <c r="HC869" s="4"/>
      <c r="HD869" s="4"/>
      <c r="HE869" s="4"/>
      <c r="HF869" s="4"/>
      <c r="HG869" s="4"/>
      <c r="HH869" s="4"/>
    </row>
    <row r="870" spans="16:216" ht="15.75" hidden="1" customHeight="1" x14ac:dyDescent="0.3"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</row>
    <row r="871" spans="16:216" ht="15.75" hidden="1" customHeight="1" x14ac:dyDescent="0.3"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/>
      <c r="GK871" s="4"/>
      <c r="GL871" s="4"/>
      <c r="GM871" s="4"/>
      <c r="GN871" s="4"/>
      <c r="GO871" s="4"/>
      <c r="GP871" s="4"/>
      <c r="GQ871" s="4"/>
      <c r="GR871" s="4"/>
      <c r="GS871" s="4"/>
      <c r="GT871" s="4"/>
      <c r="GU871" s="4"/>
      <c r="GV871" s="4"/>
      <c r="GW871" s="4"/>
      <c r="GX871" s="4"/>
      <c r="GY871" s="4"/>
      <c r="GZ871" s="4"/>
      <c r="HA871" s="4"/>
      <c r="HB871" s="4"/>
      <c r="HC871" s="4"/>
      <c r="HD871" s="4"/>
      <c r="HE871" s="4"/>
      <c r="HF871" s="4"/>
      <c r="HG871" s="4"/>
      <c r="HH871" s="4"/>
    </row>
    <row r="872" spans="16:216" ht="15.75" hidden="1" customHeight="1" x14ac:dyDescent="0.3"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/>
      <c r="GK872" s="4"/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</row>
    <row r="873" spans="16:216" ht="15.75" hidden="1" customHeight="1" x14ac:dyDescent="0.3"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</row>
    <row r="874" spans="16:216" ht="15.75" hidden="1" customHeight="1" x14ac:dyDescent="0.3"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</row>
    <row r="875" spans="16:216" ht="15.75" hidden="1" customHeight="1" x14ac:dyDescent="0.3"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</row>
    <row r="876" spans="16:216" ht="15.75" hidden="1" customHeight="1" x14ac:dyDescent="0.3"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</row>
    <row r="877" spans="16:216" ht="15.75" hidden="1" customHeight="1" x14ac:dyDescent="0.3"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/>
      <c r="GU877" s="4"/>
      <c r="GV877" s="4"/>
      <c r="GW877" s="4"/>
      <c r="GX877" s="4"/>
      <c r="GY877" s="4"/>
      <c r="GZ877" s="4"/>
      <c r="HA877" s="4"/>
      <c r="HB877" s="4"/>
      <c r="HC877" s="4"/>
      <c r="HD877" s="4"/>
      <c r="HE877" s="4"/>
      <c r="HF877" s="4"/>
      <c r="HG877" s="4"/>
      <c r="HH877" s="4"/>
    </row>
    <row r="878" spans="16:216" ht="15.75" hidden="1" customHeight="1" x14ac:dyDescent="0.3"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</row>
    <row r="879" spans="16:216" ht="15.75" hidden="1" customHeight="1" x14ac:dyDescent="0.3"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/>
      <c r="GK879" s="4"/>
      <c r="GL879" s="4"/>
      <c r="GM879" s="4"/>
      <c r="GN879" s="4"/>
      <c r="GO879" s="4"/>
      <c r="GP879" s="4"/>
      <c r="GQ879" s="4"/>
      <c r="GR879" s="4"/>
      <c r="GS879" s="4"/>
      <c r="GT879" s="4"/>
      <c r="GU879" s="4"/>
      <c r="GV879" s="4"/>
      <c r="GW879" s="4"/>
      <c r="GX879" s="4"/>
      <c r="GY879" s="4"/>
      <c r="GZ879" s="4"/>
      <c r="HA879" s="4"/>
      <c r="HB879" s="4"/>
      <c r="HC879" s="4"/>
      <c r="HD879" s="4"/>
      <c r="HE879" s="4"/>
      <c r="HF879" s="4"/>
      <c r="HG879" s="4"/>
      <c r="HH879" s="4"/>
    </row>
    <row r="880" spans="16:216" ht="15.75" hidden="1" customHeight="1" x14ac:dyDescent="0.3"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/>
      <c r="GK880" s="4"/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</row>
    <row r="881" spans="16:216" ht="15.75" hidden="1" customHeight="1" x14ac:dyDescent="0.3"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4"/>
      <c r="GX881" s="4"/>
      <c r="GY881" s="4"/>
      <c r="GZ881" s="4"/>
      <c r="HA881" s="4"/>
      <c r="HB881" s="4"/>
      <c r="HC881" s="4"/>
      <c r="HD881" s="4"/>
      <c r="HE881" s="4"/>
      <c r="HF881" s="4"/>
      <c r="HG881" s="4"/>
      <c r="HH881" s="4"/>
    </row>
    <row r="882" spans="16:216" ht="15.75" hidden="1" customHeight="1" x14ac:dyDescent="0.3"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</row>
    <row r="883" spans="16:216" ht="15.75" hidden="1" customHeight="1" x14ac:dyDescent="0.3"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4"/>
      <c r="GX883" s="4"/>
      <c r="GY883" s="4"/>
      <c r="GZ883" s="4"/>
      <c r="HA883" s="4"/>
      <c r="HB883" s="4"/>
      <c r="HC883" s="4"/>
      <c r="HD883" s="4"/>
      <c r="HE883" s="4"/>
      <c r="HF883" s="4"/>
      <c r="HG883" s="4"/>
      <c r="HH883" s="4"/>
    </row>
    <row r="884" spans="16:216" ht="15.75" hidden="1" customHeight="1" x14ac:dyDescent="0.3"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</row>
    <row r="885" spans="16:216" ht="15.75" hidden="1" customHeight="1" x14ac:dyDescent="0.3"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/>
      <c r="GK885" s="4"/>
      <c r="GL885" s="4"/>
      <c r="GM885" s="4"/>
      <c r="GN885" s="4"/>
      <c r="GO885" s="4"/>
      <c r="GP885" s="4"/>
      <c r="GQ885" s="4"/>
      <c r="GR885" s="4"/>
      <c r="GS885" s="4"/>
      <c r="GT885" s="4"/>
      <c r="GU885" s="4"/>
      <c r="GV885" s="4"/>
      <c r="GW885" s="4"/>
      <c r="GX885" s="4"/>
      <c r="GY885" s="4"/>
      <c r="GZ885" s="4"/>
      <c r="HA885" s="4"/>
      <c r="HB885" s="4"/>
      <c r="HC885" s="4"/>
      <c r="HD885" s="4"/>
      <c r="HE885" s="4"/>
      <c r="HF885" s="4"/>
      <c r="HG885" s="4"/>
      <c r="HH885" s="4"/>
    </row>
    <row r="886" spans="16:216" ht="15.75" hidden="1" customHeight="1" x14ac:dyDescent="0.3"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</row>
    <row r="887" spans="16:216" ht="15.75" hidden="1" customHeight="1" x14ac:dyDescent="0.3"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  <c r="GJ887" s="4"/>
      <c r="GK887" s="4"/>
      <c r="GL887" s="4"/>
      <c r="GM887" s="4"/>
      <c r="GN887" s="4"/>
      <c r="GO887" s="4"/>
      <c r="GP887" s="4"/>
      <c r="GQ887" s="4"/>
      <c r="GR887" s="4"/>
      <c r="GS887" s="4"/>
      <c r="GT887" s="4"/>
      <c r="GU887" s="4"/>
      <c r="GV887" s="4"/>
      <c r="GW887" s="4"/>
      <c r="GX887" s="4"/>
      <c r="GY887" s="4"/>
      <c r="GZ887" s="4"/>
      <c r="HA887" s="4"/>
      <c r="HB887" s="4"/>
      <c r="HC887" s="4"/>
      <c r="HD887" s="4"/>
      <c r="HE887" s="4"/>
      <c r="HF887" s="4"/>
      <c r="HG887" s="4"/>
      <c r="HH887" s="4"/>
    </row>
    <row r="888" spans="16:216" ht="15.75" hidden="1" customHeight="1" x14ac:dyDescent="0.3"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/>
      <c r="GK888" s="4"/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</row>
    <row r="889" spans="16:216" ht="15.75" hidden="1" customHeight="1" x14ac:dyDescent="0.3"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/>
      <c r="GK889" s="4"/>
      <c r="GL889" s="4"/>
      <c r="GM889" s="4"/>
      <c r="GN889" s="4"/>
      <c r="GO889" s="4"/>
      <c r="GP889" s="4"/>
      <c r="GQ889" s="4"/>
      <c r="GR889" s="4"/>
      <c r="GS889" s="4"/>
      <c r="GT889" s="4"/>
      <c r="GU889" s="4"/>
      <c r="GV889" s="4"/>
      <c r="GW889" s="4"/>
      <c r="GX889" s="4"/>
      <c r="GY889" s="4"/>
      <c r="GZ889" s="4"/>
      <c r="HA889" s="4"/>
      <c r="HB889" s="4"/>
      <c r="HC889" s="4"/>
      <c r="HD889" s="4"/>
      <c r="HE889" s="4"/>
      <c r="HF889" s="4"/>
      <c r="HG889" s="4"/>
      <c r="HH889" s="4"/>
    </row>
    <row r="890" spans="16:216" ht="15.75" hidden="1" customHeight="1" x14ac:dyDescent="0.3"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/>
      <c r="GK890" s="4"/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</row>
    <row r="891" spans="16:216" ht="15.75" hidden="1" customHeight="1" x14ac:dyDescent="0.3"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/>
      <c r="GK891" s="4"/>
      <c r="GL891" s="4"/>
      <c r="GM891" s="4"/>
      <c r="GN891" s="4"/>
      <c r="GO891" s="4"/>
      <c r="GP891" s="4"/>
      <c r="GQ891" s="4"/>
      <c r="GR891" s="4"/>
      <c r="GS891" s="4"/>
      <c r="GT891" s="4"/>
      <c r="GU891" s="4"/>
      <c r="GV891" s="4"/>
      <c r="GW891" s="4"/>
      <c r="GX891" s="4"/>
      <c r="GY891" s="4"/>
      <c r="GZ891" s="4"/>
      <c r="HA891" s="4"/>
      <c r="HB891" s="4"/>
      <c r="HC891" s="4"/>
      <c r="HD891" s="4"/>
      <c r="HE891" s="4"/>
      <c r="HF891" s="4"/>
      <c r="HG891" s="4"/>
      <c r="HH891" s="4"/>
    </row>
    <row r="892" spans="16:216" ht="15.75" hidden="1" customHeight="1" x14ac:dyDescent="0.3"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/>
      <c r="GK892" s="4"/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</row>
    <row r="893" spans="16:216" ht="15.75" hidden="1" customHeight="1" x14ac:dyDescent="0.3"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/>
      <c r="GK893" s="4"/>
      <c r="GL893" s="4"/>
      <c r="GM893" s="4"/>
      <c r="GN893" s="4"/>
      <c r="GO893" s="4"/>
      <c r="GP893" s="4"/>
      <c r="GQ893" s="4"/>
      <c r="GR893" s="4"/>
      <c r="GS893" s="4"/>
      <c r="GT893" s="4"/>
      <c r="GU893" s="4"/>
      <c r="GV893" s="4"/>
      <c r="GW893" s="4"/>
      <c r="GX893" s="4"/>
      <c r="GY893" s="4"/>
      <c r="GZ893" s="4"/>
      <c r="HA893" s="4"/>
      <c r="HB893" s="4"/>
      <c r="HC893" s="4"/>
      <c r="HD893" s="4"/>
      <c r="HE893" s="4"/>
      <c r="HF893" s="4"/>
      <c r="HG893" s="4"/>
      <c r="HH893" s="4"/>
    </row>
    <row r="894" spans="16:216" ht="15.75" hidden="1" customHeight="1" x14ac:dyDescent="0.3"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/>
      <c r="GK894" s="4"/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</row>
    <row r="895" spans="16:216" ht="15.75" hidden="1" customHeight="1" x14ac:dyDescent="0.3"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</row>
    <row r="896" spans="16:216" ht="15.75" hidden="1" customHeight="1" x14ac:dyDescent="0.3"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/>
      <c r="GK896" s="4"/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</row>
    <row r="897" spans="16:216" ht="15.75" hidden="1" customHeight="1" x14ac:dyDescent="0.3"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/>
      <c r="GK897" s="4"/>
      <c r="GL897" s="4"/>
      <c r="GM897" s="4"/>
      <c r="GN897" s="4"/>
      <c r="GO897" s="4"/>
      <c r="GP897" s="4"/>
      <c r="GQ897" s="4"/>
      <c r="GR897" s="4"/>
      <c r="GS897" s="4"/>
      <c r="GT897" s="4"/>
      <c r="GU897" s="4"/>
      <c r="GV897" s="4"/>
      <c r="GW897" s="4"/>
      <c r="GX897" s="4"/>
      <c r="GY897" s="4"/>
      <c r="GZ897" s="4"/>
      <c r="HA897" s="4"/>
      <c r="HB897" s="4"/>
      <c r="HC897" s="4"/>
      <c r="HD897" s="4"/>
      <c r="HE897" s="4"/>
      <c r="HF897" s="4"/>
      <c r="HG897" s="4"/>
      <c r="HH897" s="4"/>
    </row>
    <row r="898" spans="16:216" ht="15.75" hidden="1" customHeight="1" x14ac:dyDescent="0.3"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/>
      <c r="GK898" s="4"/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</row>
    <row r="899" spans="16:216" ht="15.75" hidden="1" customHeight="1" x14ac:dyDescent="0.3"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/>
      <c r="GK899" s="4"/>
      <c r="GL899" s="4"/>
      <c r="GM899" s="4"/>
      <c r="GN899" s="4"/>
      <c r="GO899" s="4"/>
      <c r="GP899" s="4"/>
      <c r="GQ899" s="4"/>
      <c r="GR899" s="4"/>
      <c r="GS899" s="4"/>
      <c r="GT899" s="4"/>
      <c r="GU899" s="4"/>
      <c r="GV899" s="4"/>
      <c r="GW899" s="4"/>
      <c r="GX899" s="4"/>
      <c r="GY899" s="4"/>
      <c r="GZ899" s="4"/>
      <c r="HA899" s="4"/>
      <c r="HB899" s="4"/>
      <c r="HC899" s="4"/>
      <c r="HD899" s="4"/>
      <c r="HE899" s="4"/>
      <c r="HF899" s="4"/>
      <c r="HG899" s="4"/>
      <c r="HH899" s="4"/>
    </row>
    <row r="900" spans="16:216" ht="15.75" hidden="1" customHeight="1" x14ac:dyDescent="0.3"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</row>
    <row r="901" spans="16:216" ht="15.75" hidden="1" customHeight="1" x14ac:dyDescent="0.3"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/>
      <c r="GK901" s="4"/>
      <c r="GL901" s="4"/>
      <c r="GM901" s="4"/>
      <c r="GN901" s="4"/>
      <c r="GO901" s="4"/>
      <c r="GP901" s="4"/>
      <c r="GQ901" s="4"/>
      <c r="GR901" s="4"/>
      <c r="GS901" s="4"/>
      <c r="GT901" s="4"/>
      <c r="GU901" s="4"/>
      <c r="GV901" s="4"/>
      <c r="GW901" s="4"/>
      <c r="GX901" s="4"/>
      <c r="GY901" s="4"/>
      <c r="GZ901" s="4"/>
      <c r="HA901" s="4"/>
      <c r="HB901" s="4"/>
      <c r="HC901" s="4"/>
      <c r="HD901" s="4"/>
      <c r="HE901" s="4"/>
      <c r="HF901" s="4"/>
      <c r="HG901" s="4"/>
      <c r="HH901" s="4"/>
    </row>
    <row r="902" spans="16:216" ht="15.75" hidden="1" customHeight="1" x14ac:dyDescent="0.3"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/>
      <c r="GK902" s="4"/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</row>
    <row r="903" spans="16:216" ht="15.75" hidden="1" customHeight="1" x14ac:dyDescent="0.3"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4"/>
      <c r="GX903" s="4"/>
      <c r="GY903" s="4"/>
      <c r="GZ903" s="4"/>
      <c r="HA903" s="4"/>
      <c r="HB903" s="4"/>
      <c r="HC903" s="4"/>
      <c r="HD903" s="4"/>
      <c r="HE903" s="4"/>
      <c r="HF903" s="4"/>
      <c r="HG903" s="4"/>
      <c r="HH903" s="4"/>
    </row>
    <row r="904" spans="16:216" ht="15.75" hidden="1" customHeight="1" x14ac:dyDescent="0.3"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</row>
    <row r="905" spans="16:216" ht="15.75" hidden="1" customHeight="1" x14ac:dyDescent="0.3"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/>
      <c r="GK905" s="4"/>
      <c r="GL905" s="4"/>
      <c r="GM905" s="4"/>
      <c r="GN905" s="4"/>
      <c r="GO905" s="4"/>
      <c r="GP905" s="4"/>
      <c r="GQ905" s="4"/>
      <c r="GR905" s="4"/>
      <c r="GS905" s="4"/>
      <c r="GT905" s="4"/>
      <c r="GU905" s="4"/>
      <c r="GV905" s="4"/>
      <c r="GW905" s="4"/>
      <c r="GX905" s="4"/>
      <c r="GY905" s="4"/>
      <c r="GZ905" s="4"/>
      <c r="HA905" s="4"/>
      <c r="HB905" s="4"/>
      <c r="HC905" s="4"/>
      <c r="HD905" s="4"/>
      <c r="HE905" s="4"/>
      <c r="HF905" s="4"/>
      <c r="HG905" s="4"/>
      <c r="HH905" s="4"/>
    </row>
    <row r="906" spans="16:216" ht="15.75" hidden="1" customHeight="1" x14ac:dyDescent="0.3"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</row>
    <row r="907" spans="16:216" ht="15.75" hidden="1" customHeight="1" x14ac:dyDescent="0.3"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</row>
    <row r="908" spans="16:216" ht="15.75" hidden="1" customHeight="1" x14ac:dyDescent="0.3"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</row>
    <row r="909" spans="16:216" ht="15.75" hidden="1" customHeight="1" x14ac:dyDescent="0.3"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4"/>
      <c r="GX909" s="4"/>
      <c r="GY909" s="4"/>
      <c r="GZ909" s="4"/>
      <c r="HA909" s="4"/>
      <c r="HB909" s="4"/>
      <c r="HC909" s="4"/>
      <c r="HD909" s="4"/>
      <c r="HE909" s="4"/>
      <c r="HF909" s="4"/>
      <c r="HG909" s="4"/>
      <c r="HH909" s="4"/>
    </row>
    <row r="910" spans="16:216" ht="15.75" hidden="1" customHeight="1" x14ac:dyDescent="0.3"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</row>
    <row r="911" spans="16:216" ht="15.75" hidden="1" customHeight="1" x14ac:dyDescent="0.3"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4"/>
      <c r="FS911" s="4"/>
      <c r="FT911" s="4"/>
      <c r="FU911" s="4"/>
      <c r="FV911" s="4"/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/>
      <c r="GK911" s="4"/>
      <c r="GL911" s="4"/>
      <c r="GM911" s="4"/>
      <c r="GN911" s="4"/>
      <c r="GO911" s="4"/>
      <c r="GP911" s="4"/>
      <c r="GQ911" s="4"/>
      <c r="GR911" s="4"/>
      <c r="GS911" s="4"/>
      <c r="GT911" s="4"/>
      <c r="GU911" s="4"/>
      <c r="GV911" s="4"/>
      <c r="GW911" s="4"/>
      <c r="GX911" s="4"/>
      <c r="GY911" s="4"/>
      <c r="GZ911" s="4"/>
      <c r="HA911" s="4"/>
      <c r="HB911" s="4"/>
      <c r="HC911" s="4"/>
      <c r="HD911" s="4"/>
      <c r="HE911" s="4"/>
      <c r="HF911" s="4"/>
      <c r="HG911" s="4"/>
      <c r="HH911" s="4"/>
    </row>
    <row r="912" spans="16:216" ht="15.75" hidden="1" customHeight="1" x14ac:dyDescent="0.3"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/>
      <c r="GK912" s="4"/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</row>
    <row r="913" spans="16:216" ht="15.75" hidden="1" customHeight="1" x14ac:dyDescent="0.3"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</row>
    <row r="914" spans="16:216" ht="15.75" hidden="1" customHeight="1" x14ac:dyDescent="0.3"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</row>
    <row r="915" spans="16:216" ht="15.75" hidden="1" customHeight="1" x14ac:dyDescent="0.3"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  <c r="HD915" s="4"/>
      <c r="HE915" s="4"/>
      <c r="HF915" s="4"/>
      <c r="HG915" s="4"/>
      <c r="HH915" s="4"/>
    </row>
    <row r="916" spans="16:216" ht="15.75" hidden="1" customHeight="1" x14ac:dyDescent="0.3"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</row>
    <row r="917" spans="16:216" ht="15.75" hidden="1" customHeight="1" x14ac:dyDescent="0.3"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/>
      <c r="GQ917" s="4"/>
      <c r="GR917" s="4"/>
      <c r="GS917" s="4"/>
      <c r="GT917" s="4"/>
      <c r="GU917" s="4"/>
      <c r="GV917" s="4"/>
      <c r="GW917" s="4"/>
      <c r="GX917" s="4"/>
      <c r="GY917" s="4"/>
      <c r="GZ917" s="4"/>
      <c r="HA917" s="4"/>
      <c r="HB917" s="4"/>
      <c r="HC917" s="4"/>
      <c r="HD917" s="4"/>
      <c r="HE917" s="4"/>
      <c r="HF917" s="4"/>
      <c r="HG917" s="4"/>
      <c r="HH917" s="4"/>
    </row>
    <row r="918" spans="16:216" ht="15.75" hidden="1" customHeight="1" x14ac:dyDescent="0.3"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/>
      <c r="GK918" s="4"/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</row>
    <row r="919" spans="16:216" ht="15.75" hidden="1" customHeight="1" x14ac:dyDescent="0.3"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/>
      <c r="GK919" s="4"/>
      <c r="GL919" s="4"/>
      <c r="GM919" s="4"/>
      <c r="GN919" s="4"/>
      <c r="GO919" s="4"/>
      <c r="GP919" s="4"/>
      <c r="GQ919" s="4"/>
      <c r="GR919" s="4"/>
      <c r="GS919" s="4"/>
      <c r="GT919" s="4"/>
      <c r="GU919" s="4"/>
      <c r="GV919" s="4"/>
      <c r="GW919" s="4"/>
      <c r="GX919" s="4"/>
      <c r="GY919" s="4"/>
      <c r="GZ919" s="4"/>
      <c r="HA919" s="4"/>
      <c r="HB919" s="4"/>
      <c r="HC919" s="4"/>
      <c r="HD919" s="4"/>
      <c r="HE919" s="4"/>
      <c r="HF919" s="4"/>
      <c r="HG919" s="4"/>
      <c r="HH919" s="4"/>
    </row>
    <row r="920" spans="16:216" ht="15.75" hidden="1" customHeight="1" x14ac:dyDescent="0.3"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</row>
    <row r="921" spans="16:216" ht="15.75" hidden="1" customHeight="1" x14ac:dyDescent="0.3"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4"/>
      <c r="FS921" s="4"/>
      <c r="FT921" s="4"/>
      <c r="FU921" s="4"/>
      <c r="FV921" s="4"/>
      <c r="FW921" s="4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  <c r="GJ921" s="4"/>
      <c r="GK921" s="4"/>
      <c r="GL921" s="4"/>
      <c r="GM921" s="4"/>
      <c r="GN921" s="4"/>
      <c r="GO921" s="4"/>
      <c r="GP921" s="4"/>
      <c r="GQ921" s="4"/>
      <c r="GR921" s="4"/>
      <c r="GS921" s="4"/>
      <c r="GT921" s="4"/>
      <c r="GU921" s="4"/>
      <c r="GV921" s="4"/>
      <c r="GW921" s="4"/>
      <c r="GX921" s="4"/>
      <c r="GY921" s="4"/>
      <c r="GZ921" s="4"/>
      <c r="HA921" s="4"/>
      <c r="HB921" s="4"/>
      <c r="HC921" s="4"/>
      <c r="HD921" s="4"/>
      <c r="HE921" s="4"/>
      <c r="HF921" s="4"/>
      <c r="HG921" s="4"/>
      <c r="HH921" s="4"/>
    </row>
    <row r="922" spans="16:216" ht="15.75" hidden="1" customHeight="1" x14ac:dyDescent="0.3"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/>
      <c r="GK922" s="4"/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</row>
    <row r="923" spans="16:216" ht="15.75" hidden="1" customHeight="1" x14ac:dyDescent="0.3"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</row>
    <row r="924" spans="16:216" ht="15.75" hidden="1" customHeight="1" x14ac:dyDescent="0.3"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  <c r="GJ924" s="4"/>
      <c r="GK924" s="4"/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</row>
    <row r="925" spans="16:216" ht="15.75" hidden="1" customHeight="1" x14ac:dyDescent="0.3"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/>
      <c r="GK925" s="4"/>
      <c r="GL925" s="4"/>
      <c r="GM925" s="4"/>
      <c r="GN925" s="4"/>
      <c r="GO925" s="4"/>
      <c r="GP925" s="4"/>
      <c r="GQ925" s="4"/>
      <c r="GR925" s="4"/>
      <c r="GS925" s="4"/>
      <c r="GT925" s="4"/>
      <c r="GU925" s="4"/>
      <c r="GV925" s="4"/>
      <c r="GW925" s="4"/>
      <c r="GX925" s="4"/>
      <c r="GY925" s="4"/>
      <c r="GZ925" s="4"/>
      <c r="HA925" s="4"/>
      <c r="HB925" s="4"/>
      <c r="HC925" s="4"/>
      <c r="HD925" s="4"/>
      <c r="HE925" s="4"/>
      <c r="HF925" s="4"/>
      <c r="HG925" s="4"/>
      <c r="HH925" s="4"/>
    </row>
    <row r="926" spans="16:216" ht="15.75" hidden="1" customHeight="1" x14ac:dyDescent="0.3"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</row>
    <row r="927" spans="16:216" ht="15.75" hidden="1" customHeight="1" x14ac:dyDescent="0.3"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4"/>
      <c r="GX927" s="4"/>
      <c r="GY927" s="4"/>
      <c r="GZ927" s="4"/>
      <c r="HA927" s="4"/>
      <c r="HB927" s="4"/>
      <c r="HC927" s="4"/>
      <c r="HD927" s="4"/>
      <c r="HE927" s="4"/>
      <c r="HF927" s="4"/>
      <c r="HG927" s="4"/>
      <c r="HH927" s="4"/>
    </row>
    <row r="928" spans="16:216" ht="15.75" hidden="1" customHeight="1" x14ac:dyDescent="0.3"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</row>
    <row r="929" spans="16:216" ht="15.75" hidden="1" customHeight="1" x14ac:dyDescent="0.3"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</row>
    <row r="930" spans="16:216" ht="15.75" hidden="1" customHeight="1" x14ac:dyDescent="0.3"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/>
      <c r="GK930" s="4"/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</row>
    <row r="931" spans="16:216" ht="15.75" hidden="1" customHeight="1" x14ac:dyDescent="0.3"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</row>
    <row r="932" spans="16:216" ht="15.75" hidden="1" customHeight="1" x14ac:dyDescent="0.3"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</row>
    <row r="933" spans="16:216" ht="15.75" hidden="1" customHeight="1" x14ac:dyDescent="0.3"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</row>
    <row r="934" spans="16:216" ht="15.75" hidden="1" customHeight="1" x14ac:dyDescent="0.3"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</row>
    <row r="935" spans="16:216" ht="15.75" hidden="1" customHeight="1" x14ac:dyDescent="0.3"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/>
      <c r="GK935" s="4"/>
      <c r="GL935" s="4"/>
      <c r="GM935" s="4"/>
      <c r="GN935" s="4"/>
      <c r="GO935" s="4"/>
      <c r="GP935" s="4"/>
      <c r="GQ935" s="4"/>
      <c r="GR935" s="4"/>
      <c r="GS935" s="4"/>
      <c r="GT935" s="4"/>
      <c r="GU935" s="4"/>
      <c r="GV935" s="4"/>
      <c r="GW935" s="4"/>
      <c r="GX935" s="4"/>
      <c r="GY935" s="4"/>
      <c r="GZ935" s="4"/>
      <c r="HA935" s="4"/>
      <c r="HB935" s="4"/>
      <c r="HC935" s="4"/>
      <c r="HD935" s="4"/>
      <c r="HE935" s="4"/>
      <c r="HF935" s="4"/>
      <c r="HG935" s="4"/>
      <c r="HH935" s="4"/>
    </row>
    <row r="936" spans="16:216" ht="15.75" hidden="1" customHeight="1" x14ac:dyDescent="0.3"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/>
      <c r="GK936" s="4"/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</row>
    <row r="937" spans="16:216" ht="15.75" hidden="1" customHeight="1" x14ac:dyDescent="0.3"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</row>
    <row r="938" spans="16:216" ht="15.75" hidden="1" customHeight="1" x14ac:dyDescent="0.3"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/>
      <c r="GK938" s="4"/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</row>
    <row r="939" spans="16:216" ht="15.75" hidden="1" customHeight="1" x14ac:dyDescent="0.3"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/>
      <c r="GK939" s="4"/>
      <c r="GL939" s="4"/>
      <c r="GM939" s="4"/>
      <c r="GN939" s="4"/>
      <c r="GO939" s="4"/>
      <c r="GP939" s="4"/>
      <c r="GQ939" s="4"/>
      <c r="GR939" s="4"/>
      <c r="GS939" s="4"/>
      <c r="GT939" s="4"/>
      <c r="GU939" s="4"/>
      <c r="GV939" s="4"/>
      <c r="GW939" s="4"/>
      <c r="GX939" s="4"/>
      <c r="GY939" s="4"/>
      <c r="GZ939" s="4"/>
      <c r="HA939" s="4"/>
      <c r="HB939" s="4"/>
      <c r="HC939" s="4"/>
      <c r="HD939" s="4"/>
      <c r="HE939" s="4"/>
      <c r="HF939" s="4"/>
      <c r="HG939" s="4"/>
      <c r="HH939" s="4"/>
    </row>
    <row r="940" spans="16:216" ht="15.75" hidden="1" customHeight="1" x14ac:dyDescent="0.3"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</row>
    <row r="941" spans="16:216" ht="15.75" hidden="1" customHeight="1" x14ac:dyDescent="0.3"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  <c r="GJ941" s="4"/>
      <c r="GK941" s="4"/>
      <c r="GL941" s="4"/>
      <c r="GM941" s="4"/>
      <c r="GN941" s="4"/>
      <c r="GO941" s="4"/>
      <c r="GP941" s="4"/>
      <c r="GQ941" s="4"/>
      <c r="GR941" s="4"/>
      <c r="GS941" s="4"/>
      <c r="GT941" s="4"/>
      <c r="GU941" s="4"/>
      <c r="GV941" s="4"/>
      <c r="GW941" s="4"/>
      <c r="GX941" s="4"/>
      <c r="GY941" s="4"/>
      <c r="GZ941" s="4"/>
      <c r="HA941" s="4"/>
      <c r="HB941" s="4"/>
      <c r="HC941" s="4"/>
      <c r="HD941" s="4"/>
      <c r="HE941" s="4"/>
      <c r="HF941" s="4"/>
      <c r="HG941" s="4"/>
      <c r="HH941" s="4"/>
    </row>
    <row r="942" spans="16:216" ht="15.75" hidden="1" customHeight="1" x14ac:dyDescent="0.3"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  <c r="GJ942" s="4"/>
      <c r="GK942" s="4"/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</row>
    <row r="943" spans="16:216" ht="15.75" hidden="1" customHeight="1" x14ac:dyDescent="0.3"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  <c r="GJ943" s="4"/>
      <c r="GK943" s="4"/>
      <c r="GL943" s="4"/>
      <c r="GM943" s="4"/>
      <c r="GN943" s="4"/>
      <c r="GO943" s="4"/>
      <c r="GP943" s="4"/>
      <c r="GQ943" s="4"/>
      <c r="GR943" s="4"/>
      <c r="GS943" s="4"/>
      <c r="GT943" s="4"/>
      <c r="GU943" s="4"/>
      <c r="GV943" s="4"/>
      <c r="GW943" s="4"/>
      <c r="GX943" s="4"/>
      <c r="GY943" s="4"/>
      <c r="GZ943" s="4"/>
      <c r="HA943" s="4"/>
      <c r="HB943" s="4"/>
      <c r="HC943" s="4"/>
      <c r="HD943" s="4"/>
      <c r="HE943" s="4"/>
      <c r="HF943" s="4"/>
      <c r="HG943" s="4"/>
      <c r="HH943" s="4"/>
    </row>
    <row r="944" spans="16:216" ht="15.75" hidden="1" customHeight="1" x14ac:dyDescent="0.3"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  <c r="GJ944" s="4"/>
      <c r="GK944" s="4"/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</row>
    <row r="945" spans="16:216" ht="15.75" hidden="1" customHeight="1" x14ac:dyDescent="0.3"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  <c r="GJ945" s="4"/>
      <c r="GK945" s="4"/>
      <c r="GL945" s="4"/>
      <c r="GM945" s="4"/>
      <c r="GN945" s="4"/>
      <c r="GO945" s="4"/>
      <c r="GP945" s="4"/>
      <c r="GQ945" s="4"/>
      <c r="GR945" s="4"/>
      <c r="GS945" s="4"/>
      <c r="GT945" s="4"/>
      <c r="GU945" s="4"/>
      <c r="GV945" s="4"/>
      <c r="GW945" s="4"/>
      <c r="GX945" s="4"/>
      <c r="GY945" s="4"/>
      <c r="GZ945" s="4"/>
      <c r="HA945" s="4"/>
      <c r="HB945" s="4"/>
      <c r="HC945" s="4"/>
      <c r="HD945" s="4"/>
      <c r="HE945" s="4"/>
      <c r="HF945" s="4"/>
      <c r="HG945" s="4"/>
      <c r="HH945" s="4"/>
    </row>
    <row r="946" spans="16:216" ht="15.75" hidden="1" customHeight="1" x14ac:dyDescent="0.3"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  <c r="GJ946" s="4"/>
      <c r="GK946" s="4"/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</row>
    <row r="947" spans="16:216" ht="15.75" hidden="1" customHeight="1" x14ac:dyDescent="0.3"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  <c r="HD947" s="4"/>
      <c r="HE947" s="4"/>
      <c r="HF947" s="4"/>
      <c r="HG947" s="4"/>
      <c r="HH947" s="4"/>
    </row>
    <row r="948" spans="16:216" ht="15.75" hidden="1" customHeight="1" x14ac:dyDescent="0.3"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/>
      <c r="GK948" s="4"/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</row>
    <row r="949" spans="16:216" ht="15.75" hidden="1" customHeight="1" x14ac:dyDescent="0.3"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/>
      <c r="GK949" s="4"/>
      <c r="GL949" s="4"/>
      <c r="GM949" s="4"/>
      <c r="GN949" s="4"/>
      <c r="GO949" s="4"/>
      <c r="GP949" s="4"/>
      <c r="GQ949" s="4"/>
      <c r="GR949" s="4"/>
      <c r="GS949" s="4"/>
      <c r="GT949" s="4"/>
      <c r="GU949" s="4"/>
      <c r="GV949" s="4"/>
      <c r="GW949" s="4"/>
      <c r="GX949" s="4"/>
      <c r="GY949" s="4"/>
      <c r="GZ949" s="4"/>
      <c r="HA949" s="4"/>
      <c r="HB949" s="4"/>
      <c r="HC949" s="4"/>
      <c r="HD949" s="4"/>
      <c r="HE949" s="4"/>
      <c r="HF949" s="4"/>
      <c r="HG949" s="4"/>
      <c r="HH949" s="4"/>
    </row>
    <row r="950" spans="16:216" ht="15.75" hidden="1" customHeight="1" x14ac:dyDescent="0.3"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</row>
    <row r="951" spans="16:216" ht="15.75" hidden="1" customHeight="1" x14ac:dyDescent="0.3"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</row>
    <row r="952" spans="16:216" ht="15.75" hidden="1" customHeight="1" x14ac:dyDescent="0.3"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</row>
    <row r="953" spans="16:216" ht="15.75" hidden="1" customHeight="1" x14ac:dyDescent="0.3"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/>
      <c r="GK953" s="4"/>
      <c r="GL953" s="4"/>
      <c r="GM953" s="4"/>
      <c r="GN953" s="4"/>
      <c r="GO953" s="4"/>
      <c r="GP953" s="4"/>
      <c r="GQ953" s="4"/>
      <c r="GR953" s="4"/>
      <c r="GS953" s="4"/>
      <c r="GT953" s="4"/>
      <c r="GU953" s="4"/>
      <c r="GV953" s="4"/>
      <c r="GW953" s="4"/>
      <c r="GX953" s="4"/>
      <c r="GY953" s="4"/>
      <c r="GZ953" s="4"/>
      <c r="HA953" s="4"/>
      <c r="HB953" s="4"/>
      <c r="HC953" s="4"/>
      <c r="HD953" s="4"/>
      <c r="HE953" s="4"/>
      <c r="HF953" s="4"/>
      <c r="HG953" s="4"/>
      <c r="HH953" s="4"/>
    </row>
    <row r="954" spans="16:216" ht="15.75" hidden="1" customHeight="1" x14ac:dyDescent="0.3"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</row>
    <row r="955" spans="16:216" ht="15.75" hidden="1" customHeight="1" x14ac:dyDescent="0.3"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  <c r="GS955" s="4"/>
      <c r="GT955" s="4"/>
      <c r="GU955" s="4"/>
      <c r="GV955" s="4"/>
      <c r="GW955" s="4"/>
      <c r="GX955" s="4"/>
      <c r="GY955" s="4"/>
      <c r="GZ955" s="4"/>
      <c r="HA955" s="4"/>
      <c r="HB955" s="4"/>
      <c r="HC955" s="4"/>
      <c r="HD955" s="4"/>
      <c r="HE955" s="4"/>
      <c r="HF955" s="4"/>
      <c r="HG955" s="4"/>
      <c r="HH955" s="4"/>
    </row>
    <row r="956" spans="16:216" ht="15.75" hidden="1" customHeight="1" x14ac:dyDescent="0.3"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</row>
    <row r="957" spans="16:216" ht="15.75" hidden="1" customHeight="1" x14ac:dyDescent="0.3"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  <c r="GS957" s="4"/>
      <c r="GT957" s="4"/>
      <c r="GU957" s="4"/>
      <c r="GV957" s="4"/>
      <c r="GW957" s="4"/>
      <c r="GX957" s="4"/>
      <c r="GY957" s="4"/>
      <c r="GZ957" s="4"/>
      <c r="HA957" s="4"/>
      <c r="HB957" s="4"/>
      <c r="HC957" s="4"/>
      <c r="HD957" s="4"/>
      <c r="HE957" s="4"/>
      <c r="HF957" s="4"/>
      <c r="HG957" s="4"/>
      <c r="HH957" s="4"/>
    </row>
    <row r="958" spans="16:216" ht="15.75" hidden="1" customHeight="1" x14ac:dyDescent="0.3"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</row>
    <row r="959" spans="16:216" ht="15.75" hidden="1" customHeight="1" x14ac:dyDescent="0.3"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/>
      <c r="GK959" s="4"/>
      <c r="GL959" s="4"/>
      <c r="GM959" s="4"/>
      <c r="GN959" s="4"/>
      <c r="GO959" s="4"/>
      <c r="GP959" s="4"/>
      <c r="GQ959" s="4"/>
      <c r="GR959" s="4"/>
      <c r="GS959" s="4"/>
      <c r="GT959" s="4"/>
      <c r="GU959" s="4"/>
      <c r="GV959" s="4"/>
      <c r="GW959" s="4"/>
      <c r="GX959" s="4"/>
      <c r="GY959" s="4"/>
      <c r="GZ959" s="4"/>
      <c r="HA959" s="4"/>
      <c r="HB959" s="4"/>
      <c r="HC959" s="4"/>
      <c r="HD959" s="4"/>
      <c r="HE959" s="4"/>
      <c r="HF959" s="4"/>
      <c r="HG959" s="4"/>
      <c r="HH959" s="4"/>
    </row>
    <row r="960" spans="16:216" ht="15.75" hidden="1" customHeight="1" x14ac:dyDescent="0.3"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/>
      <c r="GK960" s="4"/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</row>
    <row r="961" spans="16:216" ht="15.75" hidden="1" customHeight="1" x14ac:dyDescent="0.3"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/>
      <c r="GK961" s="4"/>
      <c r="GL961" s="4"/>
      <c r="GM961" s="4"/>
      <c r="GN961" s="4"/>
      <c r="GO961" s="4"/>
      <c r="GP961" s="4"/>
      <c r="GQ961" s="4"/>
      <c r="GR961" s="4"/>
      <c r="GS961" s="4"/>
      <c r="GT961" s="4"/>
      <c r="GU961" s="4"/>
      <c r="GV961" s="4"/>
      <c r="GW961" s="4"/>
      <c r="GX961" s="4"/>
      <c r="GY961" s="4"/>
      <c r="GZ961" s="4"/>
      <c r="HA961" s="4"/>
      <c r="HB961" s="4"/>
      <c r="HC961" s="4"/>
      <c r="HD961" s="4"/>
      <c r="HE961" s="4"/>
      <c r="HF961" s="4"/>
      <c r="HG961" s="4"/>
      <c r="HH961" s="4"/>
    </row>
    <row r="962" spans="16:216" ht="15.75" hidden="1" customHeight="1" x14ac:dyDescent="0.3"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</row>
    <row r="963" spans="16:216" ht="15.75" hidden="1" customHeight="1" x14ac:dyDescent="0.3"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/>
      <c r="GK963" s="4"/>
      <c r="GL963" s="4"/>
      <c r="GM963" s="4"/>
      <c r="GN963" s="4"/>
      <c r="GO963" s="4"/>
      <c r="GP963" s="4"/>
      <c r="GQ963" s="4"/>
      <c r="GR963" s="4"/>
      <c r="GS963" s="4"/>
      <c r="GT963" s="4"/>
      <c r="GU963" s="4"/>
      <c r="GV963" s="4"/>
      <c r="GW963" s="4"/>
      <c r="GX963" s="4"/>
      <c r="GY963" s="4"/>
      <c r="GZ963" s="4"/>
      <c r="HA963" s="4"/>
      <c r="HB963" s="4"/>
      <c r="HC963" s="4"/>
      <c r="HD963" s="4"/>
      <c r="HE963" s="4"/>
      <c r="HF963" s="4"/>
      <c r="HG963" s="4"/>
      <c r="HH963" s="4"/>
    </row>
    <row r="964" spans="16:216" ht="15.75" hidden="1" customHeight="1" x14ac:dyDescent="0.3"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  <c r="GJ964" s="4"/>
      <c r="GK964" s="4"/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</row>
    <row r="965" spans="16:216" ht="15.75" hidden="1" customHeight="1" x14ac:dyDescent="0.3"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</row>
    <row r="966" spans="16:216" ht="15.75" hidden="1" customHeight="1" x14ac:dyDescent="0.3"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</row>
    <row r="967" spans="16:216" ht="15.75" hidden="1" customHeight="1" x14ac:dyDescent="0.3"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  <c r="HD967" s="4"/>
      <c r="HE967" s="4"/>
      <c r="HF967" s="4"/>
      <c r="HG967" s="4"/>
      <c r="HH967" s="4"/>
    </row>
    <row r="968" spans="16:216" ht="15.75" hidden="1" customHeight="1" x14ac:dyDescent="0.3"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/>
      <c r="GK968" s="4"/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</row>
    <row r="969" spans="16:216" ht="15.75" hidden="1" customHeight="1" x14ac:dyDescent="0.3"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  <c r="HD969" s="4"/>
      <c r="HE969" s="4"/>
      <c r="HF969" s="4"/>
      <c r="HG969" s="4"/>
      <c r="HH969" s="4"/>
    </row>
    <row r="970" spans="16:216" ht="15.75" hidden="1" customHeight="1" x14ac:dyDescent="0.3"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/>
      <c r="GB970" s="4"/>
      <c r="GC970" s="4"/>
      <c r="GD970" s="4"/>
      <c r="GE970" s="4"/>
      <c r="GF970" s="4"/>
      <c r="GG970" s="4"/>
      <c r="GH970" s="4"/>
      <c r="GI970" s="4"/>
      <c r="GJ970" s="4"/>
      <c r="GK970" s="4"/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</row>
    <row r="971" spans="16:216" ht="15.75" hidden="1" customHeight="1" x14ac:dyDescent="0.3"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/>
      <c r="GK971" s="4"/>
      <c r="GL971" s="4"/>
      <c r="GM971" s="4"/>
      <c r="GN971" s="4"/>
      <c r="GO971" s="4"/>
      <c r="GP971" s="4"/>
      <c r="GQ971" s="4"/>
      <c r="GR971" s="4"/>
      <c r="GS971" s="4"/>
      <c r="GT971" s="4"/>
      <c r="GU971" s="4"/>
      <c r="GV971" s="4"/>
      <c r="GW971" s="4"/>
      <c r="GX971" s="4"/>
      <c r="GY971" s="4"/>
      <c r="GZ971" s="4"/>
      <c r="HA971" s="4"/>
      <c r="HB971" s="4"/>
      <c r="HC971" s="4"/>
      <c r="HD971" s="4"/>
      <c r="HE971" s="4"/>
      <c r="HF971" s="4"/>
      <c r="HG971" s="4"/>
      <c r="HH971" s="4"/>
    </row>
    <row r="972" spans="16:216" ht="15.75" hidden="1" customHeight="1" x14ac:dyDescent="0.3"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4"/>
      <c r="FW972" s="4"/>
      <c r="FX972" s="4"/>
      <c r="FY972" s="4"/>
      <c r="FZ972" s="4"/>
      <c r="GA972" s="4"/>
      <c r="GB972" s="4"/>
      <c r="GC972" s="4"/>
      <c r="GD972" s="4"/>
      <c r="GE972" s="4"/>
      <c r="GF972" s="4"/>
      <c r="GG972" s="4"/>
      <c r="GH972" s="4"/>
      <c r="GI972" s="4"/>
      <c r="GJ972" s="4"/>
      <c r="GK972" s="4"/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  <c r="HD972" s="4"/>
      <c r="HE972" s="4"/>
      <c r="HF972" s="4"/>
      <c r="HG972" s="4"/>
      <c r="HH972" s="4"/>
    </row>
    <row r="973" spans="16:216" ht="15.75" hidden="1" customHeight="1" x14ac:dyDescent="0.3"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/>
      <c r="GK973" s="4"/>
      <c r="GL973" s="4"/>
      <c r="GM973" s="4"/>
      <c r="GN973" s="4"/>
      <c r="GO973" s="4"/>
      <c r="GP973" s="4"/>
      <c r="GQ973" s="4"/>
      <c r="GR973" s="4"/>
      <c r="GS973" s="4"/>
      <c r="GT973" s="4"/>
      <c r="GU973" s="4"/>
      <c r="GV973" s="4"/>
      <c r="GW973" s="4"/>
      <c r="GX973" s="4"/>
      <c r="GY973" s="4"/>
      <c r="GZ973" s="4"/>
      <c r="HA973" s="4"/>
      <c r="HB973" s="4"/>
      <c r="HC973" s="4"/>
      <c r="HD973" s="4"/>
      <c r="HE973" s="4"/>
      <c r="HF973" s="4"/>
      <c r="HG973" s="4"/>
      <c r="HH973" s="4"/>
    </row>
    <row r="974" spans="16:216" ht="15.75" hidden="1" customHeight="1" x14ac:dyDescent="0.3"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/>
      <c r="GB974" s="4"/>
      <c r="GC974" s="4"/>
      <c r="GD974" s="4"/>
      <c r="GE974" s="4"/>
      <c r="GF974" s="4"/>
      <c r="GG974" s="4"/>
      <c r="GH974" s="4"/>
      <c r="GI974" s="4"/>
      <c r="GJ974" s="4"/>
      <c r="GK974" s="4"/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  <c r="HD974" s="4"/>
      <c r="HE974" s="4"/>
      <c r="HF974" s="4"/>
      <c r="HG974" s="4"/>
      <c r="HH974" s="4"/>
    </row>
    <row r="975" spans="16:216" ht="15.75" hidden="1" customHeight="1" x14ac:dyDescent="0.3"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</row>
    <row r="976" spans="16:216" ht="15.75" hidden="1" customHeight="1" x14ac:dyDescent="0.3"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/>
      <c r="GK976" s="4"/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</row>
    <row r="977" spans="16:216" ht="15.75" hidden="1" customHeight="1" x14ac:dyDescent="0.3"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/>
      <c r="EM977" s="4"/>
      <c r="EN977" s="4"/>
      <c r="EO977" s="4"/>
      <c r="EP977" s="4"/>
      <c r="EQ977" s="4"/>
      <c r="ER977" s="4"/>
      <c r="ES977" s="4"/>
      <c r="ET977" s="4"/>
      <c r="EU977" s="4"/>
      <c r="EV977" s="4"/>
      <c r="EW977" s="4"/>
      <c r="EX977" s="4"/>
      <c r="EY977" s="4"/>
      <c r="EZ977" s="4"/>
      <c r="FA977" s="4"/>
      <c r="FB977" s="4"/>
      <c r="FC977" s="4"/>
      <c r="FD977" s="4"/>
      <c r="FE977" s="4"/>
      <c r="FF977" s="4"/>
      <c r="FG977" s="4"/>
      <c r="FH977" s="4"/>
      <c r="FI977" s="4"/>
      <c r="FJ977" s="4"/>
      <c r="FK977" s="4"/>
      <c r="FL977" s="4"/>
      <c r="FM977" s="4"/>
      <c r="FN977" s="4"/>
      <c r="FO977" s="4"/>
      <c r="FP977" s="4"/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/>
      <c r="GJ977" s="4"/>
      <c r="GK977" s="4"/>
      <c r="GL977" s="4"/>
      <c r="GM977" s="4"/>
      <c r="GN977" s="4"/>
      <c r="GO977" s="4"/>
      <c r="GP977" s="4"/>
      <c r="GQ977" s="4"/>
      <c r="GR977" s="4"/>
      <c r="GS977" s="4"/>
      <c r="GT977" s="4"/>
      <c r="GU977" s="4"/>
      <c r="GV977" s="4"/>
      <c r="GW977" s="4"/>
      <c r="GX977" s="4"/>
      <c r="GY977" s="4"/>
      <c r="GZ977" s="4"/>
      <c r="HA977" s="4"/>
      <c r="HB977" s="4"/>
      <c r="HC977" s="4"/>
      <c r="HD977" s="4"/>
      <c r="HE977" s="4"/>
      <c r="HF977" s="4"/>
      <c r="HG977" s="4"/>
      <c r="HH977" s="4"/>
    </row>
    <row r="978" spans="16:216" ht="15.75" hidden="1" customHeight="1" x14ac:dyDescent="0.3"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/>
      <c r="GB978" s="4"/>
      <c r="GC978" s="4"/>
      <c r="GD978" s="4"/>
      <c r="GE978" s="4"/>
      <c r="GF978" s="4"/>
      <c r="GG978" s="4"/>
      <c r="GH978" s="4"/>
      <c r="GI978" s="4"/>
      <c r="GJ978" s="4"/>
      <c r="GK978" s="4"/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  <c r="HD978" s="4"/>
      <c r="HE978" s="4"/>
      <c r="HF978" s="4"/>
      <c r="HG978" s="4"/>
      <c r="HH978" s="4"/>
    </row>
    <row r="979" spans="16:216" ht="15.75" hidden="1" customHeight="1" x14ac:dyDescent="0.3"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4"/>
      <c r="EO979" s="4"/>
      <c r="EP979" s="4"/>
      <c r="EQ979" s="4"/>
      <c r="ER979" s="4"/>
      <c r="ES979" s="4"/>
      <c r="ET979" s="4"/>
      <c r="EU979" s="4"/>
      <c r="EV979" s="4"/>
      <c r="EW979" s="4"/>
      <c r="EX979" s="4"/>
      <c r="EY979" s="4"/>
      <c r="EZ979" s="4"/>
      <c r="FA979" s="4"/>
      <c r="FB979" s="4"/>
      <c r="FC979" s="4"/>
      <c r="FD979" s="4"/>
      <c r="FE979" s="4"/>
      <c r="FF979" s="4"/>
      <c r="FG979" s="4"/>
      <c r="FH979" s="4"/>
      <c r="FI979" s="4"/>
      <c r="FJ979" s="4"/>
      <c r="FK979" s="4"/>
      <c r="FL979" s="4"/>
      <c r="FM979" s="4"/>
      <c r="FN979" s="4"/>
      <c r="FO979" s="4"/>
      <c r="FP979" s="4"/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/>
      <c r="GJ979" s="4"/>
      <c r="GK979" s="4"/>
      <c r="GL979" s="4"/>
      <c r="GM979" s="4"/>
      <c r="GN979" s="4"/>
      <c r="GO979" s="4"/>
      <c r="GP979" s="4"/>
      <c r="GQ979" s="4"/>
      <c r="GR979" s="4"/>
      <c r="GS979" s="4"/>
      <c r="GT979" s="4"/>
      <c r="GU979" s="4"/>
      <c r="GV979" s="4"/>
      <c r="GW979" s="4"/>
      <c r="GX979" s="4"/>
      <c r="GY979" s="4"/>
      <c r="GZ979" s="4"/>
      <c r="HA979" s="4"/>
      <c r="HB979" s="4"/>
      <c r="HC979" s="4"/>
      <c r="HD979" s="4"/>
      <c r="HE979" s="4"/>
      <c r="HF979" s="4"/>
      <c r="HG979" s="4"/>
      <c r="HH979" s="4"/>
    </row>
    <row r="980" spans="16:216" ht="15.75" hidden="1" customHeight="1" x14ac:dyDescent="0.3"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/>
      <c r="GB980" s="4"/>
      <c r="GC980" s="4"/>
      <c r="GD980" s="4"/>
      <c r="GE980" s="4"/>
      <c r="GF980" s="4"/>
      <c r="GG980" s="4"/>
      <c r="GH980" s="4"/>
      <c r="GI980" s="4"/>
      <c r="GJ980" s="4"/>
      <c r="GK980" s="4"/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  <c r="HD980" s="4"/>
      <c r="HE980" s="4"/>
      <c r="HF980" s="4"/>
      <c r="HG980" s="4"/>
      <c r="HH980" s="4"/>
    </row>
    <row r="981" spans="16:216" ht="15.75" hidden="1" customHeight="1" x14ac:dyDescent="0.3"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4"/>
      <c r="EO981" s="4"/>
      <c r="EP981" s="4"/>
      <c r="EQ981" s="4"/>
      <c r="ER981" s="4"/>
      <c r="ES981" s="4"/>
      <c r="ET981" s="4"/>
      <c r="EU981" s="4"/>
      <c r="EV981" s="4"/>
      <c r="EW981" s="4"/>
      <c r="EX981" s="4"/>
      <c r="EY981" s="4"/>
      <c r="EZ981" s="4"/>
      <c r="FA981" s="4"/>
      <c r="FB981" s="4"/>
      <c r="FC981" s="4"/>
      <c r="FD981" s="4"/>
      <c r="FE981" s="4"/>
      <c r="FF981" s="4"/>
      <c r="FG981" s="4"/>
      <c r="FH981" s="4"/>
      <c r="FI981" s="4"/>
      <c r="FJ981" s="4"/>
      <c r="FK981" s="4"/>
      <c r="FL981" s="4"/>
      <c r="FM981" s="4"/>
      <c r="FN981" s="4"/>
      <c r="FO981" s="4"/>
      <c r="FP981" s="4"/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/>
      <c r="GJ981" s="4"/>
      <c r="GK981" s="4"/>
      <c r="GL981" s="4"/>
      <c r="GM981" s="4"/>
      <c r="GN981" s="4"/>
      <c r="GO981" s="4"/>
      <c r="GP981" s="4"/>
      <c r="GQ981" s="4"/>
      <c r="GR981" s="4"/>
      <c r="GS981" s="4"/>
      <c r="GT981" s="4"/>
      <c r="GU981" s="4"/>
      <c r="GV981" s="4"/>
      <c r="GW981" s="4"/>
      <c r="GX981" s="4"/>
      <c r="GY981" s="4"/>
      <c r="GZ981" s="4"/>
      <c r="HA981" s="4"/>
      <c r="HB981" s="4"/>
      <c r="HC981" s="4"/>
      <c r="HD981" s="4"/>
      <c r="HE981" s="4"/>
      <c r="HF981" s="4"/>
      <c r="HG981" s="4"/>
      <c r="HH981" s="4"/>
    </row>
    <row r="982" spans="16:216" ht="15.75" hidden="1" customHeight="1" x14ac:dyDescent="0.3"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/>
      <c r="GJ982" s="4"/>
      <c r="GK982" s="4"/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</row>
    <row r="983" spans="16:216" ht="15.75" hidden="1" customHeight="1" x14ac:dyDescent="0.3"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/>
      <c r="EM983" s="4"/>
      <c r="EN983" s="4"/>
      <c r="EO983" s="4"/>
      <c r="EP983" s="4"/>
      <c r="EQ983" s="4"/>
      <c r="ER983" s="4"/>
      <c r="ES983" s="4"/>
      <c r="ET983" s="4"/>
      <c r="EU983" s="4"/>
      <c r="EV983" s="4"/>
      <c r="EW983" s="4"/>
      <c r="EX983" s="4"/>
      <c r="EY983" s="4"/>
      <c r="EZ983" s="4"/>
      <c r="FA983" s="4"/>
      <c r="FB983" s="4"/>
      <c r="FC983" s="4"/>
      <c r="FD983" s="4"/>
      <c r="FE983" s="4"/>
      <c r="FF983" s="4"/>
      <c r="FG983" s="4"/>
      <c r="FH983" s="4"/>
      <c r="FI983" s="4"/>
      <c r="FJ983" s="4"/>
      <c r="FK983" s="4"/>
      <c r="FL983" s="4"/>
      <c r="FM983" s="4"/>
      <c r="FN983" s="4"/>
      <c r="FO983" s="4"/>
      <c r="FP983" s="4"/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/>
      <c r="GJ983" s="4"/>
      <c r="GK983" s="4"/>
      <c r="GL983" s="4"/>
      <c r="GM983" s="4"/>
      <c r="GN983" s="4"/>
      <c r="GO983" s="4"/>
      <c r="GP983" s="4"/>
      <c r="GQ983" s="4"/>
      <c r="GR983" s="4"/>
      <c r="GS983" s="4"/>
      <c r="GT983" s="4"/>
      <c r="GU983" s="4"/>
      <c r="GV983" s="4"/>
      <c r="GW983" s="4"/>
      <c r="GX983" s="4"/>
      <c r="GY983" s="4"/>
      <c r="GZ983" s="4"/>
      <c r="HA983" s="4"/>
      <c r="HB983" s="4"/>
      <c r="HC983" s="4"/>
      <c r="HD983" s="4"/>
      <c r="HE983" s="4"/>
      <c r="HF983" s="4"/>
      <c r="HG983" s="4"/>
      <c r="HH983" s="4"/>
    </row>
    <row r="984" spans="16:216" ht="15.75" hidden="1" customHeight="1" x14ac:dyDescent="0.3"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/>
      <c r="GJ984" s="4"/>
      <c r="GK984" s="4"/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</row>
    <row r="985" spans="16:216" ht="15.75" hidden="1" customHeight="1" x14ac:dyDescent="0.3"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/>
      <c r="GY985" s="4"/>
      <c r="GZ985" s="4"/>
      <c r="HA985" s="4"/>
      <c r="HB985" s="4"/>
      <c r="HC985" s="4"/>
      <c r="HD985" s="4"/>
      <c r="HE985" s="4"/>
      <c r="HF985" s="4"/>
      <c r="HG985" s="4"/>
      <c r="HH985" s="4"/>
    </row>
    <row r="986" spans="16:216" ht="15.75" hidden="1" customHeight="1" x14ac:dyDescent="0.3"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/>
      <c r="GB986" s="4"/>
      <c r="GC986" s="4"/>
      <c r="GD986" s="4"/>
      <c r="GE986" s="4"/>
      <c r="GF986" s="4"/>
      <c r="GG986" s="4"/>
      <c r="GH986" s="4"/>
      <c r="GI986" s="4"/>
      <c r="GJ986" s="4"/>
      <c r="GK986" s="4"/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  <c r="HD986" s="4"/>
      <c r="HE986" s="4"/>
      <c r="HF986" s="4"/>
      <c r="HG986" s="4"/>
      <c r="HH986" s="4"/>
    </row>
    <row r="987" spans="16:216" ht="15.75" hidden="1" customHeight="1" x14ac:dyDescent="0.3"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4"/>
      <c r="EO987" s="4"/>
      <c r="EP987" s="4"/>
      <c r="EQ987" s="4"/>
      <c r="ER987" s="4"/>
      <c r="ES987" s="4"/>
      <c r="ET987" s="4"/>
      <c r="EU987" s="4"/>
      <c r="EV987" s="4"/>
      <c r="EW987" s="4"/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  <c r="GJ987" s="4"/>
      <c r="GK987" s="4"/>
      <c r="GL987" s="4"/>
      <c r="GM987" s="4"/>
      <c r="GN987" s="4"/>
      <c r="GO987" s="4"/>
      <c r="GP987" s="4"/>
      <c r="GQ987" s="4"/>
      <c r="GR987" s="4"/>
      <c r="GS987" s="4"/>
      <c r="GT987" s="4"/>
      <c r="GU987" s="4"/>
      <c r="GV987" s="4"/>
      <c r="GW987" s="4"/>
      <c r="GX987" s="4"/>
      <c r="GY987" s="4"/>
      <c r="GZ987" s="4"/>
      <c r="HA987" s="4"/>
      <c r="HB987" s="4"/>
      <c r="HC987" s="4"/>
      <c r="HD987" s="4"/>
      <c r="HE987" s="4"/>
      <c r="HF987" s="4"/>
      <c r="HG987" s="4"/>
      <c r="HH987" s="4"/>
    </row>
    <row r="988" spans="16:216" ht="15.75" hidden="1" customHeight="1" x14ac:dyDescent="0.3"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/>
      <c r="GB988" s="4"/>
      <c r="GC988" s="4"/>
      <c r="GD988" s="4"/>
      <c r="GE988" s="4"/>
      <c r="GF988" s="4"/>
      <c r="GG988" s="4"/>
      <c r="GH988" s="4"/>
      <c r="GI988" s="4"/>
      <c r="GJ988" s="4"/>
      <c r="GK988" s="4"/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  <c r="HD988" s="4"/>
      <c r="HE988" s="4"/>
      <c r="HF988" s="4"/>
      <c r="HG988" s="4"/>
      <c r="HH988" s="4"/>
    </row>
    <row r="989" spans="16:216" ht="15.75" hidden="1" customHeight="1" x14ac:dyDescent="0.3"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/>
      <c r="EM989" s="4"/>
      <c r="EN989" s="4"/>
      <c r="EO989" s="4"/>
      <c r="EP989" s="4"/>
      <c r="EQ989" s="4"/>
      <c r="ER989" s="4"/>
      <c r="ES989" s="4"/>
      <c r="ET989" s="4"/>
      <c r="EU989" s="4"/>
      <c r="EV989" s="4"/>
      <c r="EW989" s="4"/>
      <c r="EX989" s="4"/>
      <c r="EY989" s="4"/>
      <c r="EZ989" s="4"/>
      <c r="FA989" s="4"/>
      <c r="FB989" s="4"/>
      <c r="FC989" s="4"/>
      <c r="FD989" s="4"/>
      <c r="FE989" s="4"/>
      <c r="FF989" s="4"/>
      <c r="FG989" s="4"/>
      <c r="FH989" s="4"/>
      <c r="FI989" s="4"/>
      <c r="FJ989" s="4"/>
      <c r="FK989" s="4"/>
      <c r="FL989" s="4"/>
      <c r="FM989" s="4"/>
      <c r="FN989" s="4"/>
      <c r="FO989" s="4"/>
      <c r="FP989" s="4"/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/>
      <c r="GJ989" s="4"/>
      <c r="GK989" s="4"/>
      <c r="GL989" s="4"/>
      <c r="GM989" s="4"/>
      <c r="GN989" s="4"/>
      <c r="GO989" s="4"/>
      <c r="GP989" s="4"/>
      <c r="GQ989" s="4"/>
      <c r="GR989" s="4"/>
      <c r="GS989" s="4"/>
      <c r="GT989" s="4"/>
      <c r="GU989" s="4"/>
      <c r="GV989" s="4"/>
      <c r="GW989" s="4"/>
      <c r="GX989" s="4"/>
      <c r="GY989" s="4"/>
      <c r="GZ989" s="4"/>
      <c r="HA989" s="4"/>
      <c r="HB989" s="4"/>
      <c r="HC989" s="4"/>
      <c r="HD989" s="4"/>
      <c r="HE989" s="4"/>
      <c r="HF989" s="4"/>
      <c r="HG989" s="4"/>
      <c r="HH989" s="4"/>
    </row>
    <row r="990" spans="16:216" ht="15.75" hidden="1" customHeight="1" x14ac:dyDescent="0.3"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  <c r="HD990" s="4"/>
      <c r="HE990" s="4"/>
      <c r="HF990" s="4"/>
      <c r="HG990" s="4"/>
      <c r="HH990" s="4"/>
    </row>
    <row r="991" spans="16:216" ht="15.75" hidden="1" customHeight="1" x14ac:dyDescent="0.3"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4"/>
      <c r="EO991" s="4"/>
      <c r="EP991" s="4"/>
      <c r="EQ991" s="4"/>
      <c r="ER991" s="4"/>
      <c r="ES991" s="4"/>
      <c r="ET991" s="4"/>
      <c r="EU991" s="4"/>
      <c r="EV991" s="4"/>
      <c r="EW991" s="4"/>
      <c r="EX991" s="4"/>
      <c r="EY991" s="4"/>
      <c r="EZ991" s="4"/>
      <c r="FA991" s="4"/>
      <c r="FB991" s="4"/>
      <c r="FC991" s="4"/>
      <c r="FD991" s="4"/>
      <c r="FE991" s="4"/>
      <c r="FF991" s="4"/>
      <c r="FG991" s="4"/>
      <c r="FH991" s="4"/>
      <c r="FI991" s="4"/>
      <c r="FJ991" s="4"/>
      <c r="FK991" s="4"/>
      <c r="FL991" s="4"/>
      <c r="FM991" s="4"/>
      <c r="FN991" s="4"/>
      <c r="FO991" s="4"/>
      <c r="FP991" s="4"/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/>
      <c r="GJ991" s="4"/>
      <c r="GK991" s="4"/>
      <c r="GL991" s="4"/>
      <c r="GM991" s="4"/>
      <c r="GN991" s="4"/>
      <c r="GO991" s="4"/>
      <c r="GP991" s="4"/>
      <c r="GQ991" s="4"/>
      <c r="GR991" s="4"/>
      <c r="GS991" s="4"/>
      <c r="GT991" s="4"/>
      <c r="GU991" s="4"/>
      <c r="GV991" s="4"/>
      <c r="GW991" s="4"/>
      <c r="GX991" s="4"/>
      <c r="GY991" s="4"/>
      <c r="GZ991" s="4"/>
      <c r="HA991" s="4"/>
      <c r="HB991" s="4"/>
      <c r="HC991" s="4"/>
      <c r="HD991" s="4"/>
      <c r="HE991" s="4"/>
      <c r="HF991" s="4"/>
      <c r="HG991" s="4"/>
      <c r="HH991" s="4"/>
    </row>
    <row r="992" spans="16:216" ht="15.75" hidden="1" customHeight="1" x14ac:dyDescent="0.3"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</row>
    <row r="993" spans="16:216" ht="15.75" hidden="1" customHeight="1" x14ac:dyDescent="0.3"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/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4"/>
      <c r="EY993" s="4"/>
      <c r="EZ993" s="4"/>
      <c r="FA993" s="4"/>
      <c r="FB993" s="4"/>
      <c r="FC993" s="4"/>
      <c r="FD993" s="4"/>
      <c r="FE993" s="4"/>
      <c r="FF993" s="4"/>
      <c r="FG993" s="4"/>
      <c r="FH993" s="4"/>
      <c r="FI993" s="4"/>
      <c r="FJ993" s="4"/>
      <c r="FK993" s="4"/>
      <c r="FL993" s="4"/>
      <c r="FM993" s="4"/>
      <c r="FN993" s="4"/>
      <c r="FO993" s="4"/>
      <c r="FP993" s="4"/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/>
      <c r="GJ993" s="4"/>
      <c r="GK993" s="4"/>
      <c r="GL993" s="4"/>
      <c r="GM993" s="4"/>
      <c r="GN993" s="4"/>
      <c r="GO993" s="4"/>
      <c r="GP993" s="4"/>
      <c r="GQ993" s="4"/>
      <c r="GR993" s="4"/>
      <c r="GS993" s="4"/>
      <c r="GT993" s="4"/>
      <c r="GU993" s="4"/>
      <c r="GV993" s="4"/>
      <c r="GW993" s="4"/>
      <c r="GX993" s="4"/>
      <c r="GY993" s="4"/>
      <c r="GZ993" s="4"/>
      <c r="HA993" s="4"/>
      <c r="HB993" s="4"/>
      <c r="HC993" s="4"/>
      <c r="HD993" s="4"/>
      <c r="HE993" s="4"/>
      <c r="HF993" s="4"/>
      <c r="HG993" s="4"/>
      <c r="HH993" s="4"/>
    </row>
    <row r="994" spans="16:216" ht="15.75" hidden="1" customHeight="1" x14ac:dyDescent="0.3"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</row>
    <row r="995" spans="16:216" ht="15.75" hidden="1" customHeight="1" x14ac:dyDescent="0.3"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/>
      <c r="EM995" s="4"/>
      <c r="EN995" s="4"/>
      <c r="EO995" s="4"/>
      <c r="EP995" s="4"/>
      <c r="EQ995" s="4"/>
      <c r="ER995" s="4"/>
      <c r="ES995" s="4"/>
      <c r="ET995" s="4"/>
      <c r="EU995" s="4"/>
      <c r="EV995" s="4"/>
      <c r="EW995" s="4"/>
      <c r="EX995" s="4"/>
      <c r="EY995" s="4"/>
      <c r="EZ995" s="4"/>
      <c r="FA995" s="4"/>
      <c r="FB995" s="4"/>
      <c r="FC995" s="4"/>
      <c r="FD995" s="4"/>
      <c r="FE995" s="4"/>
      <c r="FF995" s="4"/>
      <c r="FG995" s="4"/>
      <c r="FH995" s="4"/>
      <c r="FI995" s="4"/>
      <c r="FJ995" s="4"/>
      <c r="FK995" s="4"/>
      <c r="FL995" s="4"/>
      <c r="FM995" s="4"/>
      <c r="FN995" s="4"/>
      <c r="FO995" s="4"/>
      <c r="FP995" s="4"/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/>
      <c r="GJ995" s="4"/>
      <c r="GK995" s="4"/>
      <c r="GL995" s="4"/>
      <c r="GM995" s="4"/>
      <c r="GN995" s="4"/>
      <c r="GO995" s="4"/>
      <c r="GP995" s="4"/>
      <c r="GQ995" s="4"/>
      <c r="GR995" s="4"/>
      <c r="GS995" s="4"/>
      <c r="GT995" s="4"/>
      <c r="GU995" s="4"/>
      <c r="GV995" s="4"/>
      <c r="GW995" s="4"/>
      <c r="GX995" s="4"/>
      <c r="GY995" s="4"/>
      <c r="GZ995" s="4"/>
      <c r="HA995" s="4"/>
      <c r="HB995" s="4"/>
      <c r="HC995" s="4"/>
      <c r="HD995" s="4"/>
      <c r="HE995" s="4"/>
      <c r="HF995" s="4"/>
      <c r="HG995" s="4"/>
      <c r="HH995" s="4"/>
    </row>
    <row r="996" spans="16:216" ht="15.75" hidden="1" customHeight="1" x14ac:dyDescent="0.3"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/>
      <c r="GB996" s="4"/>
      <c r="GC996" s="4"/>
      <c r="GD996" s="4"/>
      <c r="GE996" s="4"/>
      <c r="GF996" s="4"/>
      <c r="GG996" s="4"/>
      <c r="GH996" s="4"/>
      <c r="GI996" s="4"/>
      <c r="GJ996" s="4"/>
      <c r="GK996" s="4"/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  <c r="HD996" s="4"/>
      <c r="HE996" s="4"/>
      <c r="HF996" s="4"/>
      <c r="HG996" s="4"/>
      <c r="HH996" s="4"/>
    </row>
    <row r="997" spans="16:216" ht="15.75" hidden="1" customHeight="1" x14ac:dyDescent="0.3"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  <c r="GJ997" s="4"/>
      <c r="GK997" s="4"/>
      <c r="GL997" s="4"/>
      <c r="GM997" s="4"/>
      <c r="GN997" s="4"/>
      <c r="GO997" s="4"/>
      <c r="GP997" s="4"/>
      <c r="GQ997" s="4"/>
      <c r="GR997" s="4"/>
      <c r="GS997" s="4"/>
      <c r="GT997" s="4"/>
      <c r="GU997" s="4"/>
      <c r="GV997" s="4"/>
      <c r="GW997" s="4"/>
      <c r="GX997" s="4"/>
      <c r="GY997" s="4"/>
      <c r="GZ997" s="4"/>
      <c r="HA997" s="4"/>
      <c r="HB997" s="4"/>
      <c r="HC997" s="4"/>
      <c r="HD997" s="4"/>
      <c r="HE997" s="4"/>
      <c r="HF997" s="4"/>
      <c r="HG997" s="4"/>
      <c r="HH997" s="4"/>
    </row>
    <row r="998" spans="16:216" ht="15.75" hidden="1" customHeight="1" x14ac:dyDescent="0.3"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/>
      <c r="GB998" s="4"/>
      <c r="GC998" s="4"/>
      <c r="GD998" s="4"/>
      <c r="GE998" s="4"/>
      <c r="GF998" s="4"/>
      <c r="GG998" s="4"/>
      <c r="GH998" s="4"/>
      <c r="GI998" s="4"/>
      <c r="GJ998" s="4"/>
      <c r="GK998" s="4"/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  <c r="HD998" s="4"/>
      <c r="HE998" s="4"/>
      <c r="HF998" s="4"/>
      <c r="HG998" s="4"/>
      <c r="HH998" s="4"/>
    </row>
    <row r="999" spans="16:216" ht="15.75" hidden="1" customHeight="1" x14ac:dyDescent="0.3"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4"/>
      <c r="FF999" s="4"/>
      <c r="FG999" s="4"/>
      <c r="FH999" s="4"/>
      <c r="FI999" s="4"/>
      <c r="FJ999" s="4"/>
      <c r="FK999" s="4"/>
      <c r="FL999" s="4"/>
      <c r="FM999" s="4"/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/>
      <c r="GJ999" s="4"/>
      <c r="GK999" s="4"/>
      <c r="GL999" s="4"/>
      <c r="GM999" s="4"/>
      <c r="GN999" s="4"/>
      <c r="GO999" s="4"/>
      <c r="GP999" s="4"/>
      <c r="GQ999" s="4"/>
      <c r="GR999" s="4"/>
      <c r="GS999" s="4"/>
      <c r="GT999" s="4"/>
      <c r="GU999" s="4"/>
      <c r="GV999" s="4"/>
      <c r="GW999" s="4"/>
      <c r="GX999" s="4"/>
      <c r="GY999" s="4"/>
      <c r="GZ999" s="4"/>
      <c r="HA999" s="4"/>
      <c r="HB999" s="4"/>
      <c r="HC999" s="4"/>
      <c r="HD999" s="4"/>
      <c r="HE999" s="4"/>
      <c r="HF999" s="4"/>
      <c r="HG999" s="4"/>
      <c r="HH999" s="4"/>
    </row>
    <row r="1000" spans="16:216" ht="15.75" hidden="1" customHeight="1" x14ac:dyDescent="0.3"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/>
      <c r="GB1000" s="4"/>
      <c r="GC1000" s="4"/>
      <c r="GD1000" s="4"/>
      <c r="GE1000" s="4"/>
      <c r="GF1000" s="4"/>
      <c r="GG1000" s="4"/>
      <c r="GH1000" s="4"/>
      <c r="GI1000" s="4"/>
      <c r="GJ1000" s="4"/>
      <c r="GK1000" s="4"/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  <c r="HD1000" s="4"/>
      <c r="HE1000" s="4"/>
      <c r="HF1000" s="4"/>
      <c r="HG1000" s="4"/>
      <c r="HH1000" s="4"/>
    </row>
    <row r="1001" spans="16:216" ht="15.75" hidden="1" customHeight="1" x14ac:dyDescent="0.3"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/>
      <c r="EL1001" s="4"/>
      <c r="EM1001" s="4"/>
      <c r="EN1001" s="4"/>
      <c r="EO1001" s="4"/>
      <c r="EP1001" s="4"/>
      <c r="EQ1001" s="4"/>
      <c r="ER1001" s="4"/>
      <c r="ES1001" s="4"/>
      <c r="ET1001" s="4"/>
      <c r="EU1001" s="4"/>
      <c r="EV1001" s="4"/>
      <c r="EW1001" s="4"/>
      <c r="EX1001" s="4"/>
      <c r="EY1001" s="4"/>
      <c r="EZ1001" s="4"/>
      <c r="FA1001" s="4"/>
      <c r="FB1001" s="4"/>
      <c r="FC1001" s="4"/>
      <c r="FD1001" s="4"/>
      <c r="FE1001" s="4"/>
      <c r="FF1001" s="4"/>
      <c r="FG1001" s="4"/>
      <c r="FH1001" s="4"/>
      <c r="FI1001" s="4"/>
      <c r="FJ1001" s="4"/>
      <c r="FK1001" s="4"/>
      <c r="FL1001" s="4"/>
      <c r="FM1001" s="4"/>
      <c r="FN1001" s="4"/>
      <c r="FO1001" s="4"/>
      <c r="FP1001" s="4"/>
      <c r="FQ1001" s="4"/>
      <c r="FR1001" s="4"/>
      <c r="FS1001" s="4"/>
      <c r="FT1001" s="4"/>
      <c r="FU1001" s="4"/>
      <c r="FV1001" s="4"/>
      <c r="FW1001" s="4"/>
      <c r="FX1001" s="4"/>
      <c r="FY1001" s="4"/>
      <c r="FZ1001" s="4"/>
      <c r="GA1001" s="4"/>
      <c r="GB1001" s="4"/>
      <c r="GC1001" s="4"/>
      <c r="GD1001" s="4"/>
      <c r="GE1001" s="4"/>
      <c r="GF1001" s="4"/>
      <c r="GG1001" s="4"/>
      <c r="GH1001" s="4"/>
      <c r="GI1001" s="4"/>
      <c r="GJ1001" s="4"/>
      <c r="GK1001" s="4"/>
      <c r="GL1001" s="4"/>
      <c r="GM1001" s="4"/>
      <c r="GN1001" s="4"/>
      <c r="GO1001" s="4"/>
      <c r="GP1001" s="4"/>
      <c r="GQ1001" s="4"/>
      <c r="GR1001" s="4"/>
      <c r="GS1001" s="4"/>
      <c r="GT1001" s="4"/>
      <c r="GU1001" s="4"/>
      <c r="GV1001" s="4"/>
      <c r="GW1001" s="4"/>
      <c r="GX1001" s="4"/>
      <c r="GY1001" s="4"/>
      <c r="GZ1001" s="4"/>
      <c r="HA1001" s="4"/>
      <c r="HB1001" s="4"/>
      <c r="HC1001" s="4"/>
      <c r="HD1001" s="4"/>
      <c r="HE1001" s="4"/>
      <c r="HF1001" s="4"/>
      <c r="HG1001" s="4"/>
      <c r="HH1001" s="4"/>
    </row>
    <row r="1002" spans="16:216" ht="15.75" hidden="1" customHeight="1" x14ac:dyDescent="0.3"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/>
      <c r="FG1002" s="4"/>
      <c r="FH1002" s="4"/>
      <c r="FI1002" s="4"/>
      <c r="FJ1002" s="4"/>
      <c r="FK1002" s="4"/>
      <c r="FL1002" s="4"/>
      <c r="FM1002" s="4"/>
      <c r="FN1002" s="4"/>
      <c r="FO1002" s="4"/>
      <c r="FP1002" s="4"/>
      <c r="FQ1002" s="4"/>
      <c r="FR1002" s="4"/>
      <c r="FS1002" s="4"/>
      <c r="FT1002" s="4"/>
      <c r="FU1002" s="4"/>
      <c r="FV1002" s="4"/>
      <c r="FW1002" s="4"/>
      <c r="FX1002" s="4"/>
      <c r="FY1002" s="4"/>
      <c r="FZ1002" s="4"/>
      <c r="GA1002" s="4"/>
      <c r="GB1002" s="4"/>
      <c r="GC1002" s="4"/>
      <c r="GD1002" s="4"/>
      <c r="GE1002" s="4"/>
      <c r="GF1002" s="4"/>
      <c r="GG1002" s="4"/>
      <c r="GH1002" s="4"/>
      <c r="GI1002" s="4"/>
      <c r="GJ1002" s="4"/>
      <c r="GK1002" s="4"/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  <c r="HD1002" s="4"/>
      <c r="HE1002" s="4"/>
      <c r="HF1002" s="4"/>
      <c r="HG1002" s="4"/>
      <c r="HH1002" s="4"/>
    </row>
    <row r="1003" spans="16:216" ht="15.75" hidden="1" customHeight="1" x14ac:dyDescent="0.3"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/>
      <c r="EL1003" s="4"/>
      <c r="EM1003" s="4"/>
      <c r="EN1003" s="4"/>
      <c r="EO1003" s="4"/>
      <c r="EP1003" s="4"/>
      <c r="EQ1003" s="4"/>
      <c r="ER1003" s="4"/>
      <c r="ES1003" s="4"/>
      <c r="ET1003" s="4"/>
      <c r="EU1003" s="4"/>
      <c r="EV1003" s="4"/>
      <c r="EW1003" s="4"/>
      <c r="EX1003" s="4"/>
      <c r="EY1003" s="4"/>
      <c r="EZ1003" s="4"/>
      <c r="FA1003" s="4"/>
      <c r="FB1003" s="4"/>
      <c r="FC1003" s="4"/>
      <c r="FD1003" s="4"/>
      <c r="FE1003" s="4"/>
      <c r="FF1003" s="4"/>
      <c r="FG1003" s="4"/>
      <c r="FH1003" s="4"/>
      <c r="FI1003" s="4"/>
      <c r="FJ1003" s="4"/>
      <c r="FK1003" s="4"/>
      <c r="FL1003" s="4"/>
      <c r="FM1003" s="4"/>
      <c r="FN1003" s="4"/>
      <c r="FO1003" s="4"/>
      <c r="FP1003" s="4"/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/>
      <c r="GJ1003" s="4"/>
      <c r="GK1003" s="4"/>
      <c r="GL1003" s="4"/>
      <c r="GM1003" s="4"/>
      <c r="GN1003" s="4"/>
      <c r="GO1003" s="4"/>
      <c r="GP1003" s="4"/>
      <c r="GQ1003" s="4"/>
      <c r="GR1003" s="4"/>
      <c r="GS1003" s="4"/>
      <c r="GT1003" s="4"/>
      <c r="GU1003" s="4"/>
      <c r="GV1003" s="4"/>
      <c r="GW1003" s="4"/>
      <c r="GX1003" s="4"/>
      <c r="GY1003" s="4"/>
      <c r="GZ1003" s="4"/>
      <c r="HA1003" s="4"/>
      <c r="HB1003" s="4"/>
      <c r="HC1003" s="4"/>
      <c r="HD1003" s="4"/>
      <c r="HE1003" s="4"/>
      <c r="HF1003" s="4"/>
      <c r="HG1003" s="4"/>
      <c r="HH1003" s="4"/>
    </row>
    <row r="1004" spans="16:216" ht="15.75" hidden="1" customHeight="1" x14ac:dyDescent="0.3"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4"/>
      <c r="EO1004" s="4"/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/>
      <c r="FG1004" s="4"/>
      <c r="FH1004" s="4"/>
      <c r="FI1004" s="4"/>
      <c r="FJ1004" s="4"/>
      <c r="FK1004" s="4"/>
      <c r="FL1004" s="4"/>
      <c r="FM1004" s="4"/>
      <c r="FN1004" s="4"/>
      <c r="FO1004" s="4"/>
      <c r="FP1004" s="4"/>
      <c r="FQ1004" s="4"/>
      <c r="FR1004" s="4"/>
      <c r="FS1004" s="4"/>
      <c r="FT1004" s="4"/>
      <c r="FU1004" s="4"/>
      <c r="FV1004" s="4"/>
      <c r="FW1004" s="4"/>
      <c r="FX1004" s="4"/>
      <c r="FY1004" s="4"/>
      <c r="FZ1004" s="4"/>
      <c r="GA1004" s="4"/>
      <c r="GB1004" s="4"/>
      <c r="GC1004" s="4"/>
      <c r="GD1004" s="4"/>
      <c r="GE1004" s="4"/>
      <c r="GF1004" s="4"/>
      <c r="GG1004" s="4"/>
      <c r="GH1004" s="4"/>
      <c r="GI1004" s="4"/>
      <c r="GJ1004" s="4"/>
      <c r="GK1004" s="4"/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  <c r="HD1004" s="4"/>
      <c r="HE1004" s="4"/>
      <c r="HF1004" s="4"/>
      <c r="HG1004" s="4"/>
      <c r="HH1004" s="4"/>
    </row>
    <row r="1005" spans="16:216" ht="15.75" hidden="1" customHeight="1" x14ac:dyDescent="0.3"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/>
      <c r="EL1005" s="4"/>
      <c r="EM1005" s="4"/>
      <c r="EN1005" s="4"/>
      <c r="EO1005" s="4"/>
      <c r="EP1005" s="4"/>
      <c r="EQ1005" s="4"/>
      <c r="ER1005" s="4"/>
      <c r="ES1005" s="4"/>
      <c r="ET1005" s="4"/>
      <c r="EU1005" s="4"/>
      <c r="EV1005" s="4"/>
      <c r="EW1005" s="4"/>
      <c r="EX1005" s="4"/>
      <c r="EY1005" s="4"/>
      <c r="EZ1005" s="4"/>
      <c r="FA1005" s="4"/>
      <c r="FB1005" s="4"/>
      <c r="FC1005" s="4"/>
      <c r="FD1005" s="4"/>
      <c r="FE1005" s="4"/>
      <c r="FF1005" s="4"/>
      <c r="FG1005" s="4"/>
      <c r="FH1005" s="4"/>
      <c r="FI1005" s="4"/>
      <c r="FJ1005" s="4"/>
      <c r="FK1005" s="4"/>
      <c r="FL1005" s="4"/>
      <c r="FM1005" s="4"/>
      <c r="FN1005" s="4"/>
      <c r="FO1005" s="4"/>
      <c r="FP1005" s="4"/>
      <c r="FQ1005" s="4"/>
      <c r="FR1005" s="4"/>
      <c r="FS1005" s="4"/>
      <c r="FT1005" s="4"/>
      <c r="FU1005" s="4"/>
      <c r="FV1005" s="4"/>
      <c r="FW1005" s="4"/>
      <c r="FX1005" s="4"/>
      <c r="FY1005" s="4"/>
      <c r="FZ1005" s="4"/>
      <c r="GA1005" s="4"/>
      <c r="GB1005" s="4"/>
      <c r="GC1005" s="4"/>
      <c r="GD1005" s="4"/>
      <c r="GE1005" s="4"/>
      <c r="GF1005" s="4"/>
      <c r="GG1005" s="4"/>
      <c r="GH1005" s="4"/>
      <c r="GI1005" s="4"/>
      <c r="GJ1005" s="4"/>
      <c r="GK1005" s="4"/>
      <c r="GL1005" s="4"/>
      <c r="GM1005" s="4"/>
      <c r="GN1005" s="4"/>
      <c r="GO1005" s="4"/>
      <c r="GP1005" s="4"/>
      <c r="GQ1005" s="4"/>
      <c r="GR1005" s="4"/>
      <c r="GS1005" s="4"/>
      <c r="GT1005" s="4"/>
      <c r="GU1005" s="4"/>
      <c r="GV1005" s="4"/>
      <c r="GW1005" s="4"/>
      <c r="GX1005" s="4"/>
      <c r="GY1005" s="4"/>
      <c r="GZ1005" s="4"/>
      <c r="HA1005" s="4"/>
      <c r="HB1005" s="4"/>
      <c r="HC1005" s="4"/>
      <c r="HD1005" s="4"/>
      <c r="HE1005" s="4"/>
      <c r="HF1005" s="4"/>
      <c r="HG1005" s="4"/>
      <c r="HH1005" s="4"/>
    </row>
    <row r="1006" spans="16:216" ht="15.75" hidden="1" customHeight="1" x14ac:dyDescent="0.3"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</row>
    <row r="1007" spans="16:216" ht="15.75" hidden="1" customHeight="1" x14ac:dyDescent="0.3"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  <c r="EZ1007" s="4"/>
      <c r="FA1007" s="4"/>
      <c r="FB1007" s="4"/>
      <c r="FC1007" s="4"/>
      <c r="FD1007" s="4"/>
      <c r="FE1007" s="4"/>
      <c r="FF1007" s="4"/>
      <c r="FG1007" s="4"/>
      <c r="FH1007" s="4"/>
      <c r="FI1007" s="4"/>
      <c r="FJ1007" s="4"/>
      <c r="FK1007" s="4"/>
      <c r="FL1007" s="4"/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/>
      <c r="GK1007" s="4"/>
      <c r="GL1007" s="4"/>
      <c r="GM1007" s="4"/>
      <c r="GN1007" s="4"/>
      <c r="GO1007" s="4"/>
      <c r="GP1007" s="4"/>
      <c r="GQ1007" s="4"/>
      <c r="GR1007" s="4"/>
      <c r="GS1007" s="4"/>
      <c r="GT1007" s="4"/>
      <c r="GU1007" s="4"/>
      <c r="GV1007" s="4"/>
      <c r="GW1007" s="4"/>
      <c r="GX1007" s="4"/>
      <c r="GY1007" s="4"/>
      <c r="GZ1007" s="4"/>
      <c r="HA1007" s="4"/>
      <c r="HB1007" s="4"/>
      <c r="HC1007" s="4"/>
      <c r="HD1007" s="4"/>
      <c r="HE1007" s="4"/>
      <c r="HF1007" s="4"/>
      <c r="HG1007" s="4"/>
      <c r="HH1007" s="4"/>
    </row>
    <row r="1008" spans="16:216" ht="15.75" hidden="1" customHeight="1" x14ac:dyDescent="0.3"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/>
      <c r="GK1008" s="4"/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</row>
    <row r="1009" spans="16:216" ht="15.75" hidden="1" customHeight="1" x14ac:dyDescent="0.3"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/>
      <c r="EM1009" s="4"/>
      <c r="EN1009" s="4"/>
      <c r="EO1009" s="4"/>
      <c r="EP1009" s="4"/>
      <c r="EQ1009" s="4"/>
      <c r="ER1009" s="4"/>
      <c r="ES1009" s="4"/>
      <c r="ET1009" s="4"/>
      <c r="EU1009" s="4"/>
      <c r="EV1009" s="4"/>
      <c r="EW1009" s="4"/>
      <c r="EX1009" s="4"/>
      <c r="EY1009" s="4"/>
      <c r="EZ1009" s="4"/>
      <c r="FA1009" s="4"/>
      <c r="FB1009" s="4"/>
      <c r="FC1009" s="4"/>
      <c r="FD1009" s="4"/>
      <c r="FE1009" s="4"/>
      <c r="FF1009" s="4"/>
      <c r="FG1009" s="4"/>
      <c r="FH1009" s="4"/>
      <c r="FI1009" s="4"/>
      <c r="FJ1009" s="4"/>
      <c r="FK1009" s="4"/>
      <c r="FL1009" s="4"/>
      <c r="FM1009" s="4"/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/>
      <c r="GJ1009" s="4"/>
      <c r="GK1009" s="4"/>
      <c r="GL1009" s="4"/>
      <c r="GM1009" s="4"/>
      <c r="GN1009" s="4"/>
      <c r="GO1009" s="4"/>
      <c r="GP1009" s="4"/>
      <c r="GQ1009" s="4"/>
      <c r="GR1009" s="4"/>
      <c r="GS1009" s="4"/>
      <c r="GT1009" s="4"/>
      <c r="GU1009" s="4"/>
      <c r="GV1009" s="4"/>
      <c r="GW1009" s="4"/>
      <c r="GX1009" s="4"/>
      <c r="GY1009" s="4"/>
      <c r="GZ1009" s="4"/>
      <c r="HA1009" s="4"/>
      <c r="HB1009" s="4"/>
      <c r="HC1009" s="4"/>
      <c r="HD1009" s="4"/>
      <c r="HE1009" s="4"/>
      <c r="HF1009" s="4"/>
      <c r="HG1009" s="4"/>
      <c r="HH1009" s="4"/>
    </row>
    <row r="1010" spans="16:216" ht="15.75" hidden="1" customHeight="1" x14ac:dyDescent="0.3"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/>
      <c r="GB1010" s="4"/>
      <c r="GC1010" s="4"/>
      <c r="GD1010" s="4"/>
      <c r="GE1010" s="4"/>
      <c r="GF1010" s="4"/>
      <c r="GG1010" s="4"/>
      <c r="GH1010" s="4"/>
      <c r="GI1010" s="4"/>
      <c r="GJ1010" s="4"/>
      <c r="GK1010" s="4"/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  <c r="HD1010" s="4"/>
      <c r="HE1010" s="4"/>
      <c r="HF1010" s="4"/>
      <c r="HG1010" s="4"/>
      <c r="HH1010" s="4"/>
    </row>
    <row r="1011" spans="16:216" ht="15.75" hidden="1" customHeight="1" x14ac:dyDescent="0.3"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/>
      <c r="EL1011" s="4"/>
      <c r="EM1011" s="4"/>
      <c r="EN1011" s="4"/>
      <c r="EO1011" s="4"/>
      <c r="EP1011" s="4"/>
      <c r="EQ1011" s="4"/>
      <c r="ER1011" s="4"/>
      <c r="ES1011" s="4"/>
      <c r="ET1011" s="4"/>
      <c r="EU1011" s="4"/>
      <c r="EV1011" s="4"/>
      <c r="EW1011" s="4"/>
      <c r="EX1011" s="4"/>
      <c r="EY1011" s="4"/>
      <c r="EZ1011" s="4"/>
      <c r="FA1011" s="4"/>
      <c r="FB1011" s="4"/>
      <c r="FC1011" s="4"/>
      <c r="FD1011" s="4"/>
      <c r="FE1011" s="4"/>
      <c r="FF1011" s="4"/>
      <c r="FG1011" s="4"/>
      <c r="FH1011" s="4"/>
      <c r="FI1011" s="4"/>
      <c r="FJ1011" s="4"/>
      <c r="FK1011" s="4"/>
      <c r="FL1011" s="4"/>
      <c r="FM1011" s="4"/>
      <c r="FN1011" s="4"/>
      <c r="FO1011" s="4"/>
      <c r="FP1011" s="4"/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/>
      <c r="GB1011" s="4"/>
      <c r="GC1011" s="4"/>
      <c r="GD1011" s="4"/>
      <c r="GE1011" s="4"/>
      <c r="GF1011" s="4"/>
      <c r="GG1011" s="4"/>
      <c r="GH1011" s="4"/>
      <c r="GI1011" s="4"/>
      <c r="GJ1011" s="4"/>
      <c r="GK1011" s="4"/>
      <c r="GL1011" s="4"/>
      <c r="GM1011" s="4"/>
      <c r="GN1011" s="4"/>
      <c r="GO1011" s="4"/>
      <c r="GP1011" s="4"/>
      <c r="GQ1011" s="4"/>
      <c r="GR1011" s="4"/>
      <c r="GS1011" s="4"/>
      <c r="GT1011" s="4"/>
      <c r="GU1011" s="4"/>
      <c r="GV1011" s="4"/>
      <c r="GW1011" s="4"/>
      <c r="GX1011" s="4"/>
      <c r="GY1011" s="4"/>
      <c r="GZ1011" s="4"/>
      <c r="HA1011" s="4"/>
      <c r="HB1011" s="4"/>
      <c r="HC1011" s="4"/>
      <c r="HD1011" s="4"/>
      <c r="HE1011" s="4"/>
      <c r="HF1011" s="4"/>
      <c r="HG1011" s="4"/>
      <c r="HH1011" s="4"/>
    </row>
    <row r="1012" spans="16:216" ht="15.75" hidden="1" customHeight="1" x14ac:dyDescent="0.3"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/>
      <c r="GB1012" s="4"/>
      <c r="GC1012" s="4"/>
      <c r="GD1012" s="4"/>
      <c r="GE1012" s="4"/>
      <c r="GF1012" s="4"/>
      <c r="GG1012" s="4"/>
      <c r="GH1012" s="4"/>
      <c r="GI1012" s="4"/>
      <c r="GJ1012" s="4"/>
      <c r="GK1012" s="4"/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  <c r="HD1012" s="4"/>
      <c r="HE1012" s="4"/>
      <c r="HF1012" s="4"/>
      <c r="HG1012" s="4"/>
      <c r="HH1012" s="4"/>
    </row>
    <row r="1013" spans="16:216" ht="15.75" hidden="1" customHeight="1" x14ac:dyDescent="0.3"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  <c r="EZ1013" s="4"/>
      <c r="FA1013" s="4"/>
      <c r="FB1013" s="4"/>
      <c r="FC1013" s="4"/>
      <c r="FD1013" s="4"/>
      <c r="FE1013" s="4"/>
      <c r="FF1013" s="4"/>
      <c r="FG1013" s="4"/>
      <c r="FH1013" s="4"/>
      <c r="FI1013" s="4"/>
      <c r="FJ1013" s="4"/>
      <c r="FK1013" s="4"/>
      <c r="FL1013" s="4"/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/>
      <c r="GJ1013" s="4"/>
      <c r="GK1013" s="4"/>
      <c r="GL1013" s="4"/>
      <c r="GM1013" s="4"/>
      <c r="GN1013" s="4"/>
      <c r="GO1013" s="4"/>
      <c r="GP1013" s="4"/>
      <c r="GQ1013" s="4"/>
      <c r="GR1013" s="4"/>
      <c r="GS1013" s="4"/>
      <c r="GT1013" s="4"/>
      <c r="GU1013" s="4"/>
      <c r="GV1013" s="4"/>
      <c r="GW1013" s="4"/>
      <c r="GX1013" s="4"/>
      <c r="GY1013" s="4"/>
      <c r="GZ1013" s="4"/>
      <c r="HA1013" s="4"/>
      <c r="HB1013" s="4"/>
      <c r="HC1013" s="4"/>
      <c r="HD1013" s="4"/>
      <c r="HE1013" s="4"/>
      <c r="HF1013" s="4"/>
      <c r="HG1013" s="4"/>
      <c r="HH1013" s="4"/>
    </row>
    <row r="1014" spans="16:216" ht="15.75" hidden="1" customHeight="1" x14ac:dyDescent="0.3"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/>
      <c r="GB1014" s="4"/>
      <c r="GC1014" s="4"/>
      <c r="GD1014" s="4"/>
      <c r="GE1014" s="4"/>
      <c r="GF1014" s="4"/>
      <c r="GG1014" s="4"/>
      <c r="GH1014" s="4"/>
      <c r="GI1014" s="4"/>
      <c r="GJ1014" s="4"/>
      <c r="GK1014" s="4"/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  <c r="HD1014" s="4"/>
      <c r="HE1014" s="4"/>
      <c r="HF1014" s="4"/>
      <c r="HG1014" s="4"/>
      <c r="HH1014" s="4"/>
    </row>
    <row r="1015" spans="16:216" ht="15.75" hidden="1" customHeight="1" x14ac:dyDescent="0.3"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/>
      <c r="GY1015" s="4"/>
      <c r="GZ1015" s="4"/>
      <c r="HA1015" s="4"/>
      <c r="HB1015" s="4"/>
      <c r="HC1015" s="4"/>
      <c r="HD1015" s="4"/>
      <c r="HE1015" s="4"/>
      <c r="HF1015" s="4"/>
      <c r="HG1015" s="4"/>
      <c r="HH1015" s="4"/>
    </row>
    <row r="1016" spans="16:216" ht="15.75" hidden="1" customHeight="1" x14ac:dyDescent="0.3"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</row>
    <row r="1017" spans="16:216" ht="15.75" hidden="1" customHeight="1" x14ac:dyDescent="0.3"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  <c r="HD1017" s="4"/>
      <c r="HE1017" s="4"/>
      <c r="HF1017" s="4"/>
      <c r="HG1017" s="4"/>
      <c r="HH1017" s="4"/>
    </row>
    <row r="1018" spans="16:216" ht="15.75" hidden="1" customHeight="1" x14ac:dyDescent="0.3"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  <c r="DW1018" s="4"/>
      <c r="DX1018" s="4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/>
      <c r="GB1018" s="4"/>
      <c r="GC1018" s="4"/>
      <c r="GD1018" s="4"/>
      <c r="GE1018" s="4"/>
      <c r="GF1018" s="4"/>
      <c r="GG1018" s="4"/>
      <c r="GH1018" s="4"/>
      <c r="GI1018" s="4"/>
      <c r="GJ1018" s="4"/>
      <c r="GK1018" s="4"/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  <c r="HD1018" s="4"/>
      <c r="HE1018" s="4"/>
      <c r="HF1018" s="4"/>
      <c r="HG1018" s="4"/>
      <c r="HH1018" s="4"/>
    </row>
    <row r="1019" spans="16:216" ht="15.75" hidden="1" customHeight="1" x14ac:dyDescent="0.3"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  <c r="DW1019" s="4"/>
      <c r="DX1019" s="4"/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/>
      <c r="EL1019" s="4"/>
      <c r="EM1019" s="4"/>
      <c r="EN1019" s="4"/>
      <c r="EO1019" s="4"/>
      <c r="EP1019" s="4"/>
      <c r="EQ1019" s="4"/>
      <c r="ER1019" s="4"/>
      <c r="ES1019" s="4"/>
      <c r="ET1019" s="4"/>
      <c r="EU1019" s="4"/>
      <c r="EV1019" s="4"/>
      <c r="EW1019" s="4"/>
      <c r="EX1019" s="4"/>
      <c r="EY1019" s="4"/>
      <c r="EZ1019" s="4"/>
      <c r="FA1019" s="4"/>
      <c r="FB1019" s="4"/>
      <c r="FC1019" s="4"/>
      <c r="FD1019" s="4"/>
      <c r="FE1019" s="4"/>
      <c r="FF1019" s="4"/>
      <c r="FG1019" s="4"/>
      <c r="FH1019" s="4"/>
      <c r="FI1019" s="4"/>
      <c r="FJ1019" s="4"/>
      <c r="FK1019" s="4"/>
      <c r="FL1019" s="4"/>
      <c r="FM1019" s="4"/>
      <c r="FN1019" s="4"/>
      <c r="FO1019" s="4"/>
      <c r="FP1019" s="4"/>
      <c r="FQ1019" s="4"/>
      <c r="FR1019" s="4"/>
      <c r="FS1019" s="4"/>
      <c r="FT1019" s="4"/>
      <c r="FU1019" s="4"/>
      <c r="FV1019" s="4"/>
      <c r="FW1019" s="4"/>
      <c r="FX1019" s="4"/>
      <c r="FY1019" s="4"/>
      <c r="FZ1019" s="4"/>
      <c r="GA1019" s="4"/>
      <c r="GB1019" s="4"/>
      <c r="GC1019" s="4"/>
      <c r="GD1019" s="4"/>
      <c r="GE1019" s="4"/>
      <c r="GF1019" s="4"/>
      <c r="GG1019" s="4"/>
      <c r="GH1019" s="4"/>
      <c r="GI1019" s="4"/>
      <c r="GJ1019" s="4"/>
      <c r="GK1019" s="4"/>
      <c r="GL1019" s="4"/>
      <c r="GM1019" s="4"/>
      <c r="GN1019" s="4"/>
      <c r="GO1019" s="4"/>
      <c r="GP1019" s="4"/>
      <c r="GQ1019" s="4"/>
      <c r="GR1019" s="4"/>
      <c r="GS1019" s="4"/>
      <c r="GT1019" s="4"/>
      <c r="GU1019" s="4"/>
      <c r="GV1019" s="4"/>
      <c r="GW1019" s="4"/>
      <c r="GX1019" s="4"/>
      <c r="GY1019" s="4"/>
      <c r="GZ1019" s="4"/>
      <c r="HA1019" s="4"/>
      <c r="HB1019" s="4"/>
      <c r="HC1019" s="4"/>
      <c r="HD1019" s="4"/>
      <c r="HE1019" s="4"/>
      <c r="HF1019" s="4"/>
      <c r="HG1019" s="4"/>
      <c r="HH1019" s="4"/>
    </row>
    <row r="1020" spans="16:216" ht="15.75" hidden="1" customHeight="1" x14ac:dyDescent="0.3"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/>
      <c r="GB1020" s="4"/>
      <c r="GC1020" s="4"/>
      <c r="GD1020" s="4"/>
      <c r="GE1020" s="4"/>
      <c r="GF1020" s="4"/>
      <c r="GG1020" s="4"/>
      <c r="GH1020" s="4"/>
      <c r="GI1020" s="4"/>
      <c r="GJ1020" s="4"/>
      <c r="GK1020" s="4"/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</row>
    <row r="1021" spans="16:216" ht="15.75" hidden="1" customHeight="1" x14ac:dyDescent="0.3"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/>
      <c r="EM1021" s="4"/>
      <c r="EN1021" s="4"/>
      <c r="EO1021" s="4"/>
      <c r="EP1021" s="4"/>
      <c r="EQ1021" s="4"/>
      <c r="ER1021" s="4"/>
      <c r="ES1021" s="4"/>
      <c r="ET1021" s="4"/>
      <c r="EU1021" s="4"/>
      <c r="EV1021" s="4"/>
      <c r="EW1021" s="4"/>
      <c r="EX1021" s="4"/>
      <c r="EY1021" s="4"/>
      <c r="EZ1021" s="4"/>
      <c r="FA1021" s="4"/>
      <c r="FB1021" s="4"/>
      <c r="FC1021" s="4"/>
      <c r="FD1021" s="4"/>
      <c r="FE1021" s="4"/>
      <c r="FF1021" s="4"/>
      <c r="FG1021" s="4"/>
      <c r="FH1021" s="4"/>
      <c r="FI1021" s="4"/>
      <c r="FJ1021" s="4"/>
      <c r="FK1021" s="4"/>
      <c r="FL1021" s="4"/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/>
      <c r="GJ1021" s="4"/>
      <c r="GK1021" s="4"/>
      <c r="GL1021" s="4"/>
      <c r="GM1021" s="4"/>
      <c r="GN1021" s="4"/>
      <c r="GO1021" s="4"/>
      <c r="GP1021" s="4"/>
      <c r="GQ1021" s="4"/>
      <c r="GR1021" s="4"/>
      <c r="GS1021" s="4"/>
      <c r="GT1021" s="4"/>
      <c r="GU1021" s="4"/>
      <c r="GV1021" s="4"/>
      <c r="GW1021" s="4"/>
      <c r="GX1021" s="4"/>
      <c r="GY1021" s="4"/>
      <c r="GZ1021" s="4"/>
      <c r="HA1021" s="4"/>
      <c r="HB1021" s="4"/>
      <c r="HC1021" s="4"/>
      <c r="HD1021" s="4"/>
      <c r="HE1021" s="4"/>
      <c r="HF1021" s="4"/>
      <c r="HG1021" s="4"/>
      <c r="HH1021" s="4"/>
    </row>
    <row r="1022" spans="16:216" ht="15.75" hidden="1" customHeight="1" x14ac:dyDescent="0.3"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/>
      <c r="GJ1022" s="4"/>
      <c r="GK1022" s="4"/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</row>
    <row r="1023" spans="16:216" ht="15.75" hidden="1" customHeight="1" x14ac:dyDescent="0.3"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  <c r="DW1023" s="4"/>
      <c r="DX1023" s="4"/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/>
      <c r="EM1023" s="4"/>
      <c r="EN1023" s="4"/>
      <c r="EO1023" s="4"/>
      <c r="EP1023" s="4"/>
      <c r="EQ1023" s="4"/>
      <c r="ER1023" s="4"/>
      <c r="ES1023" s="4"/>
      <c r="ET1023" s="4"/>
      <c r="EU1023" s="4"/>
      <c r="EV1023" s="4"/>
      <c r="EW1023" s="4"/>
      <c r="EX1023" s="4"/>
      <c r="EY1023" s="4"/>
      <c r="EZ1023" s="4"/>
      <c r="FA1023" s="4"/>
      <c r="FB1023" s="4"/>
      <c r="FC1023" s="4"/>
      <c r="FD1023" s="4"/>
      <c r="FE1023" s="4"/>
      <c r="FF1023" s="4"/>
      <c r="FG1023" s="4"/>
      <c r="FH1023" s="4"/>
      <c r="FI1023" s="4"/>
      <c r="FJ1023" s="4"/>
      <c r="FK1023" s="4"/>
      <c r="FL1023" s="4"/>
      <c r="FM1023" s="4"/>
      <c r="FN1023" s="4"/>
      <c r="FO1023" s="4"/>
      <c r="FP1023" s="4"/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/>
      <c r="GB1023" s="4"/>
      <c r="GC1023" s="4"/>
      <c r="GD1023" s="4"/>
      <c r="GE1023" s="4"/>
      <c r="GF1023" s="4"/>
      <c r="GG1023" s="4"/>
      <c r="GH1023" s="4"/>
      <c r="GI1023" s="4"/>
      <c r="GJ1023" s="4"/>
      <c r="GK1023" s="4"/>
      <c r="GL1023" s="4"/>
      <c r="GM1023" s="4"/>
      <c r="GN1023" s="4"/>
      <c r="GO1023" s="4"/>
      <c r="GP1023" s="4"/>
      <c r="GQ1023" s="4"/>
      <c r="GR1023" s="4"/>
      <c r="GS1023" s="4"/>
      <c r="GT1023" s="4"/>
      <c r="GU1023" s="4"/>
      <c r="GV1023" s="4"/>
      <c r="GW1023" s="4"/>
      <c r="GX1023" s="4"/>
      <c r="GY1023" s="4"/>
      <c r="GZ1023" s="4"/>
      <c r="HA1023" s="4"/>
      <c r="HB1023" s="4"/>
      <c r="HC1023" s="4"/>
      <c r="HD1023" s="4"/>
      <c r="HE1023" s="4"/>
      <c r="HF1023" s="4"/>
      <c r="HG1023" s="4"/>
      <c r="HH1023" s="4"/>
    </row>
    <row r="1024" spans="16:216" ht="15.75" hidden="1" customHeight="1" x14ac:dyDescent="0.3"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4"/>
      <c r="DW1024" s="4"/>
      <c r="DX1024" s="4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/>
      <c r="GB1024" s="4"/>
      <c r="GC1024" s="4"/>
      <c r="GD1024" s="4"/>
      <c r="GE1024" s="4"/>
      <c r="GF1024" s="4"/>
      <c r="GG1024" s="4"/>
      <c r="GH1024" s="4"/>
      <c r="GI1024" s="4"/>
      <c r="GJ1024" s="4"/>
      <c r="GK1024" s="4"/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  <c r="HD1024" s="4"/>
      <c r="HE1024" s="4"/>
      <c r="HF1024" s="4"/>
      <c r="HG1024" s="4"/>
      <c r="HH1024" s="4"/>
    </row>
    <row r="1025" spans="16:216" ht="15.75" hidden="1" customHeight="1" x14ac:dyDescent="0.3"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/>
      <c r="EM1025" s="4"/>
      <c r="EN1025" s="4"/>
      <c r="EO1025" s="4"/>
      <c r="EP1025" s="4"/>
      <c r="EQ1025" s="4"/>
      <c r="ER1025" s="4"/>
      <c r="ES1025" s="4"/>
      <c r="ET1025" s="4"/>
      <c r="EU1025" s="4"/>
      <c r="EV1025" s="4"/>
      <c r="EW1025" s="4"/>
      <c r="EX1025" s="4"/>
      <c r="EY1025" s="4"/>
      <c r="EZ1025" s="4"/>
      <c r="FA1025" s="4"/>
      <c r="FB1025" s="4"/>
      <c r="FC1025" s="4"/>
      <c r="FD1025" s="4"/>
      <c r="FE1025" s="4"/>
      <c r="FF1025" s="4"/>
      <c r="FG1025" s="4"/>
      <c r="FH1025" s="4"/>
      <c r="FI1025" s="4"/>
      <c r="FJ1025" s="4"/>
      <c r="FK1025" s="4"/>
      <c r="FL1025" s="4"/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/>
      <c r="GJ1025" s="4"/>
      <c r="GK1025" s="4"/>
      <c r="GL1025" s="4"/>
      <c r="GM1025" s="4"/>
      <c r="GN1025" s="4"/>
      <c r="GO1025" s="4"/>
      <c r="GP1025" s="4"/>
      <c r="GQ1025" s="4"/>
      <c r="GR1025" s="4"/>
      <c r="GS1025" s="4"/>
      <c r="GT1025" s="4"/>
      <c r="GU1025" s="4"/>
      <c r="GV1025" s="4"/>
      <c r="GW1025" s="4"/>
      <c r="GX1025" s="4"/>
      <c r="GY1025" s="4"/>
      <c r="GZ1025" s="4"/>
      <c r="HA1025" s="4"/>
      <c r="HB1025" s="4"/>
      <c r="HC1025" s="4"/>
      <c r="HD1025" s="4"/>
      <c r="HE1025" s="4"/>
      <c r="HF1025" s="4"/>
      <c r="HG1025" s="4"/>
      <c r="HH1025" s="4"/>
    </row>
    <row r="1026" spans="16:216" ht="15.75" hidden="1" customHeight="1" x14ac:dyDescent="0.3"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  <c r="DW1026" s="4"/>
      <c r="DX1026" s="4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/>
      <c r="GB1026" s="4"/>
      <c r="GC1026" s="4"/>
      <c r="GD1026" s="4"/>
      <c r="GE1026" s="4"/>
      <c r="GF1026" s="4"/>
      <c r="GG1026" s="4"/>
      <c r="GH1026" s="4"/>
      <c r="GI1026" s="4"/>
      <c r="GJ1026" s="4"/>
      <c r="GK1026" s="4"/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  <c r="HD1026" s="4"/>
      <c r="HE1026" s="4"/>
      <c r="HF1026" s="4"/>
      <c r="HG1026" s="4"/>
      <c r="HH1026" s="4"/>
    </row>
    <row r="1027" spans="16:216" ht="15.75" hidden="1" customHeight="1" x14ac:dyDescent="0.3"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4"/>
      <c r="DW1027" s="4"/>
      <c r="DX1027" s="4"/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/>
      <c r="EM1027" s="4"/>
      <c r="EN1027" s="4"/>
      <c r="EO1027" s="4"/>
      <c r="EP1027" s="4"/>
      <c r="EQ1027" s="4"/>
      <c r="ER1027" s="4"/>
      <c r="ES1027" s="4"/>
      <c r="ET1027" s="4"/>
      <c r="EU1027" s="4"/>
      <c r="EV1027" s="4"/>
      <c r="EW1027" s="4"/>
      <c r="EX1027" s="4"/>
      <c r="EY1027" s="4"/>
      <c r="EZ1027" s="4"/>
      <c r="FA1027" s="4"/>
      <c r="FB1027" s="4"/>
      <c r="FC1027" s="4"/>
      <c r="FD1027" s="4"/>
      <c r="FE1027" s="4"/>
      <c r="FF1027" s="4"/>
      <c r="FG1027" s="4"/>
      <c r="FH1027" s="4"/>
      <c r="FI1027" s="4"/>
      <c r="FJ1027" s="4"/>
      <c r="FK1027" s="4"/>
      <c r="FL1027" s="4"/>
      <c r="FM1027" s="4"/>
      <c r="FN1027" s="4"/>
      <c r="FO1027" s="4"/>
      <c r="FP1027" s="4"/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/>
      <c r="GB1027" s="4"/>
      <c r="GC1027" s="4"/>
      <c r="GD1027" s="4"/>
      <c r="GE1027" s="4"/>
      <c r="GF1027" s="4"/>
      <c r="GG1027" s="4"/>
      <c r="GH1027" s="4"/>
      <c r="GI1027" s="4"/>
      <c r="GJ1027" s="4"/>
      <c r="GK1027" s="4"/>
      <c r="GL1027" s="4"/>
      <c r="GM1027" s="4"/>
      <c r="GN1027" s="4"/>
      <c r="GO1027" s="4"/>
      <c r="GP1027" s="4"/>
      <c r="GQ1027" s="4"/>
      <c r="GR1027" s="4"/>
      <c r="GS1027" s="4"/>
      <c r="GT1027" s="4"/>
      <c r="GU1027" s="4"/>
      <c r="GV1027" s="4"/>
      <c r="GW1027" s="4"/>
      <c r="GX1027" s="4"/>
      <c r="GY1027" s="4"/>
      <c r="GZ1027" s="4"/>
      <c r="HA1027" s="4"/>
      <c r="HB1027" s="4"/>
      <c r="HC1027" s="4"/>
      <c r="HD1027" s="4"/>
      <c r="HE1027" s="4"/>
      <c r="HF1027" s="4"/>
      <c r="HG1027" s="4"/>
      <c r="HH1027" s="4"/>
    </row>
    <row r="1028" spans="16:216" ht="15.75" hidden="1" customHeight="1" x14ac:dyDescent="0.3"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/>
      <c r="GJ1028" s="4"/>
      <c r="GK1028" s="4"/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</row>
    <row r="1029" spans="16:216" ht="15.75" hidden="1" customHeight="1" x14ac:dyDescent="0.3"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4"/>
      <c r="DW1029" s="4"/>
      <c r="DX1029" s="4"/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/>
      <c r="EL1029" s="4"/>
      <c r="EM1029" s="4"/>
      <c r="EN1029" s="4"/>
      <c r="EO1029" s="4"/>
      <c r="EP1029" s="4"/>
      <c r="EQ1029" s="4"/>
      <c r="ER1029" s="4"/>
      <c r="ES1029" s="4"/>
      <c r="ET1029" s="4"/>
      <c r="EU1029" s="4"/>
      <c r="EV1029" s="4"/>
      <c r="EW1029" s="4"/>
      <c r="EX1029" s="4"/>
      <c r="EY1029" s="4"/>
      <c r="EZ1029" s="4"/>
      <c r="FA1029" s="4"/>
      <c r="FB1029" s="4"/>
      <c r="FC1029" s="4"/>
      <c r="FD1029" s="4"/>
      <c r="FE1029" s="4"/>
      <c r="FF1029" s="4"/>
      <c r="FG1029" s="4"/>
      <c r="FH1029" s="4"/>
      <c r="FI1029" s="4"/>
      <c r="FJ1029" s="4"/>
      <c r="FK1029" s="4"/>
      <c r="FL1029" s="4"/>
      <c r="FM1029" s="4"/>
      <c r="FN1029" s="4"/>
      <c r="FO1029" s="4"/>
      <c r="FP1029" s="4"/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/>
      <c r="GB1029" s="4"/>
      <c r="GC1029" s="4"/>
      <c r="GD1029" s="4"/>
      <c r="GE1029" s="4"/>
      <c r="GF1029" s="4"/>
      <c r="GG1029" s="4"/>
      <c r="GH1029" s="4"/>
      <c r="GI1029" s="4"/>
      <c r="GJ1029" s="4"/>
      <c r="GK1029" s="4"/>
      <c r="GL1029" s="4"/>
      <c r="GM1029" s="4"/>
      <c r="GN1029" s="4"/>
      <c r="GO1029" s="4"/>
      <c r="GP1029" s="4"/>
      <c r="GQ1029" s="4"/>
      <c r="GR1029" s="4"/>
      <c r="GS1029" s="4"/>
      <c r="GT1029" s="4"/>
      <c r="GU1029" s="4"/>
      <c r="GV1029" s="4"/>
      <c r="GW1029" s="4"/>
      <c r="GX1029" s="4"/>
      <c r="GY1029" s="4"/>
      <c r="GZ1029" s="4"/>
      <c r="HA1029" s="4"/>
      <c r="HB1029" s="4"/>
      <c r="HC1029" s="4"/>
      <c r="HD1029" s="4"/>
      <c r="HE1029" s="4"/>
      <c r="HF1029" s="4"/>
      <c r="HG1029" s="4"/>
      <c r="HH1029" s="4"/>
    </row>
    <row r="1030" spans="16:216" ht="15.75" hidden="1" customHeight="1" x14ac:dyDescent="0.3"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  <c r="DW1030" s="4"/>
      <c r="DX1030" s="4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/>
      <c r="GB1030" s="4"/>
      <c r="GC1030" s="4"/>
      <c r="GD1030" s="4"/>
      <c r="GE1030" s="4"/>
      <c r="GF1030" s="4"/>
      <c r="GG1030" s="4"/>
      <c r="GH1030" s="4"/>
      <c r="GI1030" s="4"/>
      <c r="GJ1030" s="4"/>
      <c r="GK1030" s="4"/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  <c r="HD1030" s="4"/>
      <c r="HE1030" s="4"/>
      <c r="HF1030" s="4"/>
      <c r="HG1030" s="4"/>
      <c r="HH1030" s="4"/>
    </row>
    <row r="1031" spans="16:216" ht="15.75" hidden="1" customHeight="1" x14ac:dyDescent="0.3"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  <c r="DW1031" s="4"/>
      <c r="DX1031" s="4"/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/>
      <c r="EM1031" s="4"/>
      <c r="EN1031" s="4"/>
      <c r="EO1031" s="4"/>
      <c r="EP1031" s="4"/>
      <c r="EQ1031" s="4"/>
      <c r="ER1031" s="4"/>
      <c r="ES1031" s="4"/>
      <c r="ET1031" s="4"/>
      <c r="EU1031" s="4"/>
      <c r="EV1031" s="4"/>
      <c r="EW1031" s="4"/>
      <c r="EX1031" s="4"/>
      <c r="EY1031" s="4"/>
      <c r="EZ1031" s="4"/>
      <c r="FA1031" s="4"/>
      <c r="FB1031" s="4"/>
      <c r="FC1031" s="4"/>
      <c r="FD1031" s="4"/>
      <c r="FE1031" s="4"/>
      <c r="FF1031" s="4"/>
      <c r="FG1031" s="4"/>
      <c r="FH1031" s="4"/>
      <c r="FI1031" s="4"/>
      <c r="FJ1031" s="4"/>
      <c r="FK1031" s="4"/>
      <c r="FL1031" s="4"/>
      <c r="FM1031" s="4"/>
      <c r="FN1031" s="4"/>
      <c r="FO1031" s="4"/>
      <c r="FP1031" s="4"/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/>
      <c r="GB1031" s="4"/>
      <c r="GC1031" s="4"/>
      <c r="GD1031" s="4"/>
      <c r="GE1031" s="4"/>
      <c r="GF1031" s="4"/>
      <c r="GG1031" s="4"/>
      <c r="GH1031" s="4"/>
      <c r="GI1031" s="4"/>
      <c r="GJ1031" s="4"/>
      <c r="GK1031" s="4"/>
      <c r="GL1031" s="4"/>
      <c r="GM1031" s="4"/>
      <c r="GN1031" s="4"/>
      <c r="GO1031" s="4"/>
      <c r="GP1031" s="4"/>
      <c r="GQ1031" s="4"/>
      <c r="GR1031" s="4"/>
      <c r="GS1031" s="4"/>
      <c r="GT1031" s="4"/>
      <c r="GU1031" s="4"/>
      <c r="GV1031" s="4"/>
      <c r="GW1031" s="4"/>
      <c r="GX1031" s="4"/>
      <c r="GY1031" s="4"/>
      <c r="GZ1031" s="4"/>
      <c r="HA1031" s="4"/>
      <c r="HB1031" s="4"/>
      <c r="HC1031" s="4"/>
      <c r="HD1031" s="4"/>
      <c r="HE1031" s="4"/>
      <c r="HF1031" s="4"/>
      <c r="HG1031" s="4"/>
      <c r="HH1031" s="4"/>
    </row>
    <row r="1032" spans="16:216" ht="15.75" hidden="1" customHeight="1" x14ac:dyDescent="0.3"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/>
      <c r="GB1032" s="4"/>
      <c r="GC1032" s="4"/>
      <c r="GD1032" s="4"/>
      <c r="GE1032" s="4"/>
      <c r="GF1032" s="4"/>
      <c r="GG1032" s="4"/>
      <c r="GH1032" s="4"/>
      <c r="GI1032" s="4"/>
      <c r="GJ1032" s="4"/>
      <c r="GK1032" s="4"/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</row>
    <row r="1033" spans="16:216" ht="15.75" hidden="1" customHeight="1" x14ac:dyDescent="0.3"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4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/>
      <c r="GK1033" s="4"/>
      <c r="GL1033" s="4"/>
      <c r="GM1033" s="4"/>
      <c r="GN1033" s="4"/>
      <c r="GO1033" s="4"/>
      <c r="GP1033" s="4"/>
      <c r="GQ1033" s="4"/>
      <c r="GR1033" s="4"/>
      <c r="GS1033" s="4"/>
      <c r="GT1033" s="4"/>
      <c r="GU1033" s="4"/>
      <c r="GV1033" s="4"/>
      <c r="GW1033" s="4"/>
      <c r="GX1033" s="4"/>
      <c r="GY1033" s="4"/>
      <c r="GZ1033" s="4"/>
      <c r="HA1033" s="4"/>
      <c r="HB1033" s="4"/>
      <c r="HC1033" s="4"/>
      <c r="HD1033" s="4"/>
      <c r="HE1033" s="4"/>
      <c r="HF1033" s="4"/>
      <c r="HG1033" s="4"/>
      <c r="HH1033" s="4"/>
    </row>
    <row r="1034" spans="16:216" ht="15.75" hidden="1" customHeight="1" x14ac:dyDescent="0.3"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  <c r="DW1034" s="4"/>
      <c r="DX1034" s="4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/>
      <c r="GB1034" s="4"/>
      <c r="GC1034" s="4"/>
      <c r="GD1034" s="4"/>
      <c r="GE1034" s="4"/>
      <c r="GF1034" s="4"/>
      <c r="GG1034" s="4"/>
      <c r="GH1034" s="4"/>
      <c r="GI1034" s="4"/>
      <c r="GJ1034" s="4"/>
      <c r="GK1034" s="4"/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  <c r="HD1034" s="4"/>
      <c r="HE1034" s="4"/>
      <c r="HF1034" s="4"/>
      <c r="HG1034" s="4"/>
      <c r="HH1034" s="4"/>
    </row>
    <row r="1035" spans="16:216" ht="15.75" hidden="1" customHeight="1" x14ac:dyDescent="0.3"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  <c r="DW1035" s="4"/>
      <c r="DX1035" s="4"/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/>
      <c r="EM1035" s="4"/>
      <c r="EN1035" s="4"/>
      <c r="EO1035" s="4"/>
      <c r="EP1035" s="4"/>
      <c r="EQ1035" s="4"/>
      <c r="ER1035" s="4"/>
      <c r="ES1035" s="4"/>
      <c r="ET1035" s="4"/>
      <c r="EU1035" s="4"/>
      <c r="EV1035" s="4"/>
      <c r="EW1035" s="4"/>
      <c r="EX1035" s="4"/>
      <c r="EY1035" s="4"/>
      <c r="EZ1035" s="4"/>
      <c r="FA1035" s="4"/>
      <c r="FB1035" s="4"/>
      <c r="FC1035" s="4"/>
      <c r="FD1035" s="4"/>
      <c r="FE1035" s="4"/>
      <c r="FF1035" s="4"/>
      <c r="FG1035" s="4"/>
      <c r="FH1035" s="4"/>
      <c r="FI1035" s="4"/>
      <c r="FJ1035" s="4"/>
      <c r="FK1035" s="4"/>
      <c r="FL1035" s="4"/>
      <c r="FM1035" s="4"/>
      <c r="FN1035" s="4"/>
      <c r="FO1035" s="4"/>
      <c r="FP1035" s="4"/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/>
      <c r="GB1035" s="4"/>
      <c r="GC1035" s="4"/>
      <c r="GD1035" s="4"/>
      <c r="GE1035" s="4"/>
      <c r="GF1035" s="4"/>
      <c r="GG1035" s="4"/>
      <c r="GH1035" s="4"/>
      <c r="GI1035" s="4"/>
      <c r="GJ1035" s="4"/>
      <c r="GK1035" s="4"/>
      <c r="GL1035" s="4"/>
      <c r="GM1035" s="4"/>
      <c r="GN1035" s="4"/>
      <c r="GO1035" s="4"/>
      <c r="GP1035" s="4"/>
      <c r="GQ1035" s="4"/>
      <c r="GR1035" s="4"/>
      <c r="GS1035" s="4"/>
      <c r="GT1035" s="4"/>
      <c r="GU1035" s="4"/>
      <c r="GV1035" s="4"/>
      <c r="GW1035" s="4"/>
      <c r="GX1035" s="4"/>
      <c r="GY1035" s="4"/>
      <c r="GZ1035" s="4"/>
      <c r="HA1035" s="4"/>
      <c r="HB1035" s="4"/>
      <c r="HC1035" s="4"/>
      <c r="HD1035" s="4"/>
      <c r="HE1035" s="4"/>
      <c r="HF1035" s="4"/>
      <c r="HG1035" s="4"/>
      <c r="HH1035" s="4"/>
    </row>
    <row r="1036" spans="16:216" ht="15.75" hidden="1" customHeight="1" x14ac:dyDescent="0.3"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4"/>
      <c r="DW1036" s="4"/>
      <c r="DX1036" s="4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4"/>
      <c r="EO1036" s="4"/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/>
      <c r="FG1036" s="4"/>
      <c r="FH1036" s="4"/>
      <c r="FI1036" s="4"/>
      <c r="FJ1036" s="4"/>
      <c r="FK1036" s="4"/>
      <c r="FL1036" s="4"/>
      <c r="FM1036" s="4"/>
      <c r="FN1036" s="4"/>
      <c r="FO1036" s="4"/>
      <c r="FP1036" s="4"/>
      <c r="FQ1036" s="4"/>
      <c r="FR1036" s="4"/>
      <c r="FS1036" s="4"/>
      <c r="FT1036" s="4"/>
      <c r="FU1036" s="4"/>
      <c r="FV1036" s="4"/>
      <c r="FW1036" s="4"/>
      <c r="FX1036" s="4"/>
      <c r="FY1036" s="4"/>
      <c r="FZ1036" s="4"/>
      <c r="GA1036" s="4"/>
      <c r="GB1036" s="4"/>
      <c r="GC1036" s="4"/>
      <c r="GD1036" s="4"/>
      <c r="GE1036" s="4"/>
      <c r="GF1036" s="4"/>
      <c r="GG1036" s="4"/>
      <c r="GH1036" s="4"/>
      <c r="GI1036" s="4"/>
      <c r="GJ1036" s="4"/>
      <c r="GK1036" s="4"/>
      <c r="GL1036" s="4"/>
      <c r="GM1036" s="4"/>
      <c r="GN1036" s="4"/>
      <c r="GO1036" s="4"/>
      <c r="GP1036" s="4"/>
      <c r="GQ1036" s="4"/>
      <c r="GR1036" s="4"/>
      <c r="GS1036" s="4"/>
      <c r="GT1036" s="4"/>
      <c r="GU1036" s="4"/>
      <c r="GV1036" s="4"/>
      <c r="GW1036" s="4"/>
      <c r="GX1036" s="4"/>
      <c r="GY1036" s="4"/>
      <c r="GZ1036" s="4"/>
      <c r="HA1036" s="4"/>
      <c r="HB1036" s="4"/>
      <c r="HC1036" s="4"/>
      <c r="HD1036" s="4"/>
      <c r="HE1036" s="4"/>
      <c r="HF1036" s="4"/>
      <c r="HG1036" s="4"/>
      <c r="HH1036" s="4"/>
    </row>
    <row r="1037" spans="16:216" ht="15.75" hidden="1" customHeight="1" x14ac:dyDescent="0.3"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  <c r="DU1037" s="4"/>
      <c r="DV1037" s="4"/>
      <c r="DW1037" s="4"/>
      <c r="DX1037" s="4"/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/>
      <c r="EL1037" s="4"/>
      <c r="EM1037" s="4"/>
      <c r="EN1037" s="4"/>
      <c r="EO1037" s="4"/>
      <c r="EP1037" s="4"/>
      <c r="EQ1037" s="4"/>
      <c r="ER1037" s="4"/>
      <c r="ES1037" s="4"/>
      <c r="ET1037" s="4"/>
      <c r="EU1037" s="4"/>
      <c r="EV1037" s="4"/>
      <c r="EW1037" s="4"/>
      <c r="EX1037" s="4"/>
      <c r="EY1037" s="4"/>
      <c r="EZ1037" s="4"/>
      <c r="FA1037" s="4"/>
      <c r="FB1037" s="4"/>
      <c r="FC1037" s="4"/>
      <c r="FD1037" s="4"/>
      <c r="FE1037" s="4"/>
      <c r="FF1037" s="4"/>
      <c r="FG1037" s="4"/>
      <c r="FH1037" s="4"/>
      <c r="FI1037" s="4"/>
      <c r="FJ1037" s="4"/>
      <c r="FK1037" s="4"/>
      <c r="FL1037" s="4"/>
      <c r="FM1037" s="4"/>
      <c r="FN1037" s="4"/>
      <c r="FO1037" s="4"/>
      <c r="FP1037" s="4"/>
      <c r="FQ1037" s="4"/>
      <c r="FR1037" s="4"/>
      <c r="FS1037" s="4"/>
      <c r="FT1037" s="4"/>
      <c r="FU1037" s="4"/>
      <c r="FV1037" s="4"/>
      <c r="FW1037" s="4"/>
      <c r="FX1037" s="4"/>
      <c r="FY1037" s="4"/>
      <c r="FZ1037" s="4"/>
      <c r="GA1037" s="4"/>
      <c r="GB1037" s="4"/>
      <c r="GC1037" s="4"/>
      <c r="GD1037" s="4"/>
      <c r="GE1037" s="4"/>
      <c r="GF1037" s="4"/>
      <c r="GG1037" s="4"/>
      <c r="GH1037" s="4"/>
      <c r="GI1037" s="4"/>
      <c r="GJ1037" s="4"/>
      <c r="GK1037" s="4"/>
      <c r="GL1037" s="4"/>
      <c r="GM1037" s="4"/>
      <c r="GN1037" s="4"/>
      <c r="GO1037" s="4"/>
      <c r="GP1037" s="4"/>
      <c r="GQ1037" s="4"/>
      <c r="GR1037" s="4"/>
      <c r="GS1037" s="4"/>
      <c r="GT1037" s="4"/>
      <c r="GU1037" s="4"/>
      <c r="GV1037" s="4"/>
      <c r="GW1037" s="4"/>
      <c r="GX1037" s="4"/>
      <c r="GY1037" s="4"/>
      <c r="GZ1037" s="4"/>
      <c r="HA1037" s="4"/>
      <c r="HB1037" s="4"/>
      <c r="HC1037" s="4"/>
      <c r="HD1037" s="4"/>
      <c r="HE1037" s="4"/>
      <c r="HF1037" s="4"/>
      <c r="HG1037" s="4"/>
      <c r="HH1037" s="4"/>
    </row>
    <row r="1038" spans="16:216" ht="15.75" hidden="1" customHeight="1" x14ac:dyDescent="0.3"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4"/>
      <c r="DW1038" s="4"/>
      <c r="DX1038" s="4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/>
      <c r="GB1038" s="4"/>
      <c r="GC1038" s="4"/>
      <c r="GD1038" s="4"/>
      <c r="GE1038" s="4"/>
      <c r="GF1038" s="4"/>
      <c r="GG1038" s="4"/>
      <c r="GH1038" s="4"/>
      <c r="GI1038" s="4"/>
      <c r="GJ1038" s="4"/>
      <c r="GK1038" s="4"/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  <c r="HD1038" s="4"/>
      <c r="HE1038" s="4"/>
      <c r="HF1038" s="4"/>
      <c r="HG1038" s="4"/>
      <c r="HH1038" s="4"/>
    </row>
    <row r="1039" spans="16:216" ht="15.75" hidden="1" customHeight="1" x14ac:dyDescent="0.3"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  <c r="DI1039" s="4"/>
      <c r="DJ1039" s="4"/>
      <c r="DK1039" s="4"/>
      <c r="DL1039" s="4"/>
      <c r="DM1039" s="4"/>
      <c r="DN1039" s="4"/>
      <c r="DO1039" s="4"/>
      <c r="DP1039" s="4"/>
      <c r="DQ1039" s="4"/>
      <c r="DR1039" s="4"/>
      <c r="DS1039" s="4"/>
      <c r="DT1039" s="4"/>
      <c r="DU1039" s="4"/>
      <c r="DV1039" s="4"/>
      <c r="DW1039" s="4"/>
      <c r="DX1039" s="4"/>
      <c r="DY1039" s="4"/>
      <c r="DZ1039" s="4"/>
      <c r="EA1039" s="4"/>
      <c r="EB1039" s="4"/>
      <c r="EC1039" s="4"/>
      <c r="ED1039" s="4"/>
      <c r="EE1039" s="4"/>
      <c r="EF1039" s="4"/>
      <c r="EG1039" s="4"/>
      <c r="EH1039" s="4"/>
      <c r="EI1039" s="4"/>
      <c r="EJ1039" s="4"/>
      <c r="EK1039" s="4"/>
      <c r="EL1039" s="4"/>
      <c r="EM1039" s="4"/>
      <c r="EN1039" s="4"/>
      <c r="EO1039" s="4"/>
      <c r="EP1039" s="4"/>
      <c r="EQ1039" s="4"/>
      <c r="ER1039" s="4"/>
      <c r="ES1039" s="4"/>
      <c r="ET1039" s="4"/>
      <c r="EU1039" s="4"/>
      <c r="EV1039" s="4"/>
      <c r="EW1039" s="4"/>
      <c r="EX1039" s="4"/>
      <c r="EY1039" s="4"/>
      <c r="EZ1039" s="4"/>
      <c r="FA1039" s="4"/>
      <c r="FB1039" s="4"/>
      <c r="FC1039" s="4"/>
      <c r="FD1039" s="4"/>
      <c r="FE1039" s="4"/>
      <c r="FF1039" s="4"/>
      <c r="FG1039" s="4"/>
      <c r="FH1039" s="4"/>
      <c r="FI1039" s="4"/>
      <c r="FJ1039" s="4"/>
      <c r="FK1039" s="4"/>
      <c r="FL1039" s="4"/>
      <c r="FM1039" s="4"/>
      <c r="FN1039" s="4"/>
      <c r="FO1039" s="4"/>
      <c r="FP1039" s="4"/>
      <c r="FQ1039" s="4"/>
      <c r="FR1039" s="4"/>
      <c r="FS1039" s="4"/>
      <c r="FT1039" s="4"/>
      <c r="FU1039" s="4"/>
      <c r="FV1039" s="4"/>
      <c r="FW1039" s="4"/>
      <c r="FX1039" s="4"/>
      <c r="FY1039" s="4"/>
      <c r="FZ1039" s="4"/>
      <c r="GA1039" s="4"/>
      <c r="GB1039" s="4"/>
      <c r="GC1039" s="4"/>
      <c r="GD1039" s="4"/>
      <c r="GE1039" s="4"/>
      <c r="GF1039" s="4"/>
      <c r="GG1039" s="4"/>
      <c r="GH1039" s="4"/>
      <c r="GI1039" s="4"/>
      <c r="GJ1039" s="4"/>
      <c r="GK1039" s="4"/>
      <c r="GL1039" s="4"/>
      <c r="GM1039" s="4"/>
      <c r="GN1039" s="4"/>
      <c r="GO1039" s="4"/>
      <c r="GP1039" s="4"/>
      <c r="GQ1039" s="4"/>
      <c r="GR1039" s="4"/>
      <c r="GS1039" s="4"/>
      <c r="GT1039" s="4"/>
      <c r="GU1039" s="4"/>
      <c r="GV1039" s="4"/>
      <c r="GW1039" s="4"/>
      <c r="GX1039" s="4"/>
      <c r="GY1039" s="4"/>
      <c r="GZ1039" s="4"/>
      <c r="HA1039" s="4"/>
      <c r="HB1039" s="4"/>
      <c r="HC1039" s="4"/>
      <c r="HD1039" s="4"/>
      <c r="HE1039" s="4"/>
      <c r="HF1039" s="4"/>
      <c r="HG1039" s="4"/>
      <c r="HH1039" s="4"/>
    </row>
    <row r="1040" spans="16:216" ht="15.75" hidden="1" customHeight="1" x14ac:dyDescent="0.3"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4"/>
      <c r="DL1040" s="4"/>
      <c r="DM1040" s="4"/>
      <c r="DN1040" s="4"/>
      <c r="DO1040" s="4"/>
      <c r="DP1040" s="4"/>
      <c r="DQ1040" s="4"/>
      <c r="DR1040" s="4"/>
      <c r="DS1040" s="4"/>
      <c r="DT1040" s="4"/>
      <c r="DU1040" s="4"/>
      <c r="DV1040" s="4"/>
      <c r="DW1040" s="4"/>
      <c r="DX1040" s="4"/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/>
      <c r="EM1040" s="4"/>
      <c r="EN1040" s="4"/>
      <c r="EO1040" s="4"/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/>
      <c r="FD1040" s="4"/>
      <c r="FE1040" s="4"/>
      <c r="FF1040" s="4"/>
      <c r="FG1040" s="4"/>
      <c r="FH1040" s="4"/>
      <c r="FI1040" s="4"/>
      <c r="FJ1040" s="4"/>
      <c r="FK1040" s="4"/>
      <c r="FL1040" s="4"/>
      <c r="FM1040" s="4"/>
      <c r="FN1040" s="4"/>
      <c r="FO1040" s="4"/>
      <c r="FP1040" s="4"/>
      <c r="FQ1040" s="4"/>
      <c r="FR1040" s="4"/>
      <c r="FS1040" s="4"/>
      <c r="FT1040" s="4"/>
      <c r="FU1040" s="4"/>
      <c r="FV1040" s="4"/>
      <c r="FW1040" s="4"/>
      <c r="FX1040" s="4"/>
      <c r="FY1040" s="4"/>
      <c r="FZ1040" s="4"/>
      <c r="GA1040" s="4"/>
      <c r="GB1040" s="4"/>
      <c r="GC1040" s="4"/>
      <c r="GD1040" s="4"/>
      <c r="GE1040" s="4"/>
      <c r="GF1040" s="4"/>
      <c r="GG1040" s="4"/>
      <c r="GH1040" s="4"/>
      <c r="GI1040" s="4"/>
      <c r="GJ1040" s="4"/>
      <c r="GK1040" s="4"/>
      <c r="GL1040" s="4"/>
      <c r="GM1040" s="4"/>
      <c r="GN1040" s="4"/>
      <c r="GO1040" s="4"/>
      <c r="GP1040" s="4"/>
      <c r="GQ1040" s="4"/>
      <c r="GR1040" s="4"/>
      <c r="GS1040" s="4"/>
      <c r="GT1040" s="4"/>
      <c r="GU1040" s="4"/>
      <c r="GV1040" s="4"/>
      <c r="GW1040" s="4"/>
      <c r="GX1040" s="4"/>
      <c r="GY1040" s="4"/>
      <c r="GZ1040" s="4"/>
      <c r="HA1040" s="4"/>
      <c r="HB1040" s="4"/>
      <c r="HC1040" s="4"/>
      <c r="HD1040" s="4"/>
      <c r="HE1040" s="4"/>
      <c r="HF1040" s="4"/>
      <c r="HG1040" s="4"/>
      <c r="HH1040" s="4"/>
    </row>
    <row r="1041" spans="16:216" ht="15.75" hidden="1" customHeight="1" x14ac:dyDescent="0.3"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  <c r="DU1041" s="4"/>
      <c r="DV1041" s="4"/>
      <c r="DW1041" s="4"/>
      <c r="DX1041" s="4"/>
      <c r="DY1041" s="4"/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/>
      <c r="EL1041" s="4"/>
      <c r="EM1041" s="4"/>
      <c r="EN1041" s="4"/>
      <c r="EO1041" s="4"/>
      <c r="EP1041" s="4"/>
      <c r="EQ1041" s="4"/>
      <c r="ER1041" s="4"/>
      <c r="ES1041" s="4"/>
      <c r="ET1041" s="4"/>
      <c r="EU1041" s="4"/>
      <c r="EV1041" s="4"/>
      <c r="EW1041" s="4"/>
      <c r="EX1041" s="4"/>
      <c r="EY1041" s="4"/>
      <c r="EZ1041" s="4"/>
      <c r="FA1041" s="4"/>
      <c r="FB1041" s="4"/>
      <c r="FC1041" s="4"/>
      <c r="FD1041" s="4"/>
      <c r="FE1041" s="4"/>
      <c r="FF1041" s="4"/>
      <c r="FG1041" s="4"/>
      <c r="FH1041" s="4"/>
      <c r="FI1041" s="4"/>
      <c r="FJ1041" s="4"/>
      <c r="FK1041" s="4"/>
      <c r="FL1041" s="4"/>
      <c r="FM1041" s="4"/>
      <c r="FN1041" s="4"/>
      <c r="FO1041" s="4"/>
      <c r="FP1041" s="4"/>
      <c r="FQ1041" s="4"/>
      <c r="FR1041" s="4"/>
      <c r="FS1041" s="4"/>
      <c r="FT1041" s="4"/>
      <c r="FU1041" s="4"/>
      <c r="FV1041" s="4"/>
      <c r="FW1041" s="4"/>
      <c r="FX1041" s="4"/>
      <c r="FY1041" s="4"/>
      <c r="FZ1041" s="4"/>
      <c r="GA1041" s="4"/>
      <c r="GB1041" s="4"/>
      <c r="GC1041" s="4"/>
      <c r="GD1041" s="4"/>
      <c r="GE1041" s="4"/>
      <c r="GF1041" s="4"/>
      <c r="GG1041" s="4"/>
      <c r="GH1041" s="4"/>
      <c r="GI1041" s="4"/>
      <c r="GJ1041" s="4"/>
      <c r="GK1041" s="4"/>
      <c r="GL1041" s="4"/>
      <c r="GM1041" s="4"/>
      <c r="GN1041" s="4"/>
      <c r="GO1041" s="4"/>
      <c r="GP1041" s="4"/>
      <c r="GQ1041" s="4"/>
      <c r="GR1041" s="4"/>
      <c r="GS1041" s="4"/>
      <c r="GT1041" s="4"/>
      <c r="GU1041" s="4"/>
      <c r="GV1041" s="4"/>
      <c r="GW1041" s="4"/>
      <c r="GX1041" s="4"/>
      <c r="GY1041" s="4"/>
      <c r="GZ1041" s="4"/>
      <c r="HA1041" s="4"/>
      <c r="HB1041" s="4"/>
      <c r="HC1041" s="4"/>
      <c r="HD1041" s="4"/>
      <c r="HE1041" s="4"/>
      <c r="HF1041" s="4"/>
      <c r="HG1041" s="4"/>
      <c r="HH1041" s="4"/>
    </row>
    <row r="1042" spans="16:216" ht="15.75" hidden="1" customHeight="1" x14ac:dyDescent="0.3"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4"/>
      <c r="DL1042" s="4"/>
      <c r="DM1042" s="4"/>
      <c r="DN1042" s="4"/>
      <c r="DO1042" s="4"/>
      <c r="DP1042" s="4"/>
      <c r="DQ1042" s="4"/>
      <c r="DR1042" s="4"/>
      <c r="DS1042" s="4"/>
      <c r="DT1042" s="4"/>
      <c r="DU1042" s="4"/>
      <c r="DV1042" s="4"/>
      <c r="DW1042" s="4"/>
      <c r="DX1042" s="4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/>
      <c r="EM1042" s="4"/>
      <c r="EN1042" s="4"/>
      <c r="EO1042" s="4"/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4"/>
      <c r="FF1042" s="4"/>
      <c r="FG1042" s="4"/>
      <c r="FH1042" s="4"/>
      <c r="FI1042" s="4"/>
      <c r="FJ1042" s="4"/>
      <c r="FK1042" s="4"/>
      <c r="FL1042" s="4"/>
      <c r="FM1042" s="4"/>
      <c r="FN1042" s="4"/>
      <c r="FO1042" s="4"/>
      <c r="FP1042" s="4"/>
      <c r="FQ1042" s="4"/>
      <c r="FR1042" s="4"/>
      <c r="FS1042" s="4"/>
      <c r="FT1042" s="4"/>
      <c r="FU1042" s="4"/>
      <c r="FV1042" s="4"/>
      <c r="FW1042" s="4"/>
      <c r="FX1042" s="4"/>
      <c r="FY1042" s="4"/>
      <c r="FZ1042" s="4"/>
      <c r="GA1042" s="4"/>
      <c r="GB1042" s="4"/>
      <c r="GC1042" s="4"/>
      <c r="GD1042" s="4"/>
      <c r="GE1042" s="4"/>
      <c r="GF1042" s="4"/>
      <c r="GG1042" s="4"/>
      <c r="GH1042" s="4"/>
      <c r="GI1042" s="4"/>
      <c r="GJ1042" s="4"/>
      <c r="GK1042" s="4"/>
      <c r="GL1042" s="4"/>
      <c r="GM1042" s="4"/>
      <c r="GN1042" s="4"/>
      <c r="GO1042" s="4"/>
      <c r="GP1042" s="4"/>
      <c r="GQ1042" s="4"/>
      <c r="GR1042" s="4"/>
      <c r="GS1042" s="4"/>
      <c r="GT1042" s="4"/>
      <c r="GU1042" s="4"/>
      <c r="GV1042" s="4"/>
      <c r="GW1042" s="4"/>
      <c r="GX1042" s="4"/>
      <c r="GY1042" s="4"/>
      <c r="GZ1042" s="4"/>
      <c r="HA1042" s="4"/>
      <c r="HB1042" s="4"/>
      <c r="HC1042" s="4"/>
      <c r="HD1042" s="4"/>
      <c r="HE1042" s="4"/>
      <c r="HF1042" s="4"/>
      <c r="HG1042" s="4"/>
      <c r="HH1042" s="4"/>
    </row>
    <row r="1043" spans="16:216" ht="15.75" hidden="1" customHeight="1" x14ac:dyDescent="0.3"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  <c r="DI1043" s="4"/>
      <c r="DJ1043" s="4"/>
      <c r="DK1043" s="4"/>
      <c r="DL1043" s="4"/>
      <c r="DM1043" s="4"/>
      <c r="DN1043" s="4"/>
      <c r="DO1043" s="4"/>
      <c r="DP1043" s="4"/>
      <c r="DQ1043" s="4"/>
      <c r="DR1043" s="4"/>
      <c r="DS1043" s="4"/>
      <c r="DT1043" s="4"/>
      <c r="DU1043" s="4"/>
      <c r="DV1043" s="4"/>
      <c r="DW1043" s="4"/>
      <c r="DX1043" s="4"/>
      <c r="DY1043" s="4"/>
      <c r="DZ1043" s="4"/>
      <c r="EA1043" s="4"/>
      <c r="EB1043" s="4"/>
      <c r="EC1043" s="4"/>
      <c r="ED1043" s="4"/>
      <c r="EE1043" s="4"/>
      <c r="EF1043" s="4"/>
      <c r="EG1043" s="4"/>
      <c r="EH1043" s="4"/>
      <c r="EI1043" s="4"/>
      <c r="EJ1043" s="4"/>
      <c r="EK1043" s="4"/>
      <c r="EL1043" s="4"/>
      <c r="EM1043" s="4"/>
      <c r="EN1043" s="4"/>
      <c r="EO1043" s="4"/>
      <c r="EP1043" s="4"/>
      <c r="EQ1043" s="4"/>
      <c r="ER1043" s="4"/>
      <c r="ES1043" s="4"/>
      <c r="ET1043" s="4"/>
      <c r="EU1043" s="4"/>
      <c r="EV1043" s="4"/>
      <c r="EW1043" s="4"/>
      <c r="EX1043" s="4"/>
      <c r="EY1043" s="4"/>
      <c r="EZ1043" s="4"/>
      <c r="FA1043" s="4"/>
      <c r="FB1043" s="4"/>
      <c r="FC1043" s="4"/>
      <c r="FD1043" s="4"/>
      <c r="FE1043" s="4"/>
      <c r="FF1043" s="4"/>
      <c r="FG1043" s="4"/>
      <c r="FH1043" s="4"/>
      <c r="FI1043" s="4"/>
      <c r="FJ1043" s="4"/>
      <c r="FK1043" s="4"/>
      <c r="FL1043" s="4"/>
      <c r="FM1043" s="4"/>
      <c r="FN1043" s="4"/>
      <c r="FO1043" s="4"/>
      <c r="FP1043" s="4"/>
      <c r="FQ1043" s="4"/>
      <c r="FR1043" s="4"/>
      <c r="FS1043" s="4"/>
      <c r="FT1043" s="4"/>
      <c r="FU1043" s="4"/>
      <c r="FV1043" s="4"/>
      <c r="FW1043" s="4"/>
      <c r="FX1043" s="4"/>
      <c r="FY1043" s="4"/>
      <c r="FZ1043" s="4"/>
      <c r="GA1043" s="4"/>
      <c r="GB1043" s="4"/>
      <c r="GC1043" s="4"/>
      <c r="GD1043" s="4"/>
      <c r="GE1043" s="4"/>
      <c r="GF1043" s="4"/>
      <c r="GG1043" s="4"/>
      <c r="GH1043" s="4"/>
      <c r="GI1043" s="4"/>
      <c r="GJ1043" s="4"/>
      <c r="GK1043" s="4"/>
      <c r="GL1043" s="4"/>
      <c r="GM1043" s="4"/>
      <c r="GN1043" s="4"/>
      <c r="GO1043" s="4"/>
      <c r="GP1043" s="4"/>
      <c r="GQ1043" s="4"/>
      <c r="GR1043" s="4"/>
      <c r="GS1043" s="4"/>
      <c r="GT1043" s="4"/>
      <c r="GU1043" s="4"/>
      <c r="GV1043" s="4"/>
      <c r="GW1043" s="4"/>
      <c r="GX1043" s="4"/>
      <c r="GY1043" s="4"/>
      <c r="GZ1043" s="4"/>
      <c r="HA1043" s="4"/>
      <c r="HB1043" s="4"/>
      <c r="HC1043" s="4"/>
      <c r="HD1043" s="4"/>
      <c r="HE1043" s="4"/>
      <c r="HF1043" s="4"/>
      <c r="HG1043" s="4"/>
      <c r="HH1043" s="4"/>
    </row>
    <row r="1044" spans="16:216" ht="15.75" hidden="1" customHeight="1" x14ac:dyDescent="0.3"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4"/>
      <c r="DL1044" s="4"/>
      <c r="DM1044" s="4"/>
      <c r="DN1044" s="4"/>
      <c r="DO1044" s="4"/>
      <c r="DP1044" s="4"/>
      <c r="DQ1044" s="4"/>
      <c r="DR1044" s="4"/>
      <c r="DS1044" s="4"/>
      <c r="DT1044" s="4"/>
      <c r="DU1044" s="4"/>
      <c r="DV1044" s="4"/>
      <c r="DW1044" s="4"/>
      <c r="DX1044" s="4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/>
      <c r="EM1044" s="4"/>
      <c r="EN1044" s="4"/>
      <c r="EO1044" s="4"/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/>
      <c r="FD1044" s="4"/>
      <c r="FE1044" s="4"/>
      <c r="FF1044" s="4"/>
      <c r="FG1044" s="4"/>
      <c r="FH1044" s="4"/>
      <c r="FI1044" s="4"/>
      <c r="FJ1044" s="4"/>
      <c r="FK1044" s="4"/>
      <c r="FL1044" s="4"/>
      <c r="FM1044" s="4"/>
      <c r="FN1044" s="4"/>
      <c r="FO1044" s="4"/>
      <c r="FP1044" s="4"/>
      <c r="FQ1044" s="4"/>
      <c r="FR1044" s="4"/>
      <c r="FS1044" s="4"/>
      <c r="FT1044" s="4"/>
      <c r="FU1044" s="4"/>
      <c r="FV1044" s="4"/>
      <c r="FW1044" s="4"/>
      <c r="FX1044" s="4"/>
      <c r="FY1044" s="4"/>
      <c r="FZ1044" s="4"/>
      <c r="GA1044" s="4"/>
      <c r="GB1044" s="4"/>
      <c r="GC1044" s="4"/>
      <c r="GD1044" s="4"/>
      <c r="GE1044" s="4"/>
      <c r="GF1044" s="4"/>
      <c r="GG1044" s="4"/>
      <c r="GH1044" s="4"/>
      <c r="GI1044" s="4"/>
      <c r="GJ1044" s="4"/>
      <c r="GK1044" s="4"/>
      <c r="GL1044" s="4"/>
      <c r="GM1044" s="4"/>
      <c r="GN1044" s="4"/>
      <c r="GO1044" s="4"/>
      <c r="GP1044" s="4"/>
      <c r="GQ1044" s="4"/>
      <c r="GR1044" s="4"/>
      <c r="GS1044" s="4"/>
      <c r="GT1044" s="4"/>
      <c r="GU1044" s="4"/>
      <c r="GV1044" s="4"/>
      <c r="GW1044" s="4"/>
      <c r="GX1044" s="4"/>
      <c r="GY1044" s="4"/>
      <c r="GZ1044" s="4"/>
      <c r="HA1044" s="4"/>
      <c r="HB1044" s="4"/>
      <c r="HC1044" s="4"/>
      <c r="HD1044" s="4"/>
      <c r="HE1044" s="4"/>
      <c r="HF1044" s="4"/>
      <c r="HG1044" s="4"/>
      <c r="HH1044" s="4"/>
    </row>
    <row r="1045" spans="16:216" ht="15.75" hidden="1" customHeight="1" x14ac:dyDescent="0.3"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/>
      <c r="EL1045" s="4"/>
      <c r="EM1045" s="4"/>
      <c r="EN1045" s="4"/>
      <c r="EO1045" s="4"/>
      <c r="EP1045" s="4"/>
      <c r="EQ1045" s="4"/>
      <c r="ER1045" s="4"/>
      <c r="ES1045" s="4"/>
      <c r="ET1045" s="4"/>
      <c r="EU1045" s="4"/>
      <c r="EV1045" s="4"/>
      <c r="EW1045" s="4"/>
      <c r="EX1045" s="4"/>
      <c r="EY1045" s="4"/>
      <c r="EZ1045" s="4"/>
      <c r="FA1045" s="4"/>
      <c r="FB1045" s="4"/>
      <c r="FC1045" s="4"/>
      <c r="FD1045" s="4"/>
      <c r="FE1045" s="4"/>
      <c r="FF1045" s="4"/>
      <c r="FG1045" s="4"/>
      <c r="FH1045" s="4"/>
      <c r="FI1045" s="4"/>
      <c r="FJ1045" s="4"/>
      <c r="FK1045" s="4"/>
      <c r="FL1045" s="4"/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/>
      <c r="GJ1045" s="4"/>
      <c r="GK1045" s="4"/>
      <c r="GL1045" s="4"/>
      <c r="GM1045" s="4"/>
      <c r="GN1045" s="4"/>
      <c r="GO1045" s="4"/>
      <c r="GP1045" s="4"/>
      <c r="GQ1045" s="4"/>
      <c r="GR1045" s="4"/>
      <c r="GS1045" s="4"/>
      <c r="GT1045" s="4"/>
      <c r="GU1045" s="4"/>
      <c r="GV1045" s="4"/>
      <c r="GW1045" s="4"/>
      <c r="GX1045" s="4"/>
      <c r="GY1045" s="4"/>
      <c r="GZ1045" s="4"/>
      <c r="HA1045" s="4"/>
      <c r="HB1045" s="4"/>
      <c r="HC1045" s="4"/>
      <c r="HD1045" s="4"/>
      <c r="HE1045" s="4"/>
      <c r="HF1045" s="4"/>
      <c r="HG1045" s="4"/>
      <c r="HH1045" s="4"/>
    </row>
    <row r="1046" spans="16:216" ht="15.75" hidden="1" customHeight="1" x14ac:dyDescent="0.3"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4"/>
      <c r="DL1046" s="4"/>
      <c r="DM1046" s="4"/>
      <c r="DN1046" s="4"/>
      <c r="DO1046" s="4"/>
      <c r="DP1046" s="4"/>
      <c r="DQ1046" s="4"/>
      <c r="DR1046" s="4"/>
      <c r="DS1046" s="4"/>
      <c r="DT1046" s="4"/>
      <c r="DU1046" s="4"/>
      <c r="DV1046" s="4"/>
      <c r="DW1046" s="4"/>
      <c r="DX1046" s="4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/>
      <c r="EM1046" s="4"/>
      <c r="EN1046" s="4"/>
      <c r="EO1046" s="4"/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4"/>
      <c r="FF1046" s="4"/>
      <c r="FG1046" s="4"/>
      <c r="FH1046" s="4"/>
      <c r="FI1046" s="4"/>
      <c r="FJ1046" s="4"/>
      <c r="FK1046" s="4"/>
      <c r="FL1046" s="4"/>
      <c r="FM1046" s="4"/>
      <c r="FN1046" s="4"/>
      <c r="FO1046" s="4"/>
      <c r="FP1046" s="4"/>
      <c r="FQ1046" s="4"/>
      <c r="FR1046" s="4"/>
      <c r="FS1046" s="4"/>
      <c r="FT1046" s="4"/>
      <c r="FU1046" s="4"/>
      <c r="FV1046" s="4"/>
      <c r="FW1046" s="4"/>
      <c r="FX1046" s="4"/>
      <c r="FY1046" s="4"/>
      <c r="FZ1046" s="4"/>
      <c r="GA1046" s="4"/>
      <c r="GB1046" s="4"/>
      <c r="GC1046" s="4"/>
      <c r="GD1046" s="4"/>
      <c r="GE1046" s="4"/>
      <c r="GF1046" s="4"/>
      <c r="GG1046" s="4"/>
      <c r="GH1046" s="4"/>
      <c r="GI1046" s="4"/>
      <c r="GJ1046" s="4"/>
      <c r="GK1046" s="4"/>
      <c r="GL1046" s="4"/>
      <c r="GM1046" s="4"/>
      <c r="GN1046" s="4"/>
      <c r="GO1046" s="4"/>
      <c r="GP1046" s="4"/>
      <c r="GQ1046" s="4"/>
      <c r="GR1046" s="4"/>
      <c r="GS1046" s="4"/>
      <c r="GT1046" s="4"/>
      <c r="GU1046" s="4"/>
      <c r="GV1046" s="4"/>
      <c r="GW1046" s="4"/>
      <c r="GX1046" s="4"/>
      <c r="GY1046" s="4"/>
      <c r="GZ1046" s="4"/>
      <c r="HA1046" s="4"/>
      <c r="HB1046" s="4"/>
      <c r="HC1046" s="4"/>
      <c r="HD1046" s="4"/>
      <c r="HE1046" s="4"/>
      <c r="HF1046" s="4"/>
      <c r="HG1046" s="4"/>
      <c r="HH1046" s="4"/>
    </row>
    <row r="1047" spans="16:216" ht="15.75" hidden="1" customHeight="1" x14ac:dyDescent="0.3"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4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/>
      <c r="GK1047" s="4"/>
      <c r="GL1047" s="4"/>
      <c r="GM1047" s="4"/>
      <c r="GN1047" s="4"/>
      <c r="GO1047" s="4"/>
      <c r="GP1047" s="4"/>
      <c r="GQ1047" s="4"/>
      <c r="GR1047" s="4"/>
      <c r="GS1047" s="4"/>
      <c r="GT1047" s="4"/>
      <c r="GU1047" s="4"/>
      <c r="GV1047" s="4"/>
      <c r="GW1047" s="4"/>
      <c r="GX1047" s="4"/>
      <c r="GY1047" s="4"/>
      <c r="GZ1047" s="4"/>
      <c r="HA1047" s="4"/>
      <c r="HB1047" s="4"/>
      <c r="HC1047" s="4"/>
      <c r="HD1047" s="4"/>
      <c r="HE1047" s="4"/>
      <c r="HF1047" s="4"/>
      <c r="HG1047" s="4"/>
      <c r="HH1047" s="4"/>
    </row>
    <row r="1048" spans="16:216" ht="15.75" hidden="1" customHeight="1" x14ac:dyDescent="0.3"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  <c r="DW1048" s="4"/>
      <c r="DX1048" s="4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/>
      <c r="GB1048" s="4"/>
      <c r="GC1048" s="4"/>
      <c r="GD1048" s="4"/>
      <c r="GE1048" s="4"/>
      <c r="GF1048" s="4"/>
      <c r="GG1048" s="4"/>
      <c r="GH1048" s="4"/>
      <c r="GI1048" s="4"/>
      <c r="GJ1048" s="4"/>
      <c r="GK1048" s="4"/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  <c r="HD1048" s="4"/>
      <c r="HE1048" s="4"/>
      <c r="HF1048" s="4"/>
      <c r="HG1048" s="4"/>
      <c r="HH1048" s="4"/>
    </row>
    <row r="1049" spans="16:216" ht="15.75" hidden="1" customHeight="1" x14ac:dyDescent="0.3"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  <c r="DI1049" s="4"/>
      <c r="DJ1049" s="4"/>
      <c r="DK1049" s="4"/>
      <c r="DL1049" s="4"/>
      <c r="DM1049" s="4"/>
      <c r="DN1049" s="4"/>
      <c r="DO1049" s="4"/>
      <c r="DP1049" s="4"/>
      <c r="DQ1049" s="4"/>
      <c r="DR1049" s="4"/>
      <c r="DS1049" s="4"/>
      <c r="DT1049" s="4"/>
      <c r="DU1049" s="4"/>
      <c r="DV1049" s="4"/>
      <c r="DW1049" s="4"/>
      <c r="DX1049" s="4"/>
      <c r="DY1049" s="4"/>
      <c r="DZ1049" s="4"/>
      <c r="EA1049" s="4"/>
      <c r="EB1049" s="4"/>
      <c r="EC1049" s="4"/>
      <c r="ED1049" s="4"/>
      <c r="EE1049" s="4"/>
      <c r="EF1049" s="4"/>
      <c r="EG1049" s="4"/>
      <c r="EH1049" s="4"/>
      <c r="EI1049" s="4"/>
      <c r="EJ1049" s="4"/>
      <c r="EK1049" s="4"/>
      <c r="EL1049" s="4"/>
      <c r="EM1049" s="4"/>
      <c r="EN1049" s="4"/>
      <c r="EO1049" s="4"/>
      <c r="EP1049" s="4"/>
      <c r="EQ1049" s="4"/>
      <c r="ER1049" s="4"/>
      <c r="ES1049" s="4"/>
      <c r="ET1049" s="4"/>
      <c r="EU1049" s="4"/>
      <c r="EV1049" s="4"/>
      <c r="EW1049" s="4"/>
      <c r="EX1049" s="4"/>
      <c r="EY1049" s="4"/>
      <c r="EZ1049" s="4"/>
      <c r="FA1049" s="4"/>
      <c r="FB1049" s="4"/>
      <c r="FC1049" s="4"/>
      <c r="FD1049" s="4"/>
      <c r="FE1049" s="4"/>
      <c r="FF1049" s="4"/>
      <c r="FG1049" s="4"/>
      <c r="FH1049" s="4"/>
      <c r="FI1049" s="4"/>
      <c r="FJ1049" s="4"/>
      <c r="FK1049" s="4"/>
      <c r="FL1049" s="4"/>
      <c r="FM1049" s="4"/>
      <c r="FN1049" s="4"/>
      <c r="FO1049" s="4"/>
      <c r="FP1049" s="4"/>
      <c r="FQ1049" s="4"/>
      <c r="FR1049" s="4"/>
      <c r="FS1049" s="4"/>
      <c r="FT1049" s="4"/>
      <c r="FU1049" s="4"/>
      <c r="FV1049" s="4"/>
      <c r="FW1049" s="4"/>
      <c r="FX1049" s="4"/>
      <c r="FY1049" s="4"/>
      <c r="FZ1049" s="4"/>
      <c r="GA1049" s="4"/>
      <c r="GB1049" s="4"/>
      <c r="GC1049" s="4"/>
      <c r="GD1049" s="4"/>
      <c r="GE1049" s="4"/>
      <c r="GF1049" s="4"/>
      <c r="GG1049" s="4"/>
      <c r="GH1049" s="4"/>
      <c r="GI1049" s="4"/>
      <c r="GJ1049" s="4"/>
      <c r="GK1049" s="4"/>
      <c r="GL1049" s="4"/>
      <c r="GM1049" s="4"/>
      <c r="GN1049" s="4"/>
      <c r="GO1049" s="4"/>
      <c r="GP1049" s="4"/>
      <c r="GQ1049" s="4"/>
      <c r="GR1049" s="4"/>
      <c r="GS1049" s="4"/>
      <c r="GT1049" s="4"/>
      <c r="GU1049" s="4"/>
      <c r="GV1049" s="4"/>
      <c r="GW1049" s="4"/>
      <c r="GX1049" s="4"/>
      <c r="GY1049" s="4"/>
      <c r="GZ1049" s="4"/>
      <c r="HA1049" s="4"/>
      <c r="HB1049" s="4"/>
      <c r="HC1049" s="4"/>
      <c r="HD1049" s="4"/>
      <c r="HE1049" s="4"/>
      <c r="HF1049" s="4"/>
      <c r="HG1049" s="4"/>
      <c r="HH1049" s="4"/>
    </row>
    <row r="1050" spans="16:216" ht="15.75" hidden="1" customHeight="1" x14ac:dyDescent="0.3"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  <c r="DU1050" s="4"/>
      <c r="DV1050" s="4"/>
      <c r="DW1050" s="4"/>
      <c r="DX1050" s="4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/>
      <c r="EM1050" s="4"/>
      <c r="EN1050" s="4"/>
      <c r="EO1050" s="4"/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4"/>
      <c r="FF1050" s="4"/>
      <c r="FG1050" s="4"/>
      <c r="FH1050" s="4"/>
      <c r="FI1050" s="4"/>
      <c r="FJ1050" s="4"/>
      <c r="FK1050" s="4"/>
      <c r="FL1050" s="4"/>
      <c r="FM1050" s="4"/>
      <c r="FN1050" s="4"/>
      <c r="FO1050" s="4"/>
      <c r="FP1050" s="4"/>
      <c r="FQ1050" s="4"/>
      <c r="FR1050" s="4"/>
      <c r="FS1050" s="4"/>
      <c r="FT1050" s="4"/>
      <c r="FU1050" s="4"/>
      <c r="FV1050" s="4"/>
      <c r="FW1050" s="4"/>
      <c r="FX1050" s="4"/>
      <c r="FY1050" s="4"/>
      <c r="FZ1050" s="4"/>
      <c r="GA1050" s="4"/>
      <c r="GB1050" s="4"/>
      <c r="GC1050" s="4"/>
      <c r="GD1050" s="4"/>
      <c r="GE1050" s="4"/>
      <c r="GF1050" s="4"/>
      <c r="GG1050" s="4"/>
      <c r="GH1050" s="4"/>
      <c r="GI1050" s="4"/>
      <c r="GJ1050" s="4"/>
      <c r="GK1050" s="4"/>
      <c r="GL1050" s="4"/>
      <c r="GM1050" s="4"/>
      <c r="GN1050" s="4"/>
      <c r="GO1050" s="4"/>
      <c r="GP1050" s="4"/>
      <c r="GQ1050" s="4"/>
      <c r="GR1050" s="4"/>
      <c r="GS1050" s="4"/>
      <c r="GT1050" s="4"/>
      <c r="GU1050" s="4"/>
      <c r="GV1050" s="4"/>
      <c r="GW1050" s="4"/>
      <c r="GX1050" s="4"/>
      <c r="GY1050" s="4"/>
      <c r="GZ1050" s="4"/>
      <c r="HA1050" s="4"/>
      <c r="HB1050" s="4"/>
      <c r="HC1050" s="4"/>
      <c r="HD1050" s="4"/>
      <c r="HE1050" s="4"/>
      <c r="HF1050" s="4"/>
      <c r="HG1050" s="4"/>
      <c r="HH1050" s="4"/>
    </row>
    <row r="1051" spans="16:216" ht="15.75" hidden="1" customHeight="1" x14ac:dyDescent="0.3"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  <c r="DU1051" s="4"/>
      <c r="DV1051" s="4"/>
      <c r="DW1051" s="4"/>
      <c r="DX1051" s="4"/>
      <c r="DY1051" s="4"/>
      <c r="DZ1051" s="4"/>
      <c r="EA1051" s="4"/>
      <c r="EB1051" s="4"/>
      <c r="EC1051" s="4"/>
      <c r="ED1051" s="4"/>
      <c r="EE1051" s="4"/>
      <c r="EF1051" s="4"/>
      <c r="EG1051" s="4"/>
      <c r="EH1051" s="4"/>
      <c r="EI1051" s="4"/>
      <c r="EJ1051" s="4"/>
      <c r="EK1051" s="4"/>
      <c r="EL1051" s="4"/>
      <c r="EM1051" s="4"/>
      <c r="EN1051" s="4"/>
      <c r="EO1051" s="4"/>
      <c r="EP1051" s="4"/>
      <c r="EQ1051" s="4"/>
      <c r="ER1051" s="4"/>
      <c r="ES1051" s="4"/>
      <c r="ET1051" s="4"/>
      <c r="EU1051" s="4"/>
      <c r="EV1051" s="4"/>
      <c r="EW1051" s="4"/>
      <c r="EX1051" s="4"/>
      <c r="EY1051" s="4"/>
      <c r="EZ1051" s="4"/>
      <c r="FA1051" s="4"/>
      <c r="FB1051" s="4"/>
      <c r="FC1051" s="4"/>
      <c r="FD1051" s="4"/>
      <c r="FE1051" s="4"/>
      <c r="FF1051" s="4"/>
      <c r="FG1051" s="4"/>
      <c r="FH1051" s="4"/>
      <c r="FI1051" s="4"/>
      <c r="FJ1051" s="4"/>
      <c r="FK1051" s="4"/>
      <c r="FL1051" s="4"/>
      <c r="FM1051" s="4"/>
      <c r="FN1051" s="4"/>
      <c r="FO1051" s="4"/>
      <c r="FP1051" s="4"/>
      <c r="FQ1051" s="4"/>
      <c r="FR1051" s="4"/>
      <c r="FS1051" s="4"/>
      <c r="FT1051" s="4"/>
      <c r="FU1051" s="4"/>
      <c r="FV1051" s="4"/>
      <c r="FW1051" s="4"/>
      <c r="FX1051" s="4"/>
      <c r="FY1051" s="4"/>
      <c r="FZ1051" s="4"/>
      <c r="GA1051" s="4"/>
      <c r="GB1051" s="4"/>
      <c r="GC1051" s="4"/>
      <c r="GD1051" s="4"/>
      <c r="GE1051" s="4"/>
      <c r="GF1051" s="4"/>
      <c r="GG1051" s="4"/>
      <c r="GH1051" s="4"/>
      <c r="GI1051" s="4"/>
      <c r="GJ1051" s="4"/>
      <c r="GK1051" s="4"/>
      <c r="GL1051" s="4"/>
      <c r="GM1051" s="4"/>
      <c r="GN1051" s="4"/>
      <c r="GO1051" s="4"/>
      <c r="GP1051" s="4"/>
      <c r="GQ1051" s="4"/>
      <c r="GR1051" s="4"/>
      <c r="GS1051" s="4"/>
      <c r="GT1051" s="4"/>
      <c r="GU1051" s="4"/>
      <c r="GV1051" s="4"/>
      <c r="GW1051" s="4"/>
      <c r="GX1051" s="4"/>
      <c r="GY1051" s="4"/>
      <c r="GZ1051" s="4"/>
      <c r="HA1051" s="4"/>
      <c r="HB1051" s="4"/>
      <c r="HC1051" s="4"/>
      <c r="HD1051" s="4"/>
      <c r="HE1051" s="4"/>
      <c r="HF1051" s="4"/>
      <c r="HG1051" s="4"/>
      <c r="HH1051" s="4"/>
    </row>
    <row r="1052" spans="16:216" ht="15.75" hidden="1" customHeight="1" x14ac:dyDescent="0.3"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4"/>
      <c r="DW1052" s="4"/>
      <c r="DX1052" s="4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4"/>
      <c r="EO1052" s="4"/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/>
      <c r="FG1052" s="4"/>
      <c r="FH1052" s="4"/>
      <c r="FI1052" s="4"/>
      <c r="FJ1052" s="4"/>
      <c r="FK1052" s="4"/>
      <c r="FL1052" s="4"/>
      <c r="FM1052" s="4"/>
      <c r="FN1052" s="4"/>
      <c r="FO1052" s="4"/>
      <c r="FP1052" s="4"/>
      <c r="FQ1052" s="4"/>
      <c r="FR1052" s="4"/>
      <c r="FS1052" s="4"/>
      <c r="FT1052" s="4"/>
      <c r="FU1052" s="4"/>
      <c r="FV1052" s="4"/>
      <c r="FW1052" s="4"/>
      <c r="FX1052" s="4"/>
      <c r="FY1052" s="4"/>
      <c r="FZ1052" s="4"/>
      <c r="GA1052" s="4"/>
      <c r="GB1052" s="4"/>
      <c r="GC1052" s="4"/>
      <c r="GD1052" s="4"/>
      <c r="GE1052" s="4"/>
      <c r="GF1052" s="4"/>
      <c r="GG1052" s="4"/>
      <c r="GH1052" s="4"/>
      <c r="GI1052" s="4"/>
      <c r="GJ1052" s="4"/>
      <c r="GK1052" s="4"/>
      <c r="GL1052" s="4"/>
      <c r="GM1052" s="4"/>
      <c r="GN1052" s="4"/>
      <c r="GO1052" s="4"/>
      <c r="GP1052" s="4"/>
      <c r="GQ1052" s="4"/>
      <c r="GR1052" s="4"/>
      <c r="GS1052" s="4"/>
      <c r="GT1052" s="4"/>
      <c r="GU1052" s="4"/>
      <c r="GV1052" s="4"/>
      <c r="GW1052" s="4"/>
      <c r="GX1052" s="4"/>
      <c r="GY1052" s="4"/>
      <c r="GZ1052" s="4"/>
      <c r="HA1052" s="4"/>
      <c r="HB1052" s="4"/>
      <c r="HC1052" s="4"/>
      <c r="HD1052" s="4"/>
      <c r="HE1052" s="4"/>
      <c r="HF1052" s="4"/>
      <c r="HG1052" s="4"/>
      <c r="HH1052" s="4"/>
    </row>
    <row r="1053" spans="16:216" ht="15.75" hidden="1" customHeight="1" x14ac:dyDescent="0.3"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  <c r="DW1053" s="4"/>
      <c r="DX1053" s="4"/>
      <c r="DY1053" s="4"/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/>
      <c r="EM1053" s="4"/>
      <c r="EN1053" s="4"/>
      <c r="EO1053" s="4"/>
      <c r="EP1053" s="4"/>
      <c r="EQ1053" s="4"/>
      <c r="ER1053" s="4"/>
      <c r="ES1053" s="4"/>
      <c r="ET1053" s="4"/>
      <c r="EU1053" s="4"/>
      <c r="EV1053" s="4"/>
      <c r="EW1053" s="4"/>
      <c r="EX1053" s="4"/>
      <c r="EY1053" s="4"/>
      <c r="EZ1053" s="4"/>
      <c r="FA1053" s="4"/>
      <c r="FB1053" s="4"/>
      <c r="FC1053" s="4"/>
      <c r="FD1053" s="4"/>
      <c r="FE1053" s="4"/>
      <c r="FF1053" s="4"/>
      <c r="FG1053" s="4"/>
      <c r="FH1053" s="4"/>
      <c r="FI1053" s="4"/>
      <c r="FJ1053" s="4"/>
      <c r="FK1053" s="4"/>
      <c r="FL1053" s="4"/>
      <c r="FM1053" s="4"/>
      <c r="FN1053" s="4"/>
      <c r="FO1053" s="4"/>
      <c r="FP1053" s="4"/>
      <c r="FQ1053" s="4"/>
      <c r="FR1053" s="4"/>
      <c r="FS1053" s="4"/>
      <c r="FT1053" s="4"/>
      <c r="FU1053" s="4"/>
      <c r="FV1053" s="4"/>
      <c r="FW1053" s="4"/>
      <c r="FX1053" s="4"/>
      <c r="FY1053" s="4"/>
      <c r="FZ1053" s="4"/>
      <c r="GA1053" s="4"/>
      <c r="GB1053" s="4"/>
      <c r="GC1053" s="4"/>
      <c r="GD1053" s="4"/>
      <c r="GE1053" s="4"/>
      <c r="GF1053" s="4"/>
      <c r="GG1053" s="4"/>
      <c r="GH1053" s="4"/>
      <c r="GI1053" s="4"/>
      <c r="GJ1053" s="4"/>
      <c r="GK1053" s="4"/>
      <c r="GL1053" s="4"/>
      <c r="GM1053" s="4"/>
      <c r="GN1053" s="4"/>
      <c r="GO1053" s="4"/>
      <c r="GP1053" s="4"/>
      <c r="GQ1053" s="4"/>
      <c r="GR1053" s="4"/>
      <c r="GS1053" s="4"/>
      <c r="GT1053" s="4"/>
      <c r="GU1053" s="4"/>
      <c r="GV1053" s="4"/>
      <c r="GW1053" s="4"/>
      <c r="GX1053" s="4"/>
      <c r="GY1053" s="4"/>
      <c r="GZ1053" s="4"/>
      <c r="HA1053" s="4"/>
      <c r="HB1053" s="4"/>
      <c r="HC1053" s="4"/>
      <c r="HD1053" s="4"/>
      <c r="HE1053" s="4"/>
      <c r="HF1053" s="4"/>
      <c r="HG1053" s="4"/>
      <c r="HH1053" s="4"/>
    </row>
    <row r="1054" spans="16:216" ht="15.75" hidden="1" customHeight="1" x14ac:dyDescent="0.3"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  <c r="DU1054" s="4"/>
      <c r="DV1054" s="4"/>
      <c r="DW1054" s="4"/>
      <c r="DX1054" s="4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4"/>
      <c r="EO1054" s="4"/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4"/>
      <c r="FF1054" s="4"/>
      <c r="FG1054" s="4"/>
      <c r="FH1054" s="4"/>
      <c r="FI1054" s="4"/>
      <c r="FJ1054" s="4"/>
      <c r="FK1054" s="4"/>
      <c r="FL1054" s="4"/>
      <c r="FM1054" s="4"/>
      <c r="FN1054" s="4"/>
      <c r="FO1054" s="4"/>
      <c r="FP1054" s="4"/>
      <c r="FQ1054" s="4"/>
      <c r="FR1054" s="4"/>
      <c r="FS1054" s="4"/>
      <c r="FT1054" s="4"/>
      <c r="FU1054" s="4"/>
      <c r="FV1054" s="4"/>
      <c r="FW1054" s="4"/>
      <c r="FX1054" s="4"/>
      <c r="FY1054" s="4"/>
      <c r="FZ1054" s="4"/>
      <c r="GA1054" s="4"/>
      <c r="GB1054" s="4"/>
      <c r="GC1054" s="4"/>
      <c r="GD1054" s="4"/>
      <c r="GE1054" s="4"/>
      <c r="GF1054" s="4"/>
      <c r="GG1054" s="4"/>
      <c r="GH1054" s="4"/>
      <c r="GI1054" s="4"/>
      <c r="GJ1054" s="4"/>
      <c r="GK1054" s="4"/>
      <c r="GL1054" s="4"/>
      <c r="GM1054" s="4"/>
      <c r="GN1054" s="4"/>
      <c r="GO1054" s="4"/>
      <c r="GP1054" s="4"/>
      <c r="GQ1054" s="4"/>
      <c r="GR1054" s="4"/>
      <c r="GS1054" s="4"/>
      <c r="GT1054" s="4"/>
      <c r="GU1054" s="4"/>
      <c r="GV1054" s="4"/>
      <c r="GW1054" s="4"/>
      <c r="GX1054" s="4"/>
      <c r="GY1054" s="4"/>
      <c r="GZ1054" s="4"/>
      <c r="HA1054" s="4"/>
      <c r="HB1054" s="4"/>
      <c r="HC1054" s="4"/>
      <c r="HD1054" s="4"/>
      <c r="HE1054" s="4"/>
      <c r="HF1054" s="4"/>
      <c r="HG1054" s="4"/>
      <c r="HH1054" s="4"/>
    </row>
    <row r="1055" spans="16:216" ht="15.75" hidden="1" customHeight="1" x14ac:dyDescent="0.3"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4"/>
      <c r="DW1055" s="4"/>
      <c r="DX1055" s="4"/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/>
      <c r="EL1055" s="4"/>
      <c r="EM1055" s="4"/>
      <c r="EN1055" s="4"/>
      <c r="EO1055" s="4"/>
      <c r="EP1055" s="4"/>
      <c r="EQ1055" s="4"/>
      <c r="ER1055" s="4"/>
      <c r="ES1055" s="4"/>
      <c r="ET1055" s="4"/>
      <c r="EU1055" s="4"/>
      <c r="EV1055" s="4"/>
      <c r="EW1055" s="4"/>
      <c r="EX1055" s="4"/>
      <c r="EY1055" s="4"/>
      <c r="EZ1055" s="4"/>
      <c r="FA1055" s="4"/>
      <c r="FB1055" s="4"/>
      <c r="FC1055" s="4"/>
      <c r="FD1055" s="4"/>
      <c r="FE1055" s="4"/>
      <c r="FF1055" s="4"/>
      <c r="FG1055" s="4"/>
      <c r="FH1055" s="4"/>
      <c r="FI1055" s="4"/>
      <c r="FJ1055" s="4"/>
      <c r="FK1055" s="4"/>
      <c r="FL1055" s="4"/>
      <c r="FM1055" s="4"/>
      <c r="FN1055" s="4"/>
      <c r="FO1055" s="4"/>
      <c r="FP1055" s="4"/>
      <c r="FQ1055" s="4"/>
      <c r="FR1055" s="4"/>
      <c r="FS1055" s="4"/>
      <c r="FT1055" s="4"/>
      <c r="FU1055" s="4"/>
      <c r="FV1055" s="4"/>
      <c r="FW1055" s="4"/>
      <c r="FX1055" s="4"/>
      <c r="FY1055" s="4"/>
      <c r="FZ1055" s="4"/>
      <c r="GA1055" s="4"/>
      <c r="GB1055" s="4"/>
      <c r="GC1055" s="4"/>
      <c r="GD1055" s="4"/>
      <c r="GE1055" s="4"/>
      <c r="GF1055" s="4"/>
      <c r="GG1055" s="4"/>
      <c r="GH1055" s="4"/>
      <c r="GI1055" s="4"/>
      <c r="GJ1055" s="4"/>
      <c r="GK1055" s="4"/>
      <c r="GL1055" s="4"/>
      <c r="GM1055" s="4"/>
      <c r="GN1055" s="4"/>
      <c r="GO1055" s="4"/>
      <c r="GP1055" s="4"/>
      <c r="GQ1055" s="4"/>
      <c r="GR1055" s="4"/>
      <c r="GS1055" s="4"/>
      <c r="GT1055" s="4"/>
      <c r="GU1055" s="4"/>
      <c r="GV1055" s="4"/>
      <c r="GW1055" s="4"/>
      <c r="GX1055" s="4"/>
      <c r="GY1055" s="4"/>
      <c r="GZ1055" s="4"/>
      <c r="HA1055" s="4"/>
      <c r="HB1055" s="4"/>
      <c r="HC1055" s="4"/>
      <c r="HD1055" s="4"/>
      <c r="HE1055" s="4"/>
      <c r="HF1055" s="4"/>
      <c r="HG1055" s="4"/>
      <c r="HH1055" s="4"/>
    </row>
    <row r="1056" spans="16:216" ht="15.75" hidden="1" customHeight="1" x14ac:dyDescent="0.3"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  <c r="DW1056" s="4"/>
      <c r="DX1056" s="4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/>
      <c r="GB1056" s="4"/>
      <c r="GC1056" s="4"/>
      <c r="GD1056" s="4"/>
      <c r="GE1056" s="4"/>
      <c r="GF1056" s="4"/>
      <c r="GG1056" s="4"/>
      <c r="GH1056" s="4"/>
      <c r="GI1056" s="4"/>
      <c r="GJ1056" s="4"/>
      <c r="GK1056" s="4"/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</row>
    <row r="1057" spans="16:216" ht="15.75" hidden="1" customHeight="1" x14ac:dyDescent="0.3"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/>
      <c r="EM1057" s="4"/>
      <c r="EN1057" s="4"/>
      <c r="EO1057" s="4"/>
      <c r="EP1057" s="4"/>
      <c r="EQ1057" s="4"/>
      <c r="ER1057" s="4"/>
      <c r="ES1057" s="4"/>
      <c r="ET1057" s="4"/>
      <c r="EU1057" s="4"/>
      <c r="EV1057" s="4"/>
      <c r="EW1057" s="4"/>
      <c r="EX1057" s="4"/>
      <c r="EY1057" s="4"/>
      <c r="EZ1057" s="4"/>
      <c r="FA1057" s="4"/>
      <c r="FB1057" s="4"/>
      <c r="FC1057" s="4"/>
      <c r="FD1057" s="4"/>
      <c r="FE1057" s="4"/>
      <c r="FF1057" s="4"/>
      <c r="FG1057" s="4"/>
      <c r="FH1057" s="4"/>
      <c r="FI1057" s="4"/>
      <c r="FJ1057" s="4"/>
      <c r="FK1057" s="4"/>
      <c r="FL1057" s="4"/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/>
      <c r="GJ1057" s="4"/>
      <c r="GK1057" s="4"/>
      <c r="GL1057" s="4"/>
      <c r="GM1057" s="4"/>
      <c r="GN1057" s="4"/>
      <c r="GO1057" s="4"/>
      <c r="GP1057" s="4"/>
      <c r="GQ1057" s="4"/>
      <c r="GR1057" s="4"/>
      <c r="GS1057" s="4"/>
      <c r="GT1057" s="4"/>
      <c r="GU1057" s="4"/>
      <c r="GV1057" s="4"/>
      <c r="GW1057" s="4"/>
      <c r="GX1057" s="4"/>
      <c r="GY1057" s="4"/>
      <c r="GZ1057" s="4"/>
      <c r="HA1057" s="4"/>
      <c r="HB1057" s="4"/>
      <c r="HC1057" s="4"/>
      <c r="HD1057" s="4"/>
      <c r="HE1057" s="4"/>
      <c r="HF1057" s="4"/>
      <c r="HG1057" s="4"/>
      <c r="HH1057" s="4"/>
    </row>
    <row r="1058" spans="16:216" ht="15.75" hidden="1" customHeight="1" x14ac:dyDescent="0.3"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4"/>
      <c r="DW1058" s="4"/>
      <c r="DX1058" s="4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/>
      <c r="FG1058" s="4"/>
      <c r="FH1058" s="4"/>
      <c r="FI1058" s="4"/>
      <c r="FJ1058" s="4"/>
      <c r="FK1058" s="4"/>
      <c r="FL1058" s="4"/>
      <c r="FM1058" s="4"/>
      <c r="FN1058" s="4"/>
      <c r="FO1058" s="4"/>
      <c r="FP1058" s="4"/>
      <c r="FQ1058" s="4"/>
      <c r="FR1058" s="4"/>
      <c r="FS1058" s="4"/>
      <c r="FT1058" s="4"/>
      <c r="FU1058" s="4"/>
      <c r="FV1058" s="4"/>
      <c r="FW1058" s="4"/>
      <c r="FX1058" s="4"/>
      <c r="FY1058" s="4"/>
      <c r="FZ1058" s="4"/>
      <c r="GA1058" s="4"/>
      <c r="GB1058" s="4"/>
      <c r="GC1058" s="4"/>
      <c r="GD1058" s="4"/>
      <c r="GE1058" s="4"/>
      <c r="GF1058" s="4"/>
      <c r="GG1058" s="4"/>
      <c r="GH1058" s="4"/>
      <c r="GI1058" s="4"/>
      <c r="GJ1058" s="4"/>
      <c r="GK1058" s="4"/>
      <c r="GL1058" s="4"/>
      <c r="GM1058" s="4"/>
      <c r="GN1058" s="4"/>
      <c r="GO1058" s="4"/>
      <c r="GP1058" s="4"/>
      <c r="GQ1058" s="4"/>
      <c r="GR1058" s="4"/>
      <c r="GS1058" s="4"/>
      <c r="GT1058" s="4"/>
      <c r="GU1058" s="4"/>
      <c r="GV1058" s="4"/>
      <c r="GW1058" s="4"/>
      <c r="GX1058" s="4"/>
      <c r="GY1058" s="4"/>
      <c r="GZ1058" s="4"/>
      <c r="HA1058" s="4"/>
      <c r="HB1058" s="4"/>
      <c r="HC1058" s="4"/>
      <c r="HD1058" s="4"/>
      <c r="HE1058" s="4"/>
      <c r="HF1058" s="4"/>
      <c r="HG1058" s="4"/>
      <c r="HH1058" s="4"/>
    </row>
    <row r="1059" spans="16:216" ht="15.75" hidden="1" customHeight="1" x14ac:dyDescent="0.3"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  <c r="DI1059" s="4"/>
      <c r="DJ1059" s="4"/>
      <c r="DK1059" s="4"/>
      <c r="DL1059" s="4"/>
      <c r="DM1059" s="4"/>
      <c r="DN1059" s="4"/>
      <c r="DO1059" s="4"/>
      <c r="DP1059" s="4"/>
      <c r="DQ1059" s="4"/>
      <c r="DR1059" s="4"/>
      <c r="DS1059" s="4"/>
      <c r="DT1059" s="4"/>
      <c r="DU1059" s="4"/>
      <c r="DV1059" s="4"/>
      <c r="DW1059" s="4"/>
      <c r="DX1059" s="4"/>
      <c r="DY1059" s="4"/>
      <c r="DZ1059" s="4"/>
      <c r="EA1059" s="4"/>
      <c r="EB1059" s="4"/>
      <c r="EC1059" s="4"/>
      <c r="ED1059" s="4"/>
      <c r="EE1059" s="4"/>
      <c r="EF1059" s="4"/>
      <c r="EG1059" s="4"/>
      <c r="EH1059" s="4"/>
      <c r="EI1059" s="4"/>
      <c r="EJ1059" s="4"/>
      <c r="EK1059" s="4"/>
      <c r="EL1059" s="4"/>
      <c r="EM1059" s="4"/>
      <c r="EN1059" s="4"/>
      <c r="EO1059" s="4"/>
      <c r="EP1059" s="4"/>
      <c r="EQ1059" s="4"/>
      <c r="ER1059" s="4"/>
      <c r="ES1059" s="4"/>
      <c r="ET1059" s="4"/>
      <c r="EU1059" s="4"/>
      <c r="EV1059" s="4"/>
      <c r="EW1059" s="4"/>
      <c r="EX1059" s="4"/>
      <c r="EY1059" s="4"/>
      <c r="EZ1059" s="4"/>
      <c r="FA1059" s="4"/>
      <c r="FB1059" s="4"/>
      <c r="FC1059" s="4"/>
      <c r="FD1059" s="4"/>
      <c r="FE1059" s="4"/>
      <c r="FF1059" s="4"/>
      <c r="FG1059" s="4"/>
      <c r="FH1059" s="4"/>
      <c r="FI1059" s="4"/>
      <c r="FJ1059" s="4"/>
      <c r="FK1059" s="4"/>
      <c r="FL1059" s="4"/>
      <c r="FM1059" s="4"/>
      <c r="FN1059" s="4"/>
      <c r="FO1059" s="4"/>
      <c r="FP1059" s="4"/>
      <c r="FQ1059" s="4"/>
      <c r="FR1059" s="4"/>
      <c r="FS1059" s="4"/>
      <c r="FT1059" s="4"/>
      <c r="FU1059" s="4"/>
      <c r="FV1059" s="4"/>
      <c r="FW1059" s="4"/>
      <c r="FX1059" s="4"/>
      <c r="FY1059" s="4"/>
      <c r="FZ1059" s="4"/>
      <c r="GA1059" s="4"/>
      <c r="GB1059" s="4"/>
      <c r="GC1059" s="4"/>
      <c r="GD1059" s="4"/>
      <c r="GE1059" s="4"/>
      <c r="GF1059" s="4"/>
      <c r="GG1059" s="4"/>
      <c r="GH1059" s="4"/>
      <c r="GI1059" s="4"/>
      <c r="GJ1059" s="4"/>
      <c r="GK1059" s="4"/>
      <c r="GL1059" s="4"/>
      <c r="GM1059" s="4"/>
      <c r="GN1059" s="4"/>
      <c r="GO1059" s="4"/>
      <c r="GP1059" s="4"/>
      <c r="GQ1059" s="4"/>
      <c r="GR1059" s="4"/>
      <c r="GS1059" s="4"/>
      <c r="GT1059" s="4"/>
      <c r="GU1059" s="4"/>
      <c r="GV1059" s="4"/>
      <c r="GW1059" s="4"/>
      <c r="GX1059" s="4"/>
      <c r="GY1059" s="4"/>
      <c r="GZ1059" s="4"/>
      <c r="HA1059" s="4"/>
      <c r="HB1059" s="4"/>
      <c r="HC1059" s="4"/>
      <c r="HD1059" s="4"/>
      <c r="HE1059" s="4"/>
      <c r="HF1059" s="4"/>
      <c r="HG1059" s="4"/>
      <c r="HH1059" s="4"/>
    </row>
    <row r="1060" spans="16:216" ht="15.75" hidden="1" customHeight="1" x14ac:dyDescent="0.3"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4"/>
      <c r="DL1060" s="4"/>
      <c r="DM1060" s="4"/>
      <c r="DN1060" s="4"/>
      <c r="DO1060" s="4"/>
      <c r="DP1060" s="4"/>
      <c r="DQ1060" s="4"/>
      <c r="DR1060" s="4"/>
      <c r="DS1060" s="4"/>
      <c r="DT1060" s="4"/>
      <c r="DU1060" s="4"/>
      <c r="DV1060" s="4"/>
      <c r="DW1060" s="4"/>
      <c r="DX1060" s="4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/>
      <c r="EM1060" s="4"/>
      <c r="EN1060" s="4"/>
      <c r="EO1060" s="4"/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4"/>
      <c r="FF1060" s="4"/>
      <c r="FG1060" s="4"/>
      <c r="FH1060" s="4"/>
      <c r="FI1060" s="4"/>
      <c r="FJ1060" s="4"/>
      <c r="FK1060" s="4"/>
      <c r="FL1060" s="4"/>
      <c r="FM1060" s="4"/>
      <c r="FN1060" s="4"/>
      <c r="FO1060" s="4"/>
      <c r="FP1060" s="4"/>
      <c r="FQ1060" s="4"/>
      <c r="FR1060" s="4"/>
      <c r="FS1060" s="4"/>
      <c r="FT1060" s="4"/>
      <c r="FU1060" s="4"/>
      <c r="FV1060" s="4"/>
      <c r="FW1060" s="4"/>
      <c r="FX1060" s="4"/>
      <c r="FY1060" s="4"/>
      <c r="FZ1060" s="4"/>
      <c r="GA1060" s="4"/>
      <c r="GB1060" s="4"/>
      <c r="GC1060" s="4"/>
      <c r="GD1060" s="4"/>
      <c r="GE1060" s="4"/>
      <c r="GF1060" s="4"/>
      <c r="GG1060" s="4"/>
      <c r="GH1060" s="4"/>
      <c r="GI1060" s="4"/>
      <c r="GJ1060" s="4"/>
      <c r="GK1060" s="4"/>
      <c r="GL1060" s="4"/>
      <c r="GM1060" s="4"/>
      <c r="GN1060" s="4"/>
      <c r="GO1060" s="4"/>
      <c r="GP1060" s="4"/>
      <c r="GQ1060" s="4"/>
      <c r="GR1060" s="4"/>
      <c r="GS1060" s="4"/>
      <c r="GT1060" s="4"/>
      <c r="GU1060" s="4"/>
      <c r="GV1060" s="4"/>
      <c r="GW1060" s="4"/>
      <c r="GX1060" s="4"/>
      <c r="GY1060" s="4"/>
      <c r="GZ1060" s="4"/>
      <c r="HA1060" s="4"/>
      <c r="HB1060" s="4"/>
      <c r="HC1060" s="4"/>
      <c r="HD1060" s="4"/>
      <c r="HE1060" s="4"/>
      <c r="HF1060" s="4"/>
      <c r="HG1060" s="4"/>
      <c r="HH1060" s="4"/>
    </row>
    <row r="1061" spans="16:216" ht="15.75" hidden="1" customHeight="1" x14ac:dyDescent="0.3"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4"/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  <c r="DU1061" s="4"/>
      <c r="DV1061" s="4"/>
      <c r="DW1061" s="4"/>
      <c r="DX1061" s="4"/>
      <c r="DY1061" s="4"/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/>
      <c r="EL1061" s="4"/>
      <c r="EM1061" s="4"/>
      <c r="EN1061" s="4"/>
      <c r="EO1061" s="4"/>
      <c r="EP1061" s="4"/>
      <c r="EQ1061" s="4"/>
      <c r="ER1061" s="4"/>
      <c r="ES1061" s="4"/>
      <c r="ET1061" s="4"/>
      <c r="EU1061" s="4"/>
      <c r="EV1061" s="4"/>
      <c r="EW1061" s="4"/>
      <c r="EX1061" s="4"/>
      <c r="EY1061" s="4"/>
      <c r="EZ1061" s="4"/>
      <c r="FA1061" s="4"/>
      <c r="FB1061" s="4"/>
      <c r="FC1061" s="4"/>
      <c r="FD1061" s="4"/>
      <c r="FE1061" s="4"/>
      <c r="FF1061" s="4"/>
      <c r="FG1061" s="4"/>
      <c r="FH1061" s="4"/>
      <c r="FI1061" s="4"/>
      <c r="FJ1061" s="4"/>
      <c r="FK1061" s="4"/>
      <c r="FL1061" s="4"/>
      <c r="FM1061" s="4"/>
      <c r="FN1061" s="4"/>
      <c r="FO1061" s="4"/>
      <c r="FP1061" s="4"/>
      <c r="FQ1061" s="4"/>
      <c r="FR1061" s="4"/>
      <c r="FS1061" s="4"/>
      <c r="FT1061" s="4"/>
      <c r="FU1061" s="4"/>
      <c r="FV1061" s="4"/>
      <c r="FW1061" s="4"/>
      <c r="FX1061" s="4"/>
      <c r="FY1061" s="4"/>
      <c r="FZ1061" s="4"/>
      <c r="GA1061" s="4"/>
      <c r="GB1061" s="4"/>
      <c r="GC1061" s="4"/>
      <c r="GD1061" s="4"/>
      <c r="GE1061" s="4"/>
      <c r="GF1061" s="4"/>
      <c r="GG1061" s="4"/>
      <c r="GH1061" s="4"/>
      <c r="GI1061" s="4"/>
      <c r="GJ1061" s="4"/>
      <c r="GK1061" s="4"/>
      <c r="GL1061" s="4"/>
      <c r="GM1061" s="4"/>
      <c r="GN1061" s="4"/>
      <c r="GO1061" s="4"/>
      <c r="GP1061" s="4"/>
      <c r="GQ1061" s="4"/>
      <c r="GR1061" s="4"/>
      <c r="GS1061" s="4"/>
      <c r="GT1061" s="4"/>
      <c r="GU1061" s="4"/>
      <c r="GV1061" s="4"/>
      <c r="GW1061" s="4"/>
      <c r="GX1061" s="4"/>
      <c r="GY1061" s="4"/>
      <c r="GZ1061" s="4"/>
      <c r="HA1061" s="4"/>
      <c r="HB1061" s="4"/>
      <c r="HC1061" s="4"/>
      <c r="HD1061" s="4"/>
      <c r="HE1061" s="4"/>
      <c r="HF1061" s="4"/>
      <c r="HG1061" s="4"/>
      <c r="HH1061" s="4"/>
    </row>
    <row r="1062" spans="16:216" ht="15.75" hidden="1" customHeight="1" x14ac:dyDescent="0.3"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  <c r="GM1062" s="4"/>
      <c r="GN1062" s="4"/>
      <c r="GO1062" s="4"/>
      <c r="GP1062" s="4"/>
      <c r="GQ1062" s="4"/>
      <c r="GR1062" s="4"/>
      <c r="GS1062" s="4"/>
      <c r="GT1062" s="4"/>
      <c r="GU1062" s="4"/>
      <c r="GV1062" s="4"/>
      <c r="GW1062" s="4"/>
      <c r="GX1062" s="4"/>
      <c r="GY1062" s="4"/>
      <c r="GZ1062" s="4"/>
      <c r="HA1062" s="4"/>
      <c r="HB1062" s="4"/>
      <c r="HC1062" s="4"/>
      <c r="HD1062" s="4"/>
      <c r="HE1062" s="4"/>
      <c r="HF1062" s="4"/>
      <c r="HG1062" s="4"/>
      <c r="HH1062" s="4"/>
    </row>
    <row r="1063" spans="16:216" ht="15.75" hidden="1" customHeight="1" x14ac:dyDescent="0.3"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4"/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  <c r="DU1063" s="4"/>
      <c r="DV1063" s="4"/>
      <c r="DW1063" s="4"/>
      <c r="DX1063" s="4"/>
      <c r="DY1063" s="4"/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/>
      <c r="EL1063" s="4"/>
      <c r="EM1063" s="4"/>
      <c r="EN1063" s="4"/>
      <c r="EO1063" s="4"/>
      <c r="EP1063" s="4"/>
      <c r="EQ1063" s="4"/>
      <c r="ER1063" s="4"/>
      <c r="ES1063" s="4"/>
      <c r="ET1063" s="4"/>
      <c r="EU1063" s="4"/>
      <c r="EV1063" s="4"/>
      <c r="EW1063" s="4"/>
      <c r="EX1063" s="4"/>
      <c r="EY1063" s="4"/>
      <c r="EZ1063" s="4"/>
      <c r="FA1063" s="4"/>
      <c r="FB1063" s="4"/>
      <c r="FC1063" s="4"/>
      <c r="FD1063" s="4"/>
      <c r="FE1063" s="4"/>
      <c r="FF1063" s="4"/>
      <c r="FG1063" s="4"/>
      <c r="FH1063" s="4"/>
      <c r="FI1063" s="4"/>
      <c r="FJ1063" s="4"/>
      <c r="FK1063" s="4"/>
      <c r="FL1063" s="4"/>
      <c r="FM1063" s="4"/>
      <c r="FN1063" s="4"/>
      <c r="FO1063" s="4"/>
      <c r="FP1063" s="4"/>
      <c r="FQ1063" s="4"/>
      <c r="FR1063" s="4"/>
      <c r="FS1063" s="4"/>
      <c r="FT1063" s="4"/>
      <c r="FU1063" s="4"/>
      <c r="FV1063" s="4"/>
      <c r="FW1063" s="4"/>
      <c r="FX1063" s="4"/>
      <c r="FY1063" s="4"/>
      <c r="FZ1063" s="4"/>
      <c r="GA1063" s="4"/>
      <c r="GB1063" s="4"/>
      <c r="GC1063" s="4"/>
      <c r="GD1063" s="4"/>
      <c r="GE1063" s="4"/>
      <c r="GF1063" s="4"/>
      <c r="GG1063" s="4"/>
      <c r="GH1063" s="4"/>
      <c r="GI1063" s="4"/>
      <c r="GJ1063" s="4"/>
      <c r="GK1063" s="4"/>
      <c r="GL1063" s="4"/>
      <c r="GM1063" s="4"/>
      <c r="GN1063" s="4"/>
      <c r="GO1063" s="4"/>
      <c r="GP1063" s="4"/>
      <c r="GQ1063" s="4"/>
      <c r="GR1063" s="4"/>
      <c r="GS1063" s="4"/>
      <c r="GT1063" s="4"/>
      <c r="GU1063" s="4"/>
      <c r="GV1063" s="4"/>
      <c r="GW1063" s="4"/>
      <c r="GX1063" s="4"/>
      <c r="GY1063" s="4"/>
      <c r="GZ1063" s="4"/>
      <c r="HA1063" s="4"/>
      <c r="HB1063" s="4"/>
      <c r="HC1063" s="4"/>
      <c r="HD1063" s="4"/>
      <c r="HE1063" s="4"/>
      <c r="HF1063" s="4"/>
      <c r="HG1063" s="4"/>
      <c r="HH1063" s="4"/>
    </row>
    <row r="1064" spans="16:216" ht="15.75" hidden="1" customHeight="1" x14ac:dyDescent="0.3"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  <c r="HD1064" s="4"/>
      <c r="HE1064" s="4"/>
      <c r="HF1064" s="4"/>
      <c r="HG1064" s="4"/>
      <c r="HH1064" s="4"/>
    </row>
    <row r="1065" spans="16:216" ht="15.75" hidden="1" customHeight="1" x14ac:dyDescent="0.3"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  <c r="DI1065" s="4"/>
      <c r="DJ1065" s="4"/>
      <c r="DK1065" s="4"/>
      <c r="DL1065" s="4"/>
      <c r="DM1065" s="4"/>
      <c r="DN1065" s="4"/>
      <c r="DO1065" s="4"/>
      <c r="DP1065" s="4"/>
      <c r="DQ1065" s="4"/>
      <c r="DR1065" s="4"/>
      <c r="DS1065" s="4"/>
      <c r="DT1065" s="4"/>
      <c r="DU1065" s="4"/>
      <c r="DV1065" s="4"/>
      <c r="DW1065" s="4"/>
      <c r="DX1065" s="4"/>
      <c r="DY1065" s="4"/>
      <c r="DZ1065" s="4"/>
      <c r="EA1065" s="4"/>
      <c r="EB1065" s="4"/>
      <c r="EC1065" s="4"/>
      <c r="ED1065" s="4"/>
      <c r="EE1065" s="4"/>
      <c r="EF1065" s="4"/>
      <c r="EG1065" s="4"/>
      <c r="EH1065" s="4"/>
      <c r="EI1065" s="4"/>
      <c r="EJ1065" s="4"/>
      <c r="EK1065" s="4"/>
      <c r="EL1065" s="4"/>
      <c r="EM1065" s="4"/>
      <c r="EN1065" s="4"/>
      <c r="EO1065" s="4"/>
      <c r="EP1065" s="4"/>
      <c r="EQ1065" s="4"/>
      <c r="ER1065" s="4"/>
      <c r="ES1065" s="4"/>
      <c r="ET1065" s="4"/>
      <c r="EU1065" s="4"/>
      <c r="EV1065" s="4"/>
      <c r="EW1065" s="4"/>
      <c r="EX1065" s="4"/>
      <c r="EY1065" s="4"/>
      <c r="EZ1065" s="4"/>
      <c r="FA1065" s="4"/>
      <c r="FB1065" s="4"/>
      <c r="FC1065" s="4"/>
      <c r="FD1065" s="4"/>
      <c r="FE1065" s="4"/>
      <c r="FF1065" s="4"/>
      <c r="FG1065" s="4"/>
      <c r="FH1065" s="4"/>
      <c r="FI1065" s="4"/>
      <c r="FJ1065" s="4"/>
      <c r="FK1065" s="4"/>
      <c r="FL1065" s="4"/>
      <c r="FM1065" s="4"/>
      <c r="FN1065" s="4"/>
      <c r="FO1065" s="4"/>
      <c r="FP1065" s="4"/>
      <c r="FQ1065" s="4"/>
      <c r="FR1065" s="4"/>
      <c r="FS1065" s="4"/>
      <c r="FT1065" s="4"/>
      <c r="FU1065" s="4"/>
      <c r="FV1065" s="4"/>
      <c r="FW1065" s="4"/>
      <c r="FX1065" s="4"/>
      <c r="FY1065" s="4"/>
      <c r="FZ1065" s="4"/>
      <c r="GA1065" s="4"/>
      <c r="GB1065" s="4"/>
      <c r="GC1065" s="4"/>
      <c r="GD1065" s="4"/>
      <c r="GE1065" s="4"/>
      <c r="GF1065" s="4"/>
      <c r="GG1065" s="4"/>
      <c r="GH1065" s="4"/>
      <c r="GI1065" s="4"/>
      <c r="GJ1065" s="4"/>
      <c r="GK1065" s="4"/>
      <c r="GL1065" s="4"/>
      <c r="GM1065" s="4"/>
      <c r="GN1065" s="4"/>
      <c r="GO1065" s="4"/>
      <c r="GP1065" s="4"/>
      <c r="GQ1065" s="4"/>
      <c r="GR1065" s="4"/>
      <c r="GS1065" s="4"/>
      <c r="GT1065" s="4"/>
      <c r="GU1065" s="4"/>
      <c r="GV1065" s="4"/>
      <c r="GW1065" s="4"/>
      <c r="GX1065" s="4"/>
      <c r="GY1065" s="4"/>
      <c r="GZ1065" s="4"/>
      <c r="HA1065" s="4"/>
      <c r="HB1065" s="4"/>
      <c r="HC1065" s="4"/>
      <c r="HD1065" s="4"/>
      <c r="HE1065" s="4"/>
      <c r="HF1065" s="4"/>
      <c r="HG1065" s="4"/>
      <c r="HH1065" s="4"/>
    </row>
    <row r="1066" spans="16:216" ht="15.75" hidden="1" customHeight="1" x14ac:dyDescent="0.3"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4"/>
      <c r="DW1066" s="4"/>
      <c r="DX1066" s="4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4"/>
      <c r="EO1066" s="4"/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/>
      <c r="GB1066" s="4"/>
      <c r="GC1066" s="4"/>
      <c r="GD1066" s="4"/>
      <c r="GE1066" s="4"/>
      <c r="GF1066" s="4"/>
      <c r="GG1066" s="4"/>
      <c r="GH1066" s="4"/>
      <c r="GI1066" s="4"/>
      <c r="GJ1066" s="4"/>
      <c r="GK1066" s="4"/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  <c r="HD1066" s="4"/>
      <c r="HE1066" s="4"/>
      <c r="HF1066" s="4"/>
      <c r="HG1066" s="4"/>
      <c r="HH1066" s="4"/>
    </row>
    <row r="1067" spans="16:216" ht="15.75" hidden="1" customHeight="1" x14ac:dyDescent="0.3"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  <c r="DI1067" s="4"/>
      <c r="DJ1067" s="4"/>
      <c r="DK1067" s="4"/>
      <c r="DL1067" s="4"/>
      <c r="DM1067" s="4"/>
      <c r="DN1067" s="4"/>
      <c r="DO1067" s="4"/>
      <c r="DP1067" s="4"/>
      <c r="DQ1067" s="4"/>
      <c r="DR1067" s="4"/>
      <c r="DS1067" s="4"/>
      <c r="DT1067" s="4"/>
      <c r="DU1067" s="4"/>
      <c r="DV1067" s="4"/>
      <c r="DW1067" s="4"/>
      <c r="DX1067" s="4"/>
      <c r="DY1067" s="4"/>
      <c r="DZ1067" s="4"/>
      <c r="EA1067" s="4"/>
      <c r="EB1067" s="4"/>
      <c r="EC1067" s="4"/>
      <c r="ED1067" s="4"/>
      <c r="EE1067" s="4"/>
      <c r="EF1067" s="4"/>
      <c r="EG1067" s="4"/>
      <c r="EH1067" s="4"/>
      <c r="EI1067" s="4"/>
      <c r="EJ1067" s="4"/>
      <c r="EK1067" s="4"/>
      <c r="EL1067" s="4"/>
      <c r="EM1067" s="4"/>
      <c r="EN1067" s="4"/>
      <c r="EO1067" s="4"/>
      <c r="EP1067" s="4"/>
      <c r="EQ1067" s="4"/>
      <c r="ER1067" s="4"/>
      <c r="ES1067" s="4"/>
      <c r="ET1067" s="4"/>
      <c r="EU1067" s="4"/>
      <c r="EV1067" s="4"/>
      <c r="EW1067" s="4"/>
      <c r="EX1067" s="4"/>
      <c r="EY1067" s="4"/>
      <c r="EZ1067" s="4"/>
      <c r="FA1067" s="4"/>
      <c r="FB1067" s="4"/>
      <c r="FC1067" s="4"/>
      <c r="FD1067" s="4"/>
      <c r="FE1067" s="4"/>
      <c r="FF1067" s="4"/>
      <c r="FG1067" s="4"/>
      <c r="FH1067" s="4"/>
      <c r="FI1067" s="4"/>
      <c r="FJ1067" s="4"/>
      <c r="FK1067" s="4"/>
      <c r="FL1067" s="4"/>
      <c r="FM1067" s="4"/>
      <c r="FN1067" s="4"/>
      <c r="FO1067" s="4"/>
      <c r="FP1067" s="4"/>
      <c r="FQ1067" s="4"/>
      <c r="FR1067" s="4"/>
      <c r="FS1067" s="4"/>
      <c r="FT1067" s="4"/>
      <c r="FU1067" s="4"/>
      <c r="FV1067" s="4"/>
      <c r="FW1067" s="4"/>
      <c r="FX1067" s="4"/>
      <c r="FY1067" s="4"/>
      <c r="FZ1067" s="4"/>
      <c r="GA1067" s="4"/>
      <c r="GB1067" s="4"/>
      <c r="GC1067" s="4"/>
      <c r="GD1067" s="4"/>
      <c r="GE1067" s="4"/>
      <c r="GF1067" s="4"/>
      <c r="GG1067" s="4"/>
      <c r="GH1067" s="4"/>
      <c r="GI1067" s="4"/>
      <c r="GJ1067" s="4"/>
      <c r="GK1067" s="4"/>
      <c r="GL1067" s="4"/>
      <c r="GM1067" s="4"/>
      <c r="GN1067" s="4"/>
      <c r="GO1067" s="4"/>
      <c r="GP1067" s="4"/>
      <c r="GQ1067" s="4"/>
      <c r="GR1067" s="4"/>
      <c r="GS1067" s="4"/>
      <c r="GT1067" s="4"/>
      <c r="GU1067" s="4"/>
      <c r="GV1067" s="4"/>
      <c r="GW1067" s="4"/>
      <c r="GX1067" s="4"/>
      <c r="GY1067" s="4"/>
      <c r="GZ1067" s="4"/>
      <c r="HA1067" s="4"/>
      <c r="HB1067" s="4"/>
      <c r="HC1067" s="4"/>
      <c r="HD1067" s="4"/>
      <c r="HE1067" s="4"/>
      <c r="HF1067" s="4"/>
      <c r="HG1067" s="4"/>
      <c r="HH1067" s="4"/>
    </row>
    <row r="1068" spans="16:216" ht="15.75" hidden="1" customHeight="1" x14ac:dyDescent="0.3"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  <c r="GM1068" s="4"/>
      <c r="GN1068" s="4"/>
      <c r="GO1068" s="4"/>
      <c r="GP1068" s="4"/>
      <c r="GQ1068" s="4"/>
      <c r="GR1068" s="4"/>
      <c r="GS1068" s="4"/>
      <c r="GT1068" s="4"/>
      <c r="GU1068" s="4"/>
      <c r="GV1068" s="4"/>
      <c r="GW1068" s="4"/>
      <c r="GX1068" s="4"/>
      <c r="GY1068" s="4"/>
      <c r="GZ1068" s="4"/>
      <c r="HA1068" s="4"/>
      <c r="HB1068" s="4"/>
      <c r="HC1068" s="4"/>
      <c r="HD1068" s="4"/>
      <c r="HE1068" s="4"/>
      <c r="HF1068" s="4"/>
      <c r="HG1068" s="4"/>
      <c r="HH1068" s="4"/>
    </row>
    <row r="1069" spans="16:216" ht="15.75" hidden="1" customHeight="1" x14ac:dyDescent="0.3"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  <c r="DJ1069" s="4"/>
      <c r="DK1069" s="4"/>
      <c r="DL1069" s="4"/>
      <c r="DM1069" s="4"/>
      <c r="DN1069" s="4"/>
      <c r="DO1069" s="4"/>
      <c r="DP1069" s="4"/>
      <c r="DQ1069" s="4"/>
      <c r="DR1069" s="4"/>
      <c r="DS1069" s="4"/>
      <c r="DT1069" s="4"/>
      <c r="DU1069" s="4"/>
      <c r="DV1069" s="4"/>
      <c r="DW1069" s="4"/>
      <c r="DX1069" s="4"/>
      <c r="DY1069" s="4"/>
      <c r="DZ1069" s="4"/>
      <c r="EA1069" s="4"/>
      <c r="EB1069" s="4"/>
      <c r="EC1069" s="4"/>
      <c r="ED1069" s="4"/>
      <c r="EE1069" s="4"/>
      <c r="EF1069" s="4"/>
      <c r="EG1069" s="4"/>
      <c r="EH1069" s="4"/>
      <c r="EI1069" s="4"/>
      <c r="EJ1069" s="4"/>
      <c r="EK1069" s="4"/>
      <c r="EL1069" s="4"/>
      <c r="EM1069" s="4"/>
      <c r="EN1069" s="4"/>
      <c r="EO1069" s="4"/>
      <c r="EP1069" s="4"/>
      <c r="EQ1069" s="4"/>
      <c r="ER1069" s="4"/>
      <c r="ES1069" s="4"/>
      <c r="ET1069" s="4"/>
      <c r="EU1069" s="4"/>
      <c r="EV1069" s="4"/>
      <c r="EW1069" s="4"/>
      <c r="EX1069" s="4"/>
      <c r="EY1069" s="4"/>
      <c r="EZ1069" s="4"/>
      <c r="FA1069" s="4"/>
      <c r="FB1069" s="4"/>
      <c r="FC1069" s="4"/>
      <c r="FD1069" s="4"/>
      <c r="FE1069" s="4"/>
      <c r="FF1069" s="4"/>
      <c r="FG1069" s="4"/>
      <c r="FH1069" s="4"/>
      <c r="FI1069" s="4"/>
      <c r="FJ1069" s="4"/>
      <c r="FK1069" s="4"/>
      <c r="FL1069" s="4"/>
      <c r="FM1069" s="4"/>
      <c r="FN1069" s="4"/>
      <c r="FO1069" s="4"/>
      <c r="FP1069" s="4"/>
      <c r="FQ1069" s="4"/>
      <c r="FR1069" s="4"/>
      <c r="FS1069" s="4"/>
      <c r="FT1069" s="4"/>
      <c r="FU1069" s="4"/>
      <c r="FV1069" s="4"/>
      <c r="FW1069" s="4"/>
      <c r="FX1069" s="4"/>
      <c r="FY1069" s="4"/>
      <c r="FZ1069" s="4"/>
      <c r="GA1069" s="4"/>
      <c r="GB1069" s="4"/>
      <c r="GC1069" s="4"/>
      <c r="GD1069" s="4"/>
      <c r="GE1069" s="4"/>
      <c r="GF1069" s="4"/>
      <c r="GG1069" s="4"/>
      <c r="GH1069" s="4"/>
      <c r="GI1069" s="4"/>
      <c r="GJ1069" s="4"/>
      <c r="GK1069" s="4"/>
      <c r="GL1069" s="4"/>
      <c r="GM1069" s="4"/>
      <c r="GN1069" s="4"/>
      <c r="GO1069" s="4"/>
      <c r="GP1069" s="4"/>
      <c r="GQ1069" s="4"/>
      <c r="GR1069" s="4"/>
      <c r="GS1069" s="4"/>
      <c r="GT1069" s="4"/>
      <c r="GU1069" s="4"/>
      <c r="GV1069" s="4"/>
      <c r="GW1069" s="4"/>
      <c r="GX1069" s="4"/>
      <c r="GY1069" s="4"/>
      <c r="GZ1069" s="4"/>
      <c r="HA1069" s="4"/>
      <c r="HB1069" s="4"/>
      <c r="HC1069" s="4"/>
      <c r="HD1069" s="4"/>
      <c r="HE1069" s="4"/>
      <c r="HF1069" s="4"/>
      <c r="HG1069" s="4"/>
      <c r="HH1069" s="4"/>
    </row>
    <row r="1070" spans="16:216" ht="15.75" hidden="1" customHeight="1" x14ac:dyDescent="0.3"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  <c r="HC1070" s="4"/>
      <c r="HD1070" s="4"/>
      <c r="HE1070" s="4"/>
      <c r="HF1070" s="4"/>
      <c r="HG1070" s="4"/>
      <c r="HH1070" s="4"/>
    </row>
    <row r="1071" spans="16:216" ht="15.75" hidden="1" customHeight="1" x14ac:dyDescent="0.3"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4"/>
      <c r="DW1071" s="4"/>
      <c r="DX1071" s="4"/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/>
      <c r="EL1071" s="4"/>
      <c r="EM1071" s="4"/>
      <c r="EN1071" s="4"/>
      <c r="EO1071" s="4"/>
      <c r="EP1071" s="4"/>
      <c r="EQ1071" s="4"/>
      <c r="ER1071" s="4"/>
      <c r="ES1071" s="4"/>
      <c r="ET1071" s="4"/>
      <c r="EU1071" s="4"/>
      <c r="EV1071" s="4"/>
      <c r="EW1071" s="4"/>
      <c r="EX1071" s="4"/>
      <c r="EY1071" s="4"/>
      <c r="EZ1071" s="4"/>
      <c r="FA1071" s="4"/>
      <c r="FB1071" s="4"/>
      <c r="FC1071" s="4"/>
      <c r="FD1071" s="4"/>
      <c r="FE1071" s="4"/>
      <c r="FF1071" s="4"/>
      <c r="FG1071" s="4"/>
      <c r="FH1071" s="4"/>
      <c r="FI1071" s="4"/>
      <c r="FJ1071" s="4"/>
      <c r="FK1071" s="4"/>
      <c r="FL1071" s="4"/>
      <c r="FM1071" s="4"/>
      <c r="FN1071" s="4"/>
      <c r="FO1071" s="4"/>
      <c r="FP1071" s="4"/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/>
      <c r="GB1071" s="4"/>
      <c r="GC1071" s="4"/>
      <c r="GD1071" s="4"/>
      <c r="GE1071" s="4"/>
      <c r="GF1071" s="4"/>
      <c r="GG1071" s="4"/>
      <c r="GH1071" s="4"/>
      <c r="GI1071" s="4"/>
      <c r="GJ1071" s="4"/>
      <c r="GK1071" s="4"/>
      <c r="GL1071" s="4"/>
      <c r="GM1071" s="4"/>
      <c r="GN1071" s="4"/>
      <c r="GO1071" s="4"/>
      <c r="GP1071" s="4"/>
      <c r="GQ1071" s="4"/>
      <c r="GR1071" s="4"/>
      <c r="GS1071" s="4"/>
      <c r="GT1071" s="4"/>
      <c r="GU1071" s="4"/>
      <c r="GV1071" s="4"/>
      <c r="GW1071" s="4"/>
      <c r="GX1071" s="4"/>
      <c r="GY1071" s="4"/>
      <c r="GZ1071" s="4"/>
      <c r="HA1071" s="4"/>
      <c r="HB1071" s="4"/>
      <c r="HC1071" s="4"/>
      <c r="HD1071" s="4"/>
      <c r="HE1071" s="4"/>
      <c r="HF1071" s="4"/>
      <c r="HG1071" s="4"/>
      <c r="HH1071" s="4"/>
    </row>
    <row r="1072" spans="16:216" ht="15.75" hidden="1" customHeight="1" x14ac:dyDescent="0.3"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  <c r="GM1072" s="4"/>
      <c r="GN1072" s="4"/>
      <c r="GO1072" s="4"/>
      <c r="GP1072" s="4"/>
      <c r="GQ1072" s="4"/>
      <c r="GR1072" s="4"/>
      <c r="GS1072" s="4"/>
      <c r="GT1072" s="4"/>
      <c r="GU1072" s="4"/>
      <c r="GV1072" s="4"/>
      <c r="GW1072" s="4"/>
      <c r="GX1072" s="4"/>
      <c r="GY1072" s="4"/>
      <c r="GZ1072" s="4"/>
      <c r="HA1072" s="4"/>
      <c r="HB1072" s="4"/>
      <c r="HC1072" s="4"/>
      <c r="HD1072" s="4"/>
      <c r="HE1072" s="4"/>
      <c r="HF1072" s="4"/>
      <c r="HG1072" s="4"/>
      <c r="HH1072" s="4"/>
    </row>
    <row r="1073" spans="16:216" ht="15.75" hidden="1" customHeight="1" x14ac:dyDescent="0.3"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  <c r="DI1073" s="4"/>
      <c r="DJ1073" s="4"/>
      <c r="DK1073" s="4"/>
      <c r="DL1073" s="4"/>
      <c r="DM1073" s="4"/>
      <c r="DN1073" s="4"/>
      <c r="DO1073" s="4"/>
      <c r="DP1073" s="4"/>
      <c r="DQ1073" s="4"/>
      <c r="DR1073" s="4"/>
      <c r="DS1073" s="4"/>
      <c r="DT1073" s="4"/>
      <c r="DU1073" s="4"/>
      <c r="DV1073" s="4"/>
      <c r="DW1073" s="4"/>
      <c r="DX1073" s="4"/>
      <c r="DY1073" s="4"/>
      <c r="DZ1073" s="4"/>
      <c r="EA1073" s="4"/>
      <c r="EB1073" s="4"/>
      <c r="EC1073" s="4"/>
      <c r="ED1073" s="4"/>
      <c r="EE1073" s="4"/>
      <c r="EF1073" s="4"/>
      <c r="EG1073" s="4"/>
      <c r="EH1073" s="4"/>
      <c r="EI1073" s="4"/>
      <c r="EJ1073" s="4"/>
      <c r="EK1073" s="4"/>
      <c r="EL1073" s="4"/>
      <c r="EM1073" s="4"/>
      <c r="EN1073" s="4"/>
      <c r="EO1073" s="4"/>
      <c r="EP1073" s="4"/>
      <c r="EQ1073" s="4"/>
      <c r="ER1073" s="4"/>
      <c r="ES1073" s="4"/>
      <c r="ET1073" s="4"/>
      <c r="EU1073" s="4"/>
      <c r="EV1073" s="4"/>
      <c r="EW1073" s="4"/>
      <c r="EX1073" s="4"/>
      <c r="EY1073" s="4"/>
      <c r="EZ1073" s="4"/>
      <c r="FA1073" s="4"/>
      <c r="FB1073" s="4"/>
      <c r="FC1073" s="4"/>
      <c r="FD1073" s="4"/>
      <c r="FE1073" s="4"/>
      <c r="FF1073" s="4"/>
      <c r="FG1073" s="4"/>
      <c r="FH1073" s="4"/>
      <c r="FI1073" s="4"/>
      <c r="FJ1073" s="4"/>
      <c r="FK1073" s="4"/>
      <c r="FL1073" s="4"/>
      <c r="FM1073" s="4"/>
      <c r="FN1073" s="4"/>
      <c r="FO1073" s="4"/>
      <c r="FP1073" s="4"/>
      <c r="FQ1073" s="4"/>
      <c r="FR1073" s="4"/>
      <c r="FS1073" s="4"/>
      <c r="FT1073" s="4"/>
      <c r="FU1073" s="4"/>
      <c r="FV1073" s="4"/>
      <c r="FW1073" s="4"/>
      <c r="FX1073" s="4"/>
      <c r="FY1073" s="4"/>
      <c r="FZ1073" s="4"/>
      <c r="GA1073" s="4"/>
      <c r="GB1073" s="4"/>
      <c r="GC1073" s="4"/>
      <c r="GD1073" s="4"/>
      <c r="GE1073" s="4"/>
      <c r="GF1073" s="4"/>
      <c r="GG1073" s="4"/>
      <c r="GH1073" s="4"/>
      <c r="GI1073" s="4"/>
      <c r="GJ1073" s="4"/>
      <c r="GK1073" s="4"/>
      <c r="GL1073" s="4"/>
      <c r="GM1073" s="4"/>
      <c r="GN1073" s="4"/>
      <c r="GO1073" s="4"/>
      <c r="GP1073" s="4"/>
      <c r="GQ1073" s="4"/>
      <c r="GR1073" s="4"/>
      <c r="GS1073" s="4"/>
      <c r="GT1073" s="4"/>
      <c r="GU1073" s="4"/>
      <c r="GV1073" s="4"/>
      <c r="GW1073" s="4"/>
      <c r="GX1073" s="4"/>
      <c r="GY1073" s="4"/>
      <c r="GZ1073" s="4"/>
      <c r="HA1073" s="4"/>
      <c r="HB1073" s="4"/>
      <c r="HC1073" s="4"/>
      <c r="HD1073" s="4"/>
      <c r="HE1073" s="4"/>
      <c r="HF1073" s="4"/>
      <c r="HG1073" s="4"/>
      <c r="HH1073" s="4"/>
    </row>
    <row r="1074" spans="16:216" ht="15.75" hidden="1" customHeight="1" x14ac:dyDescent="0.3"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  <c r="GM1074" s="4"/>
      <c r="GN1074" s="4"/>
      <c r="GO1074" s="4"/>
      <c r="GP1074" s="4"/>
      <c r="GQ1074" s="4"/>
      <c r="GR1074" s="4"/>
      <c r="GS1074" s="4"/>
      <c r="GT1074" s="4"/>
      <c r="GU1074" s="4"/>
      <c r="GV1074" s="4"/>
      <c r="GW1074" s="4"/>
      <c r="GX1074" s="4"/>
      <c r="GY1074" s="4"/>
      <c r="GZ1074" s="4"/>
      <c r="HA1074" s="4"/>
      <c r="HB1074" s="4"/>
      <c r="HC1074" s="4"/>
      <c r="HD1074" s="4"/>
      <c r="HE1074" s="4"/>
      <c r="HF1074" s="4"/>
      <c r="HG1074" s="4"/>
      <c r="HH1074" s="4"/>
    </row>
    <row r="1075" spans="16:216" ht="15.75" hidden="1" customHeight="1" x14ac:dyDescent="0.3"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  <c r="DI1075" s="4"/>
      <c r="DJ1075" s="4"/>
      <c r="DK1075" s="4"/>
      <c r="DL1075" s="4"/>
      <c r="DM1075" s="4"/>
      <c r="DN1075" s="4"/>
      <c r="DO1075" s="4"/>
      <c r="DP1075" s="4"/>
      <c r="DQ1075" s="4"/>
      <c r="DR1075" s="4"/>
      <c r="DS1075" s="4"/>
      <c r="DT1075" s="4"/>
      <c r="DU1075" s="4"/>
      <c r="DV1075" s="4"/>
      <c r="DW1075" s="4"/>
      <c r="DX1075" s="4"/>
      <c r="DY1075" s="4"/>
      <c r="DZ1075" s="4"/>
      <c r="EA1075" s="4"/>
      <c r="EB1075" s="4"/>
      <c r="EC1075" s="4"/>
      <c r="ED1075" s="4"/>
      <c r="EE1075" s="4"/>
      <c r="EF1075" s="4"/>
      <c r="EG1075" s="4"/>
      <c r="EH1075" s="4"/>
      <c r="EI1075" s="4"/>
      <c r="EJ1075" s="4"/>
      <c r="EK1075" s="4"/>
      <c r="EL1075" s="4"/>
      <c r="EM1075" s="4"/>
      <c r="EN1075" s="4"/>
      <c r="EO1075" s="4"/>
      <c r="EP1075" s="4"/>
      <c r="EQ1075" s="4"/>
      <c r="ER1075" s="4"/>
      <c r="ES1075" s="4"/>
      <c r="ET1075" s="4"/>
      <c r="EU1075" s="4"/>
      <c r="EV1075" s="4"/>
      <c r="EW1075" s="4"/>
      <c r="EX1075" s="4"/>
      <c r="EY1075" s="4"/>
      <c r="EZ1075" s="4"/>
      <c r="FA1075" s="4"/>
      <c r="FB1075" s="4"/>
      <c r="FC1075" s="4"/>
      <c r="FD1075" s="4"/>
      <c r="FE1075" s="4"/>
      <c r="FF1075" s="4"/>
      <c r="FG1075" s="4"/>
      <c r="FH1075" s="4"/>
      <c r="FI1075" s="4"/>
      <c r="FJ1075" s="4"/>
      <c r="FK1075" s="4"/>
      <c r="FL1075" s="4"/>
      <c r="FM1075" s="4"/>
      <c r="FN1075" s="4"/>
      <c r="FO1075" s="4"/>
      <c r="FP1075" s="4"/>
      <c r="FQ1075" s="4"/>
      <c r="FR1075" s="4"/>
      <c r="FS1075" s="4"/>
      <c r="FT1075" s="4"/>
      <c r="FU1075" s="4"/>
      <c r="FV1075" s="4"/>
      <c r="FW1075" s="4"/>
      <c r="FX1075" s="4"/>
      <c r="FY1075" s="4"/>
      <c r="FZ1075" s="4"/>
      <c r="GA1075" s="4"/>
      <c r="GB1075" s="4"/>
      <c r="GC1075" s="4"/>
      <c r="GD1075" s="4"/>
      <c r="GE1075" s="4"/>
      <c r="GF1075" s="4"/>
      <c r="GG1075" s="4"/>
      <c r="GH1075" s="4"/>
      <c r="GI1075" s="4"/>
      <c r="GJ1075" s="4"/>
      <c r="GK1075" s="4"/>
      <c r="GL1075" s="4"/>
      <c r="GM1075" s="4"/>
      <c r="GN1075" s="4"/>
      <c r="GO1075" s="4"/>
      <c r="GP1075" s="4"/>
      <c r="GQ1075" s="4"/>
      <c r="GR1075" s="4"/>
      <c r="GS1075" s="4"/>
      <c r="GT1075" s="4"/>
      <c r="GU1075" s="4"/>
      <c r="GV1075" s="4"/>
      <c r="GW1075" s="4"/>
      <c r="GX1075" s="4"/>
      <c r="GY1075" s="4"/>
      <c r="GZ1075" s="4"/>
      <c r="HA1075" s="4"/>
      <c r="HB1075" s="4"/>
      <c r="HC1075" s="4"/>
      <c r="HD1075" s="4"/>
      <c r="HE1075" s="4"/>
      <c r="HF1075" s="4"/>
      <c r="HG1075" s="4"/>
      <c r="HH1075" s="4"/>
    </row>
    <row r="1076" spans="16:216" ht="15.75" hidden="1" customHeight="1" x14ac:dyDescent="0.3"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</row>
    <row r="1077" spans="16:216" ht="15.75" hidden="1" customHeight="1" x14ac:dyDescent="0.3"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  <c r="DI1077" s="4"/>
      <c r="DJ1077" s="4"/>
      <c r="DK1077" s="4"/>
      <c r="DL1077" s="4"/>
      <c r="DM1077" s="4"/>
      <c r="DN1077" s="4"/>
      <c r="DO1077" s="4"/>
      <c r="DP1077" s="4"/>
      <c r="DQ1077" s="4"/>
      <c r="DR1077" s="4"/>
      <c r="DS1077" s="4"/>
      <c r="DT1077" s="4"/>
      <c r="DU1077" s="4"/>
      <c r="DV1077" s="4"/>
      <c r="DW1077" s="4"/>
      <c r="DX1077" s="4"/>
      <c r="DY1077" s="4"/>
      <c r="DZ1077" s="4"/>
      <c r="EA1077" s="4"/>
      <c r="EB1077" s="4"/>
      <c r="EC1077" s="4"/>
      <c r="ED1077" s="4"/>
      <c r="EE1077" s="4"/>
      <c r="EF1077" s="4"/>
      <c r="EG1077" s="4"/>
      <c r="EH1077" s="4"/>
      <c r="EI1077" s="4"/>
      <c r="EJ1077" s="4"/>
      <c r="EK1077" s="4"/>
      <c r="EL1077" s="4"/>
      <c r="EM1077" s="4"/>
      <c r="EN1077" s="4"/>
      <c r="EO1077" s="4"/>
      <c r="EP1077" s="4"/>
      <c r="EQ1077" s="4"/>
      <c r="ER1077" s="4"/>
      <c r="ES1077" s="4"/>
      <c r="ET1077" s="4"/>
      <c r="EU1077" s="4"/>
      <c r="EV1077" s="4"/>
      <c r="EW1077" s="4"/>
      <c r="EX1077" s="4"/>
      <c r="EY1077" s="4"/>
      <c r="EZ1077" s="4"/>
      <c r="FA1077" s="4"/>
      <c r="FB1077" s="4"/>
      <c r="FC1077" s="4"/>
      <c r="FD1077" s="4"/>
      <c r="FE1077" s="4"/>
      <c r="FF1077" s="4"/>
      <c r="FG1077" s="4"/>
      <c r="FH1077" s="4"/>
      <c r="FI1077" s="4"/>
      <c r="FJ1077" s="4"/>
      <c r="FK1077" s="4"/>
      <c r="FL1077" s="4"/>
      <c r="FM1077" s="4"/>
      <c r="FN1077" s="4"/>
      <c r="FO1077" s="4"/>
      <c r="FP1077" s="4"/>
      <c r="FQ1077" s="4"/>
      <c r="FR1077" s="4"/>
      <c r="FS1077" s="4"/>
      <c r="FT1077" s="4"/>
      <c r="FU1077" s="4"/>
      <c r="FV1077" s="4"/>
      <c r="FW1077" s="4"/>
      <c r="FX1077" s="4"/>
      <c r="FY1077" s="4"/>
      <c r="FZ1077" s="4"/>
      <c r="GA1077" s="4"/>
      <c r="GB1077" s="4"/>
      <c r="GC1077" s="4"/>
      <c r="GD1077" s="4"/>
      <c r="GE1077" s="4"/>
      <c r="GF1077" s="4"/>
      <c r="GG1077" s="4"/>
      <c r="GH1077" s="4"/>
      <c r="GI1077" s="4"/>
      <c r="GJ1077" s="4"/>
      <c r="GK1077" s="4"/>
      <c r="GL1077" s="4"/>
      <c r="GM1077" s="4"/>
      <c r="GN1077" s="4"/>
      <c r="GO1077" s="4"/>
      <c r="GP1077" s="4"/>
      <c r="GQ1077" s="4"/>
      <c r="GR1077" s="4"/>
      <c r="GS1077" s="4"/>
      <c r="GT1077" s="4"/>
      <c r="GU1077" s="4"/>
      <c r="GV1077" s="4"/>
      <c r="GW1077" s="4"/>
      <c r="GX1077" s="4"/>
      <c r="GY1077" s="4"/>
      <c r="GZ1077" s="4"/>
      <c r="HA1077" s="4"/>
      <c r="HB1077" s="4"/>
      <c r="HC1077" s="4"/>
      <c r="HD1077" s="4"/>
      <c r="HE1077" s="4"/>
      <c r="HF1077" s="4"/>
      <c r="HG1077" s="4"/>
      <c r="HH1077" s="4"/>
    </row>
    <row r="1078" spans="16:216" ht="15.75" hidden="1" customHeight="1" x14ac:dyDescent="0.3"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  <c r="HC1078" s="4"/>
      <c r="HD1078" s="4"/>
      <c r="HE1078" s="4"/>
      <c r="HF1078" s="4"/>
      <c r="HG1078" s="4"/>
      <c r="HH1078" s="4"/>
    </row>
    <row r="1079" spans="16:216" ht="15.75" hidden="1" customHeight="1" x14ac:dyDescent="0.3"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  <c r="DI1079" s="4"/>
      <c r="DJ1079" s="4"/>
      <c r="DK1079" s="4"/>
      <c r="DL1079" s="4"/>
      <c r="DM1079" s="4"/>
      <c r="DN1079" s="4"/>
      <c r="DO1079" s="4"/>
      <c r="DP1079" s="4"/>
      <c r="DQ1079" s="4"/>
      <c r="DR1079" s="4"/>
      <c r="DS1079" s="4"/>
      <c r="DT1079" s="4"/>
      <c r="DU1079" s="4"/>
      <c r="DV1079" s="4"/>
      <c r="DW1079" s="4"/>
      <c r="DX1079" s="4"/>
      <c r="DY1079" s="4"/>
      <c r="DZ1079" s="4"/>
      <c r="EA1079" s="4"/>
      <c r="EB1079" s="4"/>
      <c r="EC1079" s="4"/>
      <c r="ED1079" s="4"/>
      <c r="EE1079" s="4"/>
      <c r="EF1079" s="4"/>
      <c r="EG1079" s="4"/>
      <c r="EH1079" s="4"/>
      <c r="EI1079" s="4"/>
      <c r="EJ1079" s="4"/>
      <c r="EK1079" s="4"/>
      <c r="EL1079" s="4"/>
      <c r="EM1079" s="4"/>
      <c r="EN1079" s="4"/>
      <c r="EO1079" s="4"/>
      <c r="EP1079" s="4"/>
      <c r="EQ1079" s="4"/>
      <c r="ER1079" s="4"/>
      <c r="ES1079" s="4"/>
      <c r="ET1079" s="4"/>
      <c r="EU1079" s="4"/>
      <c r="EV1079" s="4"/>
      <c r="EW1079" s="4"/>
      <c r="EX1079" s="4"/>
      <c r="EY1079" s="4"/>
      <c r="EZ1079" s="4"/>
      <c r="FA1079" s="4"/>
      <c r="FB1079" s="4"/>
      <c r="FC1079" s="4"/>
      <c r="FD1079" s="4"/>
      <c r="FE1079" s="4"/>
      <c r="FF1079" s="4"/>
      <c r="FG1079" s="4"/>
      <c r="FH1079" s="4"/>
      <c r="FI1079" s="4"/>
      <c r="FJ1079" s="4"/>
      <c r="FK1079" s="4"/>
      <c r="FL1079" s="4"/>
      <c r="FM1079" s="4"/>
      <c r="FN1079" s="4"/>
      <c r="FO1079" s="4"/>
      <c r="FP1079" s="4"/>
      <c r="FQ1079" s="4"/>
      <c r="FR1079" s="4"/>
      <c r="FS1079" s="4"/>
      <c r="FT1079" s="4"/>
      <c r="FU1079" s="4"/>
      <c r="FV1079" s="4"/>
      <c r="FW1079" s="4"/>
      <c r="FX1079" s="4"/>
      <c r="FY1079" s="4"/>
      <c r="FZ1079" s="4"/>
      <c r="GA1079" s="4"/>
      <c r="GB1079" s="4"/>
      <c r="GC1079" s="4"/>
      <c r="GD1079" s="4"/>
      <c r="GE1079" s="4"/>
      <c r="GF1079" s="4"/>
      <c r="GG1079" s="4"/>
      <c r="GH1079" s="4"/>
      <c r="GI1079" s="4"/>
      <c r="GJ1079" s="4"/>
      <c r="GK1079" s="4"/>
      <c r="GL1079" s="4"/>
      <c r="GM1079" s="4"/>
      <c r="GN1079" s="4"/>
      <c r="GO1079" s="4"/>
      <c r="GP1079" s="4"/>
      <c r="GQ1079" s="4"/>
      <c r="GR1079" s="4"/>
      <c r="GS1079" s="4"/>
      <c r="GT1079" s="4"/>
      <c r="GU1079" s="4"/>
      <c r="GV1079" s="4"/>
      <c r="GW1079" s="4"/>
      <c r="GX1079" s="4"/>
      <c r="GY1079" s="4"/>
      <c r="GZ1079" s="4"/>
      <c r="HA1079" s="4"/>
      <c r="HB1079" s="4"/>
      <c r="HC1079" s="4"/>
      <c r="HD1079" s="4"/>
      <c r="HE1079" s="4"/>
      <c r="HF1079" s="4"/>
      <c r="HG1079" s="4"/>
      <c r="HH1079" s="4"/>
    </row>
    <row r="1080" spans="16:216" ht="15.75" hidden="1" customHeight="1" x14ac:dyDescent="0.3"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  <c r="HC1080" s="4"/>
      <c r="HD1080" s="4"/>
      <c r="HE1080" s="4"/>
      <c r="HF1080" s="4"/>
      <c r="HG1080" s="4"/>
      <c r="HH1080" s="4"/>
    </row>
    <row r="1081" spans="16:216" ht="15.75" hidden="1" customHeight="1" x14ac:dyDescent="0.3"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4"/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  <c r="DU1081" s="4"/>
      <c r="DV1081" s="4"/>
      <c r="DW1081" s="4"/>
      <c r="DX1081" s="4"/>
      <c r="DY1081" s="4"/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/>
      <c r="EL1081" s="4"/>
      <c r="EM1081" s="4"/>
      <c r="EN1081" s="4"/>
      <c r="EO1081" s="4"/>
      <c r="EP1081" s="4"/>
      <c r="EQ1081" s="4"/>
      <c r="ER1081" s="4"/>
      <c r="ES1081" s="4"/>
      <c r="ET1081" s="4"/>
      <c r="EU1081" s="4"/>
      <c r="EV1081" s="4"/>
      <c r="EW1081" s="4"/>
      <c r="EX1081" s="4"/>
      <c r="EY1081" s="4"/>
      <c r="EZ1081" s="4"/>
      <c r="FA1081" s="4"/>
      <c r="FB1081" s="4"/>
      <c r="FC1081" s="4"/>
      <c r="FD1081" s="4"/>
      <c r="FE1081" s="4"/>
      <c r="FF1081" s="4"/>
      <c r="FG1081" s="4"/>
      <c r="FH1081" s="4"/>
      <c r="FI1081" s="4"/>
      <c r="FJ1081" s="4"/>
      <c r="FK1081" s="4"/>
      <c r="FL1081" s="4"/>
      <c r="FM1081" s="4"/>
      <c r="FN1081" s="4"/>
      <c r="FO1081" s="4"/>
      <c r="FP1081" s="4"/>
      <c r="FQ1081" s="4"/>
      <c r="FR1081" s="4"/>
      <c r="FS1081" s="4"/>
      <c r="FT1081" s="4"/>
      <c r="FU1081" s="4"/>
      <c r="FV1081" s="4"/>
      <c r="FW1081" s="4"/>
      <c r="FX1081" s="4"/>
      <c r="FY1081" s="4"/>
      <c r="FZ1081" s="4"/>
      <c r="GA1081" s="4"/>
      <c r="GB1081" s="4"/>
      <c r="GC1081" s="4"/>
      <c r="GD1081" s="4"/>
      <c r="GE1081" s="4"/>
      <c r="GF1081" s="4"/>
      <c r="GG1081" s="4"/>
      <c r="GH1081" s="4"/>
      <c r="GI1081" s="4"/>
      <c r="GJ1081" s="4"/>
      <c r="GK1081" s="4"/>
      <c r="GL1081" s="4"/>
      <c r="GM1081" s="4"/>
      <c r="GN1081" s="4"/>
      <c r="GO1081" s="4"/>
      <c r="GP1081" s="4"/>
      <c r="GQ1081" s="4"/>
      <c r="GR1081" s="4"/>
      <c r="GS1081" s="4"/>
      <c r="GT1081" s="4"/>
      <c r="GU1081" s="4"/>
      <c r="GV1081" s="4"/>
      <c r="GW1081" s="4"/>
      <c r="GX1081" s="4"/>
      <c r="GY1081" s="4"/>
      <c r="GZ1081" s="4"/>
      <c r="HA1081" s="4"/>
      <c r="HB1081" s="4"/>
      <c r="HC1081" s="4"/>
      <c r="HD1081" s="4"/>
      <c r="HE1081" s="4"/>
      <c r="HF1081" s="4"/>
      <c r="HG1081" s="4"/>
      <c r="HH1081" s="4"/>
    </row>
    <row r="1082" spans="16:216" ht="15.75" hidden="1" customHeight="1" x14ac:dyDescent="0.3"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</row>
    <row r="1083" spans="16:216" ht="15.75" hidden="1" customHeight="1" x14ac:dyDescent="0.3"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4"/>
      <c r="DK1083" s="4"/>
      <c r="DL1083" s="4"/>
      <c r="DM1083" s="4"/>
      <c r="DN1083" s="4"/>
      <c r="DO1083" s="4"/>
      <c r="DP1083" s="4"/>
      <c r="DQ1083" s="4"/>
      <c r="DR1083" s="4"/>
      <c r="DS1083" s="4"/>
      <c r="DT1083" s="4"/>
      <c r="DU1083" s="4"/>
      <c r="DV1083" s="4"/>
      <c r="DW1083" s="4"/>
      <c r="DX1083" s="4"/>
      <c r="DY1083" s="4"/>
      <c r="DZ1083" s="4"/>
      <c r="EA1083" s="4"/>
      <c r="EB1083" s="4"/>
      <c r="EC1083" s="4"/>
      <c r="ED1083" s="4"/>
      <c r="EE1083" s="4"/>
      <c r="EF1083" s="4"/>
      <c r="EG1083" s="4"/>
      <c r="EH1083" s="4"/>
      <c r="EI1083" s="4"/>
      <c r="EJ1083" s="4"/>
      <c r="EK1083" s="4"/>
      <c r="EL1083" s="4"/>
      <c r="EM1083" s="4"/>
      <c r="EN1083" s="4"/>
      <c r="EO1083" s="4"/>
      <c r="EP1083" s="4"/>
      <c r="EQ1083" s="4"/>
      <c r="ER1083" s="4"/>
      <c r="ES1083" s="4"/>
      <c r="ET1083" s="4"/>
      <c r="EU1083" s="4"/>
      <c r="EV1083" s="4"/>
      <c r="EW1083" s="4"/>
      <c r="EX1083" s="4"/>
      <c r="EY1083" s="4"/>
      <c r="EZ1083" s="4"/>
      <c r="FA1083" s="4"/>
      <c r="FB1083" s="4"/>
      <c r="FC1083" s="4"/>
      <c r="FD1083" s="4"/>
      <c r="FE1083" s="4"/>
      <c r="FF1083" s="4"/>
      <c r="FG1083" s="4"/>
      <c r="FH1083" s="4"/>
      <c r="FI1083" s="4"/>
      <c r="FJ1083" s="4"/>
      <c r="FK1083" s="4"/>
      <c r="FL1083" s="4"/>
      <c r="FM1083" s="4"/>
      <c r="FN1083" s="4"/>
      <c r="FO1083" s="4"/>
      <c r="FP1083" s="4"/>
      <c r="FQ1083" s="4"/>
      <c r="FR1083" s="4"/>
      <c r="FS1083" s="4"/>
      <c r="FT1083" s="4"/>
      <c r="FU1083" s="4"/>
      <c r="FV1083" s="4"/>
      <c r="FW1083" s="4"/>
      <c r="FX1083" s="4"/>
      <c r="FY1083" s="4"/>
      <c r="FZ1083" s="4"/>
      <c r="GA1083" s="4"/>
      <c r="GB1083" s="4"/>
      <c r="GC1083" s="4"/>
      <c r="GD1083" s="4"/>
      <c r="GE1083" s="4"/>
      <c r="GF1083" s="4"/>
      <c r="GG1083" s="4"/>
      <c r="GH1083" s="4"/>
      <c r="GI1083" s="4"/>
      <c r="GJ1083" s="4"/>
      <c r="GK1083" s="4"/>
      <c r="GL1083" s="4"/>
      <c r="GM1083" s="4"/>
      <c r="GN1083" s="4"/>
      <c r="GO1083" s="4"/>
      <c r="GP1083" s="4"/>
      <c r="GQ1083" s="4"/>
      <c r="GR1083" s="4"/>
      <c r="GS1083" s="4"/>
      <c r="GT1083" s="4"/>
      <c r="GU1083" s="4"/>
      <c r="GV1083" s="4"/>
      <c r="GW1083" s="4"/>
      <c r="GX1083" s="4"/>
      <c r="GY1083" s="4"/>
      <c r="GZ1083" s="4"/>
      <c r="HA1083" s="4"/>
      <c r="HB1083" s="4"/>
      <c r="HC1083" s="4"/>
      <c r="HD1083" s="4"/>
      <c r="HE1083" s="4"/>
      <c r="HF1083" s="4"/>
      <c r="HG1083" s="4"/>
      <c r="HH1083" s="4"/>
    </row>
    <row r="1084" spans="16:216" ht="15.75" hidden="1" customHeight="1" x14ac:dyDescent="0.3"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</row>
    <row r="1085" spans="16:216" ht="15.75" hidden="1" customHeight="1" x14ac:dyDescent="0.3"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  <c r="DJ1085" s="4"/>
      <c r="DK1085" s="4"/>
      <c r="DL1085" s="4"/>
      <c r="DM1085" s="4"/>
      <c r="DN1085" s="4"/>
      <c r="DO1085" s="4"/>
      <c r="DP1085" s="4"/>
      <c r="DQ1085" s="4"/>
      <c r="DR1085" s="4"/>
      <c r="DS1085" s="4"/>
      <c r="DT1085" s="4"/>
      <c r="DU1085" s="4"/>
      <c r="DV1085" s="4"/>
      <c r="DW1085" s="4"/>
      <c r="DX1085" s="4"/>
      <c r="DY1085" s="4"/>
      <c r="DZ1085" s="4"/>
      <c r="EA1085" s="4"/>
      <c r="EB1085" s="4"/>
      <c r="EC1085" s="4"/>
      <c r="ED1085" s="4"/>
      <c r="EE1085" s="4"/>
      <c r="EF1085" s="4"/>
      <c r="EG1085" s="4"/>
      <c r="EH1085" s="4"/>
      <c r="EI1085" s="4"/>
      <c r="EJ1085" s="4"/>
      <c r="EK1085" s="4"/>
      <c r="EL1085" s="4"/>
      <c r="EM1085" s="4"/>
      <c r="EN1085" s="4"/>
      <c r="EO1085" s="4"/>
      <c r="EP1085" s="4"/>
      <c r="EQ1085" s="4"/>
      <c r="ER1085" s="4"/>
      <c r="ES1085" s="4"/>
      <c r="ET1085" s="4"/>
      <c r="EU1085" s="4"/>
      <c r="EV1085" s="4"/>
      <c r="EW1085" s="4"/>
      <c r="EX1085" s="4"/>
      <c r="EY1085" s="4"/>
      <c r="EZ1085" s="4"/>
      <c r="FA1085" s="4"/>
      <c r="FB1085" s="4"/>
      <c r="FC1085" s="4"/>
      <c r="FD1085" s="4"/>
      <c r="FE1085" s="4"/>
      <c r="FF1085" s="4"/>
      <c r="FG1085" s="4"/>
      <c r="FH1085" s="4"/>
      <c r="FI1085" s="4"/>
      <c r="FJ1085" s="4"/>
      <c r="FK1085" s="4"/>
      <c r="FL1085" s="4"/>
      <c r="FM1085" s="4"/>
      <c r="FN1085" s="4"/>
      <c r="FO1085" s="4"/>
      <c r="FP1085" s="4"/>
      <c r="FQ1085" s="4"/>
      <c r="FR1085" s="4"/>
      <c r="FS1085" s="4"/>
      <c r="FT1085" s="4"/>
      <c r="FU1085" s="4"/>
      <c r="FV1085" s="4"/>
      <c r="FW1085" s="4"/>
      <c r="FX1085" s="4"/>
      <c r="FY1085" s="4"/>
      <c r="FZ1085" s="4"/>
      <c r="GA1085" s="4"/>
      <c r="GB1085" s="4"/>
      <c r="GC1085" s="4"/>
      <c r="GD1085" s="4"/>
      <c r="GE1085" s="4"/>
      <c r="GF1085" s="4"/>
      <c r="GG1085" s="4"/>
      <c r="GH1085" s="4"/>
      <c r="GI1085" s="4"/>
      <c r="GJ1085" s="4"/>
      <c r="GK1085" s="4"/>
      <c r="GL1085" s="4"/>
      <c r="GM1085" s="4"/>
      <c r="GN1085" s="4"/>
      <c r="GO1085" s="4"/>
      <c r="GP1085" s="4"/>
      <c r="GQ1085" s="4"/>
      <c r="GR1085" s="4"/>
      <c r="GS1085" s="4"/>
      <c r="GT1085" s="4"/>
      <c r="GU1085" s="4"/>
      <c r="GV1085" s="4"/>
      <c r="GW1085" s="4"/>
      <c r="GX1085" s="4"/>
      <c r="GY1085" s="4"/>
      <c r="GZ1085" s="4"/>
      <c r="HA1085" s="4"/>
      <c r="HB1085" s="4"/>
      <c r="HC1085" s="4"/>
      <c r="HD1085" s="4"/>
      <c r="HE1085" s="4"/>
      <c r="HF1085" s="4"/>
      <c r="HG1085" s="4"/>
      <c r="HH1085" s="4"/>
    </row>
    <row r="1086" spans="16:216" ht="15.75" hidden="1" customHeight="1" x14ac:dyDescent="0.3"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  <c r="HC1086" s="4"/>
      <c r="HD1086" s="4"/>
      <c r="HE1086" s="4"/>
      <c r="HF1086" s="4"/>
      <c r="HG1086" s="4"/>
      <c r="HH1086" s="4"/>
    </row>
    <row r="1087" spans="16:216" ht="15.75" hidden="1" customHeight="1" x14ac:dyDescent="0.3"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  <c r="DC1087" s="4"/>
      <c r="DD1087" s="4"/>
      <c r="DE1087" s="4"/>
      <c r="DF1087" s="4"/>
      <c r="DG1087" s="4"/>
      <c r="DH1087" s="4"/>
      <c r="DI1087" s="4"/>
      <c r="DJ1087" s="4"/>
      <c r="DK1087" s="4"/>
      <c r="DL1087" s="4"/>
      <c r="DM1087" s="4"/>
      <c r="DN1087" s="4"/>
      <c r="DO1087" s="4"/>
      <c r="DP1087" s="4"/>
      <c r="DQ1087" s="4"/>
      <c r="DR1087" s="4"/>
      <c r="DS1087" s="4"/>
      <c r="DT1087" s="4"/>
      <c r="DU1087" s="4"/>
      <c r="DV1087" s="4"/>
      <c r="DW1087" s="4"/>
      <c r="DX1087" s="4"/>
      <c r="DY1087" s="4"/>
      <c r="DZ1087" s="4"/>
      <c r="EA1087" s="4"/>
      <c r="EB1087" s="4"/>
      <c r="EC1087" s="4"/>
      <c r="ED1087" s="4"/>
      <c r="EE1087" s="4"/>
      <c r="EF1087" s="4"/>
      <c r="EG1087" s="4"/>
      <c r="EH1087" s="4"/>
      <c r="EI1087" s="4"/>
      <c r="EJ1087" s="4"/>
      <c r="EK1087" s="4"/>
      <c r="EL1087" s="4"/>
      <c r="EM1087" s="4"/>
      <c r="EN1087" s="4"/>
      <c r="EO1087" s="4"/>
      <c r="EP1087" s="4"/>
      <c r="EQ1087" s="4"/>
      <c r="ER1087" s="4"/>
      <c r="ES1087" s="4"/>
      <c r="ET1087" s="4"/>
      <c r="EU1087" s="4"/>
      <c r="EV1087" s="4"/>
      <c r="EW1087" s="4"/>
      <c r="EX1087" s="4"/>
      <c r="EY1087" s="4"/>
      <c r="EZ1087" s="4"/>
      <c r="FA1087" s="4"/>
      <c r="FB1087" s="4"/>
      <c r="FC1087" s="4"/>
      <c r="FD1087" s="4"/>
      <c r="FE1087" s="4"/>
      <c r="FF1087" s="4"/>
      <c r="FG1087" s="4"/>
      <c r="FH1087" s="4"/>
      <c r="FI1087" s="4"/>
      <c r="FJ1087" s="4"/>
      <c r="FK1087" s="4"/>
      <c r="FL1087" s="4"/>
      <c r="FM1087" s="4"/>
      <c r="FN1087" s="4"/>
      <c r="FO1087" s="4"/>
      <c r="FP1087" s="4"/>
      <c r="FQ1087" s="4"/>
      <c r="FR1087" s="4"/>
      <c r="FS1087" s="4"/>
      <c r="FT1087" s="4"/>
      <c r="FU1087" s="4"/>
      <c r="FV1087" s="4"/>
      <c r="FW1087" s="4"/>
      <c r="FX1087" s="4"/>
      <c r="FY1087" s="4"/>
      <c r="FZ1087" s="4"/>
      <c r="GA1087" s="4"/>
      <c r="GB1087" s="4"/>
      <c r="GC1087" s="4"/>
      <c r="GD1087" s="4"/>
      <c r="GE1087" s="4"/>
      <c r="GF1087" s="4"/>
      <c r="GG1087" s="4"/>
      <c r="GH1087" s="4"/>
      <c r="GI1087" s="4"/>
      <c r="GJ1087" s="4"/>
      <c r="GK1087" s="4"/>
      <c r="GL1087" s="4"/>
      <c r="GM1087" s="4"/>
      <c r="GN1087" s="4"/>
      <c r="GO1087" s="4"/>
      <c r="GP1087" s="4"/>
      <c r="GQ1087" s="4"/>
      <c r="GR1087" s="4"/>
      <c r="GS1087" s="4"/>
      <c r="GT1087" s="4"/>
      <c r="GU1087" s="4"/>
      <c r="GV1087" s="4"/>
      <c r="GW1087" s="4"/>
      <c r="GX1087" s="4"/>
      <c r="GY1087" s="4"/>
      <c r="GZ1087" s="4"/>
      <c r="HA1087" s="4"/>
      <c r="HB1087" s="4"/>
      <c r="HC1087" s="4"/>
      <c r="HD1087" s="4"/>
      <c r="HE1087" s="4"/>
      <c r="HF1087" s="4"/>
      <c r="HG1087" s="4"/>
      <c r="HH1087" s="4"/>
    </row>
    <row r="1088" spans="16:216" ht="15.75" hidden="1" customHeight="1" x14ac:dyDescent="0.3"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  <c r="HC1088" s="4"/>
      <c r="HD1088" s="4"/>
      <c r="HE1088" s="4"/>
      <c r="HF1088" s="4"/>
      <c r="HG1088" s="4"/>
      <c r="HH1088" s="4"/>
    </row>
    <row r="1089" spans="16:216" ht="15.75" hidden="1" customHeight="1" x14ac:dyDescent="0.3"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D1089" s="4"/>
      <c r="DE1089" s="4"/>
      <c r="DF1089" s="4"/>
      <c r="DG1089" s="4"/>
      <c r="DH1089" s="4"/>
      <c r="DI1089" s="4"/>
      <c r="DJ1089" s="4"/>
      <c r="DK1089" s="4"/>
      <c r="DL1089" s="4"/>
      <c r="DM1089" s="4"/>
      <c r="DN1089" s="4"/>
      <c r="DO1089" s="4"/>
      <c r="DP1089" s="4"/>
      <c r="DQ1089" s="4"/>
      <c r="DR1089" s="4"/>
      <c r="DS1089" s="4"/>
      <c r="DT1089" s="4"/>
      <c r="DU1089" s="4"/>
      <c r="DV1089" s="4"/>
      <c r="DW1089" s="4"/>
      <c r="DX1089" s="4"/>
      <c r="DY1089" s="4"/>
      <c r="DZ1089" s="4"/>
      <c r="EA1089" s="4"/>
      <c r="EB1089" s="4"/>
      <c r="EC1089" s="4"/>
      <c r="ED1089" s="4"/>
      <c r="EE1089" s="4"/>
      <c r="EF1089" s="4"/>
      <c r="EG1089" s="4"/>
      <c r="EH1089" s="4"/>
      <c r="EI1089" s="4"/>
      <c r="EJ1089" s="4"/>
      <c r="EK1089" s="4"/>
      <c r="EL1089" s="4"/>
      <c r="EM1089" s="4"/>
      <c r="EN1089" s="4"/>
      <c r="EO1089" s="4"/>
      <c r="EP1089" s="4"/>
      <c r="EQ1089" s="4"/>
      <c r="ER1089" s="4"/>
      <c r="ES1089" s="4"/>
      <c r="ET1089" s="4"/>
      <c r="EU1089" s="4"/>
      <c r="EV1089" s="4"/>
      <c r="EW1089" s="4"/>
      <c r="EX1089" s="4"/>
      <c r="EY1089" s="4"/>
      <c r="EZ1089" s="4"/>
      <c r="FA1089" s="4"/>
      <c r="FB1089" s="4"/>
      <c r="FC1089" s="4"/>
      <c r="FD1089" s="4"/>
      <c r="FE1089" s="4"/>
      <c r="FF1089" s="4"/>
      <c r="FG1089" s="4"/>
      <c r="FH1089" s="4"/>
      <c r="FI1089" s="4"/>
      <c r="FJ1089" s="4"/>
      <c r="FK1089" s="4"/>
      <c r="FL1089" s="4"/>
      <c r="FM1089" s="4"/>
      <c r="FN1089" s="4"/>
      <c r="FO1089" s="4"/>
      <c r="FP1089" s="4"/>
      <c r="FQ1089" s="4"/>
      <c r="FR1089" s="4"/>
      <c r="FS1089" s="4"/>
      <c r="FT1089" s="4"/>
      <c r="FU1089" s="4"/>
      <c r="FV1089" s="4"/>
      <c r="FW1089" s="4"/>
      <c r="FX1089" s="4"/>
      <c r="FY1089" s="4"/>
      <c r="FZ1089" s="4"/>
      <c r="GA1089" s="4"/>
      <c r="GB1089" s="4"/>
      <c r="GC1089" s="4"/>
      <c r="GD1089" s="4"/>
      <c r="GE1089" s="4"/>
      <c r="GF1089" s="4"/>
      <c r="GG1089" s="4"/>
      <c r="GH1089" s="4"/>
      <c r="GI1089" s="4"/>
      <c r="GJ1089" s="4"/>
      <c r="GK1089" s="4"/>
      <c r="GL1089" s="4"/>
      <c r="GM1089" s="4"/>
      <c r="GN1089" s="4"/>
      <c r="GO1089" s="4"/>
      <c r="GP1089" s="4"/>
      <c r="GQ1089" s="4"/>
      <c r="GR1089" s="4"/>
      <c r="GS1089" s="4"/>
      <c r="GT1089" s="4"/>
      <c r="GU1089" s="4"/>
      <c r="GV1089" s="4"/>
      <c r="GW1089" s="4"/>
      <c r="GX1089" s="4"/>
      <c r="GY1089" s="4"/>
      <c r="GZ1089" s="4"/>
      <c r="HA1089" s="4"/>
      <c r="HB1089" s="4"/>
      <c r="HC1089" s="4"/>
      <c r="HD1089" s="4"/>
      <c r="HE1089" s="4"/>
      <c r="HF1089" s="4"/>
      <c r="HG1089" s="4"/>
      <c r="HH1089" s="4"/>
    </row>
    <row r="1090" spans="16:216" ht="15.75" hidden="1" customHeight="1" x14ac:dyDescent="0.3"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  <c r="HC1090" s="4"/>
      <c r="HD1090" s="4"/>
      <c r="HE1090" s="4"/>
      <c r="HF1090" s="4"/>
      <c r="HG1090" s="4"/>
      <c r="HH1090" s="4"/>
    </row>
    <row r="1091" spans="16:216" ht="15.75" hidden="1" customHeight="1" x14ac:dyDescent="0.3"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D1091" s="4"/>
      <c r="DE1091" s="4"/>
      <c r="DF1091" s="4"/>
      <c r="DG1091" s="4"/>
      <c r="DH1091" s="4"/>
      <c r="DI1091" s="4"/>
      <c r="DJ1091" s="4"/>
      <c r="DK1091" s="4"/>
      <c r="DL1091" s="4"/>
      <c r="DM1091" s="4"/>
      <c r="DN1091" s="4"/>
      <c r="DO1091" s="4"/>
      <c r="DP1091" s="4"/>
      <c r="DQ1091" s="4"/>
      <c r="DR1091" s="4"/>
      <c r="DS1091" s="4"/>
      <c r="DT1091" s="4"/>
      <c r="DU1091" s="4"/>
      <c r="DV1091" s="4"/>
      <c r="DW1091" s="4"/>
      <c r="DX1091" s="4"/>
      <c r="DY1091" s="4"/>
      <c r="DZ1091" s="4"/>
      <c r="EA1091" s="4"/>
      <c r="EB1091" s="4"/>
      <c r="EC1091" s="4"/>
      <c r="ED1091" s="4"/>
      <c r="EE1091" s="4"/>
      <c r="EF1091" s="4"/>
      <c r="EG1091" s="4"/>
      <c r="EH1091" s="4"/>
      <c r="EI1091" s="4"/>
      <c r="EJ1091" s="4"/>
      <c r="EK1091" s="4"/>
      <c r="EL1091" s="4"/>
      <c r="EM1091" s="4"/>
      <c r="EN1091" s="4"/>
      <c r="EO1091" s="4"/>
      <c r="EP1091" s="4"/>
      <c r="EQ1091" s="4"/>
      <c r="ER1091" s="4"/>
      <c r="ES1091" s="4"/>
      <c r="ET1091" s="4"/>
      <c r="EU1091" s="4"/>
      <c r="EV1091" s="4"/>
      <c r="EW1091" s="4"/>
      <c r="EX1091" s="4"/>
      <c r="EY1091" s="4"/>
      <c r="EZ1091" s="4"/>
      <c r="FA1091" s="4"/>
      <c r="FB1091" s="4"/>
      <c r="FC1091" s="4"/>
      <c r="FD1091" s="4"/>
      <c r="FE1091" s="4"/>
      <c r="FF1091" s="4"/>
      <c r="FG1091" s="4"/>
      <c r="FH1091" s="4"/>
      <c r="FI1091" s="4"/>
      <c r="FJ1091" s="4"/>
      <c r="FK1091" s="4"/>
      <c r="FL1091" s="4"/>
      <c r="FM1091" s="4"/>
      <c r="FN1091" s="4"/>
      <c r="FO1091" s="4"/>
      <c r="FP1091" s="4"/>
      <c r="FQ1091" s="4"/>
      <c r="FR1091" s="4"/>
      <c r="FS1091" s="4"/>
      <c r="FT1091" s="4"/>
      <c r="FU1091" s="4"/>
      <c r="FV1091" s="4"/>
      <c r="FW1091" s="4"/>
      <c r="FX1091" s="4"/>
      <c r="FY1091" s="4"/>
      <c r="FZ1091" s="4"/>
      <c r="GA1091" s="4"/>
      <c r="GB1091" s="4"/>
      <c r="GC1091" s="4"/>
      <c r="GD1091" s="4"/>
      <c r="GE1091" s="4"/>
      <c r="GF1091" s="4"/>
      <c r="GG1091" s="4"/>
      <c r="GH1091" s="4"/>
      <c r="GI1091" s="4"/>
      <c r="GJ1091" s="4"/>
      <c r="GK1091" s="4"/>
      <c r="GL1091" s="4"/>
      <c r="GM1091" s="4"/>
      <c r="GN1091" s="4"/>
      <c r="GO1091" s="4"/>
      <c r="GP1091" s="4"/>
      <c r="GQ1091" s="4"/>
      <c r="GR1091" s="4"/>
      <c r="GS1091" s="4"/>
      <c r="GT1091" s="4"/>
      <c r="GU1091" s="4"/>
      <c r="GV1091" s="4"/>
      <c r="GW1091" s="4"/>
      <c r="GX1091" s="4"/>
      <c r="GY1091" s="4"/>
      <c r="GZ1091" s="4"/>
      <c r="HA1091" s="4"/>
      <c r="HB1091" s="4"/>
      <c r="HC1091" s="4"/>
      <c r="HD1091" s="4"/>
      <c r="HE1091" s="4"/>
      <c r="HF1091" s="4"/>
      <c r="HG1091" s="4"/>
      <c r="HH1091" s="4"/>
    </row>
    <row r="1092" spans="16:216" ht="15.75" hidden="1" customHeight="1" x14ac:dyDescent="0.3"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  <c r="HC1092" s="4"/>
      <c r="HD1092" s="4"/>
      <c r="HE1092" s="4"/>
      <c r="HF1092" s="4"/>
      <c r="HG1092" s="4"/>
      <c r="HH1092" s="4"/>
    </row>
    <row r="1093" spans="16:216" ht="15.75" hidden="1" customHeight="1" x14ac:dyDescent="0.3"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D1093" s="4"/>
      <c r="DE1093" s="4"/>
      <c r="DF1093" s="4"/>
      <c r="DG1093" s="4"/>
      <c r="DH1093" s="4"/>
      <c r="DI1093" s="4"/>
      <c r="DJ1093" s="4"/>
      <c r="DK1093" s="4"/>
      <c r="DL1093" s="4"/>
      <c r="DM1093" s="4"/>
      <c r="DN1093" s="4"/>
      <c r="DO1093" s="4"/>
      <c r="DP1093" s="4"/>
      <c r="DQ1093" s="4"/>
      <c r="DR1093" s="4"/>
      <c r="DS1093" s="4"/>
      <c r="DT1093" s="4"/>
      <c r="DU1093" s="4"/>
      <c r="DV1093" s="4"/>
      <c r="DW1093" s="4"/>
      <c r="DX1093" s="4"/>
      <c r="DY1093" s="4"/>
      <c r="DZ1093" s="4"/>
      <c r="EA1093" s="4"/>
      <c r="EB1093" s="4"/>
      <c r="EC1093" s="4"/>
      <c r="ED1093" s="4"/>
      <c r="EE1093" s="4"/>
      <c r="EF1093" s="4"/>
      <c r="EG1093" s="4"/>
      <c r="EH1093" s="4"/>
      <c r="EI1093" s="4"/>
      <c r="EJ1093" s="4"/>
      <c r="EK1093" s="4"/>
      <c r="EL1093" s="4"/>
      <c r="EM1093" s="4"/>
      <c r="EN1093" s="4"/>
      <c r="EO1093" s="4"/>
      <c r="EP1093" s="4"/>
      <c r="EQ1093" s="4"/>
      <c r="ER1093" s="4"/>
      <c r="ES1093" s="4"/>
      <c r="ET1093" s="4"/>
      <c r="EU1093" s="4"/>
      <c r="EV1093" s="4"/>
      <c r="EW1093" s="4"/>
      <c r="EX1093" s="4"/>
      <c r="EY1093" s="4"/>
      <c r="EZ1093" s="4"/>
      <c r="FA1093" s="4"/>
      <c r="FB1093" s="4"/>
      <c r="FC1093" s="4"/>
      <c r="FD1093" s="4"/>
      <c r="FE1093" s="4"/>
      <c r="FF1093" s="4"/>
      <c r="FG1093" s="4"/>
      <c r="FH1093" s="4"/>
      <c r="FI1093" s="4"/>
      <c r="FJ1093" s="4"/>
      <c r="FK1093" s="4"/>
      <c r="FL1093" s="4"/>
      <c r="FM1093" s="4"/>
      <c r="FN1093" s="4"/>
      <c r="FO1093" s="4"/>
      <c r="FP1093" s="4"/>
      <c r="FQ1093" s="4"/>
      <c r="FR1093" s="4"/>
      <c r="FS1093" s="4"/>
      <c r="FT1093" s="4"/>
      <c r="FU1093" s="4"/>
      <c r="FV1093" s="4"/>
      <c r="FW1093" s="4"/>
      <c r="FX1093" s="4"/>
      <c r="FY1093" s="4"/>
      <c r="FZ1093" s="4"/>
      <c r="GA1093" s="4"/>
      <c r="GB1093" s="4"/>
      <c r="GC1093" s="4"/>
      <c r="GD1093" s="4"/>
      <c r="GE1093" s="4"/>
      <c r="GF1093" s="4"/>
      <c r="GG1093" s="4"/>
      <c r="GH1093" s="4"/>
      <c r="GI1093" s="4"/>
      <c r="GJ1093" s="4"/>
      <c r="GK1093" s="4"/>
      <c r="GL1093" s="4"/>
      <c r="GM1093" s="4"/>
      <c r="GN1093" s="4"/>
      <c r="GO1093" s="4"/>
      <c r="GP1093" s="4"/>
      <c r="GQ1093" s="4"/>
      <c r="GR1093" s="4"/>
      <c r="GS1093" s="4"/>
      <c r="GT1093" s="4"/>
      <c r="GU1093" s="4"/>
      <c r="GV1093" s="4"/>
      <c r="GW1093" s="4"/>
      <c r="GX1093" s="4"/>
      <c r="GY1093" s="4"/>
      <c r="GZ1093" s="4"/>
      <c r="HA1093" s="4"/>
      <c r="HB1093" s="4"/>
      <c r="HC1093" s="4"/>
      <c r="HD1093" s="4"/>
      <c r="HE1093" s="4"/>
      <c r="HF1093" s="4"/>
      <c r="HG1093" s="4"/>
      <c r="HH1093" s="4"/>
    </row>
    <row r="1094" spans="16:216" ht="15.75" hidden="1" customHeight="1" x14ac:dyDescent="0.3"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  <c r="HC1094" s="4"/>
      <c r="HD1094" s="4"/>
      <c r="HE1094" s="4"/>
      <c r="HF1094" s="4"/>
      <c r="HG1094" s="4"/>
      <c r="HH1094" s="4"/>
    </row>
    <row r="1095" spans="16:216" ht="15.75" hidden="1" customHeight="1" x14ac:dyDescent="0.3"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D1095" s="4"/>
      <c r="DE1095" s="4"/>
      <c r="DF1095" s="4"/>
      <c r="DG1095" s="4"/>
      <c r="DH1095" s="4"/>
      <c r="DI1095" s="4"/>
      <c r="DJ1095" s="4"/>
      <c r="DK1095" s="4"/>
      <c r="DL1095" s="4"/>
      <c r="DM1095" s="4"/>
      <c r="DN1095" s="4"/>
      <c r="DO1095" s="4"/>
      <c r="DP1095" s="4"/>
      <c r="DQ1095" s="4"/>
      <c r="DR1095" s="4"/>
      <c r="DS1095" s="4"/>
      <c r="DT1095" s="4"/>
      <c r="DU1095" s="4"/>
      <c r="DV1095" s="4"/>
      <c r="DW1095" s="4"/>
      <c r="DX1095" s="4"/>
      <c r="DY1095" s="4"/>
      <c r="DZ1095" s="4"/>
      <c r="EA1095" s="4"/>
      <c r="EB1095" s="4"/>
      <c r="EC1095" s="4"/>
      <c r="ED1095" s="4"/>
      <c r="EE1095" s="4"/>
      <c r="EF1095" s="4"/>
      <c r="EG1095" s="4"/>
      <c r="EH1095" s="4"/>
      <c r="EI1095" s="4"/>
      <c r="EJ1095" s="4"/>
      <c r="EK1095" s="4"/>
      <c r="EL1095" s="4"/>
      <c r="EM1095" s="4"/>
      <c r="EN1095" s="4"/>
      <c r="EO1095" s="4"/>
      <c r="EP1095" s="4"/>
      <c r="EQ1095" s="4"/>
      <c r="ER1095" s="4"/>
      <c r="ES1095" s="4"/>
      <c r="ET1095" s="4"/>
      <c r="EU1095" s="4"/>
      <c r="EV1095" s="4"/>
      <c r="EW1095" s="4"/>
      <c r="EX1095" s="4"/>
      <c r="EY1095" s="4"/>
      <c r="EZ1095" s="4"/>
      <c r="FA1095" s="4"/>
      <c r="FB1095" s="4"/>
      <c r="FC1095" s="4"/>
      <c r="FD1095" s="4"/>
      <c r="FE1095" s="4"/>
      <c r="FF1095" s="4"/>
      <c r="FG1095" s="4"/>
      <c r="FH1095" s="4"/>
      <c r="FI1095" s="4"/>
      <c r="FJ1095" s="4"/>
      <c r="FK1095" s="4"/>
      <c r="FL1095" s="4"/>
      <c r="FM1095" s="4"/>
      <c r="FN1095" s="4"/>
      <c r="FO1095" s="4"/>
      <c r="FP1095" s="4"/>
      <c r="FQ1095" s="4"/>
      <c r="FR1095" s="4"/>
      <c r="FS1095" s="4"/>
      <c r="FT1095" s="4"/>
      <c r="FU1095" s="4"/>
      <c r="FV1095" s="4"/>
      <c r="FW1095" s="4"/>
      <c r="FX1095" s="4"/>
      <c r="FY1095" s="4"/>
      <c r="FZ1095" s="4"/>
      <c r="GA1095" s="4"/>
      <c r="GB1095" s="4"/>
      <c r="GC1095" s="4"/>
      <c r="GD1095" s="4"/>
      <c r="GE1095" s="4"/>
      <c r="GF1095" s="4"/>
      <c r="GG1095" s="4"/>
      <c r="GH1095" s="4"/>
      <c r="GI1095" s="4"/>
      <c r="GJ1095" s="4"/>
      <c r="GK1095" s="4"/>
      <c r="GL1095" s="4"/>
      <c r="GM1095" s="4"/>
      <c r="GN1095" s="4"/>
      <c r="GO1095" s="4"/>
      <c r="GP1095" s="4"/>
      <c r="GQ1095" s="4"/>
      <c r="GR1095" s="4"/>
      <c r="GS1095" s="4"/>
      <c r="GT1095" s="4"/>
      <c r="GU1095" s="4"/>
      <c r="GV1095" s="4"/>
      <c r="GW1095" s="4"/>
      <c r="GX1095" s="4"/>
      <c r="GY1095" s="4"/>
      <c r="GZ1095" s="4"/>
      <c r="HA1095" s="4"/>
      <c r="HB1095" s="4"/>
      <c r="HC1095" s="4"/>
      <c r="HD1095" s="4"/>
      <c r="HE1095" s="4"/>
      <c r="HF1095" s="4"/>
      <c r="HG1095" s="4"/>
      <c r="HH1095" s="4"/>
    </row>
    <row r="1096" spans="16:216" ht="15.75" hidden="1" customHeight="1" x14ac:dyDescent="0.3"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  <c r="HC1096" s="4"/>
      <c r="HD1096" s="4"/>
      <c r="HE1096" s="4"/>
      <c r="HF1096" s="4"/>
      <c r="HG1096" s="4"/>
      <c r="HH1096" s="4"/>
    </row>
    <row r="1097" spans="16:216" ht="15.75" hidden="1" customHeight="1" x14ac:dyDescent="0.3"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4"/>
      <c r="DW1097" s="4"/>
      <c r="DX1097" s="4"/>
      <c r="DY1097" s="4"/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/>
      <c r="EL1097" s="4"/>
      <c r="EM1097" s="4"/>
      <c r="EN1097" s="4"/>
      <c r="EO1097" s="4"/>
      <c r="EP1097" s="4"/>
      <c r="EQ1097" s="4"/>
      <c r="ER1097" s="4"/>
      <c r="ES1097" s="4"/>
      <c r="ET1097" s="4"/>
      <c r="EU1097" s="4"/>
      <c r="EV1097" s="4"/>
      <c r="EW1097" s="4"/>
      <c r="EX1097" s="4"/>
      <c r="EY1097" s="4"/>
      <c r="EZ1097" s="4"/>
      <c r="FA1097" s="4"/>
      <c r="FB1097" s="4"/>
      <c r="FC1097" s="4"/>
      <c r="FD1097" s="4"/>
      <c r="FE1097" s="4"/>
      <c r="FF1097" s="4"/>
      <c r="FG1097" s="4"/>
      <c r="FH1097" s="4"/>
      <c r="FI1097" s="4"/>
      <c r="FJ1097" s="4"/>
      <c r="FK1097" s="4"/>
      <c r="FL1097" s="4"/>
      <c r="FM1097" s="4"/>
      <c r="FN1097" s="4"/>
      <c r="FO1097" s="4"/>
      <c r="FP1097" s="4"/>
      <c r="FQ1097" s="4"/>
      <c r="FR1097" s="4"/>
      <c r="FS1097" s="4"/>
      <c r="FT1097" s="4"/>
      <c r="FU1097" s="4"/>
      <c r="FV1097" s="4"/>
      <c r="FW1097" s="4"/>
      <c r="FX1097" s="4"/>
      <c r="FY1097" s="4"/>
      <c r="FZ1097" s="4"/>
      <c r="GA1097" s="4"/>
      <c r="GB1097" s="4"/>
      <c r="GC1097" s="4"/>
      <c r="GD1097" s="4"/>
      <c r="GE1097" s="4"/>
      <c r="GF1097" s="4"/>
      <c r="GG1097" s="4"/>
      <c r="GH1097" s="4"/>
      <c r="GI1097" s="4"/>
      <c r="GJ1097" s="4"/>
      <c r="GK1097" s="4"/>
      <c r="GL1097" s="4"/>
      <c r="GM1097" s="4"/>
      <c r="GN1097" s="4"/>
      <c r="GO1097" s="4"/>
      <c r="GP1097" s="4"/>
      <c r="GQ1097" s="4"/>
      <c r="GR1097" s="4"/>
      <c r="GS1097" s="4"/>
      <c r="GT1097" s="4"/>
      <c r="GU1097" s="4"/>
      <c r="GV1097" s="4"/>
      <c r="GW1097" s="4"/>
      <c r="GX1097" s="4"/>
      <c r="GY1097" s="4"/>
      <c r="GZ1097" s="4"/>
      <c r="HA1097" s="4"/>
      <c r="HB1097" s="4"/>
      <c r="HC1097" s="4"/>
      <c r="HD1097" s="4"/>
      <c r="HE1097" s="4"/>
      <c r="HF1097" s="4"/>
      <c r="HG1097" s="4"/>
      <c r="HH1097" s="4"/>
    </row>
    <row r="1098" spans="16:216" ht="15.75" hidden="1" customHeight="1" x14ac:dyDescent="0.3"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</row>
    <row r="1099" spans="16:216" ht="15.75" hidden="1" customHeight="1" x14ac:dyDescent="0.3"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D1099" s="4"/>
      <c r="DE1099" s="4"/>
      <c r="DF1099" s="4"/>
      <c r="DG1099" s="4"/>
      <c r="DH1099" s="4"/>
      <c r="DI1099" s="4"/>
      <c r="DJ1099" s="4"/>
      <c r="DK1099" s="4"/>
      <c r="DL1099" s="4"/>
      <c r="DM1099" s="4"/>
      <c r="DN1099" s="4"/>
      <c r="DO1099" s="4"/>
      <c r="DP1099" s="4"/>
      <c r="DQ1099" s="4"/>
      <c r="DR1099" s="4"/>
      <c r="DS1099" s="4"/>
      <c r="DT1099" s="4"/>
      <c r="DU1099" s="4"/>
      <c r="DV1099" s="4"/>
      <c r="DW1099" s="4"/>
      <c r="DX1099" s="4"/>
      <c r="DY1099" s="4"/>
      <c r="DZ1099" s="4"/>
      <c r="EA1099" s="4"/>
      <c r="EB1099" s="4"/>
      <c r="EC1099" s="4"/>
      <c r="ED1099" s="4"/>
      <c r="EE1099" s="4"/>
      <c r="EF1099" s="4"/>
      <c r="EG1099" s="4"/>
      <c r="EH1099" s="4"/>
      <c r="EI1099" s="4"/>
      <c r="EJ1099" s="4"/>
      <c r="EK1099" s="4"/>
      <c r="EL1099" s="4"/>
      <c r="EM1099" s="4"/>
      <c r="EN1099" s="4"/>
      <c r="EO1099" s="4"/>
      <c r="EP1099" s="4"/>
      <c r="EQ1099" s="4"/>
      <c r="ER1099" s="4"/>
      <c r="ES1099" s="4"/>
      <c r="ET1099" s="4"/>
      <c r="EU1099" s="4"/>
      <c r="EV1099" s="4"/>
      <c r="EW1099" s="4"/>
      <c r="EX1099" s="4"/>
      <c r="EY1099" s="4"/>
      <c r="EZ1099" s="4"/>
      <c r="FA1099" s="4"/>
      <c r="FB1099" s="4"/>
      <c r="FC1099" s="4"/>
      <c r="FD1099" s="4"/>
      <c r="FE1099" s="4"/>
      <c r="FF1099" s="4"/>
      <c r="FG1099" s="4"/>
      <c r="FH1099" s="4"/>
      <c r="FI1099" s="4"/>
      <c r="FJ1099" s="4"/>
      <c r="FK1099" s="4"/>
      <c r="FL1099" s="4"/>
      <c r="FM1099" s="4"/>
      <c r="FN1099" s="4"/>
      <c r="FO1099" s="4"/>
      <c r="FP1099" s="4"/>
      <c r="FQ1099" s="4"/>
      <c r="FR1099" s="4"/>
      <c r="FS1099" s="4"/>
      <c r="FT1099" s="4"/>
      <c r="FU1099" s="4"/>
      <c r="FV1099" s="4"/>
      <c r="FW1099" s="4"/>
      <c r="FX1099" s="4"/>
      <c r="FY1099" s="4"/>
      <c r="FZ1099" s="4"/>
      <c r="GA1099" s="4"/>
      <c r="GB1099" s="4"/>
      <c r="GC1099" s="4"/>
      <c r="GD1099" s="4"/>
      <c r="GE1099" s="4"/>
      <c r="GF1099" s="4"/>
      <c r="GG1099" s="4"/>
      <c r="GH1099" s="4"/>
      <c r="GI1099" s="4"/>
      <c r="GJ1099" s="4"/>
      <c r="GK1099" s="4"/>
      <c r="GL1099" s="4"/>
      <c r="GM1099" s="4"/>
      <c r="GN1099" s="4"/>
      <c r="GO1099" s="4"/>
      <c r="GP1099" s="4"/>
      <c r="GQ1099" s="4"/>
      <c r="GR1099" s="4"/>
      <c r="GS1099" s="4"/>
      <c r="GT1099" s="4"/>
      <c r="GU1099" s="4"/>
      <c r="GV1099" s="4"/>
      <c r="GW1099" s="4"/>
      <c r="GX1099" s="4"/>
      <c r="GY1099" s="4"/>
      <c r="GZ1099" s="4"/>
      <c r="HA1099" s="4"/>
      <c r="HB1099" s="4"/>
      <c r="HC1099" s="4"/>
      <c r="HD1099" s="4"/>
      <c r="HE1099" s="4"/>
      <c r="HF1099" s="4"/>
      <c r="HG1099" s="4"/>
      <c r="HH1099" s="4"/>
    </row>
    <row r="1100" spans="16:216" ht="15.75" hidden="1" customHeight="1" x14ac:dyDescent="0.3"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</row>
    <row r="1101" spans="16:216" ht="15.75" hidden="1" customHeight="1" x14ac:dyDescent="0.3"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D1101" s="4"/>
      <c r="DE1101" s="4"/>
      <c r="DF1101" s="4"/>
      <c r="DG1101" s="4"/>
      <c r="DH1101" s="4"/>
      <c r="DI1101" s="4"/>
      <c r="DJ1101" s="4"/>
      <c r="DK1101" s="4"/>
      <c r="DL1101" s="4"/>
      <c r="DM1101" s="4"/>
      <c r="DN1101" s="4"/>
      <c r="DO1101" s="4"/>
      <c r="DP1101" s="4"/>
      <c r="DQ1101" s="4"/>
      <c r="DR1101" s="4"/>
      <c r="DS1101" s="4"/>
      <c r="DT1101" s="4"/>
      <c r="DU1101" s="4"/>
      <c r="DV1101" s="4"/>
      <c r="DW1101" s="4"/>
      <c r="DX1101" s="4"/>
      <c r="DY1101" s="4"/>
      <c r="DZ1101" s="4"/>
      <c r="EA1101" s="4"/>
      <c r="EB1101" s="4"/>
      <c r="EC1101" s="4"/>
      <c r="ED1101" s="4"/>
      <c r="EE1101" s="4"/>
      <c r="EF1101" s="4"/>
      <c r="EG1101" s="4"/>
      <c r="EH1101" s="4"/>
      <c r="EI1101" s="4"/>
      <c r="EJ1101" s="4"/>
      <c r="EK1101" s="4"/>
      <c r="EL1101" s="4"/>
      <c r="EM1101" s="4"/>
      <c r="EN1101" s="4"/>
      <c r="EO1101" s="4"/>
      <c r="EP1101" s="4"/>
      <c r="EQ1101" s="4"/>
      <c r="ER1101" s="4"/>
      <c r="ES1101" s="4"/>
      <c r="ET1101" s="4"/>
      <c r="EU1101" s="4"/>
      <c r="EV1101" s="4"/>
      <c r="EW1101" s="4"/>
      <c r="EX1101" s="4"/>
      <c r="EY1101" s="4"/>
      <c r="EZ1101" s="4"/>
      <c r="FA1101" s="4"/>
      <c r="FB1101" s="4"/>
      <c r="FC1101" s="4"/>
      <c r="FD1101" s="4"/>
      <c r="FE1101" s="4"/>
      <c r="FF1101" s="4"/>
      <c r="FG1101" s="4"/>
      <c r="FH1101" s="4"/>
      <c r="FI1101" s="4"/>
      <c r="FJ1101" s="4"/>
      <c r="FK1101" s="4"/>
      <c r="FL1101" s="4"/>
      <c r="FM1101" s="4"/>
      <c r="FN1101" s="4"/>
      <c r="FO1101" s="4"/>
      <c r="FP1101" s="4"/>
      <c r="FQ1101" s="4"/>
      <c r="FR1101" s="4"/>
      <c r="FS1101" s="4"/>
      <c r="FT1101" s="4"/>
      <c r="FU1101" s="4"/>
      <c r="FV1101" s="4"/>
      <c r="FW1101" s="4"/>
      <c r="FX1101" s="4"/>
      <c r="FY1101" s="4"/>
      <c r="FZ1101" s="4"/>
      <c r="GA1101" s="4"/>
      <c r="GB1101" s="4"/>
      <c r="GC1101" s="4"/>
      <c r="GD1101" s="4"/>
      <c r="GE1101" s="4"/>
      <c r="GF1101" s="4"/>
      <c r="GG1101" s="4"/>
      <c r="GH1101" s="4"/>
      <c r="GI1101" s="4"/>
      <c r="GJ1101" s="4"/>
      <c r="GK1101" s="4"/>
      <c r="GL1101" s="4"/>
      <c r="GM1101" s="4"/>
      <c r="GN1101" s="4"/>
      <c r="GO1101" s="4"/>
      <c r="GP1101" s="4"/>
      <c r="GQ1101" s="4"/>
      <c r="GR1101" s="4"/>
      <c r="GS1101" s="4"/>
      <c r="GT1101" s="4"/>
      <c r="GU1101" s="4"/>
      <c r="GV1101" s="4"/>
      <c r="GW1101" s="4"/>
      <c r="GX1101" s="4"/>
      <c r="GY1101" s="4"/>
      <c r="GZ1101" s="4"/>
      <c r="HA1101" s="4"/>
      <c r="HB1101" s="4"/>
      <c r="HC1101" s="4"/>
      <c r="HD1101" s="4"/>
      <c r="HE1101" s="4"/>
      <c r="HF1101" s="4"/>
      <c r="HG1101" s="4"/>
      <c r="HH1101" s="4"/>
    </row>
    <row r="1102" spans="16:216" ht="15.75" hidden="1" customHeight="1" x14ac:dyDescent="0.3"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</row>
    <row r="1103" spans="16:216" ht="15.75" hidden="1" customHeight="1" x14ac:dyDescent="0.3"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  <c r="DC1103" s="4"/>
      <c r="DD1103" s="4"/>
      <c r="DE1103" s="4"/>
      <c r="DF1103" s="4"/>
      <c r="DG1103" s="4"/>
      <c r="DH1103" s="4"/>
      <c r="DI1103" s="4"/>
      <c r="DJ1103" s="4"/>
      <c r="DK1103" s="4"/>
      <c r="DL1103" s="4"/>
      <c r="DM1103" s="4"/>
      <c r="DN1103" s="4"/>
      <c r="DO1103" s="4"/>
      <c r="DP1103" s="4"/>
      <c r="DQ1103" s="4"/>
      <c r="DR1103" s="4"/>
      <c r="DS1103" s="4"/>
      <c r="DT1103" s="4"/>
      <c r="DU1103" s="4"/>
      <c r="DV1103" s="4"/>
      <c r="DW1103" s="4"/>
      <c r="DX1103" s="4"/>
      <c r="DY1103" s="4"/>
      <c r="DZ1103" s="4"/>
      <c r="EA1103" s="4"/>
      <c r="EB1103" s="4"/>
      <c r="EC1103" s="4"/>
      <c r="ED1103" s="4"/>
      <c r="EE1103" s="4"/>
      <c r="EF1103" s="4"/>
      <c r="EG1103" s="4"/>
      <c r="EH1103" s="4"/>
      <c r="EI1103" s="4"/>
      <c r="EJ1103" s="4"/>
      <c r="EK1103" s="4"/>
      <c r="EL1103" s="4"/>
      <c r="EM1103" s="4"/>
      <c r="EN1103" s="4"/>
      <c r="EO1103" s="4"/>
      <c r="EP1103" s="4"/>
      <c r="EQ1103" s="4"/>
      <c r="ER1103" s="4"/>
      <c r="ES1103" s="4"/>
      <c r="ET1103" s="4"/>
      <c r="EU1103" s="4"/>
      <c r="EV1103" s="4"/>
      <c r="EW1103" s="4"/>
      <c r="EX1103" s="4"/>
      <c r="EY1103" s="4"/>
      <c r="EZ1103" s="4"/>
      <c r="FA1103" s="4"/>
      <c r="FB1103" s="4"/>
      <c r="FC1103" s="4"/>
      <c r="FD1103" s="4"/>
      <c r="FE1103" s="4"/>
      <c r="FF1103" s="4"/>
      <c r="FG1103" s="4"/>
      <c r="FH1103" s="4"/>
      <c r="FI1103" s="4"/>
      <c r="FJ1103" s="4"/>
      <c r="FK1103" s="4"/>
      <c r="FL1103" s="4"/>
      <c r="FM1103" s="4"/>
      <c r="FN1103" s="4"/>
      <c r="FO1103" s="4"/>
      <c r="FP1103" s="4"/>
      <c r="FQ1103" s="4"/>
      <c r="FR1103" s="4"/>
      <c r="FS1103" s="4"/>
      <c r="FT1103" s="4"/>
      <c r="FU1103" s="4"/>
      <c r="FV1103" s="4"/>
      <c r="FW1103" s="4"/>
      <c r="FX1103" s="4"/>
      <c r="FY1103" s="4"/>
      <c r="FZ1103" s="4"/>
      <c r="GA1103" s="4"/>
      <c r="GB1103" s="4"/>
      <c r="GC1103" s="4"/>
      <c r="GD1103" s="4"/>
      <c r="GE1103" s="4"/>
      <c r="GF1103" s="4"/>
      <c r="GG1103" s="4"/>
      <c r="GH1103" s="4"/>
      <c r="GI1103" s="4"/>
      <c r="GJ1103" s="4"/>
      <c r="GK1103" s="4"/>
      <c r="GL1103" s="4"/>
      <c r="GM1103" s="4"/>
      <c r="GN1103" s="4"/>
      <c r="GO1103" s="4"/>
      <c r="GP1103" s="4"/>
      <c r="GQ1103" s="4"/>
      <c r="GR1103" s="4"/>
      <c r="GS1103" s="4"/>
      <c r="GT1103" s="4"/>
      <c r="GU1103" s="4"/>
      <c r="GV1103" s="4"/>
      <c r="GW1103" s="4"/>
      <c r="GX1103" s="4"/>
      <c r="GY1103" s="4"/>
      <c r="GZ1103" s="4"/>
      <c r="HA1103" s="4"/>
      <c r="HB1103" s="4"/>
      <c r="HC1103" s="4"/>
      <c r="HD1103" s="4"/>
      <c r="HE1103" s="4"/>
      <c r="HF1103" s="4"/>
      <c r="HG1103" s="4"/>
      <c r="HH1103" s="4"/>
    </row>
    <row r="1104" spans="16:216" ht="15.75" hidden="1" customHeight="1" x14ac:dyDescent="0.3"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  <c r="HC1104" s="4"/>
      <c r="HD1104" s="4"/>
      <c r="HE1104" s="4"/>
      <c r="HF1104" s="4"/>
      <c r="HG1104" s="4"/>
      <c r="HH1104" s="4"/>
    </row>
    <row r="1105" spans="16:216" ht="15.75" hidden="1" customHeight="1" x14ac:dyDescent="0.3"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D1105" s="4"/>
      <c r="DE1105" s="4"/>
      <c r="DF1105" s="4"/>
      <c r="DG1105" s="4"/>
      <c r="DH1105" s="4"/>
      <c r="DI1105" s="4"/>
      <c r="DJ1105" s="4"/>
      <c r="DK1105" s="4"/>
      <c r="DL1105" s="4"/>
      <c r="DM1105" s="4"/>
      <c r="DN1105" s="4"/>
      <c r="DO1105" s="4"/>
      <c r="DP1105" s="4"/>
      <c r="DQ1105" s="4"/>
      <c r="DR1105" s="4"/>
      <c r="DS1105" s="4"/>
      <c r="DT1105" s="4"/>
      <c r="DU1105" s="4"/>
      <c r="DV1105" s="4"/>
      <c r="DW1105" s="4"/>
      <c r="DX1105" s="4"/>
      <c r="DY1105" s="4"/>
      <c r="DZ1105" s="4"/>
      <c r="EA1105" s="4"/>
      <c r="EB1105" s="4"/>
      <c r="EC1105" s="4"/>
      <c r="ED1105" s="4"/>
      <c r="EE1105" s="4"/>
      <c r="EF1105" s="4"/>
      <c r="EG1105" s="4"/>
      <c r="EH1105" s="4"/>
      <c r="EI1105" s="4"/>
      <c r="EJ1105" s="4"/>
      <c r="EK1105" s="4"/>
      <c r="EL1105" s="4"/>
      <c r="EM1105" s="4"/>
      <c r="EN1105" s="4"/>
      <c r="EO1105" s="4"/>
      <c r="EP1105" s="4"/>
      <c r="EQ1105" s="4"/>
      <c r="ER1105" s="4"/>
      <c r="ES1105" s="4"/>
      <c r="ET1105" s="4"/>
      <c r="EU1105" s="4"/>
      <c r="EV1105" s="4"/>
      <c r="EW1105" s="4"/>
      <c r="EX1105" s="4"/>
      <c r="EY1105" s="4"/>
      <c r="EZ1105" s="4"/>
      <c r="FA1105" s="4"/>
      <c r="FB1105" s="4"/>
      <c r="FC1105" s="4"/>
      <c r="FD1105" s="4"/>
      <c r="FE1105" s="4"/>
      <c r="FF1105" s="4"/>
      <c r="FG1105" s="4"/>
      <c r="FH1105" s="4"/>
      <c r="FI1105" s="4"/>
      <c r="FJ1105" s="4"/>
      <c r="FK1105" s="4"/>
      <c r="FL1105" s="4"/>
      <c r="FM1105" s="4"/>
      <c r="FN1105" s="4"/>
      <c r="FO1105" s="4"/>
      <c r="FP1105" s="4"/>
      <c r="FQ1105" s="4"/>
      <c r="FR1105" s="4"/>
      <c r="FS1105" s="4"/>
      <c r="FT1105" s="4"/>
      <c r="FU1105" s="4"/>
      <c r="FV1105" s="4"/>
      <c r="FW1105" s="4"/>
      <c r="FX1105" s="4"/>
      <c r="FY1105" s="4"/>
      <c r="FZ1105" s="4"/>
      <c r="GA1105" s="4"/>
      <c r="GB1105" s="4"/>
      <c r="GC1105" s="4"/>
      <c r="GD1105" s="4"/>
      <c r="GE1105" s="4"/>
      <c r="GF1105" s="4"/>
      <c r="GG1105" s="4"/>
      <c r="GH1105" s="4"/>
      <c r="GI1105" s="4"/>
      <c r="GJ1105" s="4"/>
      <c r="GK1105" s="4"/>
      <c r="GL1105" s="4"/>
      <c r="GM1105" s="4"/>
      <c r="GN1105" s="4"/>
      <c r="GO1105" s="4"/>
      <c r="GP1105" s="4"/>
      <c r="GQ1105" s="4"/>
      <c r="GR1105" s="4"/>
      <c r="GS1105" s="4"/>
      <c r="GT1105" s="4"/>
      <c r="GU1105" s="4"/>
      <c r="GV1105" s="4"/>
      <c r="GW1105" s="4"/>
      <c r="GX1105" s="4"/>
      <c r="GY1105" s="4"/>
      <c r="GZ1105" s="4"/>
      <c r="HA1105" s="4"/>
      <c r="HB1105" s="4"/>
      <c r="HC1105" s="4"/>
      <c r="HD1105" s="4"/>
      <c r="HE1105" s="4"/>
      <c r="HF1105" s="4"/>
      <c r="HG1105" s="4"/>
      <c r="HH1105" s="4"/>
    </row>
    <row r="1106" spans="16:216" ht="15.75" hidden="1" customHeight="1" x14ac:dyDescent="0.3"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  <c r="HC1106" s="4"/>
      <c r="HD1106" s="4"/>
      <c r="HE1106" s="4"/>
      <c r="HF1106" s="4"/>
      <c r="HG1106" s="4"/>
      <c r="HH1106" s="4"/>
    </row>
    <row r="1107" spans="16:216" ht="15.75" hidden="1" customHeight="1" x14ac:dyDescent="0.3"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  <c r="DJ1107" s="4"/>
      <c r="DK1107" s="4"/>
      <c r="DL1107" s="4"/>
      <c r="DM1107" s="4"/>
      <c r="DN1107" s="4"/>
      <c r="DO1107" s="4"/>
      <c r="DP1107" s="4"/>
      <c r="DQ1107" s="4"/>
      <c r="DR1107" s="4"/>
      <c r="DS1107" s="4"/>
      <c r="DT1107" s="4"/>
      <c r="DU1107" s="4"/>
      <c r="DV1107" s="4"/>
      <c r="DW1107" s="4"/>
      <c r="DX1107" s="4"/>
      <c r="DY1107" s="4"/>
      <c r="DZ1107" s="4"/>
      <c r="EA1107" s="4"/>
      <c r="EB1107" s="4"/>
      <c r="EC1107" s="4"/>
      <c r="ED1107" s="4"/>
      <c r="EE1107" s="4"/>
      <c r="EF1107" s="4"/>
      <c r="EG1107" s="4"/>
      <c r="EH1107" s="4"/>
      <c r="EI1107" s="4"/>
      <c r="EJ1107" s="4"/>
      <c r="EK1107" s="4"/>
      <c r="EL1107" s="4"/>
      <c r="EM1107" s="4"/>
      <c r="EN1107" s="4"/>
      <c r="EO1107" s="4"/>
      <c r="EP1107" s="4"/>
      <c r="EQ1107" s="4"/>
      <c r="ER1107" s="4"/>
      <c r="ES1107" s="4"/>
      <c r="ET1107" s="4"/>
      <c r="EU1107" s="4"/>
      <c r="EV1107" s="4"/>
      <c r="EW1107" s="4"/>
      <c r="EX1107" s="4"/>
      <c r="EY1107" s="4"/>
      <c r="EZ1107" s="4"/>
      <c r="FA1107" s="4"/>
      <c r="FB1107" s="4"/>
      <c r="FC1107" s="4"/>
      <c r="FD1107" s="4"/>
      <c r="FE1107" s="4"/>
      <c r="FF1107" s="4"/>
      <c r="FG1107" s="4"/>
      <c r="FH1107" s="4"/>
      <c r="FI1107" s="4"/>
      <c r="FJ1107" s="4"/>
      <c r="FK1107" s="4"/>
      <c r="FL1107" s="4"/>
      <c r="FM1107" s="4"/>
      <c r="FN1107" s="4"/>
      <c r="FO1107" s="4"/>
      <c r="FP1107" s="4"/>
      <c r="FQ1107" s="4"/>
      <c r="FR1107" s="4"/>
      <c r="FS1107" s="4"/>
      <c r="FT1107" s="4"/>
      <c r="FU1107" s="4"/>
      <c r="FV1107" s="4"/>
      <c r="FW1107" s="4"/>
      <c r="FX1107" s="4"/>
      <c r="FY1107" s="4"/>
      <c r="FZ1107" s="4"/>
      <c r="GA1107" s="4"/>
      <c r="GB1107" s="4"/>
      <c r="GC1107" s="4"/>
      <c r="GD1107" s="4"/>
      <c r="GE1107" s="4"/>
      <c r="GF1107" s="4"/>
      <c r="GG1107" s="4"/>
      <c r="GH1107" s="4"/>
      <c r="GI1107" s="4"/>
      <c r="GJ1107" s="4"/>
      <c r="GK1107" s="4"/>
      <c r="GL1107" s="4"/>
      <c r="GM1107" s="4"/>
      <c r="GN1107" s="4"/>
      <c r="GO1107" s="4"/>
      <c r="GP1107" s="4"/>
      <c r="GQ1107" s="4"/>
      <c r="GR1107" s="4"/>
      <c r="GS1107" s="4"/>
      <c r="GT1107" s="4"/>
      <c r="GU1107" s="4"/>
      <c r="GV1107" s="4"/>
      <c r="GW1107" s="4"/>
      <c r="GX1107" s="4"/>
      <c r="GY1107" s="4"/>
      <c r="GZ1107" s="4"/>
      <c r="HA1107" s="4"/>
      <c r="HB1107" s="4"/>
      <c r="HC1107" s="4"/>
      <c r="HD1107" s="4"/>
      <c r="HE1107" s="4"/>
      <c r="HF1107" s="4"/>
      <c r="HG1107" s="4"/>
      <c r="HH1107" s="4"/>
    </row>
    <row r="1108" spans="16:216" ht="15.75" hidden="1" customHeight="1" x14ac:dyDescent="0.3"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  <c r="HC1108" s="4"/>
      <c r="HD1108" s="4"/>
      <c r="HE1108" s="4"/>
      <c r="HF1108" s="4"/>
      <c r="HG1108" s="4"/>
      <c r="HH1108" s="4"/>
    </row>
    <row r="1109" spans="16:216" ht="15.75" hidden="1" customHeight="1" x14ac:dyDescent="0.3"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D1109" s="4"/>
      <c r="DE1109" s="4"/>
      <c r="DF1109" s="4"/>
      <c r="DG1109" s="4"/>
      <c r="DH1109" s="4"/>
      <c r="DI1109" s="4"/>
      <c r="DJ1109" s="4"/>
      <c r="DK1109" s="4"/>
      <c r="DL1109" s="4"/>
      <c r="DM1109" s="4"/>
      <c r="DN1109" s="4"/>
      <c r="DO1109" s="4"/>
      <c r="DP1109" s="4"/>
      <c r="DQ1109" s="4"/>
      <c r="DR1109" s="4"/>
      <c r="DS1109" s="4"/>
      <c r="DT1109" s="4"/>
      <c r="DU1109" s="4"/>
      <c r="DV1109" s="4"/>
      <c r="DW1109" s="4"/>
      <c r="DX1109" s="4"/>
      <c r="DY1109" s="4"/>
      <c r="DZ1109" s="4"/>
      <c r="EA1109" s="4"/>
      <c r="EB1109" s="4"/>
      <c r="EC1109" s="4"/>
      <c r="ED1109" s="4"/>
      <c r="EE1109" s="4"/>
      <c r="EF1109" s="4"/>
      <c r="EG1109" s="4"/>
      <c r="EH1109" s="4"/>
      <c r="EI1109" s="4"/>
      <c r="EJ1109" s="4"/>
      <c r="EK1109" s="4"/>
      <c r="EL1109" s="4"/>
      <c r="EM1109" s="4"/>
      <c r="EN1109" s="4"/>
      <c r="EO1109" s="4"/>
      <c r="EP1109" s="4"/>
      <c r="EQ1109" s="4"/>
      <c r="ER1109" s="4"/>
      <c r="ES1109" s="4"/>
      <c r="ET1109" s="4"/>
      <c r="EU1109" s="4"/>
      <c r="EV1109" s="4"/>
      <c r="EW1109" s="4"/>
      <c r="EX1109" s="4"/>
      <c r="EY1109" s="4"/>
      <c r="EZ1109" s="4"/>
      <c r="FA1109" s="4"/>
      <c r="FB1109" s="4"/>
      <c r="FC1109" s="4"/>
      <c r="FD1109" s="4"/>
      <c r="FE1109" s="4"/>
      <c r="FF1109" s="4"/>
      <c r="FG1109" s="4"/>
      <c r="FH1109" s="4"/>
      <c r="FI1109" s="4"/>
      <c r="FJ1109" s="4"/>
      <c r="FK1109" s="4"/>
      <c r="FL1109" s="4"/>
      <c r="FM1109" s="4"/>
      <c r="FN1109" s="4"/>
      <c r="FO1109" s="4"/>
      <c r="FP1109" s="4"/>
      <c r="FQ1109" s="4"/>
      <c r="FR1109" s="4"/>
      <c r="FS1109" s="4"/>
      <c r="FT1109" s="4"/>
      <c r="FU1109" s="4"/>
      <c r="FV1109" s="4"/>
      <c r="FW1109" s="4"/>
      <c r="FX1109" s="4"/>
      <c r="FY1109" s="4"/>
      <c r="FZ1109" s="4"/>
      <c r="GA1109" s="4"/>
      <c r="GB1109" s="4"/>
      <c r="GC1109" s="4"/>
      <c r="GD1109" s="4"/>
      <c r="GE1109" s="4"/>
      <c r="GF1109" s="4"/>
      <c r="GG1109" s="4"/>
      <c r="GH1109" s="4"/>
      <c r="GI1109" s="4"/>
      <c r="GJ1109" s="4"/>
      <c r="GK1109" s="4"/>
      <c r="GL1109" s="4"/>
      <c r="GM1109" s="4"/>
      <c r="GN1109" s="4"/>
      <c r="GO1109" s="4"/>
      <c r="GP1109" s="4"/>
      <c r="GQ1109" s="4"/>
      <c r="GR1109" s="4"/>
      <c r="GS1109" s="4"/>
      <c r="GT1109" s="4"/>
      <c r="GU1109" s="4"/>
      <c r="GV1109" s="4"/>
      <c r="GW1109" s="4"/>
      <c r="GX1109" s="4"/>
      <c r="GY1109" s="4"/>
      <c r="GZ1109" s="4"/>
      <c r="HA1109" s="4"/>
      <c r="HB1109" s="4"/>
      <c r="HC1109" s="4"/>
      <c r="HD1109" s="4"/>
      <c r="HE1109" s="4"/>
      <c r="HF1109" s="4"/>
      <c r="HG1109" s="4"/>
      <c r="HH1109" s="4"/>
    </row>
    <row r="1110" spans="16:216" ht="15.75" hidden="1" customHeight="1" x14ac:dyDescent="0.3"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  <c r="HC1110" s="4"/>
      <c r="HD1110" s="4"/>
      <c r="HE1110" s="4"/>
      <c r="HF1110" s="4"/>
      <c r="HG1110" s="4"/>
      <c r="HH1110" s="4"/>
    </row>
    <row r="1111" spans="16:216" ht="15.75" hidden="1" customHeight="1" x14ac:dyDescent="0.3"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  <c r="DI1111" s="4"/>
      <c r="DJ1111" s="4"/>
      <c r="DK1111" s="4"/>
      <c r="DL1111" s="4"/>
      <c r="DM1111" s="4"/>
      <c r="DN1111" s="4"/>
      <c r="DO1111" s="4"/>
      <c r="DP1111" s="4"/>
      <c r="DQ1111" s="4"/>
      <c r="DR1111" s="4"/>
      <c r="DS1111" s="4"/>
      <c r="DT1111" s="4"/>
      <c r="DU1111" s="4"/>
      <c r="DV1111" s="4"/>
      <c r="DW1111" s="4"/>
      <c r="DX1111" s="4"/>
      <c r="DY1111" s="4"/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/>
      <c r="EL1111" s="4"/>
      <c r="EM1111" s="4"/>
      <c r="EN1111" s="4"/>
      <c r="EO1111" s="4"/>
      <c r="EP1111" s="4"/>
      <c r="EQ1111" s="4"/>
      <c r="ER1111" s="4"/>
      <c r="ES1111" s="4"/>
      <c r="ET1111" s="4"/>
      <c r="EU1111" s="4"/>
      <c r="EV1111" s="4"/>
      <c r="EW1111" s="4"/>
      <c r="EX1111" s="4"/>
      <c r="EY1111" s="4"/>
      <c r="EZ1111" s="4"/>
      <c r="FA1111" s="4"/>
      <c r="FB1111" s="4"/>
      <c r="FC1111" s="4"/>
      <c r="FD1111" s="4"/>
      <c r="FE1111" s="4"/>
      <c r="FF1111" s="4"/>
      <c r="FG1111" s="4"/>
      <c r="FH1111" s="4"/>
      <c r="FI1111" s="4"/>
      <c r="FJ1111" s="4"/>
      <c r="FK1111" s="4"/>
      <c r="FL1111" s="4"/>
      <c r="FM1111" s="4"/>
      <c r="FN1111" s="4"/>
      <c r="FO1111" s="4"/>
      <c r="FP1111" s="4"/>
      <c r="FQ1111" s="4"/>
      <c r="FR1111" s="4"/>
      <c r="FS1111" s="4"/>
      <c r="FT1111" s="4"/>
      <c r="FU1111" s="4"/>
      <c r="FV1111" s="4"/>
      <c r="FW1111" s="4"/>
      <c r="FX1111" s="4"/>
      <c r="FY1111" s="4"/>
      <c r="FZ1111" s="4"/>
      <c r="GA1111" s="4"/>
      <c r="GB1111" s="4"/>
      <c r="GC1111" s="4"/>
      <c r="GD1111" s="4"/>
      <c r="GE1111" s="4"/>
      <c r="GF1111" s="4"/>
      <c r="GG1111" s="4"/>
      <c r="GH1111" s="4"/>
      <c r="GI1111" s="4"/>
      <c r="GJ1111" s="4"/>
      <c r="GK1111" s="4"/>
      <c r="GL1111" s="4"/>
      <c r="GM1111" s="4"/>
      <c r="GN1111" s="4"/>
      <c r="GO1111" s="4"/>
      <c r="GP1111" s="4"/>
      <c r="GQ1111" s="4"/>
      <c r="GR1111" s="4"/>
      <c r="GS1111" s="4"/>
      <c r="GT1111" s="4"/>
      <c r="GU1111" s="4"/>
      <c r="GV1111" s="4"/>
      <c r="GW1111" s="4"/>
      <c r="GX1111" s="4"/>
      <c r="GY1111" s="4"/>
      <c r="GZ1111" s="4"/>
      <c r="HA1111" s="4"/>
      <c r="HB1111" s="4"/>
      <c r="HC1111" s="4"/>
      <c r="HD1111" s="4"/>
      <c r="HE1111" s="4"/>
      <c r="HF1111" s="4"/>
      <c r="HG1111" s="4"/>
      <c r="HH1111" s="4"/>
    </row>
    <row r="1112" spans="16:216" ht="15.75" hidden="1" customHeight="1" x14ac:dyDescent="0.3"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  <c r="HC1112" s="4"/>
      <c r="HD1112" s="4"/>
      <c r="HE1112" s="4"/>
      <c r="HF1112" s="4"/>
      <c r="HG1112" s="4"/>
      <c r="HH1112" s="4"/>
    </row>
    <row r="1113" spans="16:216" ht="15.75" hidden="1" customHeight="1" x14ac:dyDescent="0.3"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4"/>
      <c r="DC1113" s="4"/>
      <c r="DD1113" s="4"/>
      <c r="DE1113" s="4"/>
      <c r="DF1113" s="4"/>
      <c r="DG1113" s="4"/>
      <c r="DH1113" s="4"/>
      <c r="DI1113" s="4"/>
      <c r="DJ1113" s="4"/>
      <c r="DK1113" s="4"/>
      <c r="DL1113" s="4"/>
      <c r="DM1113" s="4"/>
      <c r="DN1113" s="4"/>
      <c r="DO1113" s="4"/>
      <c r="DP1113" s="4"/>
      <c r="DQ1113" s="4"/>
      <c r="DR1113" s="4"/>
      <c r="DS1113" s="4"/>
      <c r="DT1113" s="4"/>
      <c r="DU1113" s="4"/>
      <c r="DV1113" s="4"/>
      <c r="DW1113" s="4"/>
      <c r="DX1113" s="4"/>
      <c r="DY1113" s="4"/>
      <c r="DZ1113" s="4"/>
      <c r="EA1113" s="4"/>
      <c r="EB1113" s="4"/>
      <c r="EC1113" s="4"/>
      <c r="ED1113" s="4"/>
      <c r="EE1113" s="4"/>
      <c r="EF1113" s="4"/>
      <c r="EG1113" s="4"/>
      <c r="EH1113" s="4"/>
      <c r="EI1113" s="4"/>
      <c r="EJ1113" s="4"/>
      <c r="EK1113" s="4"/>
      <c r="EL1113" s="4"/>
      <c r="EM1113" s="4"/>
      <c r="EN1113" s="4"/>
      <c r="EO1113" s="4"/>
      <c r="EP1113" s="4"/>
      <c r="EQ1113" s="4"/>
      <c r="ER1113" s="4"/>
      <c r="ES1113" s="4"/>
      <c r="ET1113" s="4"/>
      <c r="EU1113" s="4"/>
      <c r="EV1113" s="4"/>
      <c r="EW1113" s="4"/>
      <c r="EX1113" s="4"/>
      <c r="EY1113" s="4"/>
      <c r="EZ1113" s="4"/>
      <c r="FA1113" s="4"/>
      <c r="FB1113" s="4"/>
      <c r="FC1113" s="4"/>
      <c r="FD1113" s="4"/>
      <c r="FE1113" s="4"/>
      <c r="FF1113" s="4"/>
      <c r="FG1113" s="4"/>
      <c r="FH1113" s="4"/>
      <c r="FI1113" s="4"/>
      <c r="FJ1113" s="4"/>
      <c r="FK1113" s="4"/>
      <c r="FL1113" s="4"/>
      <c r="FM1113" s="4"/>
      <c r="FN1113" s="4"/>
      <c r="FO1113" s="4"/>
      <c r="FP1113" s="4"/>
      <c r="FQ1113" s="4"/>
      <c r="FR1113" s="4"/>
      <c r="FS1113" s="4"/>
      <c r="FT1113" s="4"/>
      <c r="FU1113" s="4"/>
      <c r="FV1113" s="4"/>
      <c r="FW1113" s="4"/>
      <c r="FX1113" s="4"/>
      <c r="FY1113" s="4"/>
      <c r="FZ1113" s="4"/>
      <c r="GA1113" s="4"/>
      <c r="GB1113" s="4"/>
      <c r="GC1113" s="4"/>
      <c r="GD1113" s="4"/>
      <c r="GE1113" s="4"/>
      <c r="GF1113" s="4"/>
      <c r="GG1113" s="4"/>
      <c r="GH1113" s="4"/>
      <c r="GI1113" s="4"/>
      <c r="GJ1113" s="4"/>
      <c r="GK1113" s="4"/>
      <c r="GL1113" s="4"/>
      <c r="GM1113" s="4"/>
      <c r="GN1113" s="4"/>
      <c r="GO1113" s="4"/>
      <c r="GP1113" s="4"/>
      <c r="GQ1113" s="4"/>
      <c r="GR1113" s="4"/>
      <c r="GS1113" s="4"/>
      <c r="GT1113" s="4"/>
      <c r="GU1113" s="4"/>
      <c r="GV1113" s="4"/>
      <c r="GW1113" s="4"/>
      <c r="GX1113" s="4"/>
      <c r="GY1113" s="4"/>
      <c r="GZ1113" s="4"/>
      <c r="HA1113" s="4"/>
      <c r="HB1113" s="4"/>
      <c r="HC1113" s="4"/>
      <c r="HD1113" s="4"/>
      <c r="HE1113" s="4"/>
      <c r="HF1113" s="4"/>
      <c r="HG1113" s="4"/>
      <c r="HH1113" s="4"/>
    </row>
    <row r="1114" spans="16:216" ht="15.75" hidden="1" customHeight="1" x14ac:dyDescent="0.3"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  <c r="HC1114" s="4"/>
      <c r="HD1114" s="4"/>
      <c r="HE1114" s="4"/>
      <c r="HF1114" s="4"/>
      <c r="HG1114" s="4"/>
      <c r="HH1114" s="4"/>
    </row>
    <row r="1115" spans="16:216" ht="15.75" hidden="1" customHeight="1" x14ac:dyDescent="0.3"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/>
      <c r="EM1115" s="4"/>
      <c r="EN1115" s="4"/>
      <c r="EO1115" s="4"/>
      <c r="EP1115" s="4"/>
      <c r="EQ1115" s="4"/>
      <c r="ER1115" s="4"/>
      <c r="ES1115" s="4"/>
      <c r="ET1115" s="4"/>
      <c r="EU1115" s="4"/>
      <c r="EV1115" s="4"/>
      <c r="EW1115" s="4"/>
      <c r="EX1115" s="4"/>
      <c r="EY1115" s="4"/>
      <c r="EZ1115" s="4"/>
      <c r="FA1115" s="4"/>
      <c r="FB1115" s="4"/>
      <c r="FC1115" s="4"/>
      <c r="FD1115" s="4"/>
      <c r="FE1115" s="4"/>
      <c r="FF1115" s="4"/>
      <c r="FG1115" s="4"/>
      <c r="FH1115" s="4"/>
      <c r="FI1115" s="4"/>
      <c r="FJ1115" s="4"/>
      <c r="FK1115" s="4"/>
      <c r="FL1115" s="4"/>
      <c r="FM1115" s="4"/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/>
      <c r="GJ1115" s="4"/>
      <c r="GK1115" s="4"/>
      <c r="GL1115" s="4"/>
      <c r="GM1115" s="4"/>
      <c r="GN1115" s="4"/>
      <c r="GO1115" s="4"/>
      <c r="GP1115" s="4"/>
      <c r="GQ1115" s="4"/>
      <c r="GR1115" s="4"/>
      <c r="GS1115" s="4"/>
      <c r="GT1115" s="4"/>
      <c r="GU1115" s="4"/>
      <c r="GV1115" s="4"/>
      <c r="GW1115" s="4"/>
      <c r="GX1115" s="4"/>
      <c r="GY1115" s="4"/>
      <c r="GZ1115" s="4"/>
      <c r="HA1115" s="4"/>
      <c r="HB1115" s="4"/>
      <c r="HC1115" s="4"/>
      <c r="HD1115" s="4"/>
      <c r="HE1115" s="4"/>
      <c r="HF1115" s="4"/>
      <c r="HG1115" s="4"/>
      <c r="HH1115" s="4"/>
    </row>
    <row r="1116" spans="16:216" ht="15.75" hidden="1" customHeight="1" x14ac:dyDescent="0.3"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  <c r="HC1116" s="4"/>
      <c r="HD1116" s="4"/>
      <c r="HE1116" s="4"/>
      <c r="HF1116" s="4"/>
      <c r="HG1116" s="4"/>
      <c r="HH1116" s="4"/>
    </row>
    <row r="1117" spans="16:216" ht="15.75" hidden="1" customHeight="1" x14ac:dyDescent="0.3"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  <c r="DI1117" s="4"/>
      <c r="DJ1117" s="4"/>
      <c r="DK1117" s="4"/>
      <c r="DL1117" s="4"/>
      <c r="DM1117" s="4"/>
      <c r="DN1117" s="4"/>
      <c r="DO1117" s="4"/>
      <c r="DP1117" s="4"/>
      <c r="DQ1117" s="4"/>
      <c r="DR1117" s="4"/>
      <c r="DS1117" s="4"/>
      <c r="DT1117" s="4"/>
      <c r="DU1117" s="4"/>
      <c r="DV1117" s="4"/>
      <c r="DW1117" s="4"/>
      <c r="DX1117" s="4"/>
      <c r="DY1117" s="4"/>
      <c r="DZ1117" s="4"/>
      <c r="EA1117" s="4"/>
      <c r="EB1117" s="4"/>
      <c r="EC1117" s="4"/>
      <c r="ED1117" s="4"/>
      <c r="EE1117" s="4"/>
      <c r="EF1117" s="4"/>
      <c r="EG1117" s="4"/>
      <c r="EH1117" s="4"/>
      <c r="EI1117" s="4"/>
      <c r="EJ1117" s="4"/>
      <c r="EK1117" s="4"/>
      <c r="EL1117" s="4"/>
      <c r="EM1117" s="4"/>
      <c r="EN1117" s="4"/>
      <c r="EO1117" s="4"/>
      <c r="EP1117" s="4"/>
      <c r="EQ1117" s="4"/>
      <c r="ER1117" s="4"/>
      <c r="ES1117" s="4"/>
      <c r="ET1117" s="4"/>
      <c r="EU1117" s="4"/>
      <c r="EV1117" s="4"/>
      <c r="EW1117" s="4"/>
      <c r="EX1117" s="4"/>
      <c r="EY1117" s="4"/>
      <c r="EZ1117" s="4"/>
      <c r="FA1117" s="4"/>
      <c r="FB1117" s="4"/>
      <c r="FC1117" s="4"/>
      <c r="FD1117" s="4"/>
      <c r="FE1117" s="4"/>
      <c r="FF1117" s="4"/>
      <c r="FG1117" s="4"/>
      <c r="FH1117" s="4"/>
      <c r="FI1117" s="4"/>
      <c r="FJ1117" s="4"/>
      <c r="FK1117" s="4"/>
      <c r="FL1117" s="4"/>
      <c r="FM1117" s="4"/>
      <c r="FN1117" s="4"/>
      <c r="FO1117" s="4"/>
      <c r="FP1117" s="4"/>
      <c r="FQ1117" s="4"/>
      <c r="FR1117" s="4"/>
      <c r="FS1117" s="4"/>
      <c r="FT1117" s="4"/>
      <c r="FU1117" s="4"/>
      <c r="FV1117" s="4"/>
      <c r="FW1117" s="4"/>
      <c r="FX1117" s="4"/>
      <c r="FY1117" s="4"/>
      <c r="FZ1117" s="4"/>
      <c r="GA1117" s="4"/>
      <c r="GB1117" s="4"/>
      <c r="GC1117" s="4"/>
      <c r="GD1117" s="4"/>
      <c r="GE1117" s="4"/>
      <c r="GF1117" s="4"/>
      <c r="GG1117" s="4"/>
      <c r="GH1117" s="4"/>
      <c r="GI1117" s="4"/>
      <c r="GJ1117" s="4"/>
      <c r="GK1117" s="4"/>
      <c r="GL1117" s="4"/>
      <c r="GM1117" s="4"/>
      <c r="GN1117" s="4"/>
      <c r="GO1117" s="4"/>
      <c r="GP1117" s="4"/>
      <c r="GQ1117" s="4"/>
      <c r="GR1117" s="4"/>
      <c r="GS1117" s="4"/>
      <c r="GT1117" s="4"/>
      <c r="GU1117" s="4"/>
      <c r="GV1117" s="4"/>
      <c r="GW1117" s="4"/>
      <c r="GX1117" s="4"/>
      <c r="GY1117" s="4"/>
      <c r="GZ1117" s="4"/>
      <c r="HA1117" s="4"/>
      <c r="HB1117" s="4"/>
      <c r="HC1117" s="4"/>
      <c r="HD1117" s="4"/>
      <c r="HE1117" s="4"/>
      <c r="HF1117" s="4"/>
      <c r="HG1117" s="4"/>
      <c r="HH1117" s="4"/>
    </row>
    <row r="1118" spans="16:216" ht="15.75" hidden="1" customHeight="1" x14ac:dyDescent="0.3"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  <c r="HC1118" s="4"/>
      <c r="HD1118" s="4"/>
      <c r="HE1118" s="4"/>
      <c r="HF1118" s="4"/>
      <c r="HG1118" s="4"/>
      <c r="HH1118" s="4"/>
    </row>
    <row r="1119" spans="16:216" ht="15.75" hidden="1" customHeight="1" x14ac:dyDescent="0.3"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4"/>
      <c r="DC1119" s="4"/>
      <c r="DD1119" s="4"/>
      <c r="DE1119" s="4"/>
      <c r="DF1119" s="4"/>
      <c r="DG1119" s="4"/>
      <c r="DH1119" s="4"/>
      <c r="DI1119" s="4"/>
      <c r="DJ1119" s="4"/>
      <c r="DK1119" s="4"/>
      <c r="DL1119" s="4"/>
      <c r="DM1119" s="4"/>
      <c r="DN1119" s="4"/>
      <c r="DO1119" s="4"/>
      <c r="DP1119" s="4"/>
      <c r="DQ1119" s="4"/>
      <c r="DR1119" s="4"/>
      <c r="DS1119" s="4"/>
      <c r="DT1119" s="4"/>
      <c r="DU1119" s="4"/>
      <c r="DV1119" s="4"/>
      <c r="DW1119" s="4"/>
      <c r="DX1119" s="4"/>
      <c r="DY1119" s="4"/>
      <c r="DZ1119" s="4"/>
      <c r="EA1119" s="4"/>
      <c r="EB1119" s="4"/>
      <c r="EC1119" s="4"/>
      <c r="ED1119" s="4"/>
      <c r="EE1119" s="4"/>
      <c r="EF1119" s="4"/>
      <c r="EG1119" s="4"/>
      <c r="EH1119" s="4"/>
      <c r="EI1119" s="4"/>
      <c r="EJ1119" s="4"/>
      <c r="EK1119" s="4"/>
      <c r="EL1119" s="4"/>
      <c r="EM1119" s="4"/>
      <c r="EN1119" s="4"/>
      <c r="EO1119" s="4"/>
      <c r="EP1119" s="4"/>
      <c r="EQ1119" s="4"/>
      <c r="ER1119" s="4"/>
      <c r="ES1119" s="4"/>
      <c r="ET1119" s="4"/>
      <c r="EU1119" s="4"/>
      <c r="EV1119" s="4"/>
      <c r="EW1119" s="4"/>
      <c r="EX1119" s="4"/>
      <c r="EY1119" s="4"/>
      <c r="EZ1119" s="4"/>
      <c r="FA1119" s="4"/>
      <c r="FB1119" s="4"/>
      <c r="FC1119" s="4"/>
      <c r="FD1119" s="4"/>
      <c r="FE1119" s="4"/>
      <c r="FF1119" s="4"/>
      <c r="FG1119" s="4"/>
      <c r="FH1119" s="4"/>
      <c r="FI1119" s="4"/>
      <c r="FJ1119" s="4"/>
      <c r="FK1119" s="4"/>
      <c r="FL1119" s="4"/>
      <c r="FM1119" s="4"/>
      <c r="FN1119" s="4"/>
      <c r="FO1119" s="4"/>
      <c r="FP1119" s="4"/>
      <c r="FQ1119" s="4"/>
      <c r="FR1119" s="4"/>
      <c r="FS1119" s="4"/>
      <c r="FT1119" s="4"/>
      <c r="FU1119" s="4"/>
      <c r="FV1119" s="4"/>
      <c r="FW1119" s="4"/>
      <c r="FX1119" s="4"/>
      <c r="FY1119" s="4"/>
      <c r="FZ1119" s="4"/>
      <c r="GA1119" s="4"/>
      <c r="GB1119" s="4"/>
      <c r="GC1119" s="4"/>
      <c r="GD1119" s="4"/>
      <c r="GE1119" s="4"/>
      <c r="GF1119" s="4"/>
      <c r="GG1119" s="4"/>
      <c r="GH1119" s="4"/>
      <c r="GI1119" s="4"/>
      <c r="GJ1119" s="4"/>
      <c r="GK1119" s="4"/>
      <c r="GL1119" s="4"/>
      <c r="GM1119" s="4"/>
      <c r="GN1119" s="4"/>
      <c r="GO1119" s="4"/>
      <c r="GP1119" s="4"/>
      <c r="GQ1119" s="4"/>
      <c r="GR1119" s="4"/>
      <c r="GS1119" s="4"/>
      <c r="GT1119" s="4"/>
      <c r="GU1119" s="4"/>
      <c r="GV1119" s="4"/>
      <c r="GW1119" s="4"/>
      <c r="GX1119" s="4"/>
      <c r="GY1119" s="4"/>
      <c r="GZ1119" s="4"/>
      <c r="HA1119" s="4"/>
      <c r="HB1119" s="4"/>
      <c r="HC1119" s="4"/>
      <c r="HD1119" s="4"/>
      <c r="HE1119" s="4"/>
      <c r="HF1119" s="4"/>
      <c r="HG1119" s="4"/>
      <c r="HH1119" s="4"/>
    </row>
    <row r="1120" spans="16:216" ht="15.75" hidden="1" customHeight="1" x14ac:dyDescent="0.3"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  <c r="HC1120" s="4"/>
      <c r="HD1120" s="4"/>
      <c r="HE1120" s="4"/>
      <c r="HF1120" s="4"/>
      <c r="HG1120" s="4"/>
      <c r="HH1120" s="4"/>
    </row>
    <row r="1121" spans="16:216" ht="15.75" hidden="1" customHeight="1" x14ac:dyDescent="0.3"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  <c r="DC1121" s="4"/>
      <c r="DD1121" s="4"/>
      <c r="DE1121" s="4"/>
      <c r="DF1121" s="4"/>
      <c r="DG1121" s="4"/>
      <c r="DH1121" s="4"/>
      <c r="DI1121" s="4"/>
      <c r="DJ1121" s="4"/>
      <c r="DK1121" s="4"/>
      <c r="DL1121" s="4"/>
      <c r="DM1121" s="4"/>
      <c r="DN1121" s="4"/>
      <c r="DO1121" s="4"/>
      <c r="DP1121" s="4"/>
      <c r="DQ1121" s="4"/>
      <c r="DR1121" s="4"/>
      <c r="DS1121" s="4"/>
      <c r="DT1121" s="4"/>
      <c r="DU1121" s="4"/>
      <c r="DV1121" s="4"/>
      <c r="DW1121" s="4"/>
      <c r="DX1121" s="4"/>
      <c r="DY1121" s="4"/>
      <c r="DZ1121" s="4"/>
      <c r="EA1121" s="4"/>
      <c r="EB1121" s="4"/>
      <c r="EC1121" s="4"/>
      <c r="ED1121" s="4"/>
      <c r="EE1121" s="4"/>
      <c r="EF1121" s="4"/>
      <c r="EG1121" s="4"/>
      <c r="EH1121" s="4"/>
      <c r="EI1121" s="4"/>
      <c r="EJ1121" s="4"/>
      <c r="EK1121" s="4"/>
      <c r="EL1121" s="4"/>
      <c r="EM1121" s="4"/>
      <c r="EN1121" s="4"/>
      <c r="EO1121" s="4"/>
      <c r="EP1121" s="4"/>
      <c r="EQ1121" s="4"/>
      <c r="ER1121" s="4"/>
      <c r="ES1121" s="4"/>
      <c r="ET1121" s="4"/>
      <c r="EU1121" s="4"/>
      <c r="EV1121" s="4"/>
      <c r="EW1121" s="4"/>
      <c r="EX1121" s="4"/>
      <c r="EY1121" s="4"/>
      <c r="EZ1121" s="4"/>
      <c r="FA1121" s="4"/>
      <c r="FB1121" s="4"/>
      <c r="FC1121" s="4"/>
      <c r="FD1121" s="4"/>
      <c r="FE1121" s="4"/>
      <c r="FF1121" s="4"/>
      <c r="FG1121" s="4"/>
      <c r="FH1121" s="4"/>
      <c r="FI1121" s="4"/>
      <c r="FJ1121" s="4"/>
      <c r="FK1121" s="4"/>
      <c r="FL1121" s="4"/>
      <c r="FM1121" s="4"/>
      <c r="FN1121" s="4"/>
      <c r="FO1121" s="4"/>
      <c r="FP1121" s="4"/>
      <c r="FQ1121" s="4"/>
      <c r="FR1121" s="4"/>
      <c r="FS1121" s="4"/>
      <c r="FT1121" s="4"/>
      <c r="FU1121" s="4"/>
      <c r="FV1121" s="4"/>
      <c r="FW1121" s="4"/>
      <c r="FX1121" s="4"/>
      <c r="FY1121" s="4"/>
      <c r="FZ1121" s="4"/>
      <c r="GA1121" s="4"/>
      <c r="GB1121" s="4"/>
      <c r="GC1121" s="4"/>
      <c r="GD1121" s="4"/>
      <c r="GE1121" s="4"/>
      <c r="GF1121" s="4"/>
      <c r="GG1121" s="4"/>
      <c r="GH1121" s="4"/>
      <c r="GI1121" s="4"/>
      <c r="GJ1121" s="4"/>
      <c r="GK1121" s="4"/>
      <c r="GL1121" s="4"/>
      <c r="GM1121" s="4"/>
      <c r="GN1121" s="4"/>
      <c r="GO1121" s="4"/>
      <c r="GP1121" s="4"/>
      <c r="GQ1121" s="4"/>
      <c r="GR1121" s="4"/>
      <c r="GS1121" s="4"/>
      <c r="GT1121" s="4"/>
      <c r="GU1121" s="4"/>
      <c r="GV1121" s="4"/>
      <c r="GW1121" s="4"/>
      <c r="GX1121" s="4"/>
      <c r="GY1121" s="4"/>
      <c r="GZ1121" s="4"/>
      <c r="HA1121" s="4"/>
      <c r="HB1121" s="4"/>
      <c r="HC1121" s="4"/>
      <c r="HD1121" s="4"/>
      <c r="HE1121" s="4"/>
      <c r="HF1121" s="4"/>
      <c r="HG1121" s="4"/>
      <c r="HH1121" s="4"/>
    </row>
    <row r="1122" spans="16:216" ht="15.75" hidden="1" customHeight="1" x14ac:dyDescent="0.3"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  <c r="HC1122" s="4"/>
      <c r="HD1122" s="4"/>
      <c r="HE1122" s="4"/>
      <c r="HF1122" s="4"/>
      <c r="HG1122" s="4"/>
      <c r="HH1122" s="4"/>
    </row>
    <row r="1123" spans="16:216" ht="15.75" hidden="1" customHeight="1" x14ac:dyDescent="0.3"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  <c r="DC1123" s="4"/>
      <c r="DD1123" s="4"/>
      <c r="DE1123" s="4"/>
      <c r="DF1123" s="4"/>
      <c r="DG1123" s="4"/>
      <c r="DH1123" s="4"/>
      <c r="DI1123" s="4"/>
      <c r="DJ1123" s="4"/>
      <c r="DK1123" s="4"/>
      <c r="DL1123" s="4"/>
      <c r="DM1123" s="4"/>
      <c r="DN1123" s="4"/>
      <c r="DO1123" s="4"/>
      <c r="DP1123" s="4"/>
      <c r="DQ1123" s="4"/>
      <c r="DR1123" s="4"/>
      <c r="DS1123" s="4"/>
      <c r="DT1123" s="4"/>
      <c r="DU1123" s="4"/>
      <c r="DV1123" s="4"/>
      <c r="DW1123" s="4"/>
      <c r="DX1123" s="4"/>
      <c r="DY1123" s="4"/>
      <c r="DZ1123" s="4"/>
      <c r="EA1123" s="4"/>
      <c r="EB1123" s="4"/>
      <c r="EC1123" s="4"/>
      <c r="ED1123" s="4"/>
      <c r="EE1123" s="4"/>
      <c r="EF1123" s="4"/>
      <c r="EG1123" s="4"/>
      <c r="EH1123" s="4"/>
      <c r="EI1123" s="4"/>
      <c r="EJ1123" s="4"/>
      <c r="EK1123" s="4"/>
      <c r="EL1123" s="4"/>
      <c r="EM1123" s="4"/>
      <c r="EN1123" s="4"/>
      <c r="EO1123" s="4"/>
      <c r="EP1123" s="4"/>
      <c r="EQ1123" s="4"/>
      <c r="ER1123" s="4"/>
      <c r="ES1123" s="4"/>
      <c r="ET1123" s="4"/>
      <c r="EU1123" s="4"/>
      <c r="EV1123" s="4"/>
      <c r="EW1123" s="4"/>
      <c r="EX1123" s="4"/>
      <c r="EY1123" s="4"/>
      <c r="EZ1123" s="4"/>
      <c r="FA1123" s="4"/>
      <c r="FB1123" s="4"/>
      <c r="FC1123" s="4"/>
      <c r="FD1123" s="4"/>
      <c r="FE1123" s="4"/>
      <c r="FF1123" s="4"/>
      <c r="FG1123" s="4"/>
      <c r="FH1123" s="4"/>
      <c r="FI1123" s="4"/>
      <c r="FJ1123" s="4"/>
      <c r="FK1123" s="4"/>
      <c r="FL1123" s="4"/>
      <c r="FM1123" s="4"/>
      <c r="FN1123" s="4"/>
      <c r="FO1123" s="4"/>
      <c r="FP1123" s="4"/>
      <c r="FQ1123" s="4"/>
      <c r="FR1123" s="4"/>
      <c r="FS1123" s="4"/>
      <c r="FT1123" s="4"/>
      <c r="FU1123" s="4"/>
      <c r="FV1123" s="4"/>
      <c r="FW1123" s="4"/>
      <c r="FX1123" s="4"/>
      <c r="FY1123" s="4"/>
      <c r="FZ1123" s="4"/>
      <c r="GA1123" s="4"/>
      <c r="GB1123" s="4"/>
      <c r="GC1123" s="4"/>
      <c r="GD1123" s="4"/>
      <c r="GE1123" s="4"/>
      <c r="GF1123" s="4"/>
      <c r="GG1123" s="4"/>
      <c r="GH1123" s="4"/>
      <c r="GI1123" s="4"/>
      <c r="GJ1123" s="4"/>
      <c r="GK1123" s="4"/>
      <c r="GL1123" s="4"/>
      <c r="GM1123" s="4"/>
      <c r="GN1123" s="4"/>
      <c r="GO1123" s="4"/>
      <c r="GP1123" s="4"/>
      <c r="GQ1123" s="4"/>
      <c r="GR1123" s="4"/>
      <c r="GS1123" s="4"/>
      <c r="GT1123" s="4"/>
      <c r="GU1123" s="4"/>
      <c r="GV1123" s="4"/>
      <c r="GW1123" s="4"/>
      <c r="GX1123" s="4"/>
      <c r="GY1123" s="4"/>
      <c r="GZ1123" s="4"/>
      <c r="HA1123" s="4"/>
      <c r="HB1123" s="4"/>
      <c r="HC1123" s="4"/>
      <c r="HD1123" s="4"/>
      <c r="HE1123" s="4"/>
      <c r="HF1123" s="4"/>
      <c r="HG1123" s="4"/>
      <c r="HH1123" s="4"/>
    </row>
    <row r="1124" spans="16:216" ht="15.75" hidden="1" customHeight="1" x14ac:dyDescent="0.3"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  <c r="HC1124" s="4"/>
      <c r="HD1124" s="4"/>
      <c r="HE1124" s="4"/>
      <c r="HF1124" s="4"/>
      <c r="HG1124" s="4"/>
      <c r="HH1124" s="4"/>
    </row>
    <row r="1125" spans="16:216" ht="15.75" hidden="1" customHeight="1" x14ac:dyDescent="0.3"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  <c r="DJ1125" s="4"/>
      <c r="DK1125" s="4"/>
      <c r="DL1125" s="4"/>
      <c r="DM1125" s="4"/>
      <c r="DN1125" s="4"/>
      <c r="DO1125" s="4"/>
      <c r="DP1125" s="4"/>
      <c r="DQ1125" s="4"/>
      <c r="DR1125" s="4"/>
      <c r="DS1125" s="4"/>
      <c r="DT1125" s="4"/>
      <c r="DU1125" s="4"/>
      <c r="DV1125" s="4"/>
      <c r="DW1125" s="4"/>
      <c r="DX1125" s="4"/>
      <c r="DY1125" s="4"/>
      <c r="DZ1125" s="4"/>
      <c r="EA1125" s="4"/>
      <c r="EB1125" s="4"/>
      <c r="EC1125" s="4"/>
      <c r="ED1125" s="4"/>
      <c r="EE1125" s="4"/>
      <c r="EF1125" s="4"/>
      <c r="EG1125" s="4"/>
      <c r="EH1125" s="4"/>
      <c r="EI1125" s="4"/>
      <c r="EJ1125" s="4"/>
      <c r="EK1125" s="4"/>
      <c r="EL1125" s="4"/>
      <c r="EM1125" s="4"/>
      <c r="EN1125" s="4"/>
      <c r="EO1125" s="4"/>
      <c r="EP1125" s="4"/>
      <c r="EQ1125" s="4"/>
      <c r="ER1125" s="4"/>
      <c r="ES1125" s="4"/>
      <c r="ET1125" s="4"/>
      <c r="EU1125" s="4"/>
      <c r="EV1125" s="4"/>
      <c r="EW1125" s="4"/>
      <c r="EX1125" s="4"/>
      <c r="EY1125" s="4"/>
      <c r="EZ1125" s="4"/>
      <c r="FA1125" s="4"/>
      <c r="FB1125" s="4"/>
      <c r="FC1125" s="4"/>
      <c r="FD1125" s="4"/>
      <c r="FE1125" s="4"/>
      <c r="FF1125" s="4"/>
      <c r="FG1125" s="4"/>
      <c r="FH1125" s="4"/>
      <c r="FI1125" s="4"/>
      <c r="FJ1125" s="4"/>
      <c r="FK1125" s="4"/>
      <c r="FL1125" s="4"/>
      <c r="FM1125" s="4"/>
      <c r="FN1125" s="4"/>
      <c r="FO1125" s="4"/>
      <c r="FP1125" s="4"/>
      <c r="FQ1125" s="4"/>
      <c r="FR1125" s="4"/>
      <c r="FS1125" s="4"/>
      <c r="FT1125" s="4"/>
      <c r="FU1125" s="4"/>
      <c r="FV1125" s="4"/>
      <c r="FW1125" s="4"/>
      <c r="FX1125" s="4"/>
      <c r="FY1125" s="4"/>
      <c r="FZ1125" s="4"/>
      <c r="GA1125" s="4"/>
      <c r="GB1125" s="4"/>
      <c r="GC1125" s="4"/>
      <c r="GD1125" s="4"/>
      <c r="GE1125" s="4"/>
      <c r="GF1125" s="4"/>
      <c r="GG1125" s="4"/>
      <c r="GH1125" s="4"/>
      <c r="GI1125" s="4"/>
      <c r="GJ1125" s="4"/>
      <c r="GK1125" s="4"/>
      <c r="GL1125" s="4"/>
      <c r="GM1125" s="4"/>
      <c r="GN1125" s="4"/>
      <c r="GO1125" s="4"/>
      <c r="GP1125" s="4"/>
      <c r="GQ1125" s="4"/>
      <c r="GR1125" s="4"/>
      <c r="GS1125" s="4"/>
      <c r="GT1125" s="4"/>
      <c r="GU1125" s="4"/>
      <c r="GV1125" s="4"/>
      <c r="GW1125" s="4"/>
      <c r="GX1125" s="4"/>
      <c r="GY1125" s="4"/>
      <c r="GZ1125" s="4"/>
      <c r="HA1125" s="4"/>
      <c r="HB1125" s="4"/>
      <c r="HC1125" s="4"/>
      <c r="HD1125" s="4"/>
      <c r="HE1125" s="4"/>
      <c r="HF1125" s="4"/>
      <c r="HG1125" s="4"/>
      <c r="HH1125" s="4"/>
    </row>
    <row r="1126" spans="16:216" ht="15.75" hidden="1" customHeight="1" x14ac:dyDescent="0.3"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  <c r="HC1126" s="4"/>
      <c r="HD1126" s="4"/>
      <c r="HE1126" s="4"/>
      <c r="HF1126" s="4"/>
      <c r="HG1126" s="4"/>
      <c r="HH1126" s="4"/>
    </row>
    <row r="1127" spans="16:216" ht="15.75" hidden="1" customHeight="1" x14ac:dyDescent="0.3"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D1127" s="4"/>
      <c r="DE1127" s="4"/>
      <c r="DF1127" s="4"/>
      <c r="DG1127" s="4"/>
      <c r="DH1127" s="4"/>
      <c r="DI1127" s="4"/>
      <c r="DJ1127" s="4"/>
      <c r="DK1127" s="4"/>
      <c r="DL1127" s="4"/>
      <c r="DM1127" s="4"/>
      <c r="DN1127" s="4"/>
      <c r="DO1127" s="4"/>
      <c r="DP1127" s="4"/>
      <c r="DQ1127" s="4"/>
      <c r="DR1127" s="4"/>
      <c r="DS1127" s="4"/>
      <c r="DT1127" s="4"/>
      <c r="DU1127" s="4"/>
      <c r="DV1127" s="4"/>
      <c r="DW1127" s="4"/>
      <c r="DX1127" s="4"/>
      <c r="DY1127" s="4"/>
      <c r="DZ1127" s="4"/>
      <c r="EA1127" s="4"/>
      <c r="EB1127" s="4"/>
      <c r="EC1127" s="4"/>
      <c r="ED1127" s="4"/>
      <c r="EE1127" s="4"/>
      <c r="EF1127" s="4"/>
      <c r="EG1127" s="4"/>
      <c r="EH1127" s="4"/>
      <c r="EI1127" s="4"/>
      <c r="EJ1127" s="4"/>
      <c r="EK1127" s="4"/>
      <c r="EL1127" s="4"/>
      <c r="EM1127" s="4"/>
      <c r="EN1127" s="4"/>
      <c r="EO1127" s="4"/>
      <c r="EP1127" s="4"/>
      <c r="EQ1127" s="4"/>
      <c r="ER1127" s="4"/>
      <c r="ES1127" s="4"/>
      <c r="ET1127" s="4"/>
      <c r="EU1127" s="4"/>
      <c r="EV1127" s="4"/>
      <c r="EW1127" s="4"/>
      <c r="EX1127" s="4"/>
      <c r="EY1127" s="4"/>
      <c r="EZ1127" s="4"/>
      <c r="FA1127" s="4"/>
      <c r="FB1127" s="4"/>
      <c r="FC1127" s="4"/>
      <c r="FD1127" s="4"/>
      <c r="FE1127" s="4"/>
      <c r="FF1127" s="4"/>
      <c r="FG1127" s="4"/>
      <c r="FH1127" s="4"/>
      <c r="FI1127" s="4"/>
      <c r="FJ1127" s="4"/>
      <c r="FK1127" s="4"/>
      <c r="FL1127" s="4"/>
      <c r="FM1127" s="4"/>
      <c r="FN1127" s="4"/>
      <c r="FO1127" s="4"/>
      <c r="FP1127" s="4"/>
      <c r="FQ1127" s="4"/>
      <c r="FR1127" s="4"/>
      <c r="FS1127" s="4"/>
      <c r="FT1127" s="4"/>
      <c r="FU1127" s="4"/>
      <c r="FV1127" s="4"/>
      <c r="FW1127" s="4"/>
      <c r="FX1127" s="4"/>
      <c r="FY1127" s="4"/>
      <c r="FZ1127" s="4"/>
      <c r="GA1127" s="4"/>
      <c r="GB1127" s="4"/>
      <c r="GC1127" s="4"/>
      <c r="GD1127" s="4"/>
      <c r="GE1127" s="4"/>
      <c r="GF1127" s="4"/>
      <c r="GG1127" s="4"/>
      <c r="GH1127" s="4"/>
      <c r="GI1127" s="4"/>
      <c r="GJ1127" s="4"/>
      <c r="GK1127" s="4"/>
      <c r="GL1127" s="4"/>
      <c r="GM1127" s="4"/>
      <c r="GN1127" s="4"/>
      <c r="GO1127" s="4"/>
      <c r="GP1127" s="4"/>
      <c r="GQ1127" s="4"/>
      <c r="GR1127" s="4"/>
      <c r="GS1127" s="4"/>
      <c r="GT1127" s="4"/>
      <c r="GU1127" s="4"/>
      <c r="GV1127" s="4"/>
      <c r="GW1127" s="4"/>
      <c r="GX1127" s="4"/>
      <c r="GY1127" s="4"/>
      <c r="GZ1127" s="4"/>
      <c r="HA1127" s="4"/>
      <c r="HB1127" s="4"/>
      <c r="HC1127" s="4"/>
      <c r="HD1127" s="4"/>
      <c r="HE1127" s="4"/>
      <c r="HF1127" s="4"/>
      <c r="HG1127" s="4"/>
      <c r="HH1127" s="4"/>
    </row>
    <row r="1128" spans="16:216" ht="15.75" hidden="1" customHeight="1" x14ac:dyDescent="0.3"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  <c r="HC1128" s="4"/>
      <c r="HD1128" s="4"/>
      <c r="HE1128" s="4"/>
      <c r="HF1128" s="4"/>
      <c r="HG1128" s="4"/>
      <c r="HH1128" s="4"/>
    </row>
    <row r="1129" spans="16:216" ht="15.75" hidden="1" customHeight="1" x14ac:dyDescent="0.3"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D1129" s="4"/>
      <c r="DE1129" s="4"/>
      <c r="DF1129" s="4"/>
      <c r="DG1129" s="4"/>
      <c r="DH1129" s="4"/>
      <c r="DI1129" s="4"/>
      <c r="DJ1129" s="4"/>
      <c r="DK1129" s="4"/>
      <c r="DL1129" s="4"/>
      <c r="DM1129" s="4"/>
      <c r="DN1129" s="4"/>
      <c r="DO1129" s="4"/>
      <c r="DP1129" s="4"/>
      <c r="DQ1129" s="4"/>
      <c r="DR1129" s="4"/>
      <c r="DS1129" s="4"/>
      <c r="DT1129" s="4"/>
      <c r="DU1129" s="4"/>
      <c r="DV1129" s="4"/>
      <c r="DW1129" s="4"/>
      <c r="DX1129" s="4"/>
      <c r="DY1129" s="4"/>
      <c r="DZ1129" s="4"/>
      <c r="EA1129" s="4"/>
      <c r="EB1129" s="4"/>
      <c r="EC1129" s="4"/>
      <c r="ED1129" s="4"/>
      <c r="EE1129" s="4"/>
      <c r="EF1129" s="4"/>
      <c r="EG1129" s="4"/>
      <c r="EH1129" s="4"/>
      <c r="EI1129" s="4"/>
      <c r="EJ1129" s="4"/>
      <c r="EK1129" s="4"/>
      <c r="EL1129" s="4"/>
      <c r="EM1129" s="4"/>
      <c r="EN1129" s="4"/>
      <c r="EO1129" s="4"/>
      <c r="EP1129" s="4"/>
      <c r="EQ1129" s="4"/>
      <c r="ER1129" s="4"/>
      <c r="ES1129" s="4"/>
      <c r="ET1129" s="4"/>
      <c r="EU1129" s="4"/>
      <c r="EV1129" s="4"/>
      <c r="EW1129" s="4"/>
      <c r="EX1129" s="4"/>
      <c r="EY1129" s="4"/>
      <c r="EZ1129" s="4"/>
      <c r="FA1129" s="4"/>
      <c r="FB1129" s="4"/>
      <c r="FC1129" s="4"/>
      <c r="FD1129" s="4"/>
      <c r="FE1129" s="4"/>
      <c r="FF1129" s="4"/>
      <c r="FG1129" s="4"/>
      <c r="FH1129" s="4"/>
      <c r="FI1129" s="4"/>
      <c r="FJ1129" s="4"/>
      <c r="FK1129" s="4"/>
      <c r="FL1129" s="4"/>
      <c r="FM1129" s="4"/>
      <c r="FN1129" s="4"/>
      <c r="FO1129" s="4"/>
      <c r="FP1129" s="4"/>
      <c r="FQ1129" s="4"/>
      <c r="FR1129" s="4"/>
      <c r="FS1129" s="4"/>
      <c r="FT1129" s="4"/>
      <c r="FU1129" s="4"/>
      <c r="FV1129" s="4"/>
      <c r="FW1129" s="4"/>
      <c r="FX1129" s="4"/>
      <c r="FY1129" s="4"/>
      <c r="FZ1129" s="4"/>
      <c r="GA1129" s="4"/>
      <c r="GB1129" s="4"/>
      <c r="GC1129" s="4"/>
      <c r="GD1129" s="4"/>
      <c r="GE1129" s="4"/>
      <c r="GF1129" s="4"/>
      <c r="GG1129" s="4"/>
      <c r="GH1129" s="4"/>
      <c r="GI1129" s="4"/>
      <c r="GJ1129" s="4"/>
      <c r="GK1129" s="4"/>
      <c r="GL1129" s="4"/>
      <c r="GM1129" s="4"/>
      <c r="GN1129" s="4"/>
      <c r="GO1129" s="4"/>
      <c r="GP1129" s="4"/>
      <c r="GQ1129" s="4"/>
      <c r="GR1129" s="4"/>
      <c r="GS1129" s="4"/>
      <c r="GT1129" s="4"/>
      <c r="GU1129" s="4"/>
      <c r="GV1129" s="4"/>
      <c r="GW1129" s="4"/>
      <c r="GX1129" s="4"/>
      <c r="GY1129" s="4"/>
      <c r="GZ1129" s="4"/>
      <c r="HA1129" s="4"/>
      <c r="HB1129" s="4"/>
      <c r="HC1129" s="4"/>
      <c r="HD1129" s="4"/>
      <c r="HE1129" s="4"/>
      <c r="HF1129" s="4"/>
      <c r="HG1129" s="4"/>
      <c r="HH1129" s="4"/>
    </row>
    <row r="1130" spans="16:216" ht="15.75" hidden="1" customHeight="1" x14ac:dyDescent="0.3"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  <c r="HC1130" s="4"/>
      <c r="HD1130" s="4"/>
      <c r="HE1130" s="4"/>
      <c r="HF1130" s="4"/>
      <c r="HG1130" s="4"/>
      <c r="HH1130" s="4"/>
    </row>
    <row r="1131" spans="16:216" ht="15.75" hidden="1" customHeight="1" x14ac:dyDescent="0.3"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4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/>
      <c r="GK1131" s="4"/>
      <c r="GL1131" s="4"/>
      <c r="GM1131" s="4"/>
      <c r="GN1131" s="4"/>
      <c r="GO1131" s="4"/>
      <c r="GP1131" s="4"/>
      <c r="GQ1131" s="4"/>
      <c r="GR1131" s="4"/>
      <c r="GS1131" s="4"/>
      <c r="GT1131" s="4"/>
      <c r="GU1131" s="4"/>
      <c r="GV1131" s="4"/>
      <c r="GW1131" s="4"/>
      <c r="GX1131" s="4"/>
      <c r="GY1131" s="4"/>
      <c r="GZ1131" s="4"/>
      <c r="HA1131" s="4"/>
      <c r="HB1131" s="4"/>
      <c r="HC1131" s="4"/>
      <c r="HD1131" s="4"/>
      <c r="HE1131" s="4"/>
      <c r="HF1131" s="4"/>
      <c r="HG1131" s="4"/>
      <c r="HH1131" s="4"/>
    </row>
    <row r="1132" spans="16:216" ht="15.75" hidden="1" customHeight="1" x14ac:dyDescent="0.3"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  <c r="HC1132" s="4"/>
      <c r="HD1132" s="4"/>
      <c r="HE1132" s="4"/>
      <c r="HF1132" s="4"/>
      <c r="HG1132" s="4"/>
      <c r="HH1132" s="4"/>
    </row>
    <row r="1133" spans="16:216" ht="15.75" hidden="1" customHeight="1" x14ac:dyDescent="0.3"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4"/>
      <c r="DC1133" s="4"/>
      <c r="DD1133" s="4"/>
      <c r="DE1133" s="4"/>
      <c r="DF1133" s="4"/>
      <c r="DG1133" s="4"/>
      <c r="DH1133" s="4"/>
      <c r="DI1133" s="4"/>
      <c r="DJ1133" s="4"/>
      <c r="DK1133" s="4"/>
      <c r="DL1133" s="4"/>
      <c r="DM1133" s="4"/>
      <c r="DN1133" s="4"/>
      <c r="DO1133" s="4"/>
      <c r="DP1133" s="4"/>
      <c r="DQ1133" s="4"/>
      <c r="DR1133" s="4"/>
      <c r="DS1133" s="4"/>
      <c r="DT1133" s="4"/>
      <c r="DU1133" s="4"/>
      <c r="DV1133" s="4"/>
      <c r="DW1133" s="4"/>
      <c r="DX1133" s="4"/>
      <c r="DY1133" s="4"/>
      <c r="DZ1133" s="4"/>
      <c r="EA1133" s="4"/>
      <c r="EB1133" s="4"/>
      <c r="EC1133" s="4"/>
      <c r="ED1133" s="4"/>
      <c r="EE1133" s="4"/>
      <c r="EF1133" s="4"/>
      <c r="EG1133" s="4"/>
      <c r="EH1133" s="4"/>
      <c r="EI1133" s="4"/>
      <c r="EJ1133" s="4"/>
      <c r="EK1133" s="4"/>
      <c r="EL1133" s="4"/>
      <c r="EM1133" s="4"/>
      <c r="EN1133" s="4"/>
      <c r="EO1133" s="4"/>
      <c r="EP1133" s="4"/>
      <c r="EQ1133" s="4"/>
      <c r="ER1133" s="4"/>
      <c r="ES1133" s="4"/>
      <c r="ET1133" s="4"/>
      <c r="EU1133" s="4"/>
      <c r="EV1133" s="4"/>
      <c r="EW1133" s="4"/>
      <c r="EX1133" s="4"/>
      <c r="EY1133" s="4"/>
      <c r="EZ1133" s="4"/>
      <c r="FA1133" s="4"/>
      <c r="FB1133" s="4"/>
      <c r="FC1133" s="4"/>
      <c r="FD1133" s="4"/>
      <c r="FE1133" s="4"/>
      <c r="FF1133" s="4"/>
      <c r="FG1133" s="4"/>
      <c r="FH1133" s="4"/>
      <c r="FI1133" s="4"/>
      <c r="FJ1133" s="4"/>
      <c r="FK1133" s="4"/>
      <c r="FL1133" s="4"/>
      <c r="FM1133" s="4"/>
      <c r="FN1133" s="4"/>
      <c r="FO1133" s="4"/>
      <c r="FP1133" s="4"/>
      <c r="FQ1133" s="4"/>
      <c r="FR1133" s="4"/>
      <c r="FS1133" s="4"/>
      <c r="FT1133" s="4"/>
      <c r="FU1133" s="4"/>
      <c r="FV1133" s="4"/>
      <c r="FW1133" s="4"/>
      <c r="FX1133" s="4"/>
      <c r="FY1133" s="4"/>
      <c r="FZ1133" s="4"/>
      <c r="GA1133" s="4"/>
      <c r="GB1133" s="4"/>
      <c r="GC1133" s="4"/>
      <c r="GD1133" s="4"/>
      <c r="GE1133" s="4"/>
      <c r="GF1133" s="4"/>
      <c r="GG1133" s="4"/>
      <c r="GH1133" s="4"/>
      <c r="GI1133" s="4"/>
      <c r="GJ1133" s="4"/>
      <c r="GK1133" s="4"/>
      <c r="GL1133" s="4"/>
      <c r="GM1133" s="4"/>
      <c r="GN1133" s="4"/>
      <c r="GO1133" s="4"/>
      <c r="GP1133" s="4"/>
      <c r="GQ1133" s="4"/>
      <c r="GR1133" s="4"/>
      <c r="GS1133" s="4"/>
      <c r="GT1133" s="4"/>
      <c r="GU1133" s="4"/>
      <c r="GV1133" s="4"/>
      <c r="GW1133" s="4"/>
      <c r="GX1133" s="4"/>
      <c r="GY1133" s="4"/>
      <c r="GZ1133" s="4"/>
      <c r="HA1133" s="4"/>
      <c r="HB1133" s="4"/>
      <c r="HC1133" s="4"/>
      <c r="HD1133" s="4"/>
      <c r="HE1133" s="4"/>
      <c r="HF1133" s="4"/>
      <c r="HG1133" s="4"/>
      <c r="HH1133" s="4"/>
    </row>
    <row r="1134" spans="16:216" ht="15.75" hidden="1" customHeight="1" x14ac:dyDescent="0.3"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  <c r="HC1134" s="4"/>
      <c r="HD1134" s="4"/>
      <c r="HE1134" s="4"/>
      <c r="HF1134" s="4"/>
      <c r="HG1134" s="4"/>
      <c r="HH1134" s="4"/>
    </row>
    <row r="1135" spans="16:216" ht="15.75" hidden="1" customHeight="1" x14ac:dyDescent="0.3"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4"/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  <c r="DU1135" s="4"/>
      <c r="DV1135" s="4"/>
      <c r="DW1135" s="4"/>
      <c r="DX1135" s="4"/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/>
      <c r="EL1135" s="4"/>
      <c r="EM1135" s="4"/>
      <c r="EN1135" s="4"/>
      <c r="EO1135" s="4"/>
      <c r="EP1135" s="4"/>
      <c r="EQ1135" s="4"/>
      <c r="ER1135" s="4"/>
      <c r="ES1135" s="4"/>
      <c r="ET1135" s="4"/>
      <c r="EU1135" s="4"/>
      <c r="EV1135" s="4"/>
      <c r="EW1135" s="4"/>
      <c r="EX1135" s="4"/>
      <c r="EY1135" s="4"/>
      <c r="EZ1135" s="4"/>
      <c r="FA1135" s="4"/>
      <c r="FB1135" s="4"/>
      <c r="FC1135" s="4"/>
      <c r="FD1135" s="4"/>
      <c r="FE1135" s="4"/>
      <c r="FF1135" s="4"/>
      <c r="FG1135" s="4"/>
      <c r="FH1135" s="4"/>
      <c r="FI1135" s="4"/>
      <c r="FJ1135" s="4"/>
      <c r="FK1135" s="4"/>
      <c r="FL1135" s="4"/>
      <c r="FM1135" s="4"/>
      <c r="FN1135" s="4"/>
      <c r="FO1135" s="4"/>
      <c r="FP1135" s="4"/>
      <c r="FQ1135" s="4"/>
      <c r="FR1135" s="4"/>
      <c r="FS1135" s="4"/>
      <c r="FT1135" s="4"/>
      <c r="FU1135" s="4"/>
      <c r="FV1135" s="4"/>
      <c r="FW1135" s="4"/>
      <c r="FX1135" s="4"/>
      <c r="FY1135" s="4"/>
      <c r="FZ1135" s="4"/>
      <c r="GA1135" s="4"/>
      <c r="GB1135" s="4"/>
      <c r="GC1135" s="4"/>
      <c r="GD1135" s="4"/>
      <c r="GE1135" s="4"/>
      <c r="GF1135" s="4"/>
      <c r="GG1135" s="4"/>
      <c r="GH1135" s="4"/>
      <c r="GI1135" s="4"/>
      <c r="GJ1135" s="4"/>
      <c r="GK1135" s="4"/>
      <c r="GL1135" s="4"/>
      <c r="GM1135" s="4"/>
      <c r="GN1135" s="4"/>
      <c r="GO1135" s="4"/>
      <c r="GP1135" s="4"/>
      <c r="GQ1135" s="4"/>
      <c r="GR1135" s="4"/>
      <c r="GS1135" s="4"/>
      <c r="GT1135" s="4"/>
      <c r="GU1135" s="4"/>
      <c r="GV1135" s="4"/>
      <c r="GW1135" s="4"/>
      <c r="GX1135" s="4"/>
      <c r="GY1135" s="4"/>
      <c r="GZ1135" s="4"/>
      <c r="HA1135" s="4"/>
      <c r="HB1135" s="4"/>
      <c r="HC1135" s="4"/>
      <c r="HD1135" s="4"/>
      <c r="HE1135" s="4"/>
      <c r="HF1135" s="4"/>
      <c r="HG1135" s="4"/>
      <c r="HH1135" s="4"/>
    </row>
    <row r="1136" spans="16:216" ht="15.75" hidden="1" customHeight="1" x14ac:dyDescent="0.3"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  <c r="HC1136" s="4"/>
      <c r="HD1136" s="4"/>
      <c r="HE1136" s="4"/>
      <c r="HF1136" s="4"/>
      <c r="HG1136" s="4"/>
      <c r="HH1136" s="4"/>
    </row>
    <row r="1137" spans="16:216" ht="15.75" hidden="1" customHeight="1" x14ac:dyDescent="0.3"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D1137" s="4"/>
      <c r="DE1137" s="4"/>
      <c r="DF1137" s="4"/>
      <c r="DG1137" s="4"/>
      <c r="DH1137" s="4"/>
      <c r="DI1137" s="4"/>
      <c r="DJ1137" s="4"/>
      <c r="DK1137" s="4"/>
      <c r="DL1137" s="4"/>
      <c r="DM1137" s="4"/>
      <c r="DN1137" s="4"/>
      <c r="DO1137" s="4"/>
      <c r="DP1137" s="4"/>
      <c r="DQ1137" s="4"/>
      <c r="DR1137" s="4"/>
      <c r="DS1137" s="4"/>
      <c r="DT1137" s="4"/>
      <c r="DU1137" s="4"/>
      <c r="DV1137" s="4"/>
      <c r="DW1137" s="4"/>
      <c r="DX1137" s="4"/>
      <c r="DY1137" s="4"/>
      <c r="DZ1137" s="4"/>
      <c r="EA1137" s="4"/>
      <c r="EB1137" s="4"/>
      <c r="EC1137" s="4"/>
      <c r="ED1137" s="4"/>
      <c r="EE1137" s="4"/>
      <c r="EF1137" s="4"/>
      <c r="EG1137" s="4"/>
      <c r="EH1137" s="4"/>
      <c r="EI1137" s="4"/>
      <c r="EJ1137" s="4"/>
      <c r="EK1137" s="4"/>
      <c r="EL1137" s="4"/>
      <c r="EM1137" s="4"/>
      <c r="EN1137" s="4"/>
      <c r="EO1137" s="4"/>
      <c r="EP1137" s="4"/>
      <c r="EQ1137" s="4"/>
      <c r="ER1137" s="4"/>
      <c r="ES1137" s="4"/>
      <c r="ET1137" s="4"/>
      <c r="EU1137" s="4"/>
      <c r="EV1137" s="4"/>
      <c r="EW1137" s="4"/>
      <c r="EX1137" s="4"/>
      <c r="EY1137" s="4"/>
      <c r="EZ1137" s="4"/>
      <c r="FA1137" s="4"/>
      <c r="FB1137" s="4"/>
      <c r="FC1137" s="4"/>
      <c r="FD1137" s="4"/>
      <c r="FE1137" s="4"/>
      <c r="FF1137" s="4"/>
      <c r="FG1137" s="4"/>
      <c r="FH1137" s="4"/>
      <c r="FI1137" s="4"/>
      <c r="FJ1137" s="4"/>
      <c r="FK1137" s="4"/>
      <c r="FL1137" s="4"/>
      <c r="FM1137" s="4"/>
      <c r="FN1137" s="4"/>
      <c r="FO1137" s="4"/>
      <c r="FP1137" s="4"/>
      <c r="FQ1137" s="4"/>
      <c r="FR1137" s="4"/>
      <c r="FS1137" s="4"/>
      <c r="FT1137" s="4"/>
      <c r="FU1137" s="4"/>
      <c r="FV1137" s="4"/>
      <c r="FW1137" s="4"/>
      <c r="FX1137" s="4"/>
      <c r="FY1137" s="4"/>
      <c r="FZ1137" s="4"/>
      <c r="GA1137" s="4"/>
      <c r="GB1137" s="4"/>
      <c r="GC1137" s="4"/>
      <c r="GD1137" s="4"/>
      <c r="GE1137" s="4"/>
      <c r="GF1137" s="4"/>
      <c r="GG1137" s="4"/>
      <c r="GH1137" s="4"/>
      <c r="GI1137" s="4"/>
      <c r="GJ1137" s="4"/>
      <c r="GK1137" s="4"/>
      <c r="GL1137" s="4"/>
      <c r="GM1137" s="4"/>
      <c r="GN1137" s="4"/>
      <c r="GO1137" s="4"/>
      <c r="GP1137" s="4"/>
      <c r="GQ1137" s="4"/>
      <c r="GR1137" s="4"/>
      <c r="GS1137" s="4"/>
      <c r="GT1137" s="4"/>
      <c r="GU1137" s="4"/>
      <c r="GV1137" s="4"/>
      <c r="GW1137" s="4"/>
      <c r="GX1137" s="4"/>
      <c r="GY1137" s="4"/>
      <c r="GZ1137" s="4"/>
      <c r="HA1137" s="4"/>
      <c r="HB1137" s="4"/>
      <c r="HC1137" s="4"/>
      <c r="HD1137" s="4"/>
      <c r="HE1137" s="4"/>
      <c r="HF1137" s="4"/>
      <c r="HG1137" s="4"/>
      <c r="HH1137" s="4"/>
    </row>
    <row r="1138" spans="16:216" ht="15.75" hidden="1" customHeight="1" x14ac:dyDescent="0.3"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  <c r="HC1138" s="4"/>
      <c r="HD1138" s="4"/>
      <c r="HE1138" s="4"/>
      <c r="HF1138" s="4"/>
      <c r="HG1138" s="4"/>
      <c r="HH1138" s="4"/>
    </row>
    <row r="1139" spans="16:216" ht="15.75" hidden="1" customHeight="1" x14ac:dyDescent="0.3"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  <c r="DA1139" s="4"/>
      <c r="DB1139" s="4"/>
      <c r="DC1139" s="4"/>
      <c r="DD1139" s="4"/>
      <c r="DE1139" s="4"/>
      <c r="DF1139" s="4"/>
      <c r="DG1139" s="4"/>
      <c r="DH1139" s="4"/>
      <c r="DI1139" s="4"/>
      <c r="DJ1139" s="4"/>
      <c r="DK1139" s="4"/>
      <c r="DL1139" s="4"/>
      <c r="DM1139" s="4"/>
      <c r="DN1139" s="4"/>
      <c r="DO1139" s="4"/>
      <c r="DP1139" s="4"/>
      <c r="DQ1139" s="4"/>
      <c r="DR1139" s="4"/>
      <c r="DS1139" s="4"/>
      <c r="DT1139" s="4"/>
      <c r="DU1139" s="4"/>
      <c r="DV1139" s="4"/>
      <c r="DW1139" s="4"/>
      <c r="DX1139" s="4"/>
      <c r="DY1139" s="4"/>
      <c r="DZ1139" s="4"/>
      <c r="EA1139" s="4"/>
      <c r="EB1139" s="4"/>
      <c r="EC1139" s="4"/>
      <c r="ED1139" s="4"/>
      <c r="EE1139" s="4"/>
      <c r="EF1139" s="4"/>
      <c r="EG1139" s="4"/>
      <c r="EH1139" s="4"/>
      <c r="EI1139" s="4"/>
      <c r="EJ1139" s="4"/>
      <c r="EK1139" s="4"/>
      <c r="EL1139" s="4"/>
      <c r="EM1139" s="4"/>
      <c r="EN1139" s="4"/>
      <c r="EO1139" s="4"/>
      <c r="EP1139" s="4"/>
      <c r="EQ1139" s="4"/>
      <c r="ER1139" s="4"/>
      <c r="ES1139" s="4"/>
      <c r="ET1139" s="4"/>
      <c r="EU1139" s="4"/>
      <c r="EV1139" s="4"/>
      <c r="EW1139" s="4"/>
      <c r="EX1139" s="4"/>
      <c r="EY1139" s="4"/>
      <c r="EZ1139" s="4"/>
      <c r="FA1139" s="4"/>
      <c r="FB1139" s="4"/>
      <c r="FC1139" s="4"/>
      <c r="FD1139" s="4"/>
      <c r="FE1139" s="4"/>
      <c r="FF1139" s="4"/>
      <c r="FG1139" s="4"/>
      <c r="FH1139" s="4"/>
      <c r="FI1139" s="4"/>
      <c r="FJ1139" s="4"/>
      <c r="FK1139" s="4"/>
      <c r="FL1139" s="4"/>
      <c r="FM1139" s="4"/>
      <c r="FN1139" s="4"/>
      <c r="FO1139" s="4"/>
      <c r="FP1139" s="4"/>
      <c r="FQ1139" s="4"/>
      <c r="FR1139" s="4"/>
      <c r="FS1139" s="4"/>
      <c r="FT1139" s="4"/>
      <c r="FU1139" s="4"/>
      <c r="FV1139" s="4"/>
      <c r="FW1139" s="4"/>
      <c r="FX1139" s="4"/>
      <c r="FY1139" s="4"/>
      <c r="FZ1139" s="4"/>
      <c r="GA1139" s="4"/>
      <c r="GB1139" s="4"/>
      <c r="GC1139" s="4"/>
      <c r="GD1139" s="4"/>
      <c r="GE1139" s="4"/>
      <c r="GF1139" s="4"/>
      <c r="GG1139" s="4"/>
      <c r="GH1139" s="4"/>
      <c r="GI1139" s="4"/>
      <c r="GJ1139" s="4"/>
      <c r="GK1139" s="4"/>
      <c r="GL1139" s="4"/>
      <c r="GM1139" s="4"/>
      <c r="GN1139" s="4"/>
      <c r="GO1139" s="4"/>
      <c r="GP1139" s="4"/>
      <c r="GQ1139" s="4"/>
      <c r="GR1139" s="4"/>
      <c r="GS1139" s="4"/>
      <c r="GT1139" s="4"/>
      <c r="GU1139" s="4"/>
      <c r="GV1139" s="4"/>
      <c r="GW1139" s="4"/>
      <c r="GX1139" s="4"/>
      <c r="GY1139" s="4"/>
      <c r="GZ1139" s="4"/>
      <c r="HA1139" s="4"/>
      <c r="HB1139" s="4"/>
      <c r="HC1139" s="4"/>
      <c r="HD1139" s="4"/>
      <c r="HE1139" s="4"/>
      <c r="HF1139" s="4"/>
      <c r="HG1139" s="4"/>
      <c r="HH1139" s="4"/>
    </row>
    <row r="1140" spans="16:216" ht="15.75" hidden="1" customHeight="1" x14ac:dyDescent="0.3"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  <c r="HC1140" s="4"/>
      <c r="HD1140" s="4"/>
      <c r="HE1140" s="4"/>
      <c r="HF1140" s="4"/>
      <c r="HG1140" s="4"/>
      <c r="HH1140" s="4"/>
    </row>
    <row r="1141" spans="16:216" ht="15.75" hidden="1" customHeight="1" x14ac:dyDescent="0.3"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  <c r="DA1141" s="4"/>
      <c r="DB1141" s="4"/>
      <c r="DC1141" s="4"/>
      <c r="DD1141" s="4"/>
      <c r="DE1141" s="4"/>
      <c r="DF1141" s="4"/>
      <c r="DG1141" s="4"/>
      <c r="DH1141" s="4"/>
      <c r="DI1141" s="4"/>
      <c r="DJ1141" s="4"/>
      <c r="DK1141" s="4"/>
      <c r="DL1141" s="4"/>
      <c r="DM1141" s="4"/>
      <c r="DN1141" s="4"/>
      <c r="DO1141" s="4"/>
      <c r="DP1141" s="4"/>
      <c r="DQ1141" s="4"/>
      <c r="DR1141" s="4"/>
      <c r="DS1141" s="4"/>
      <c r="DT1141" s="4"/>
      <c r="DU1141" s="4"/>
      <c r="DV1141" s="4"/>
      <c r="DW1141" s="4"/>
      <c r="DX1141" s="4"/>
      <c r="DY1141" s="4"/>
      <c r="DZ1141" s="4"/>
      <c r="EA1141" s="4"/>
      <c r="EB1141" s="4"/>
      <c r="EC1141" s="4"/>
      <c r="ED1141" s="4"/>
      <c r="EE1141" s="4"/>
      <c r="EF1141" s="4"/>
      <c r="EG1141" s="4"/>
      <c r="EH1141" s="4"/>
      <c r="EI1141" s="4"/>
      <c r="EJ1141" s="4"/>
      <c r="EK1141" s="4"/>
      <c r="EL1141" s="4"/>
      <c r="EM1141" s="4"/>
      <c r="EN1141" s="4"/>
      <c r="EO1141" s="4"/>
      <c r="EP1141" s="4"/>
      <c r="EQ1141" s="4"/>
      <c r="ER1141" s="4"/>
      <c r="ES1141" s="4"/>
      <c r="ET1141" s="4"/>
      <c r="EU1141" s="4"/>
      <c r="EV1141" s="4"/>
      <c r="EW1141" s="4"/>
      <c r="EX1141" s="4"/>
      <c r="EY1141" s="4"/>
      <c r="EZ1141" s="4"/>
      <c r="FA1141" s="4"/>
      <c r="FB1141" s="4"/>
      <c r="FC1141" s="4"/>
      <c r="FD1141" s="4"/>
      <c r="FE1141" s="4"/>
      <c r="FF1141" s="4"/>
      <c r="FG1141" s="4"/>
      <c r="FH1141" s="4"/>
      <c r="FI1141" s="4"/>
      <c r="FJ1141" s="4"/>
      <c r="FK1141" s="4"/>
      <c r="FL1141" s="4"/>
      <c r="FM1141" s="4"/>
      <c r="FN1141" s="4"/>
      <c r="FO1141" s="4"/>
      <c r="FP1141" s="4"/>
      <c r="FQ1141" s="4"/>
      <c r="FR1141" s="4"/>
      <c r="FS1141" s="4"/>
      <c r="FT1141" s="4"/>
      <c r="FU1141" s="4"/>
      <c r="FV1141" s="4"/>
      <c r="FW1141" s="4"/>
      <c r="FX1141" s="4"/>
      <c r="FY1141" s="4"/>
      <c r="FZ1141" s="4"/>
      <c r="GA1141" s="4"/>
      <c r="GB1141" s="4"/>
      <c r="GC1141" s="4"/>
      <c r="GD1141" s="4"/>
      <c r="GE1141" s="4"/>
      <c r="GF1141" s="4"/>
      <c r="GG1141" s="4"/>
      <c r="GH1141" s="4"/>
      <c r="GI1141" s="4"/>
      <c r="GJ1141" s="4"/>
      <c r="GK1141" s="4"/>
      <c r="GL1141" s="4"/>
      <c r="GM1141" s="4"/>
      <c r="GN1141" s="4"/>
      <c r="GO1141" s="4"/>
      <c r="GP1141" s="4"/>
      <c r="GQ1141" s="4"/>
      <c r="GR1141" s="4"/>
      <c r="GS1141" s="4"/>
      <c r="GT1141" s="4"/>
      <c r="GU1141" s="4"/>
      <c r="GV1141" s="4"/>
      <c r="GW1141" s="4"/>
      <c r="GX1141" s="4"/>
      <c r="GY1141" s="4"/>
      <c r="GZ1141" s="4"/>
      <c r="HA1141" s="4"/>
      <c r="HB1141" s="4"/>
      <c r="HC1141" s="4"/>
      <c r="HD1141" s="4"/>
      <c r="HE1141" s="4"/>
      <c r="HF1141" s="4"/>
      <c r="HG1141" s="4"/>
      <c r="HH1141" s="4"/>
    </row>
    <row r="1142" spans="16:216" ht="15.75" hidden="1" customHeight="1" x14ac:dyDescent="0.3"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  <c r="HC1142" s="4"/>
      <c r="HD1142" s="4"/>
      <c r="HE1142" s="4"/>
      <c r="HF1142" s="4"/>
      <c r="HG1142" s="4"/>
      <c r="HH1142" s="4"/>
    </row>
    <row r="1143" spans="16:216" ht="15.75" hidden="1" customHeight="1" x14ac:dyDescent="0.3"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  <c r="DA1143" s="4"/>
      <c r="DB1143" s="4"/>
      <c r="DC1143" s="4"/>
      <c r="DD1143" s="4"/>
      <c r="DE1143" s="4"/>
      <c r="DF1143" s="4"/>
      <c r="DG1143" s="4"/>
      <c r="DH1143" s="4"/>
      <c r="DI1143" s="4"/>
      <c r="DJ1143" s="4"/>
      <c r="DK1143" s="4"/>
      <c r="DL1143" s="4"/>
      <c r="DM1143" s="4"/>
      <c r="DN1143" s="4"/>
      <c r="DO1143" s="4"/>
      <c r="DP1143" s="4"/>
      <c r="DQ1143" s="4"/>
      <c r="DR1143" s="4"/>
      <c r="DS1143" s="4"/>
      <c r="DT1143" s="4"/>
      <c r="DU1143" s="4"/>
      <c r="DV1143" s="4"/>
      <c r="DW1143" s="4"/>
      <c r="DX1143" s="4"/>
      <c r="DY1143" s="4"/>
      <c r="DZ1143" s="4"/>
      <c r="EA1143" s="4"/>
      <c r="EB1143" s="4"/>
      <c r="EC1143" s="4"/>
      <c r="ED1143" s="4"/>
      <c r="EE1143" s="4"/>
      <c r="EF1143" s="4"/>
      <c r="EG1143" s="4"/>
      <c r="EH1143" s="4"/>
      <c r="EI1143" s="4"/>
      <c r="EJ1143" s="4"/>
      <c r="EK1143" s="4"/>
      <c r="EL1143" s="4"/>
      <c r="EM1143" s="4"/>
      <c r="EN1143" s="4"/>
      <c r="EO1143" s="4"/>
      <c r="EP1143" s="4"/>
      <c r="EQ1143" s="4"/>
      <c r="ER1143" s="4"/>
      <c r="ES1143" s="4"/>
      <c r="ET1143" s="4"/>
      <c r="EU1143" s="4"/>
      <c r="EV1143" s="4"/>
      <c r="EW1143" s="4"/>
      <c r="EX1143" s="4"/>
      <c r="EY1143" s="4"/>
      <c r="EZ1143" s="4"/>
      <c r="FA1143" s="4"/>
      <c r="FB1143" s="4"/>
      <c r="FC1143" s="4"/>
      <c r="FD1143" s="4"/>
      <c r="FE1143" s="4"/>
      <c r="FF1143" s="4"/>
      <c r="FG1143" s="4"/>
      <c r="FH1143" s="4"/>
      <c r="FI1143" s="4"/>
      <c r="FJ1143" s="4"/>
      <c r="FK1143" s="4"/>
      <c r="FL1143" s="4"/>
      <c r="FM1143" s="4"/>
      <c r="FN1143" s="4"/>
      <c r="FO1143" s="4"/>
      <c r="FP1143" s="4"/>
      <c r="FQ1143" s="4"/>
      <c r="FR1143" s="4"/>
      <c r="FS1143" s="4"/>
      <c r="FT1143" s="4"/>
      <c r="FU1143" s="4"/>
      <c r="FV1143" s="4"/>
      <c r="FW1143" s="4"/>
      <c r="FX1143" s="4"/>
      <c r="FY1143" s="4"/>
      <c r="FZ1143" s="4"/>
      <c r="GA1143" s="4"/>
      <c r="GB1143" s="4"/>
      <c r="GC1143" s="4"/>
      <c r="GD1143" s="4"/>
      <c r="GE1143" s="4"/>
      <c r="GF1143" s="4"/>
      <c r="GG1143" s="4"/>
      <c r="GH1143" s="4"/>
      <c r="GI1143" s="4"/>
      <c r="GJ1143" s="4"/>
      <c r="GK1143" s="4"/>
      <c r="GL1143" s="4"/>
      <c r="GM1143" s="4"/>
      <c r="GN1143" s="4"/>
      <c r="GO1143" s="4"/>
      <c r="GP1143" s="4"/>
      <c r="GQ1143" s="4"/>
      <c r="GR1143" s="4"/>
      <c r="GS1143" s="4"/>
      <c r="GT1143" s="4"/>
      <c r="GU1143" s="4"/>
      <c r="GV1143" s="4"/>
      <c r="GW1143" s="4"/>
      <c r="GX1143" s="4"/>
      <c r="GY1143" s="4"/>
      <c r="GZ1143" s="4"/>
      <c r="HA1143" s="4"/>
      <c r="HB1143" s="4"/>
      <c r="HC1143" s="4"/>
      <c r="HD1143" s="4"/>
      <c r="HE1143" s="4"/>
      <c r="HF1143" s="4"/>
      <c r="HG1143" s="4"/>
      <c r="HH1143" s="4"/>
    </row>
    <row r="1144" spans="16:216" ht="15.75" hidden="1" customHeight="1" x14ac:dyDescent="0.3"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  <c r="HC1144" s="4"/>
      <c r="HD1144" s="4"/>
      <c r="HE1144" s="4"/>
      <c r="HF1144" s="4"/>
      <c r="HG1144" s="4"/>
      <c r="HH1144" s="4"/>
    </row>
    <row r="1145" spans="16:216" ht="15.75" hidden="1" customHeight="1" x14ac:dyDescent="0.3"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  <c r="DJ1145" s="4"/>
      <c r="DK1145" s="4"/>
      <c r="DL1145" s="4"/>
      <c r="DM1145" s="4"/>
      <c r="DN1145" s="4"/>
      <c r="DO1145" s="4"/>
      <c r="DP1145" s="4"/>
      <c r="DQ1145" s="4"/>
      <c r="DR1145" s="4"/>
      <c r="DS1145" s="4"/>
      <c r="DT1145" s="4"/>
      <c r="DU1145" s="4"/>
      <c r="DV1145" s="4"/>
      <c r="DW1145" s="4"/>
      <c r="DX1145" s="4"/>
      <c r="DY1145" s="4"/>
      <c r="DZ1145" s="4"/>
      <c r="EA1145" s="4"/>
      <c r="EB1145" s="4"/>
      <c r="EC1145" s="4"/>
      <c r="ED1145" s="4"/>
      <c r="EE1145" s="4"/>
      <c r="EF1145" s="4"/>
      <c r="EG1145" s="4"/>
      <c r="EH1145" s="4"/>
      <c r="EI1145" s="4"/>
      <c r="EJ1145" s="4"/>
      <c r="EK1145" s="4"/>
      <c r="EL1145" s="4"/>
      <c r="EM1145" s="4"/>
      <c r="EN1145" s="4"/>
      <c r="EO1145" s="4"/>
      <c r="EP1145" s="4"/>
      <c r="EQ1145" s="4"/>
      <c r="ER1145" s="4"/>
      <c r="ES1145" s="4"/>
      <c r="ET1145" s="4"/>
      <c r="EU1145" s="4"/>
      <c r="EV1145" s="4"/>
      <c r="EW1145" s="4"/>
      <c r="EX1145" s="4"/>
      <c r="EY1145" s="4"/>
      <c r="EZ1145" s="4"/>
      <c r="FA1145" s="4"/>
      <c r="FB1145" s="4"/>
      <c r="FC1145" s="4"/>
      <c r="FD1145" s="4"/>
      <c r="FE1145" s="4"/>
      <c r="FF1145" s="4"/>
      <c r="FG1145" s="4"/>
      <c r="FH1145" s="4"/>
      <c r="FI1145" s="4"/>
      <c r="FJ1145" s="4"/>
      <c r="FK1145" s="4"/>
      <c r="FL1145" s="4"/>
      <c r="FM1145" s="4"/>
      <c r="FN1145" s="4"/>
      <c r="FO1145" s="4"/>
      <c r="FP1145" s="4"/>
      <c r="FQ1145" s="4"/>
      <c r="FR1145" s="4"/>
      <c r="FS1145" s="4"/>
      <c r="FT1145" s="4"/>
      <c r="FU1145" s="4"/>
      <c r="FV1145" s="4"/>
      <c r="FW1145" s="4"/>
      <c r="FX1145" s="4"/>
      <c r="FY1145" s="4"/>
      <c r="FZ1145" s="4"/>
      <c r="GA1145" s="4"/>
      <c r="GB1145" s="4"/>
      <c r="GC1145" s="4"/>
      <c r="GD1145" s="4"/>
      <c r="GE1145" s="4"/>
      <c r="GF1145" s="4"/>
      <c r="GG1145" s="4"/>
      <c r="GH1145" s="4"/>
      <c r="GI1145" s="4"/>
      <c r="GJ1145" s="4"/>
      <c r="GK1145" s="4"/>
      <c r="GL1145" s="4"/>
      <c r="GM1145" s="4"/>
      <c r="GN1145" s="4"/>
      <c r="GO1145" s="4"/>
      <c r="GP1145" s="4"/>
      <c r="GQ1145" s="4"/>
      <c r="GR1145" s="4"/>
      <c r="GS1145" s="4"/>
      <c r="GT1145" s="4"/>
      <c r="GU1145" s="4"/>
      <c r="GV1145" s="4"/>
      <c r="GW1145" s="4"/>
      <c r="GX1145" s="4"/>
      <c r="GY1145" s="4"/>
      <c r="GZ1145" s="4"/>
      <c r="HA1145" s="4"/>
      <c r="HB1145" s="4"/>
      <c r="HC1145" s="4"/>
      <c r="HD1145" s="4"/>
      <c r="HE1145" s="4"/>
      <c r="HF1145" s="4"/>
      <c r="HG1145" s="4"/>
      <c r="HH1145" s="4"/>
    </row>
    <row r="1146" spans="16:216" ht="15.75" hidden="1" customHeight="1" x14ac:dyDescent="0.3"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  <c r="HC1146" s="4"/>
      <c r="HD1146" s="4"/>
      <c r="HE1146" s="4"/>
      <c r="HF1146" s="4"/>
      <c r="HG1146" s="4"/>
      <c r="HH1146" s="4"/>
    </row>
    <row r="1147" spans="16:216" ht="15.75" hidden="1" customHeight="1" x14ac:dyDescent="0.3"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  <c r="DA1147" s="4"/>
      <c r="DB1147" s="4"/>
      <c r="DC1147" s="4"/>
      <c r="DD1147" s="4"/>
      <c r="DE1147" s="4"/>
      <c r="DF1147" s="4"/>
      <c r="DG1147" s="4"/>
      <c r="DH1147" s="4"/>
      <c r="DI1147" s="4"/>
      <c r="DJ1147" s="4"/>
      <c r="DK1147" s="4"/>
      <c r="DL1147" s="4"/>
      <c r="DM1147" s="4"/>
      <c r="DN1147" s="4"/>
      <c r="DO1147" s="4"/>
      <c r="DP1147" s="4"/>
      <c r="DQ1147" s="4"/>
      <c r="DR1147" s="4"/>
      <c r="DS1147" s="4"/>
      <c r="DT1147" s="4"/>
      <c r="DU1147" s="4"/>
      <c r="DV1147" s="4"/>
      <c r="DW1147" s="4"/>
      <c r="DX1147" s="4"/>
      <c r="DY1147" s="4"/>
      <c r="DZ1147" s="4"/>
      <c r="EA1147" s="4"/>
      <c r="EB1147" s="4"/>
      <c r="EC1147" s="4"/>
      <c r="ED1147" s="4"/>
      <c r="EE1147" s="4"/>
      <c r="EF1147" s="4"/>
      <c r="EG1147" s="4"/>
      <c r="EH1147" s="4"/>
      <c r="EI1147" s="4"/>
      <c r="EJ1147" s="4"/>
      <c r="EK1147" s="4"/>
      <c r="EL1147" s="4"/>
      <c r="EM1147" s="4"/>
      <c r="EN1147" s="4"/>
      <c r="EO1147" s="4"/>
      <c r="EP1147" s="4"/>
      <c r="EQ1147" s="4"/>
      <c r="ER1147" s="4"/>
      <c r="ES1147" s="4"/>
      <c r="ET1147" s="4"/>
      <c r="EU1147" s="4"/>
      <c r="EV1147" s="4"/>
      <c r="EW1147" s="4"/>
      <c r="EX1147" s="4"/>
      <c r="EY1147" s="4"/>
      <c r="EZ1147" s="4"/>
      <c r="FA1147" s="4"/>
      <c r="FB1147" s="4"/>
      <c r="FC1147" s="4"/>
      <c r="FD1147" s="4"/>
      <c r="FE1147" s="4"/>
      <c r="FF1147" s="4"/>
      <c r="FG1147" s="4"/>
      <c r="FH1147" s="4"/>
      <c r="FI1147" s="4"/>
      <c r="FJ1147" s="4"/>
      <c r="FK1147" s="4"/>
      <c r="FL1147" s="4"/>
      <c r="FM1147" s="4"/>
      <c r="FN1147" s="4"/>
      <c r="FO1147" s="4"/>
      <c r="FP1147" s="4"/>
      <c r="FQ1147" s="4"/>
      <c r="FR1147" s="4"/>
      <c r="FS1147" s="4"/>
      <c r="FT1147" s="4"/>
      <c r="FU1147" s="4"/>
      <c r="FV1147" s="4"/>
      <c r="FW1147" s="4"/>
      <c r="FX1147" s="4"/>
      <c r="FY1147" s="4"/>
      <c r="FZ1147" s="4"/>
      <c r="GA1147" s="4"/>
      <c r="GB1147" s="4"/>
      <c r="GC1147" s="4"/>
      <c r="GD1147" s="4"/>
      <c r="GE1147" s="4"/>
      <c r="GF1147" s="4"/>
      <c r="GG1147" s="4"/>
      <c r="GH1147" s="4"/>
      <c r="GI1147" s="4"/>
      <c r="GJ1147" s="4"/>
      <c r="GK1147" s="4"/>
      <c r="GL1147" s="4"/>
      <c r="GM1147" s="4"/>
      <c r="GN1147" s="4"/>
      <c r="GO1147" s="4"/>
      <c r="GP1147" s="4"/>
      <c r="GQ1147" s="4"/>
      <c r="GR1147" s="4"/>
      <c r="GS1147" s="4"/>
      <c r="GT1147" s="4"/>
      <c r="GU1147" s="4"/>
      <c r="GV1147" s="4"/>
      <c r="GW1147" s="4"/>
      <c r="GX1147" s="4"/>
      <c r="GY1147" s="4"/>
      <c r="GZ1147" s="4"/>
      <c r="HA1147" s="4"/>
      <c r="HB1147" s="4"/>
      <c r="HC1147" s="4"/>
      <c r="HD1147" s="4"/>
      <c r="HE1147" s="4"/>
      <c r="HF1147" s="4"/>
      <c r="HG1147" s="4"/>
      <c r="HH1147" s="4"/>
    </row>
    <row r="1148" spans="16:216" ht="15.75" hidden="1" customHeight="1" x14ac:dyDescent="0.3"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  <c r="HC1148" s="4"/>
      <c r="HD1148" s="4"/>
      <c r="HE1148" s="4"/>
      <c r="HF1148" s="4"/>
      <c r="HG1148" s="4"/>
      <c r="HH1148" s="4"/>
    </row>
    <row r="1149" spans="16:216" ht="15.75" hidden="1" customHeight="1" x14ac:dyDescent="0.3"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  <c r="DA1149" s="4"/>
      <c r="DB1149" s="4"/>
      <c r="DC1149" s="4"/>
      <c r="DD1149" s="4"/>
      <c r="DE1149" s="4"/>
      <c r="DF1149" s="4"/>
      <c r="DG1149" s="4"/>
      <c r="DH1149" s="4"/>
      <c r="DI1149" s="4"/>
      <c r="DJ1149" s="4"/>
      <c r="DK1149" s="4"/>
      <c r="DL1149" s="4"/>
      <c r="DM1149" s="4"/>
      <c r="DN1149" s="4"/>
      <c r="DO1149" s="4"/>
      <c r="DP1149" s="4"/>
      <c r="DQ1149" s="4"/>
      <c r="DR1149" s="4"/>
      <c r="DS1149" s="4"/>
      <c r="DT1149" s="4"/>
      <c r="DU1149" s="4"/>
      <c r="DV1149" s="4"/>
      <c r="DW1149" s="4"/>
      <c r="DX1149" s="4"/>
      <c r="DY1149" s="4"/>
      <c r="DZ1149" s="4"/>
      <c r="EA1149" s="4"/>
      <c r="EB1149" s="4"/>
      <c r="EC1149" s="4"/>
      <c r="ED1149" s="4"/>
      <c r="EE1149" s="4"/>
      <c r="EF1149" s="4"/>
      <c r="EG1149" s="4"/>
      <c r="EH1149" s="4"/>
      <c r="EI1149" s="4"/>
      <c r="EJ1149" s="4"/>
      <c r="EK1149" s="4"/>
      <c r="EL1149" s="4"/>
      <c r="EM1149" s="4"/>
      <c r="EN1149" s="4"/>
      <c r="EO1149" s="4"/>
      <c r="EP1149" s="4"/>
      <c r="EQ1149" s="4"/>
      <c r="ER1149" s="4"/>
      <c r="ES1149" s="4"/>
      <c r="ET1149" s="4"/>
      <c r="EU1149" s="4"/>
      <c r="EV1149" s="4"/>
      <c r="EW1149" s="4"/>
      <c r="EX1149" s="4"/>
      <c r="EY1149" s="4"/>
      <c r="EZ1149" s="4"/>
      <c r="FA1149" s="4"/>
      <c r="FB1149" s="4"/>
      <c r="FC1149" s="4"/>
      <c r="FD1149" s="4"/>
      <c r="FE1149" s="4"/>
      <c r="FF1149" s="4"/>
      <c r="FG1149" s="4"/>
      <c r="FH1149" s="4"/>
      <c r="FI1149" s="4"/>
      <c r="FJ1149" s="4"/>
      <c r="FK1149" s="4"/>
      <c r="FL1149" s="4"/>
      <c r="FM1149" s="4"/>
      <c r="FN1149" s="4"/>
      <c r="FO1149" s="4"/>
      <c r="FP1149" s="4"/>
      <c r="FQ1149" s="4"/>
      <c r="FR1149" s="4"/>
      <c r="FS1149" s="4"/>
      <c r="FT1149" s="4"/>
      <c r="FU1149" s="4"/>
      <c r="FV1149" s="4"/>
      <c r="FW1149" s="4"/>
      <c r="FX1149" s="4"/>
      <c r="FY1149" s="4"/>
      <c r="FZ1149" s="4"/>
      <c r="GA1149" s="4"/>
      <c r="GB1149" s="4"/>
      <c r="GC1149" s="4"/>
      <c r="GD1149" s="4"/>
      <c r="GE1149" s="4"/>
      <c r="GF1149" s="4"/>
      <c r="GG1149" s="4"/>
      <c r="GH1149" s="4"/>
      <c r="GI1149" s="4"/>
      <c r="GJ1149" s="4"/>
      <c r="GK1149" s="4"/>
      <c r="GL1149" s="4"/>
      <c r="GM1149" s="4"/>
      <c r="GN1149" s="4"/>
      <c r="GO1149" s="4"/>
      <c r="GP1149" s="4"/>
      <c r="GQ1149" s="4"/>
      <c r="GR1149" s="4"/>
      <c r="GS1149" s="4"/>
      <c r="GT1149" s="4"/>
      <c r="GU1149" s="4"/>
      <c r="GV1149" s="4"/>
      <c r="GW1149" s="4"/>
      <c r="GX1149" s="4"/>
      <c r="GY1149" s="4"/>
      <c r="GZ1149" s="4"/>
      <c r="HA1149" s="4"/>
      <c r="HB1149" s="4"/>
      <c r="HC1149" s="4"/>
      <c r="HD1149" s="4"/>
      <c r="HE1149" s="4"/>
      <c r="HF1149" s="4"/>
      <c r="HG1149" s="4"/>
      <c r="HH1149" s="4"/>
    </row>
    <row r="1150" spans="16:216" ht="15.75" hidden="1" customHeight="1" x14ac:dyDescent="0.3"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  <c r="HC1150" s="4"/>
      <c r="HD1150" s="4"/>
      <c r="HE1150" s="4"/>
      <c r="HF1150" s="4"/>
      <c r="HG1150" s="4"/>
      <c r="HH1150" s="4"/>
    </row>
    <row r="1151" spans="16:216" ht="15.75" hidden="1" customHeight="1" x14ac:dyDescent="0.3"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  <c r="DA1151" s="4"/>
      <c r="DB1151" s="4"/>
      <c r="DC1151" s="4"/>
      <c r="DD1151" s="4"/>
      <c r="DE1151" s="4"/>
      <c r="DF1151" s="4"/>
      <c r="DG1151" s="4"/>
      <c r="DH1151" s="4"/>
      <c r="DI1151" s="4"/>
      <c r="DJ1151" s="4"/>
      <c r="DK1151" s="4"/>
      <c r="DL1151" s="4"/>
      <c r="DM1151" s="4"/>
      <c r="DN1151" s="4"/>
      <c r="DO1151" s="4"/>
      <c r="DP1151" s="4"/>
      <c r="DQ1151" s="4"/>
      <c r="DR1151" s="4"/>
      <c r="DS1151" s="4"/>
      <c r="DT1151" s="4"/>
      <c r="DU1151" s="4"/>
      <c r="DV1151" s="4"/>
      <c r="DW1151" s="4"/>
      <c r="DX1151" s="4"/>
      <c r="DY1151" s="4"/>
      <c r="DZ1151" s="4"/>
      <c r="EA1151" s="4"/>
      <c r="EB1151" s="4"/>
      <c r="EC1151" s="4"/>
      <c r="ED1151" s="4"/>
      <c r="EE1151" s="4"/>
      <c r="EF1151" s="4"/>
      <c r="EG1151" s="4"/>
      <c r="EH1151" s="4"/>
      <c r="EI1151" s="4"/>
      <c r="EJ1151" s="4"/>
      <c r="EK1151" s="4"/>
      <c r="EL1151" s="4"/>
      <c r="EM1151" s="4"/>
      <c r="EN1151" s="4"/>
      <c r="EO1151" s="4"/>
      <c r="EP1151" s="4"/>
      <c r="EQ1151" s="4"/>
      <c r="ER1151" s="4"/>
      <c r="ES1151" s="4"/>
      <c r="ET1151" s="4"/>
      <c r="EU1151" s="4"/>
      <c r="EV1151" s="4"/>
      <c r="EW1151" s="4"/>
      <c r="EX1151" s="4"/>
      <c r="EY1151" s="4"/>
      <c r="EZ1151" s="4"/>
      <c r="FA1151" s="4"/>
      <c r="FB1151" s="4"/>
      <c r="FC1151" s="4"/>
      <c r="FD1151" s="4"/>
      <c r="FE1151" s="4"/>
      <c r="FF1151" s="4"/>
      <c r="FG1151" s="4"/>
      <c r="FH1151" s="4"/>
      <c r="FI1151" s="4"/>
      <c r="FJ1151" s="4"/>
      <c r="FK1151" s="4"/>
      <c r="FL1151" s="4"/>
      <c r="FM1151" s="4"/>
      <c r="FN1151" s="4"/>
      <c r="FO1151" s="4"/>
      <c r="FP1151" s="4"/>
      <c r="FQ1151" s="4"/>
      <c r="FR1151" s="4"/>
      <c r="FS1151" s="4"/>
      <c r="FT1151" s="4"/>
      <c r="FU1151" s="4"/>
      <c r="FV1151" s="4"/>
      <c r="FW1151" s="4"/>
      <c r="FX1151" s="4"/>
      <c r="FY1151" s="4"/>
      <c r="FZ1151" s="4"/>
      <c r="GA1151" s="4"/>
      <c r="GB1151" s="4"/>
      <c r="GC1151" s="4"/>
      <c r="GD1151" s="4"/>
      <c r="GE1151" s="4"/>
      <c r="GF1151" s="4"/>
      <c r="GG1151" s="4"/>
      <c r="GH1151" s="4"/>
      <c r="GI1151" s="4"/>
      <c r="GJ1151" s="4"/>
      <c r="GK1151" s="4"/>
      <c r="GL1151" s="4"/>
      <c r="GM1151" s="4"/>
      <c r="GN1151" s="4"/>
      <c r="GO1151" s="4"/>
      <c r="GP1151" s="4"/>
      <c r="GQ1151" s="4"/>
      <c r="GR1151" s="4"/>
      <c r="GS1151" s="4"/>
      <c r="GT1151" s="4"/>
      <c r="GU1151" s="4"/>
      <c r="GV1151" s="4"/>
      <c r="GW1151" s="4"/>
      <c r="GX1151" s="4"/>
      <c r="GY1151" s="4"/>
      <c r="GZ1151" s="4"/>
      <c r="HA1151" s="4"/>
      <c r="HB1151" s="4"/>
      <c r="HC1151" s="4"/>
      <c r="HD1151" s="4"/>
      <c r="HE1151" s="4"/>
      <c r="HF1151" s="4"/>
      <c r="HG1151" s="4"/>
      <c r="HH1151" s="4"/>
    </row>
    <row r="1152" spans="16:216" ht="15.75" hidden="1" customHeight="1" x14ac:dyDescent="0.3"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  <c r="HC1152" s="4"/>
      <c r="HD1152" s="4"/>
      <c r="HE1152" s="4"/>
      <c r="HF1152" s="4"/>
      <c r="HG1152" s="4"/>
      <c r="HH1152" s="4"/>
    </row>
    <row r="1153" spans="16:216" ht="15.75" hidden="1" customHeight="1" x14ac:dyDescent="0.3"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  <c r="DA1153" s="4"/>
      <c r="DB1153" s="4"/>
      <c r="DC1153" s="4"/>
      <c r="DD1153" s="4"/>
      <c r="DE1153" s="4"/>
      <c r="DF1153" s="4"/>
      <c r="DG1153" s="4"/>
      <c r="DH1153" s="4"/>
      <c r="DI1153" s="4"/>
      <c r="DJ1153" s="4"/>
      <c r="DK1153" s="4"/>
      <c r="DL1153" s="4"/>
      <c r="DM1153" s="4"/>
      <c r="DN1153" s="4"/>
      <c r="DO1153" s="4"/>
      <c r="DP1153" s="4"/>
      <c r="DQ1153" s="4"/>
      <c r="DR1153" s="4"/>
      <c r="DS1153" s="4"/>
      <c r="DT1153" s="4"/>
      <c r="DU1153" s="4"/>
      <c r="DV1153" s="4"/>
      <c r="DW1153" s="4"/>
      <c r="DX1153" s="4"/>
      <c r="DY1153" s="4"/>
      <c r="DZ1153" s="4"/>
      <c r="EA1153" s="4"/>
      <c r="EB1153" s="4"/>
      <c r="EC1153" s="4"/>
      <c r="ED1153" s="4"/>
      <c r="EE1153" s="4"/>
      <c r="EF1153" s="4"/>
      <c r="EG1153" s="4"/>
      <c r="EH1153" s="4"/>
      <c r="EI1153" s="4"/>
      <c r="EJ1153" s="4"/>
      <c r="EK1153" s="4"/>
      <c r="EL1153" s="4"/>
      <c r="EM1153" s="4"/>
      <c r="EN1153" s="4"/>
      <c r="EO1153" s="4"/>
      <c r="EP1153" s="4"/>
      <c r="EQ1153" s="4"/>
      <c r="ER1153" s="4"/>
      <c r="ES1153" s="4"/>
      <c r="ET1153" s="4"/>
      <c r="EU1153" s="4"/>
      <c r="EV1153" s="4"/>
      <c r="EW1153" s="4"/>
      <c r="EX1153" s="4"/>
      <c r="EY1153" s="4"/>
      <c r="EZ1153" s="4"/>
      <c r="FA1153" s="4"/>
      <c r="FB1153" s="4"/>
      <c r="FC1153" s="4"/>
      <c r="FD1153" s="4"/>
      <c r="FE1153" s="4"/>
      <c r="FF1153" s="4"/>
      <c r="FG1153" s="4"/>
      <c r="FH1153" s="4"/>
      <c r="FI1153" s="4"/>
      <c r="FJ1153" s="4"/>
      <c r="FK1153" s="4"/>
      <c r="FL1153" s="4"/>
      <c r="FM1153" s="4"/>
      <c r="FN1153" s="4"/>
      <c r="FO1153" s="4"/>
      <c r="FP1153" s="4"/>
      <c r="FQ1153" s="4"/>
      <c r="FR1153" s="4"/>
      <c r="FS1153" s="4"/>
      <c r="FT1153" s="4"/>
      <c r="FU1153" s="4"/>
      <c r="FV1153" s="4"/>
      <c r="FW1153" s="4"/>
      <c r="FX1153" s="4"/>
      <c r="FY1153" s="4"/>
      <c r="FZ1153" s="4"/>
      <c r="GA1153" s="4"/>
      <c r="GB1153" s="4"/>
      <c r="GC1153" s="4"/>
      <c r="GD1153" s="4"/>
      <c r="GE1153" s="4"/>
      <c r="GF1153" s="4"/>
      <c r="GG1153" s="4"/>
      <c r="GH1153" s="4"/>
      <c r="GI1153" s="4"/>
      <c r="GJ1153" s="4"/>
      <c r="GK1153" s="4"/>
      <c r="GL1153" s="4"/>
      <c r="GM1153" s="4"/>
      <c r="GN1153" s="4"/>
      <c r="GO1153" s="4"/>
      <c r="GP1153" s="4"/>
      <c r="GQ1153" s="4"/>
      <c r="GR1153" s="4"/>
      <c r="GS1153" s="4"/>
      <c r="GT1153" s="4"/>
      <c r="GU1153" s="4"/>
      <c r="GV1153" s="4"/>
      <c r="GW1153" s="4"/>
      <c r="GX1153" s="4"/>
      <c r="GY1153" s="4"/>
      <c r="GZ1153" s="4"/>
      <c r="HA1153" s="4"/>
      <c r="HB1153" s="4"/>
      <c r="HC1153" s="4"/>
      <c r="HD1153" s="4"/>
      <c r="HE1153" s="4"/>
      <c r="HF1153" s="4"/>
      <c r="HG1153" s="4"/>
      <c r="HH1153" s="4"/>
    </row>
    <row r="1154" spans="16:216" ht="15.75" hidden="1" customHeight="1" x14ac:dyDescent="0.3"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  <c r="HC1154" s="4"/>
      <c r="HD1154" s="4"/>
      <c r="HE1154" s="4"/>
      <c r="HF1154" s="4"/>
      <c r="HG1154" s="4"/>
      <c r="HH1154" s="4"/>
    </row>
    <row r="1155" spans="16:216" ht="15.75" hidden="1" customHeight="1" x14ac:dyDescent="0.3"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  <c r="DB1155" s="4"/>
      <c r="DC1155" s="4"/>
      <c r="DD1155" s="4"/>
      <c r="DE1155" s="4"/>
      <c r="DF1155" s="4"/>
      <c r="DG1155" s="4"/>
      <c r="DH1155" s="4"/>
      <c r="DI1155" s="4"/>
      <c r="DJ1155" s="4"/>
      <c r="DK1155" s="4"/>
      <c r="DL1155" s="4"/>
      <c r="DM1155" s="4"/>
      <c r="DN1155" s="4"/>
      <c r="DO1155" s="4"/>
      <c r="DP1155" s="4"/>
      <c r="DQ1155" s="4"/>
      <c r="DR1155" s="4"/>
      <c r="DS1155" s="4"/>
      <c r="DT1155" s="4"/>
      <c r="DU1155" s="4"/>
      <c r="DV1155" s="4"/>
      <c r="DW1155" s="4"/>
      <c r="DX1155" s="4"/>
      <c r="DY1155" s="4"/>
      <c r="DZ1155" s="4"/>
      <c r="EA1155" s="4"/>
      <c r="EB1155" s="4"/>
      <c r="EC1155" s="4"/>
      <c r="ED1155" s="4"/>
      <c r="EE1155" s="4"/>
      <c r="EF1155" s="4"/>
      <c r="EG1155" s="4"/>
      <c r="EH1155" s="4"/>
      <c r="EI1155" s="4"/>
      <c r="EJ1155" s="4"/>
      <c r="EK1155" s="4"/>
      <c r="EL1155" s="4"/>
      <c r="EM1155" s="4"/>
      <c r="EN1155" s="4"/>
      <c r="EO1155" s="4"/>
      <c r="EP1155" s="4"/>
      <c r="EQ1155" s="4"/>
      <c r="ER1155" s="4"/>
      <c r="ES1155" s="4"/>
      <c r="ET1155" s="4"/>
      <c r="EU1155" s="4"/>
      <c r="EV1155" s="4"/>
      <c r="EW1155" s="4"/>
      <c r="EX1155" s="4"/>
      <c r="EY1155" s="4"/>
      <c r="EZ1155" s="4"/>
      <c r="FA1155" s="4"/>
      <c r="FB1155" s="4"/>
      <c r="FC1155" s="4"/>
      <c r="FD1155" s="4"/>
      <c r="FE1155" s="4"/>
      <c r="FF1155" s="4"/>
      <c r="FG1155" s="4"/>
      <c r="FH1155" s="4"/>
      <c r="FI1155" s="4"/>
      <c r="FJ1155" s="4"/>
      <c r="FK1155" s="4"/>
      <c r="FL1155" s="4"/>
      <c r="FM1155" s="4"/>
      <c r="FN1155" s="4"/>
      <c r="FO1155" s="4"/>
      <c r="FP1155" s="4"/>
      <c r="FQ1155" s="4"/>
      <c r="FR1155" s="4"/>
      <c r="FS1155" s="4"/>
      <c r="FT1155" s="4"/>
      <c r="FU1155" s="4"/>
      <c r="FV1155" s="4"/>
      <c r="FW1155" s="4"/>
      <c r="FX1155" s="4"/>
      <c r="FY1155" s="4"/>
      <c r="FZ1155" s="4"/>
      <c r="GA1155" s="4"/>
      <c r="GB1155" s="4"/>
      <c r="GC1155" s="4"/>
      <c r="GD1155" s="4"/>
      <c r="GE1155" s="4"/>
      <c r="GF1155" s="4"/>
      <c r="GG1155" s="4"/>
      <c r="GH1155" s="4"/>
      <c r="GI1155" s="4"/>
      <c r="GJ1155" s="4"/>
      <c r="GK1155" s="4"/>
      <c r="GL1155" s="4"/>
      <c r="GM1155" s="4"/>
      <c r="GN1155" s="4"/>
      <c r="GO1155" s="4"/>
      <c r="GP1155" s="4"/>
      <c r="GQ1155" s="4"/>
      <c r="GR1155" s="4"/>
      <c r="GS1155" s="4"/>
      <c r="GT1155" s="4"/>
      <c r="GU1155" s="4"/>
      <c r="GV1155" s="4"/>
      <c r="GW1155" s="4"/>
      <c r="GX1155" s="4"/>
      <c r="GY1155" s="4"/>
      <c r="GZ1155" s="4"/>
      <c r="HA1155" s="4"/>
      <c r="HB1155" s="4"/>
      <c r="HC1155" s="4"/>
      <c r="HD1155" s="4"/>
      <c r="HE1155" s="4"/>
      <c r="HF1155" s="4"/>
      <c r="HG1155" s="4"/>
      <c r="HH1155" s="4"/>
    </row>
    <row r="1156" spans="16:216" ht="15.75" hidden="1" customHeight="1" x14ac:dyDescent="0.3"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  <c r="HC1156" s="4"/>
      <c r="HD1156" s="4"/>
      <c r="HE1156" s="4"/>
      <c r="HF1156" s="4"/>
      <c r="HG1156" s="4"/>
      <c r="HH1156" s="4"/>
    </row>
    <row r="1157" spans="16:216" ht="15.75" hidden="1" customHeight="1" x14ac:dyDescent="0.3"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  <c r="DB1157" s="4"/>
      <c r="DC1157" s="4"/>
      <c r="DD1157" s="4"/>
      <c r="DE1157" s="4"/>
      <c r="DF1157" s="4"/>
      <c r="DG1157" s="4"/>
      <c r="DH1157" s="4"/>
      <c r="DI1157" s="4"/>
      <c r="DJ1157" s="4"/>
      <c r="DK1157" s="4"/>
      <c r="DL1157" s="4"/>
      <c r="DM1157" s="4"/>
      <c r="DN1157" s="4"/>
      <c r="DO1157" s="4"/>
      <c r="DP1157" s="4"/>
      <c r="DQ1157" s="4"/>
      <c r="DR1157" s="4"/>
      <c r="DS1157" s="4"/>
      <c r="DT1157" s="4"/>
      <c r="DU1157" s="4"/>
      <c r="DV1157" s="4"/>
      <c r="DW1157" s="4"/>
      <c r="DX1157" s="4"/>
      <c r="DY1157" s="4"/>
      <c r="DZ1157" s="4"/>
      <c r="EA1157" s="4"/>
      <c r="EB1157" s="4"/>
      <c r="EC1157" s="4"/>
      <c r="ED1157" s="4"/>
      <c r="EE1157" s="4"/>
      <c r="EF1157" s="4"/>
      <c r="EG1157" s="4"/>
      <c r="EH1157" s="4"/>
      <c r="EI1157" s="4"/>
      <c r="EJ1157" s="4"/>
      <c r="EK1157" s="4"/>
      <c r="EL1157" s="4"/>
      <c r="EM1157" s="4"/>
      <c r="EN1157" s="4"/>
      <c r="EO1157" s="4"/>
      <c r="EP1157" s="4"/>
      <c r="EQ1157" s="4"/>
      <c r="ER1157" s="4"/>
      <c r="ES1157" s="4"/>
      <c r="ET1157" s="4"/>
      <c r="EU1157" s="4"/>
      <c r="EV1157" s="4"/>
      <c r="EW1157" s="4"/>
      <c r="EX1157" s="4"/>
      <c r="EY1157" s="4"/>
      <c r="EZ1157" s="4"/>
      <c r="FA1157" s="4"/>
      <c r="FB1157" s="4"/>
      <c r="FC1157" s="4"/>
      <c r="FD1157" s="4"/>
      <c r="FE1157" s="4"/>
      <c r="FF1157" s="4"/>
      <c r="FG1157" s="4"/>
      <c r="FH1157" s="4"/>
      <c r="FI1157" s="4"/>
      <c r="FJ1157" s="4"/>
      <c r="FK1157" s="4"/>
      <c r="FL1157" s="4"/>
      <c r="FM1157" s="4"/>
      <c r="FN1157" s="4"/>
      <c r="FO1157" s="4"/>
      <c r="FP1157" s="4"/>
      <c r="FQ1157" s="4"/>
      <c r="FR1157" s="4"/>
      <c r="FS1157" s="4"/>
      <c r="FT1157" s="4"/>
      <c r="FU1157" s="4"/>
      <c r="FV1157" s="4"/>
      <c r="FW1157" s="4"/>
      <c r="FX1157" s="4"/>
      <c r="FY1157" s="4"/>
      <c r="FZ1157" s="4"/>
      <c r="GA1157" s="4"/>
      <c r="GB1157" s="4"/>
      <c r="GC1157" s="4"/>
      <c r="GD1157" s="4"/>
      <c r="GE1157" s="4"/>
      <c r="GF1157" s="4"/>
      <c r="GG1157" s="4"/>
      <c r="GH1157" s="4"/>
      <c r="GI1157" s="4"/>
      <c r="GJ1157" s="4"/>
      <c r="GK1157" s="4"/>
      <c r="GL1157" s="4"/>
      <c r="GM1157" s="4"/>
      <c r="GN1157" s="4"/>
      <c r="GO1157" s="4"/>
      <c r="GP1157" s="4"/>
      <c r="GQ1157" s="4"/>
      <c r="GR1157" s="4"/>
      <c r="GS1157" s="4"/>
      <c r="GT1157" s="4"/>
      <c r="GU1157" s="4"/>
      <c r="GV1157" s="4"/>
      <c r="GW1157" s="4"/>
      <c r="GX1157" s="4"/>
      <c r="GY1157" s="4"/>
      <c r="GZ1157" s="4"/>
      <c r="HA1157" s="4"/>
      <c r="HB1157" s="4"/>
      <c r="HC1157" s="4"/>
      <c r="HD1157" s="4"/>
      <c r="HE1157" s="4"/>
      <c r="HF1157" s="4"/>
      <c r="HG1157" s="4"/>
      <c r="HH1157" s="4"/>
    </row>
    <row r="1158" spans="16:216" ht="15.75" hidden="1" customHeight="1" x14ac:dyDescent="0.3"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  <c r="HC1158" s="4"/>
      <c r="HD1158" s="4"/>
      <c r="HE1158" s="4"/>
      <c r="HF1158" s="4"/>
      <c r="HG1158" s="4"/>
      <c r="HH1158" s="4"/>
    </row>
    <row r="1159" spans="16:216" ht="15.75" hidden="1" customHeight="1" x14ac:dyDescent="0.3"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  <c r="DA1159" s="4"/>
      <c r="DB1159" s="4"/>
      <c r="DC1159" s="4"/>
      <c r="DD1159" s="4"/>
      <c r="DE1159" s="4"/>
      <c r="DF1159" s="4"/>
      <c r="DG1159" s="4"/>
      <c r="DH1159" s="4"/>
      <c r="DI1159" s="4"/>
      <c r="DJ1159" s="4"/>
      <c r="DK1159" s="4"/>
      <c r="DL1159" s="4"/>
      <c r="DM1159" s="4"/>
      <c r="DN1159" s="4"/>
      <c r="DO1159" s="4"/>
      <c r="DP1159" s="4"/>
      <c r="DQ1159" s="4"/>
      <c r="DR1159" s="4"/>
      <c r="DS1159" s="4"/>
      <c r="DT1159" s="4"/>
      <c r="DU1159" s="4"/>
      <c r="DV1159" s="4"/>
      <c r="DW1159" s="4"/>
      <c r="DX1159" s="4"/>
      <c r="DY1159" s="4"/>
      <c r="DZ1159" s="4"/>
      <c r="EA1159" s="4"/>
      <c r="EB1159" s="4"/>
      <c r="EC1159" s="4"/>
      <c r="ED1159" s="4"/>
      <c r="EE1159" s="4"/>
      <c r="EF1159" s="4"/>
      <c r="EG1159" s="4"/>
      <c r="EH1159" s="4"/>
      <c r="EI1159" s="4"/>
      <c r="EJ1159" s="4"/>
      <c r="EK1159" s="4"/>
      <c r="EL1159" s="4"/>
      <c r="EM1159" s="4"/>
      <c r="EN1159" s="4"/>
      <c r="EO1159" s="4"/>
      <c r="EP1159" s="4"/>
      <c r="EQ1159" s="4"/>
      <c r="ER1159" s="4"/>
      <c r="ES1159" s="4"/>
      <c r="ET1159" s="4"/>
      <c r="EU1159" s="4"/>
      <c r="EV1159" s="4"/>
      <c r="EW1159" s="4"/>
      <c r="EX1159" s="4"/>
      <c r="EY1159" s="4"/>
      <c r="EZ1159" s="4"/>
      <c r="FA1159" s="4"/>
      <c r="FB1159" s="4"/>
      <c r="FC1159" s="4"/>
      <c r="FD1159" s="4"/>
      <c r="FE1159" s="4"/>
      <c r="FF1159" s="4"/>
      <c r="FG1159" s="4"/>
      <c r="FH1159" s="4"/>
      <c r="FI1159" s="4"/>
      <c r="FJ1159" s="4"/>
      <c r="FK1159" s="4"/>
      <c r="FL1159" s="4"/>
      <c r="FM1159" s="4"/>
      <c r="FN1159" s="4"/>
      <c r="FO1159" s="4"/>
      <c r="FP1159" s="4"/>
      <c r="FQ1159" s="4"/>
      <c r="FR1159" s="4"/>
      <c r="FS1159" s="4"/>
      <c r="FT1159" s="4"/>
      <c r="FU1159" s="4"/>
      <c r="FV1159" s="4"/>
      <c r="FW1159" s="4"/>
      <c r="FX1159" s="4"/>
      <c r="FY1159" s="4"/>
      <c r="FZ1159" s="4"/>
      <c r="GA1159" s="4"/>
      <c r="GB1159" s="4"/>
      <c r="GC1159" s="4"/>
      <c r="GD1159" s="4"/>
      <c r="GE1159" s="4"/>
      <c r="GF1159" s="4"/>
      <c r="GG1159" s="4"/>
      <c r="GH1159" s="4"/>
      <c r="GI1159" s="4"/>
      <c r="GJ1159" s="4"/>
      <c r="GK1159" s="4"/>
      <c r="GL1159" s="4"/>
      <c r="GM1159" s="4"/>
      <c r="GN1159" s="4"/>
      <c r="GO1159" s="4"/>
      <c r="GP1159" s="4"/>
      <c r="GQ1159" s="4"/>
      <c r="GR1159" s="4"/>
      <c r="GS1159" s="4"/>
      <c r="GT1159" s="4"/>
      <c r="GU1159" s="4"/>
      <c r="GV1159" s="4"/>
      <c r="GW1159" s="4"/>
      <c r="GX1159" s="4"/>
      <c r="GY1159" s="4"/>
      <c r="GZ1159" s="4"/>
      <c r="HA1159" s="4"/>
      <c r="HB1159" s="4"/>
      <c r="HC1159" s="4"/>
      <c r="HD1159" s="4"/>
      <c r="HE1159" s="4"/>
      <c r="HF1159" s="4"/>
      <c r="HG1159" s="4"/>
      <c r="HH1159" s="4"/>
    </row>
    <row r="1160" spans="16:216" ht="15.75" hidden="1" customHeight="1" x14ac:dyDescent="0.3"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  <c r="HC1160" s="4"/>
      <c r="HD1160" s="4"/>
      <c r="HE1160" s="4"/>
      <c r="HF1160" s="4"/>
      <c r="HG1160" s="4"/>
      <c r="HH1160" s="4"/>
    </row>
    <row r="1161" spans="16:216" ht="15.75" hidden="1" customHeight="1" x14ac:dyDescent="0.3"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  <c r="DA1161" s="4"/>
      <c r="DB1161" s="4"/>
      <c r="DC1161" s="4"/>
      <c r="DD1161" s="4"/>
      <c r="DE1161" s="4"/>
      <c r="DF1161" s="4"/>
      <c r="DG1161" s="4"/>
      <c r="DH1161" s="4"/>
      <c r="DI1161" s="4"/>
      <c r="DJ1161" s="4"/>
      <c r="DK1161" s="4"/>
      <c r="DL1161" s="4"/>
      <c r="DM1161" s="4"/>
      <c r="DN1161" s="4"/>
      <c r="DO1161" s="4"/>
      <c r="DP1161" s="4"/>
      <c r="DQ1161" s="4"/>
      <c r="DR1161" s="4"/>
      <c r="DS1161" s="4"/>
      <c r="DT1161" s="4"/>
      <c r="DU1161" s="4"/>
      <c r="DV1161" s="4"/>
      <c r="DW1161" s="4"/>
      <c r="DX1161" s="4"/>
      <c r="DY1161" s="4"/>
      <c r="DZ1161" s="4"/>
      <c r="EA1161" s="4"/>
      <c r="EB1161" s="4"/>
      <c r="EC1161" s="4"/>
      <c r="ED1161" s="4"/>
      <c r="EE1161" s="4"/>
      <c r="EF1161" s="4"/>
      <c r="EG1161" s="4"/>
      <c r="EH1161" s="4"/>
      <c r="EI1161" s="4"/>
      <c r="EJ1161" s="4"/>
      <c r="EK1161" s="4"/>
      <c r="EL1161" s="4"/>
      <c r="EM1161" s="4"/>
      <c r="EN1161" s="4"/>
      <c r="EO1161" s="4"/>
      <c r="EP1161" s="4"/>
      <c r="EQ1161" s="4"/>
      <c r="ER1161" s="4"/>
      <c r="ES1161" s="4"/>
      <c r="ET1161" s="4"/>
      <c r="EU1161" s="4"/>
      <c r="EV1161" s="4"/>
      <c r="EW1161" s="4"/>
      <c r="EX1161" s="4"/>
      <c r="EY1161" s="4"/>
      <c r="EZ1161" s="4"/>
      <c r="FA1161" s="4"/>
      <c r="FB1161" s="4"/>
      <c r="FC1161" s="4"/>
      <c r="FD1161" s="4"/>
      <c r="FE1161" s="4"/>
      <c r="FF1161" s="4"/>
      <c r="FG1161" s="4"/>
      <c r="FH1161" s="4"/>
      <c r="FI1161" s="4"/>
      <c r="FJ1161" s="4"/>
      <c r="FK1161" s="4"/>
      <c r="FL1161" s="4"/>
      <c r="FM1161" s="4"/>
      <c r="FN1161" s="4"/>
      <c r="FO1161" s="4"/>
      <c r="FP1161" s="4"/>
      <c r="FQ1161" s="4"/>
      <c r="FR1161" s="4"/>
      <c r="FS1161" s="4"/>
      <c r="FT1161" s="4"/>
      <c r="FU1161" s="4"/>
      <c r="FV1161" s="4"/>
      <c r="FW1161" s="4"/>
      <c r="FX1161" s="4"/>
      <c r="FY1161" s="4"/>
      <c r="FZ1161" s="4"/>
      <c r="GA1161" s="4"/>
      <c r="GB1161" s="4"/>
      <c r="GC1161" s="4"/>
      <c r="GD1161" s="4"/>
      <c r="GE1161" s="4"/>
      <c r="GF1161" s="4"/>
      <c r="GG1161" s="4"/>
      <c r="GH1161" s="4"/>
      <c r="GI1161" s="4"/>
      <c r="GJ1161" s="4"/>
      <c r="GK1161" s="4"/>
      <c r="GL1161" s="4"/>
      <c r="GM1161" s="4"/>
      <c r="GN1161" s="4"/>
      <c r="GO1161" s="4"/>
      <c r="GP1161" s="4"/>
      <c r="GQ1161" s="4"/>
      <c r="GR1161" s="4"/>
      <c r="GS1161" s="4"/>
      <c r="GT1161" s="4"/>
      <c r="GU1161" s="4"/>
      <c r="GV1161" s="4"/>
      <c r="GW1161" s="4"/>
      <c r="GX1161" s="4"/>
      <c r="GY1161" s="4"/>
      <c r="GZ1161" s="4"/>
      <c r="HA1161" s="4"/>
      <c r="HB1161" s="4"/>
      <c r="HC1161" s="4"/>
      <c r="HD1161" s="4"/>
      <c r="HE1161" s="4"/>
      <c r="HF1161" s="4"/>
      <c r="HG1161" s="4"/>
      <c r="HH1161" s="4"/>
    </row>
    <row r="1162" spans="16:216" ht="15.75" hidden="1" customHeight="1" x14ac:dyDescent="0.3"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  <c r="HC1162" s="4"/>
      <c r="HD1162" s="4"/>
      <c r="HE1162" s="4"/>
      <c r="HF1162" s="4"/>
      <c r="HG1162" s="4"/>
      <c r="HH1162" s="4"/>
    </row>
    <row r="1163" spans="16:216" ht="15.75" hidden="1" customHeight="1" x14ac:dyDescent="0.3"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  <c r="DA1163" s="4"/>
      <c r="DB1163" s="4"/>
      <c r="DC1163" s="4"/>
      <c r="DD1163" s="4"/>
      <c r="DE1163" s="4"/>
      <c r="DF1163" s="4"/>
      <c r="DG1163" s="4"/>
      <c r="DH1163" s="4"/>
      <c r="DI1163" s="4"/>
      <c r="DJ1163" s="4"/>
      <c r="DK1163" s="4"/>
      <c r="DL1163" s="4"/>
      <c r="DM1163" s="4"/>
      <c r="DN1163" s="4"/>
      <c r="DO1163" s="4"/>
      <c r="DP1163" s="4"/>
      <c r="DQ1163" s="4"/>
      <c r="DR1163" s="4"/>
      <c r="DS1163" s="4"/>
      <c r="DT1163" s="4"/>
      <c r="DU1163" s="4"/>
      <c r="DV1163" s="4"/>
      <c r="DW1163" s="4"/>
      <c r="DX1163" s="4"/>
      <c r="DY1163" s="4"/>
      <c r="DZ1163" s="4"/>
      <c r="EA1163" s="4"/>
      <c r="EB1163" s="4"/>
      <c r="EC1163" s="4"/>
      <c r="ED1163" s="4"/>
      <c r="EE1163" s="4"/>
      <c r="EF1163" s="4"/>
      <c r="EG1163" s="4"/>
      <c r="EH1163" s="4"/>
      <c r="EI1163" s="4"/>
      <c r="EJ1163" s="4"/>
      <c r="EK1163" s="4"/>
      <c r="EL1163" s="4"/>
      <c r="EM1163" s="4"/>
      <c r="EN1163" s="4"/>
      <c r="EO1163" s="4"/>
      <c r="EP1163" s="4"/>
      <c r="EQ1163" s="4"/>
      <c r="ER1163" s="4"/>
      <c r="ES1163" s="4"/>
      <c r="ET1163" s="4"/>
      <c r="EU1163" s="4"/>
      <c r="EV1163" s="4"/>
      <c r="EW1163" s="4"/>
      <c r="EX1163" s="4"/>
      <c r="EY1163" s="4"/>
      <c r="EZ1163" s="4"/>
      <c r="FA1163" s="4"/>
      <c r="FB1163" s="4"/>
      <c r="FC1163" s="4"/>
      <c r="FD1163" s="4"/>
      <c r="FE1163" s="4"/>
      <c r="FF1163" s="4"/>
      <c r="FG1163" s="4"/>
      <c r="FH1163" s="4"/>
      <c r="FI1163" s="4"/>
      <c r="FJ1163" s="4"/>
      <c r="FK1163" s="4"/>
      <c r="FL1163" s="4"/>
      <c r="FM1163" s="4"/>
      <c r="FN1163" s="4"/>
      <c r="FO1163" s="4"/>
      <c r="FP1163" s="4"/>
      <c r="FQ1163" s="4"/>
      <c r="FR1163" s="4"/>
      <c r="FS1163" s="4"/>
      <c r="FT1163" s="4"/>
      <c r="FU1163" s="4"/>
      <c r="FV1163" s="4"/>
      <c r="FW1163" s="4"/>
      <c r="FX1163" s="4"/>
      <c r="FY1163" s="4"/>
      <c r="FZ1163" s="4"/>
      <c r="GA1163" s="4"/>
      <c r="GB1163" s="4"/>
      <c r="GC1163" s="4"/>
      <c r="GD1163" s="4"/>
      <c r="GE1163" s="4"/>
      <c r="GF1163" s="4"/>
      <c r="GG1163" s="4"/>
      <c r="GH1163" s="4"/>
      <c r="GI1163" s="4"/>
      <c r="GJ1163" s="4"/>
      <c r="GK1163" s="4"/>
      <c r="GL1163" s="4"/>
      <c r="GM1163" s="4"/>
      <c r="GN1163" s="4"/>
      <c r="GO1163" s="4"/>
      <c r="GP1163" s="4"/>
      <c r="GQ1163" s="4"/>
      <c r="GR1163" s="4"/>
      <c r="GS1163" s="4"/>
      <c r="GT1163" s="4"/>
      <c r="GU1163" s="4"/>
      <c r="GV1163" s="4"/>
      <c r="GW1163" s="4"/>
      <c r="GX1163" s="4"/>
      <c r="GY1163" s="4"/>
      <c r="GZ1163" s="4"/>
      <c r="HA1163" s="4"/>
      <c r="HB1163" s="4"/>
      <c r="HC1163" s="4"/>
      <c r="HD1163" s="4"/>
      <c r="HE1163" s="4"/>
      <c r="HF1163" s="4"/>
      <c r="HG1163" s="4"/>
      <c r="HH1163" s="4"/>
    </row>
    <row r="1164" spans="16:216" ht="15.75" hidden="1" customHeight="1" x14ac:dyDescent="0.3"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  <c r="HC1164" s="4"/>
      <c r="HD1164" s="4"/>
      <c r="HE1164" s="4"/>
      <c r="HF1164" s="4"/>
      <c r="HG1164" s="4"/>
      <c r="HH1164" s="4"/>
    </row>
    <row r="1165" spans="16:216" ht="15.75" hidden="1" customHeight="1" x14ac:dyDescent="0.3"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  <c r="DJ1165" s="4"/>
      <c r="DK1165" s="4"/>
      <c r="DL1165" s="4"/>
      <c r="DM1165" s="4"/>
      <c r="DN1165" s="4"/>
      <c r="DO1165" s="4"/>
      <c r="DP1165" s="4"/>
      <c r="DQ1165" s="4"/>
      <c r="DR1165" s="4"/>
      <c r="DS1165" s="4"/>
      <c r="DT1165" s="4"/>
      <c r="DU1165" s="4"/>
      <c r="DV1165" s="4"/>
      <c r="DW1165" s="4"/>
      <c r="DX1165" s="4"/>
      <c r="DY1165" s="4"/>
      <c r="DZ1165" s="4"/>
      <c r="EA1165" s="4"/>
      <c r="EB1165" s="4"/>
      <c r="EC1165" s="4"/>
      <c r="ED1165" s="4"/>
      <c r="EE1165" s="4"/>
      <c r="EF1165" s="4"/>
      <c r="EG1165" s="4"/>
      <c r="EH1165" s="4"/>
      <c r="EI1165" s="4"/>
      <c r="EJ1165" s="4"/>
      <c r="EK1165" s="4"/>
      <c r="EL1165" s="4"/>
      <c r="EM1165" s="4"/>
      <c r="EN1165" s="4"/>
      <c r="EO1165" s="4"/>
      <c r="EP1165" s="4"/>
      <c r="EQ1165" s="4"/>
      <c r="ER1165" s="4"/>
      <c r="ES1165" s="4"/>
      <c r="ET1165" s="4"/>
      <c r="EU1165" s="4"/>
      <c r="EV1165" s="4"/>
      <c r="EW1165" s="4"/>
      <c r="EX1165" s="4"/>
      <c r="EY1165" s="4"/>
      <c r="EZ1165" s="4"/>
      <c r="FA1165" s="4"/>
      <c r="FB1165" s="4"/>
      <c r="FC1165" s="4"/>
      <c r="FD1165" s="4"/>
      <c r="FE1165" s="4"/>
      <c r="FF1165" s="4"/>
      <c r="FG1165" s="4"/>
      <c r="FH1165" s="4"/>
      <c r="FI1165" s="4"/>
      <c r="FJ1165" s="4"/>
      <c r="FK1165" s="4"/>
      <c r="FL1165" s="4"/>
      <c r="FM1165" s="4"/>
      <c r="FN1165" s="4"/>
      <c r="FO1165" s="4"/>
      <c r="FP1165" s="4"/>
      <c r="FQ1165" s="4"/>
      <c r="FR1165" s="4"/>
      <c r="FS1165" s="4"/>
      <c r="FT1165" s="4"/>
      <c r="FU1165" s="4"/>
      <c r="FV1165" s="4"/>
      <c r="FW1165" s="4"/>
      <c r="FX1165" s="4"/>
      <c r="FY1165" s="4"/>
      <c r="FZ1165" s="4"/>
      <c r="GA1165" s="4"/>
      <c r="GB1165" s="4"/>
      <c r="GC1165" s="4"/>
      <c r="GD1165" s="4"/>
      <c r="GE1165" s="4"/>
      <c r="GF1165" s="4"/>
      <c r="GG1165" s="4"/>
      <c r="GH1165" s="4"/>
      <c r="GI1165" s="4"/>
      <c r="GJ1165" s="4"/>
      <c r="GK1165" s="4"/>
      <c r="GL1165" s="4"/>
      <c r="GM1165" s="4"/>
      <c r="GN1165" s="4"/>
      <c r="GO1165" s="4"/>
      <c r="GP1165" s="4"/>
      <c r="GQ1165" s="4"/>
      <c r="GR1165" s="4"/>
      <c r="GS1165" s="4"/>
      <c r="GT1165" s="4"/>
      <c r="GU1165" s="4"/>
      <c r="GV1165" s="4"/>
      <c r="GW1165" s="4"/>
      <c r="GX1165" s="4"/>
      <c r="GY1165" s="4"/>
      <c r="GZ1165" s="4"/>
      <c r="HA1165" s="4"/>
      <c r="HB1165" s="4"/>
      <c r="HC1165" s="4"/>
      <c r="HD1165" s="4"/>
      <c r="HE1165" s="4"/>
      <c r="HF1165" s="4"/>
      <c r="HG1165" s="4"/>
      <c r="HH1165" s="4"/>
    </row>
    <row r="1166" spans="16:216" ht="15.75" hidden="1" customHeight="1" x14ac:dyDescent="0.3"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  <c r="HC1166" s="4"/>
      <c r="HD1166" s="4"/>
      <c r="HE1166" s="4"/>
      <c r="HF1166" s="4"/>
      <c r="HG1166" s="4"/>
      <c r="HH1166" s="4"/>
    </row>
    <row r="1167" spans="16:216" ht="15.75" hidden="1" customHeight="1" x14ac:dyDescent="0.3"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4"/>
      <c r="DC1167" s="4"/>
      <c r="DD1167" s="4"/>
      <c r="DE1167" s="4"/>
      <c r="DF1167" s="4"/>
      <c r="DG1167" s="4"/>
      <c r="DH1167" s="4"/>
      <c r="DI1167" s="4"/>
      <c r="DJ1167" s="4"/>
      <c r="DK1167" s="4"/>
      <c r="DL1167" s="4"/>
      <c r="DM1167" s="4"/>
      <c r="DN1167" s="4"/>
      <c r="DO1167" s="4"/>
      <c r="DP1167" s="4"/>
      <c r="DQ1167" s="4"/>
      <c r="DR1167" s="4"/>
      <c r="DS1167" s="4"/>
      <c r="DT1167" s="4"/>
      <c r="DU1167" s="4"/>
      <c r="DV1167" s="4"/>
      <c r="DW1167" s="4"/>
      <c r="DX1167" s="4"/>
      <c r="DY1167" s="4"/>
      <c r="DZ1167" s="4"/>
      <c r="EA1167" s="4"/>
      <c r="EB1167" s="4"/>
      <c r="EC1167" s="4"/>
      <c r="ED1167" s="4"/>
      <c r="EE1167" s="4"/>
      <c r="EF1167" s="4"/>
      <c r="EG1167" s="4"/>
      <c r="EH1167" s="4"/>
      <c r="EI1167" s="4"/>
      <c r="EJ1167" s="4"/>
      <c r="EK1167" s="4"/>
      <c r="EL1167" s="4"/>
      <c r="EM1167" s="4"/>
      <c r="EN1167" s="4"/>
      <c r="EO1167" s="4"/>
      <c r="EP1167" s="4"/>
      <c r="EQ1167" s="4"/>
      <c r="ER1167" s="4"/>
      <c r="ES1167" s="4"/>
      <c r="ET1167" s="4"/>
      <c r="EU1167" s="4"/>
      <c r="EV1167" s="4"/>
      <c r="EW1167" s="4"/>
      <c r="EX1167" s="4"/>
      <c r="EY1167" s="4"/>
      <c r="EZ1167" s="4"/>
      <c r="FA1167" s="4"/>
      <c r="FB1167" s="4"/>
      <c r="FC1167" s="4"/>
      <c r="FD1167" s="4"/>
      <c r="FE1167" s="4"/>
      <c r="FF1167" s="4"/>
      <c r="FG1167" s="4"/>
      <c r="FH1167" s="4"/>
      <c r="FI1167" s="4"/>
      <c r="FJ1167" s="4"/>
      <c r="FK1167" s="4"/>
      <c r="FL1167" s="4"/>
      <c r="FM1167" s="4"/>
      <c r="FN1167" s="4"/>
      <c r="FO1167" s="4"/>
      <c r="FP1167" s="4"/>
      <c r="FQ1167" s="4"/>
      <c r="FR1167" s="4"/>
      <c r="FS1167" s="4"/>
      <c r="FT1167" s="4"/>
      <c r="FU1167" s="4"/>
      <c r="FV1167" s="4"/>
      <c r="FW1167" s="4"/>
      <c r="FX1167" s="4"/>
      <c r="FY1167" s="4"/>
      <c r="FZ1167" s="4"/>
      <c r="GA1167" s="4"/>
      <c r="GB1167" s="4"/>
      <c r="GC1167" s="4"/>
      <c r="GD1167" s="4"/>
      <c r="GE1167" s="4"/>
      <c r="GF1167" s="4"/>
      <c r="GG1167" s="4"/>
      <c r="GH1167" s="4"/>
      <c r="GI1167" s="4"/>
      <c r="GJ1167" s="4"/>
      <c r="GK1167" s="4"/>
      <c r="GL1167" s="4"/>
      <c r="GM1167" s="4"/>
      <c r="GN1167" s="4"/>
      <c r="GO1167" s="4"/>
      <c r="GP1167" s="4"/>
      <c r="GQ1167" s="4"/>
      <c r="GR1167" s="4"/>
      <c r="GS1167" s="4"/>
      <c r="GT1167" s="4"/>
      <c r="GU1167" s="4"/>
      <c r="GV1167" s="4"/>
      <c r="GW1167" s="4"/>
      <c r="GX1167" s="4"/>
      <c r="GY1167" s="4"/>
      <c r="GZ1167" s="4"/>
      <c r="HA1167" s="4"/>
      <c r="HB1167" s="4"/>
      <c r="HC1167" s="4"/>
      <c r="HD1167" s="4"/>
      <c r="HE1167" s="4"/>
      <c r="HF1167" s="4"/>
      <c r="HG1167" s="4"/>
      <c r="HH1167" s="4"/>
    </row>
    <row r="1168" spans="16:216" ht="15.75" hidden="1" customHeight="1" x14ac:dyDescent="0.3"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  <c r="HC1168" s="4"/>
      <c r="HD1168" s="4"/>
      <c r="HE1168" s="4"/>
      <c r="HF1168" s="4"/>
      <c r="HG1168" s="4"/>
      <c r="HH1168" s="4"/>
    </row>
    <row r="1169" spans="16:216" ht="15.75" hidden="1" customHeight="1" x14ac:dyDescent="0.3"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  <c r="DA1169" s="4"/>
      <c r="DB1169" s="4"/>
      <c r="DC1169" s="4"/>
      <c r="DD1169" s="4"/>
      <c r="DE1169" s="4"/>
      <c r="DF1169" s="4"/>
      <c r="DG1169" s="4"/>
      <c r="DH1169" s="4"/>
      <c r="DI1169" s="4"/>
      <c r="DJ1169" s="4"/>
      <c r="DK1169" s="4"/>
      <c r="DL1169" s="4"/>
      <c r="DM1169" s="4"/>
      <c r="DN1169" s="4"/>
      <c r="DO1169" s="4"/>
      <c r="DP1169" s="4"/>
      <c r="DQ1169" s="4"/>
      <c r="DR1169" s="4"/>
      <c r="DS1169" s="4"/>
      <c r="DT1169" s="4"/>
      <c r="DU1169" s="4"/>
      <c r="DV1169" s="4"/>
      <c r="DW1169" s="4"/>
      <c r="DX1169" s="4"/>
      <c r="DY1169" s="4"/>
      <c r="DZ1169" s="4"/>
      <c r="EA1169" s="4"/>
      <c r="EB1169" s="4"/>
      <c r="EC1169" s="4"/>
      <c r="ED1169" s="4"/>
      <c r="EE1169" s="4"/>
      <c r="EF1169" s="4"/>
      <c r="EG1169" s="4"/>
      <c r="EH1169" s="4"/>
      <c r="EI1169" s="4"/>
      <c r="EJ1169" s="4"/>
      <c r="EK1169" s="4"/>
      <c r="EL1169" s="4"/>
      <c r="EM1169" s="4"/>
      <c r="EN1169" s="4"/>
      <c r="EO1169" s="4"/>
      <c r="EP1169" s="4"/>
      <c r="EQ1169" s="4"/>
      <c r="ER1169" s="4"/>
      <c r="ES1169" s="4"/>
      <c r="ET1169" s="4"/>
      <c r="EU1169" s="4"/>
      <c r="EV1169" s="4"/>
      <c r="EW1169" s="4"/>
      <c r="EX1169" s="4"/>
      <c r="EY1169" s="4"/>
      <c r="EZ1169" s="4"/>
      <c r="FA1169" s="4"/>
      <c r="FB1169" s="4"/>
      <c r="FC1169" s="4"/>
      <c r="FD1169" s="4"/>
      <c r="FE1169" s="4"/>
      <c r="FF1169" s="4"/>
      <c r="FG1169" s="4"/>
      <c r="FH1169" s="4"/>
      <c r="FI1169" s="4"/>
      <c r="FJ1169" s="4"/>
      <c r="FK1169" s="4"/>
      <c r="FL1169" s="4"/>
      <c r="FM1169" s="4"/>
      <c r="FN1169" s="4"/>
      <c r="FO1169" s="4"/>
      <c r="FP1169" s="4"/>
      <c r="FQ1169" s="4"/>
      <c r="FR1169" s="4"/>
      <c r="FS1169" s="4"/>
      <c r="FT1169" s="4"/>
      <c r="FU1169" s="4"/>
      <c r="FV1169" s="4"/>
      <c r="FW1169" s="4"/>
      <c r="FX1169" s="4"/>
      <c r="FY1169" s="4"/>
      <c r="FZ1169" s="4"/>
      <c r="GA1169" s="4"/>
      <c r="GB1169" s="4"/>
      <c r="GC1169" s="4"/>
      <c r="GD1169" s="4"/>
      <c r="GE1169" s="4"/>
      <c r="GF1169" s="4"/>
      <c r="GG1169" s="4"/>
      <c r="GH1169" s="4"/>
      <c r="GI1169" s="4"/>
      <c r="GJ1169" s="4"/>
      <c r="GK1169" s="4"/>
      <c r="GL1169" s="4"/>
      <c r="GM1169" s="4"/>
      <c r="GN1169" s="4"/>
      <c r="GO1169" s="4"/>
      <c r="GP1169" s="4"/>
      <c r="GQ1169" s="4"/>
      <c r="GR1169" s="4"/>
      <c r="GS1169" s="4"/>
      <c r="GT1169" s="4"/>
      <c r="GU1169" s="4"/>
      <c r="GV1169" s="4"/>
      <c r="GW1169" s="4"/>
      <c r="GX1169" s="4"/>
      <c r="GY1169" s="4"/>
      <c r="GZ1169" s="4"/>
      <c r="HA1169" s="4"/>
      <c r="HB1169" s="4"/>
      <c r="HC1169" s="4"/>
      <c r="HD1169" s="4"/>
      <c r="HE1169" s="4"/>
      <c r="HF1169" s="4"/>
      <c r="HG1169" s="4"/>
      <c r="HH1169" s="4"/>
    </row>
    <row r="1170" spans="16:216" ht="15.75" hidden="1" customHeight="1" x14ac:dyDescent="0.3"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  <c r="HC1170" s="4"/>
      <c r="HD1170" s="4"/>
      <c r="HE1170" s="4"/>
      <c r="HF1170" s="4"/>
      <c r="HG1170" s="4"/>
      <c r="HH1170" s="4"/>
    </row>
    <row r="1171" spans="16:216" ht="15.75" hidden="1" customHeight="1" x14ac:dyDescent="0.3"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  <c r="DA1171" s="4"/>
      <c r="DB1171" s="4"/>
      <c r="DC1171" s="4"/>
      <c r="DD1171" s="4"/>
      <c r="DE1171" s="4"/>
      <c r="DF1171" s="4"/>
      <c r="DG1171" s="4"/>
      <c r="DH1171" s="4"/>
      <c r="DI1171" s="4"/>
      <c r="DJ1171" s="4"/>
      <c r="DK1171" s="4"/>
      <c r="DL1171" s="4"/>
      <c r="DM1171" s="4"/>
      <c r="DN1171" s="4"/>
      <c r="DO1171" s="4"/>
      <c r="DP1171" s="4"/>
      <c r="DQ1171" s="4"/>
      <c r="DR1171" s="4"/>
      <c r="DS1171" s="4"/>
      <c r="DT1171" s="4"/>
      <c r="DU1171" s="4"/>
      <c r="DV1171" s="4"/>
      <c r="DW1171" s="4"/>
      <c r="DX1171" s="4"/>
      <c r="DY1171" s="4"/>
      <c r="DZ1171" s="4"/>
      <c r="EA1171" s="4"/>
      <c r="EB1171" s="4"/>
      <c r="EC1171" s="4"/>
      <c r="ED1171" s="4"/>
      <c r="EE1171" s="4"/>
      <c r="EF1171" s="4"/>
      <c r="EG1171" s="4"/>
      <c r="EH1171" s="4"/>
      <c r="EI1171" s="4"/>
      <c r="EJ1171" s="4"/>
      <c r="EK1171" s="4"/>
      <c r="EL1171" s="4"/>
      <c r="EM1171" s="4"/>
      <c r="EN1171" s="4"/>
      <c r="EO1171" s="4"/>
      <c r="EP1171" s="4"/>
      <c r="EQ1171" s="4"/>
      <c r="ER1171" s="4"/>
      <c r="ES1171" s="4"/>
      <c r="ET1171" s="4"/>
      <c r="EU1171" s="4"/>
      <c r="EV1171" s="4"/>
      <c r="EW1171" s="4"/>
      <c r="EX1171" s="4"/>
      <c r="EY1171" s="4"/>
      <c r="EZ1171" s="4"/>
      <c r="FA1171" s="4"/>
      <c r="FB1171" s="4"/>
      <c r="FC1171" s="4"/>
      <c r="FD1171" s="4"/>
      <c r="FE1171" s="4"/>
      <c r="FF1171" s="4"/>
      <c r="FG1171" s="4"/>
      <c r="FH1171" s="4"/>
      <c r="FI1171" s="4"/>
      <c r="FJ1171" s="4"/>
      <c r="FK1171" s="4"/>
      <c r="FL1171" s="4"/>
      <c r="FM1171" s="4"/>
      <c r="FN1171" s="4"/>
      <c r="FO1171" s="4"/>
      <c r="FP1171" s="4"/>
      <c r="FQ1171" s="4"/>
      <c r="FR1171" s="4"/>
      <c r="FS1171" s="4"/>
      <c r="FT1171" s="4"/>
      <c r="FU1171" s="4"/>
      <c r="FV1171" s="4"/>
      <c r="FW1171" s="4"/>
      <c r="FX1171" s="4"/>
      <c r="FY1171" s="4"/>
      <c r="FZ1171" s="4"/>
      <c r="GA1171" s="4"/>
      <c r="GB1171" s="4"/>
      <c r="GC1171" s="4"/>
      <c r="GD1171" s="4"/>
      <c r="GE1171" s="4"/>
      <c r="GF1171" s="4"/>
      <c r="GG1171" s="4"/>
      <c r="GH1171" s="4"/>
      <c r="GI1171" s="4"/>
      <c r="GJ1171" s="4"/>
      <c r="GK1171" s="4"/>
      <c r="GL1171" s="4"/>
      <c r="GM1171" s="4"/>
      <c r="GN1171" s="4"/>
      <c r="GO1171" s="4"/>
      <c r="GP1171" s="4"/>
      <c r="GQ1171" s="4"/>
      <c r="GR1171" s="4"/>
      <c r="GS1171" s="4"/>
      <c r="GT1171" s="4"/>
      <c r="GU1171" s="4"/>
      <c r="GV1171" s="4"/>
      <c r="GW1171" s="4"/>
      <c r="GX1171" s="4"/>
      <c r="GY1171" s="4"/>
      <c r="GZ1171" s="4"/>
      <c r="HA1171" s="4"/>
      <c r="HB1171" s="4"/>
      <c r="HC1171" s="4"/>
      <c r="HD1171" s="4"/>
      <c r="HE1171" s="4"/>
      <c r="HF1171" s="4"/>
      <c r="HG1171" s="4"/>
      <c r="HH1171" s="4"/>
    </row>
    <row r="1172" spans="16:216" ht="15.75" hidden="1" customHeight="1" x14ac:dyDescent="0.3"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  <c r="GY1172" s="4"/>
      <c r="GZ1172" s="4"/>
      <c r="HA1172" s="4"/>
      <c r="HB1172" s="4"/>
      <c r="HC1172" s="4"/>
      <c r="HD1172" s="4"/>
      <c r="HE1172" s="4"/>
      <c r="HF1172" s="4"/>
      <c r="HG1172" s="4"/>
      <c r="HH1172" s="4"/>
    </row>
    <row r="1173" spans="16:216" ht="15.75" hidden="1" customHeight="1" x14ac:dyDescent="0.3"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/>
      <c r="CY1173" s="4"/>
      <c r="CZ1173" s="4"/>
      <c r="DA1173" s="4"/>
      <c r="DB1173" s="4"/>
      <c r="DC1173" s="4"/>
      <c r="DD1173" s="4"/>
      <c r="DE1173" s="4"/>
      <c r="DF1173" s="4"/>
      <c r="DG1173" s="4"/>
      <c r="DH1173" s="4"/>
      <c r="DI1173" s="4"/>
      <c r="DJ1173" s="4"/>
      <c r="DK1173" s="4"/>
      <c r="DL1173" s="4"/>
      <c r="DM1173" s="4"/>
      <c r="DN1173" s="4"/>
      <c r="DO1173" s="4"/>
      <c r="DP1173" s="4"/>
      <c r="DQ1173" s="4"/>
      <c r="DR1173" s="4"/>
      <c r="DS1173" s="4"/>
      <c r="DT1173" s="4"/>
      <c r="DU1173" s="4"/>
      <c r="DV1173" s="4"/>
      <c r="DW1173" s="4"/>
      <c r="DX1173" s="4"/>
      <c r="DY1173" s="4"/>
      <c r="DZ1173" s="4"/>
      <c r="EA1173" s="4"/>
      <c r="EB1173" s="4"/>
      <c r="EC1173" s="4"/>
      <c r="ED1173" s="4"/>
      <c r="EE1173" s="4"/>
      <c r="EF1173" s="4"/>
      <c r="EG1173" s="4"/>
      <c r="EH1173" s="4"/>
      <c r="EI1173" s="4"/>
      <c r="EJ1173" s="4"/>
      <c r="EK1173" s="4"/>
      <c r="EL1173" s="4"/>
      <c r="EM1173" s="4"/>
      <c r="EN1173" s="4"/>
      <c r="EO1173" s="4"/>
      <c r="EP1173" s="4"/>
      <c r="EQ1173" s="4"/>
      <c r="ER1173" s="4"/>
      <c r="ES1173" s="4"/>
      <c r="ET1173" s="4"/>
      <c r="EU1173" s="4"/>
      <c r="EV1173" s="4"/>
      <c r="EW1173" s="4"/>
      <c r="EX1173" s="4"/>
      <c r="EY1173" s="4"/>
      <c r="EZ1173" s="4"/>
      <c r="FA1173" s="4"/>
      <c r="FB1173" s="4"/>
      <c r="FC1173" s="4"/>
      <c r="FD1173" s="4"/>
      <c r="FE1173" s="4"/>
      <c r="FF1173" s="4"/>
      <c r="FG1173" s="4"/>
      <c r="FH1173" s="4"/>
      <c r="FI1173" s="4"/>
      <c r="FJ1173" s="4"/>
      <c r="FK1173" s="4"/>
      <c r="FL1173" s="4"/>
      <c r="FM1173" s="4"/>
      <c r="FN1173" s="4"/>
      <c r="FO1173" s="4"/>
      <c r="FP1173" s="4"/>
      <c r="FQ1173" s="4"/>
      <c r="FR1173" s="4"/>
      <c r="FS1173" s="4"/>
      <c r="FT1173" s="4"/>
      <c r="FU1173" s="4"/>
      <c r="FV1173" s="4"/>
      <c r="FW1173" s="4"/>
      <c r="FX1173" s="4"/>
      <c r="FY1173" s="4"/>
      <c r="FZ1173" s="4"/>
      <c r="GA1173" s="4"/>
      <c r="GB1173" s="4"/>
      <c r="GC1173" s="4"/>
      <c r="GD1173" s="4"/>
      <c r="GE1173" s="4"/>
      <c r="GF1173" s="4"/>
      <c r="GG1173" s="4"/>
      <c r="GH1173" s="4"/>
      <c r="GI1173" s="4"/>
      <c r="GJ1173" s="4"/>
      <c r="GK1173" s="4"/>
      <c r="GL1173" s="4"/>
      <c r="GM1173" s="4"/>
      <c r="GN1173" s="4"/>
      <c r="GO1173" s="4"/>
      <c r="GP1173" s="4"/>
      <c r="GQ1173" s="4"/>
      <c r="GR1173" s="4"/>
      <c r="GS1173" s="4"/>
      <c r="GT1173" s="4"/>
      <c r="GU1173" s="4"/>
      <c r="GV1173" s="4"/>
      <c r="GW1173" s="4"/>
      <c r="GX1173" s="4"/>
      <c r="GY1173" s="4"/>
      <c r="GZ1173" s="4"/>
      <c r="HA1173" s="4"/>
      <c r="HB1173" s="4"/>
      <c r="HC1173" s="4"/>
      <c r="HD1173" s="4"/>
      <c r="HE1173" s="4"/>
      <c r="HF1173" s="4"/>
      <c r="HG1173" s="4"/>
      <c r="HH1173" s="4"/>
    </row>
    <row r="1174" spans="16:216" ht="15.75" hidden="1" customHeight="1" x14ac:dyDescent="0.3"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  <c r="HC1174" s="4"/>
      <c r="HD1174" s="4"/>
      <c r="HE1174" s="4"/>
      <c r="HF1174" s="4"/>
      <c r="HG1174" s="4"/>
      <c r="HH1174" s="4"/>
    </row>
    <row r="1175" spans="16:216" ht="15.75" hidden="1" customHeight="1" x14ac:dyDescent="0.3"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  <c r="DA1175" s="4"/>
      <c r="DB1175" s="4"/>
      <c r="DC1175" s="4"/>
      <c r="DD1175" s="4"/>
      <c r="DE1175" s="4"/>
      <c r="DF1175" s="4"/>
      <c r="DG1175" s="4"/>
      <c r="DH1175" s="4"/>
      <c r="DI1175" s="4"/>
      <c r="DJ1175" s="4"/>
      <c r="DK1175" s="4"/>
      <c r="DL1175" s="4"/>
      <c r="DM1175" s="4"/>
      <c r="DN1175" s="4"/>
      <c r="DO1175" s="4"/>
      <c r="DP1175" s="4"/>
      <c r="DQ1175" s="4"/>
      <c r="DR1175" s="4"/>
      <c r="DS1175" s="4"/>
      <c r="DT1175" s="4"/>
      <c r="DU1175" s="4"/>
      <c r="DV1175" s="4"/>
      <c r="DW1175" s="4"/>
      <c r="DX1175" s="4"/>
      <c r="DY1175" s="4"/>
      <c r="DZ1175" s="4"/>
      <c r="EA1175" s="4"/>
      <c r="EB1175" s="4"/>
      <c r="EC1175" s="4"/>
      <c r="ED1175" s="4"/>
      <c r="EE1175" s="4"/>
      <c r="EF1175" s="4"/>
      <c r="EG1175" s="4"/>
      <c r="EH1175" s="4"/>
      <c r="EI1175" s="4"/>
      <c r="EJ1175" s="4"/>
      <c r="EK1175" s="4"/>
      <c r="EL1175" s="4"/>
      <c r="EM1175" s="4"/>
      <c r="EN1175" s="4"/>
      <c r="EO1175" s="4"/>
      <c r="EP1175" s="4"/>
      <c r="EQ1175" s="4"/>
      <c r="ER1175" s="4"/>
      <c r="ES1175" s="4"/>
      <c r="ET1175" s="4"/>
      <c r="EU1175" s="4"/>
      <c r="EV1175" s="4"/>
      <c r="EW1175" s="4"/>
      <c r="EX1175" s="4"/>
      <c r="EY1175" s="4"/>
      <c r="EZ1175" s="4"/>
      <c r="FA1175" s="4"/>
      <c r="FB1175" s="4"/>
      <c r="FC1175" s="4"/>
      <c r="FD1175" s="4"/>
      <c r="FE1175" s="4"/>
      <c r="FF1175" s="4"/>
      <c r="FG1175" s="4"/>
      <c r="FH1175" s="4"/>
      <c r="FI1175" s="4"/>
      <c r="FJ1175" s="4"/>
      <c r="FK1175" s="4"/>
      <c r="FL1175" s="4"/>
      <c r="FM1175" s="4"/>
      <c r="FN1175" s="4"/>
      <c r="FO1175" s="4"/>
      <c r="FP1175" s="4"/>
      <c r="FQ1175" s="4"/>
      <c r="FR1175" s="4"/>
      <c r="FS1175" s="4"/>
      <c r="FT1175" s="4"/>
      <c r="FU1175" s="4"/>
      <c r="FV1175" s="4"/>
      <c r="FW1175" s="4"/>
      <c r="FX1175" s="4"/>
      <c r="FY1175" s="4"/>
      <c r="FZ1175" s="4"/>
      <c r="GA1175" s="4"/>
      <c r="GB1175" s="4"/>
      <c r="GC1175" s="4"/>
      <c r="GD1175" s="4"/>
      <c r="GE1175" s="4"/>
      <c r="GF1175" s="4"/>
      <c r="GG1175" s="4"/>
      <c r="GH1175" s="4"/>
      <c r="GI1175" s="4"/>
      <c r="GJ1175" s="4"/>
      <c r="GK1175" s="4"/>
      <c r="GL1175" s="4"/>
      <c r="GM1175" s="4"/>
      <c r="GN1175" s="4"/>
      <c r="GO1175" s="4"/>
      <c r="GP1175" s="4"/>
      <c r="GQ1175" s="4"/>
      <c r="GR1175" s="4"/>
      <c r="GS1175" s="4"/>
      <c r="GT1175" s="4"/>
      <c r="GU1175" s="4"/>
      <c r="GV1175" s="4"/>
      <c r="GW1175" s="4"/>
      <c r="GX1175" s="4"/>
      <c r="GY1175" s="4"/>
      <c r="GZ1175" s="4"/>
      <c r="HA1175" s="4"/>
      <c r="HB1175" s="4"/>
      <c r="HC1175" s="4"/>
      <c r="HD1175" s="4"/>
      <c r="HE1175" s="4"/>
      <c r="HF1175" s="4"/>
      <c r="HG1175" s="4"/>
      <c r="HH1175" s="4"/>
    </row>
    <row r="1176" spans="16:216" ht="15.75" hidden="1" customHeight="1" x14ac:dyDescent="0.3"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  <c r="GY1176" s="4"/>
      <c r="GZ1176" s="4"/>
      <c r="HA1176" s="4"/>
      <c r="HB1176" s="4"/>
      <c r="HC1176" s="4"/>
      <c r="HD1176" s="4"/>
      <c r="HE1176" s="4"/>
      <c r="HF1176" s="4"/>
      <c r="HG1176" s="4"/>
      <c r="HH1176" s="4"/>
    </row>
    <row r="1177" spans="16:216" ht="15.75" hidden="1" customHeight="1" x14ac:dyDescent="0.3"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  <c r="DA1177" s="4"/>
      <c r="DB1177" s="4"/>
      <c r="DC1177" s="4"/>
      <c r="DD1177" s="4"/>
      <c r="DE1177" s="4"/>
      <c r="DF1177" s="4"/>
      <c r="DG1177" s="4"/>
      <c r="DH1177" s="4"/>
      <c r="DI1177" s="4"/>
      <c r="DJ1177" s="4"/>
      <c r="DK1177" s="4"/>
      <c r="DL1177" s="4"/>
      <c r="DM1177" s="4"/>
      <c r="DN1177" s="4"/>
      <c r="DO1177" s="4"/>
      <c r="DP1177" s="4"/>
      <c r="DQ1177" s="4"/>
      <c r="DR1177" s="4"/>
      <c r="DS1177" s="4"/>
      <c r="DT1177" s="4"/>
      <c r="DU1177" s="4"/>
      <c r="DV1177" s="4"/>
      <c r="DW1177" s="4"/>
      <c r="DX1177" s="4"/>
      <c r="DY1177" s="4"/>
      <c r="DZ1177" s="4"/>
      <c r="EA1177" s="4"/>
      <c r="EB1177" s="4"/>
      <c r="EC1177" s="4"/>
      <c r="ED1177" s="4"/>
      <c r="EE1177" s="4"/>
      <c r="EF1177" s="4"/>
      <c r="EG1177" s="4"/>
      <c r="EH1177" s="4"/>
      <c r="EI1177" s="4"/>
      <c r="EJ1177" s="4"/>
      <c r="EK1177" s="4"/>
      <c r="EL1177" s="4"/>
      <c r="EM1177" s="4"/>
      <c r="EN1177" s="4"/>
      <c r="EO1177" s="4"/>
      <c r="EP1177" s="4"/>
      <c r="EQ1177" s="4"/>
      <c r="ER1177" s="4"/>
      <c r="ES1177" s="4"/>
      <c r="ET1177" s="4"/>
      <c r="EU1177" s="4"/>
      <c r="EV1177" s="4"/>
      <c r="EW1177" s="4"/>
      <c r="EX1177" s="4"/>
      <c r="EY1177" s="4"/>
      <c r="EZ1177" s="4"/>
      <c r="FA1177" s="4"/>
      <c r="FB1177" s="4"/>
      <c r="FC1177" s="4"/>
      <c r="FD1177" s="4"/>
      <c r="FE1177" s="4"/>
      <c r="FF1177" s="4"/>
      <c r="FG1177" s="4"/>
      <c r="FH1177" s="4"/>
      <c r="FI1177" s="4"/>
      <c r="FJ1177" s="4"/>
      <c r="FK1177" s="4"/>
      <c r="FL1177" s="4"/>
      <c r="FM1177" s="4"/>
      <c r="FN1177" s="4"/>
      <c r="FO1177" s="4"/>
      <c r="FP1177" s="4"/>
      <c r="FQ1177" s="4"/>
      <c r="FR1177" s="4"/>
      <c r="FS1177" s="4"/>
      <c r="FT1177" s="4"/>
      <c r="FU1177" s="4"/>
      <c r="FV1177" s="4"/>
      <c r="FW1177" s="4"/>
      <c r="FX1177" s="4"/>
      <c r="FY1177" s="4"/>
      <c r="FZ1177" s="4"/>
      <c r="GA1177" s="4"/>
      <c r="GB1177" s="4"/>
      <c r="GC1177" s="4"/>
      <c r="GD1177" s="4"/>
      <c r="GE1177" s="4"/>
      <c r="GF1177" s="4"/>
      <c r="GG1177" s="4"/>
      <c r="GH1177" s="4"/>
      <c r="GI1177" s="4"/>
      <c r="GJ1177" s="4"/>
      <c r="GK1177" s="4"/>
      <c r="GL1177" s="4"/>
      <c r="GM1177" s="4"/>
      <c r="GN1177" s="4"/>
      <c r="GO1177" s="4"/>
      <c r="GP1177" s="4"/>
      <c r="GQ1177" s="4"/>
      <c r="GR1177" s="4"/>
      <c r="GS1177" s="4"/>
      <c r="GT1177" s="4"/>
      <c r="GU1177" s="4"/>
      <c r="GV1177" s="4"/>
      <c r="GW1177" s="4"/>
      <c r="GX1177" s="4"/>
      <c r="GY1177" s="4"/>
      <c r="GZ1177" s="4"/>
      <c r="HA1177" s="4"/>
      <c r="HB1177" s="4"/>
      <c r="HC1177" s="4"/>
      <c r="HD1177" s="4"/>
      <c r="HE1177" s="4"/>
      <c r="HF1177" s="4"/>
      <c r="HG1177" s="4"/>
      <c r="HH1177" s="4"/>
    </row>
    <row r="1178" spans="16:216" ht="15.75" hidden="1" customHeight="1" x14ac:dyDescent="0.3"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  <c r="GY1178" s="4"/>
      <c r="GZ1178" s="4"/>
      <c r="HA1178" s="4"/>
      <c r="HB1178" s="4"/>
      <c r="HC1178" s="4"/>
      <c r="HD1178" s="4"/>
      <c r="HE1178" s="4"/>
      <c r="HF1178" s="4"/>
      <c r="HG1178" s="4"/>
      <c r="HH1178" s="4"/>
    </row>
    <row r="1179" spans="16:216" ht="15.75" hidden="1" customHeight="1" x14ac:dyDescent="0.3"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  <c r="DA1179" s="4"/>
      <c r="DB1179" s="4"/>
      <c r="DC1179" s="4"/>
      <c r="DD1179" s="4"/>
      <c r="DE1179" s="4"/>
      <c r="DF1179" s="4"/>
      <c r="DG1179" s="4"/>
      <c r="DH1179" s="4"/>
      <c r="DI1179" s="4"/>
      <c r="DJ1179" s="4"/>
      <c r="DK1179" s="4"/>
      <c r="DL1179" s="4"/>
      <c r="DM1179" s="4"/>
      <c r="DN1179" s="4"/>
      <c r="DO1179" s="4"/>
      <c r="DP1179" s="4"/>
      <c r="DQ1179" s="4"/>
      <c r="DR1179" s="4"/>
      <c r="DS1179" s="4"/>
      <c r="DT1179" s="4"/>
      <c r="DU1179" s="4"/>
      <c r="DV1179" s="4"/>
      <c r="DW1179" s="4"/>
      <c r="DX1179" s="4"/>
      <c r="DY1179" s="4"/>
      <c r="DZ1179" s="4"/>
      <c r="EA1179" s="4"/>
      <c r="EB1179" s="4"/>
      <c r="EC1179" s="4"/>
      <c r="ED1179" s="4"/>
      <c r="EE1179" s="4"/>
      <c r="EF1179" s="4"/>
      <c r="EG1179" s="4"/>
      <c r="EH1179" s="4"/>
      <c r="EI1179" s="4"/>
      <c r="EJ1179" s="4"/>
      <c r="EK1179" s="4"/>
      <c r="EL1179" s="4"/>
      <c r="EM1179" s="4"/>
      <c r="EN1179" s="4"/>
      <c r="EO1179" s="4"/>
      <c r="EP1179" s="4"/>
      <c r="EQ1179" s="4"/>
      <c r="ER1179" s="4"/>
      <c r="ES1179" s="4"/>
      <c r="ET1179" s="4"/>
      <c r="EU1179" s="4"/>
      <c r="EV1179" s="4"/>
      <c r="EW1179" s="4"/>
      <c r="EX1179" s="4"/>
      <c r="EY1179" s="4"/>
      <c r="EZ1179" s="4"/>
      <c r="FA1179" s="4"/>
      <c r="FB1179" s="4"/>
      <c r="FC1179" s="4"/>
      <c r="FD1179" s="4"/>
      <c r="FE1179" s="4"/>
      <c r="FF1179" s="4"/>
      <c r="FG1179" s="4"/>
      <c r="FH1179" s="4"/>
      <c r="FI1179" s="4"/>
      <c r="FJ1179" s="4"/>
      <c r="FK1179" s="4"/>
      <c r="FL1179" s="4"/>
      <c r="FM1179" s="4"/>
      <c r="FN1179" s="4"/>
      <c r="FO1179" s="4"/>
      <c r="FP1179" s="4"/>
      <c r="FQ1179" s="4"/>
      <c r="FR1179" s="4"/>
      <c r="FS1179" s="4"/>
      <c r="FT1179" s="4"/>
      <c r="FU1179" s="4"/>
      <c r="FV1179" s="4"/>
      <c r="FW1179" s="4"/>
      <c r="FX1179" s="4"/>
      <c r="FY1179" s="4"/>
      <c r="FZ1179" s="4"/>
      <c r="GA1179" s="4"/>
      <c r="GB1179" s="4"/>
      <c r="GC1179" s="4"/>
      <c r="GD1179" s="4"/>
      <c r="GE1179" s="4"/>
      <c r="GF1179" s="4"/>
      <c r="GG1179" s="4"/>
      <c r="GH1179" s="4"/>
      <c r="GI1179" s="4"/>
      <c r="GJ1179" s="4"/>
      <c r="GK1179" s="4"/>
      <c r="GL1179" s="4"/>
      <c r="GM1179" s="4"/>
      <c r="GN1179" s="4"/>
      <c r="GO1179" s="4"/>
      <c r="GP1179" s="4"/>
      <c r="GQ1179" s="4"/>
      <c r="GR1179" s="4"/>
      <c r="GS1179" s="4"/>
      <c r="GT1179" s="4"/>
      <c r="GU1179" s="4"/>
      <c r="GV1179" s="4"/>
      <c r="GW1179" s="4"/>
      <c r="GX1179" s="4"/>
      <c r="GY1179" s="4"/>
      <c r="GZ1179" s="4"/>
      <c r="HA1179" s="4"/>
      <c r="HB1179" s="4"/>
      <c r="HC1179" s="4"/>
      <c r="HD1179" s="4"/>
      <c r="HE1179" s="4"/>
      <c r="HF1179" s="4"/>
      <c r="HG1179" s="4"/>
      <c r="HH1179" s="4"/>
    </row>
    <row r="1180" spans="16:216" ht="15.75" hidden="1" customHeight="1" x14ac:dyDescent="0.3"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  <c r="GY1180" s="4"/>
      <c r="GZ1180" s="4"/>
      <c r="HA1180" s="4"/>
      <c r="HB1180" s="4"/>
      <c r="HC1180" s="4"/>
      <c r="HD1180" s="4"/>
      <c r="HE1180" s="4"/>
      <c r="HF1180" s="4"/>
      <c r="HG1180" s="4"/>
      <c r="HH1180" s="4"/>
    </row>
    <row r="1181" spans="16:216" ht="15.75" hidden="1" customHeight="1" x14ac:dyDescent="0.3"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  <c r="DA1181" s="4"/>
      <c r="DB1181" s="4"/>
      <c r="DC1181" s="4"/>
      <c r="DD1181" s="4"/>
      <c r="DE1181" s="4"/>
      <c r="DF1181" s="4"/>
      <c r="DG1181" s="4"/>
      <c r="DH1181" s="4"/>
      <c r="DI1181" s="4"/>
      <c r="DJ1181" s="4"/>
      <c r="DK1181" s="4"/>
      <c r="DL1181" s="4"/>
      <c r="DM1181" s="4"/>
      <c r="DN1181" s="4"/>
      <c r="DO1181" s="4"/>
      <c r="DP1181" s="4"/>
      <c r="DQ1181" s="4"/>
      <c r="DR1181" s="4"/>
      <c r="DS1181" s="4"/>
      <c r="DT1181" s="4"/>
      <c r="DU1181" s="4"/>
      <c r="DV1181" s="4"/>
      <c r="DW1181" s="4"/>
      <c r="DX1181" s="4"/>
      <c r="DY1181" s="4"/>
      <c r="DZ1181" s="4"/>
      <c r="EA1181" s="4"/>
      <c r="EB1181" s="4"/>
      <c r="EC1181" s="4"/>
      <c r="ED1181" s="4"/>
      <c r="EE1181" s="4"/>
      <c r="EF1181" s="4"/>
      <c r="EG1181" s="4"/>
      <c r="EH1181" s="4"/>
      <c r="EI1181" s="4"/>
      <c r="EJ1181" s="4"/>
      <c r="EK1181" s="4"/>
      <c r="EL1181" s="4"/>
      <c r="EM1181" s="4"/>
      <c r="EN1181" s="4"/>
      <c r="EO1181" s="4"/>
      <c r="EP1181" s="4"/>
      <c r="EQ1181" s="4"/>
      <c r="ER1181" s="4"/>
      <c r="ES1181" s="4"/>
      <c r="ET1181" s="4"/>
      <c r="EU1181" s="4"/>
      <c r="EV1181" s="4"/>
      <c r="EW1181" s="4"/>
      <c r="EX1181" s="4"/>
      <c r="EY1181" s="4"/>
      <c r="EZ1181" s="4"/>
      <c r="FA1181" s="4"/>
      <c r="FB1181" s="4"/>
      <c r="FC1181" s="4"/>
      <c r="FD1181" s="4"/>
      <c r="FE1181" s="4"/>
      <c r="FF1181" s="4"/>
      <c r="FG1181" s="4"/>
      <c r="FH1181" s="4"/>
      <c r="FI1181" s="4"/>
      <c r="FJ1181" s="4"/>
      <c r="FK1181" s="4"/>
      <c r="FL1181" s="4"/>
      <c r="FM1181" s="4"/>
      <c r="FN1181" s="4"/>
      <c r="FO1181" s="4"/>
      <c r="FP1181" s="4"/>
      <c r="FQ1181" s="4"/>
      <c r="FR1181" s="4"/>
      <c r="FS1181" s="4"/>
      <c r="FT1181" s="4"/>
      <c r="FU1181" s="4"/>
      <c r="FV1181" s="4"/>
      <c r="FW1181" s="4"/>
      <c r="FX1181" s="4"/>
      <c r="FY1181" s="4"/>
      <c r="FZ1181" s="4"/>
      <c r="GA1181" s="4"/>
      <c r="GB1181" s="4"/>
      <c r="GC1181" s="4"/>
      <c r="GD1181" s="4"/>
      <c r="GE1181" s="4"/>
      <c r="GF1181" s="4"/>
      <c r="GG1181" s="4"/>
      <c r="GH1181" s="4"/>
      <c r="GI1181" s="4"/>
      <c r="GJ1181" s="4"/>
      <c r="GK1181" s="4"/>
      <c r="GL1181" s="4"/>
      <c r="GM1181" s="4"/>
      <c r="GN1181" s="4"/>
      <c r="GO1181" s="4"/>
      <c r="GP1181" s="4"/>
      <c r="GQ1181" s="4"/>
      <c r="GR1181" s="4"/>
      <c r="GS1181" s="4"/>
      <c r="GT1181" s="4"/>
      <c r="GU1181" s="4"/>
      <c r="GV1181" s="4"/>
      <c r="GW1181" s="4"/>
      <c r="GX1181" s="4"/>
      <c r="GY1181" s="4"/>
      <c r="GZ1181" s="4"/>
      <c r="HA1181" s="4"/>
      <c r="HB1181" s="4"/>
      <c r="HC1181" s="4"/>
      <c r="HD1181" s="4"/>
      <c r="HE1181" s="4"/>
      <c r="HF1181" s="4"/>
      <c r="HG1181" s="4"/>
      <c r="HH1181" s="4"/>
    </row>
    <row r="1182" spans="16:216" ht="15.75" hidden="1" customHeight="1" x14ac:dyDescent="0.3"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  <c r="HC1182" s="4"/>
      <c r="HD1182" s="4"/>
      <c r="HE1182" s="4"/>
      <c r="HF1182" s="4"/>
      <c r="HG1182" s="4"/>
      <c r="HH1182" s="4"/>
    </row>
    <row r="1183" spans="16:216" ht="15.75" hidden="1" customHeight="1" x14ac:dyDescent="0.3"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  <c r="DJ1183" s="4"/>
      <c r="DK1183" s="4"/>
      <c r="DL1183" s="4"/>
      <c r="DM1183" s="4"/>
      <c r="DN1183" s="4"/>
      <c r="DO1183" s="4"/>
      <c r="DP1183" s="4"/>
      <c r="DQ1183" s="4"/>
      <c r="DR1183" s="4"/>
      <c r="DS1183" s="4"/>
      <c r="DT1183" s="4"/>
      <c r="DU1183" s="4"/>
      <c r="DV1183" s="4"/>
      <c r="DW1183" s="4"/>
      <c r="DX1183" s="4"/>
      <c r="DY1183" s="4"/>
      <c r="DZ1183" s="4"/>
      <c r="EA1183" s="4"/>
      <c r="EB1183" s="4"/>
      <c r="EC1183" s="4"/>
      <c r="ED1183" s="4"/>
      <c r="EE1183" s="4"/>
      <c r="EF1183" s="4"/>
      <c r="EG1183" s="4"/>
      <c r="EH1183" s="4"/>
      <c r="EI1183" s="4"/>
      <c r="EJ1183" s="4"/>
      <c r="EK1183" s="4"/>
      <c r="EL1183" s="4"/>
      <c r="EM1183" s="4"/>
      <c r="EN1183" s="4"/>
      <c r="EO1183" s="4"/>
      <c r="EP1183" s="4"/>
      <c r="EQ1183" s="4"/>
      <c r="ER1183" s="4"/>
      <c r="ES1183" s="4"/>
      <c r="ET1183" s="4"/>
      <c r="EU1183" s="4"/>
      <c r="EV1183" s="4"/>
      <c r="EW1183" s="4"/>
      <c r="EX1183" s="4"/>
      <c r="EY1183" s="4"/>
      <c r="EZ1183" s="4"/>
      <c r="FA1183" s="4"/>
      <c r="FB1183" s="4"/>
      <c r="FC1183" s="4"/>
      <c r="FD1183" s="4"/>
      <c r="FE1183" s="4"/>
      <c r="FF1183" s="4"/>
      <c r="FG1183" s="4"/>
      <c r="FH1183" s="4"/>
      <c r="FI1183" s="4"/>
      <c r="FJ1183" s="4"/>
      <c r="FK1183" s="4"/>
      <c r="FL1183" s="4"/>
      <c r="FM1183" s="4"/>
      <c r="FN1183" s="4"/>
      <c r="FO1183" s="4"/>
      <c r="FP1183" s="4"/>
      <c r="FQ1183" s="4"/>
      <c r="FR1183" s="4"/>
      <c r="FS1183" s="4"/>
      <c r="FT1183" s="4"/>
      <c r="FU1183" s="4"/>
      <c r="FV1183" s="4"/>
      <c r="FW1183" s="4"/>
      <c r="FX1183" s="4"/>
      <c r="FY1183" s="4"/>
      <c r="FZ1183" s="4"/>
      <c r="GA1183" s="4"/>
      <c r="GB1183" s="4"/>
      <c r="GC1183" s="4"/>
      <c r="GD1183" s="4"/>
      <c r="GE1183" s="4"/>
      <c r="GF1183" s="4"/>
      <c r="GG1183" s="4"/>
      <c r="GH1183" s="4"/>
      <c r="GI1183" s="4"/>
      <c r="GJ1183" s="4"/>
      <c r="GK1183" s="4"/>
      <c r="GL1183" s="4"/>
      <c r="GM1183" s="4"/>
      <c r="GN1183" s="4"/>
      <c r="GO1183" s="4"/>
      <c r="GP1183" s="4"/>
      <c r="GQ1183" s="4"/>
      <c r="GR1183" s="4"/>
      <c r="GS1183" s="4"/>
      <c r="GT1183" s="4"/>
      <c r="GU1183" s="4"/>
      <c r="GV1183" s="4"/>
      <c r="GW1183" s="4"/>
      <c r="GX1183" s="4"/>
      <c r="GY1183" s="4"/>
      <c r="GZ1183" s="4"/>
      <c r="HA1183" s="4"/>
      <c r="HB1183" s="4"/>
      <c r="HC1183" s="4"/>
      <c r="HD1183" s="4"/>
      <c r="HE1183" s="4"/>
      <c r="HF1183" s="4"/>
      <c r="HG1183" s="4"/>
      <c r="HH1183" s="4"/>
    </row>
    <row r="1184" spans="16:216" ht="15.75" hidden="1" customHeight="1" x14ac:dyDescent="0.3"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  <c r="GY1184" s="4"/>
      <c r="GZ1184" s="4"/>
      <c r="HA1184" s="4"/>
      <c r="HB1184" s="4"/>
      <c r="HC1184" s="4"/>
      <c r="HD1184" s="4"/>
      <c r="HE1184" s="4"/>
      <c r="HF1184" s="4"/>
      <c r="HG1184" s="4"/>
      <c r="HH1184" s="4"/>
    </row>
    <row r="1185" spans="16:216" ht="15.75" hidden="1" customHeight="1" x14ac:dyDescent="0.3"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  <c r="DA1185" s="4"/>
      <c r="DB1185" s="4"/>
      <c r="DC1185" s="4"/>
      <c r="DD1185" s="4"/>
      <c r="DE1185" s="4"/>
      <c r="DF1185" s="4"/>
      <c r="DG1185" s="4"/>
      <c r="DH1185" s="4"/>
      <c r="DI1185" s="4"/>
      <c r="DJ1185" s="4"/>
      <c r="DK1185" s="4"/>
      <c r="DL1185" s="4"/>
      <c r="DM1185" s="4"/>
      <c r="DN1185" s="4"/>
      <c r="DO1185" s="4"/>
      <c r="DP1185" s="4"/>
      <c r="DQ1185" s="4"/>
      <c r="DR1185" s="4"/>
      <c r="DS1185" s="4"/>
      <c r="DT1185" s="4"/>
      <c r="DU1185" s="4"/>
      <c r="DV1185" s="4"/>
      <c r="DW1185" s="4"/>
      <c r="DX1185" s="4"/>
      <c r="DY1185" s="4"/>
      <c r="DZ1185" s="4"/>
      <c r="EA1185" s="4"/>
      <c r="EB1185" s="4"/>
      <c r="EC1185" s="4"/>
      <c r="ED1185" s="4"/>
      <c r="EE1185" s="4"/>
      <c r="EF1185" s="4"/>
      <c r="EG1185" s="4"/>
      <c r="EH1185" s="4"/>
      <c r="EI1185" s="4"/>
      <c r="EJ1185" s="4"/>
      <c r="EK1185" s="4"/>
      <c r="EL1185" s="4"/>
      <c r="EM1185" s="4"/>
      <c r="EN1185" s="4"/>
      <c r="EO1185" s="4"/>
      <c r="EP1185" s="4"/>
      <c r="EQ1185" s="4"/>
      <c r="ER1185" s="4"/>
      <c r="ES1185" s="4"/>
      <c r="ET1185" s="4"/>
      <c r="EU1185" s="4"/>
      <c r="EV1185" s="4"/>
      <c r="EW1185" s="4"/>
      <c r="EX1185" s="4"/>
      <c r="EY1185" s="4"/>
      <c r="EZ1185" s="4"/>
      <c r="FA1185" s="4"/>
      <c r="FB1185" s="4"/>
      <c r="FC1185" s="4"/>
      <c r="FD1185" s="4"/>
      <c r="FE1185" s="4"/>
      <c r="FF1185" s="4"/>
      <c r="FG1185" s="4"/>
      <c r="FH1185" s="4"/>
      <c r="FI1185" s="4"/>
      <c r="FJ1185" s="4"/>
      <c r="FK1185" s="4"/>
      <c r="FL1185" s="4"/>
      <c r="FM1185" s="4"/>
      <c r="FN1185" s="4"/>
      <c r="FO1185" s="4"/>
      <c r="FP1185" s="4"/>
      <c r="FQ1185" s="4"/>
      <c r="FR1185" s="4"/>
      <c r="FS1185" s="4"/>
      <c r="FT1185" s="4"/>
      <c r="FU1185" s="4"/>
      <c r="FV1185" s="4"/>
      <c r="FW1185" s="4"/>
      <c r="FX1185" s="4"/>
      <c r="FY1185" s="4"/>
      <c r="FZ1185" s="4"/>
      <c r="GA1185" s="4"/>
      <c r="GB1185" s="4"/>
      <c r="GC1185" s="4"/>
      <c r="GD1185" s="4"/>
      <c r="GE1185" s="4"/>
      <c r="GF1185" s="4"/>
      <c r="GG1185" s="4"/>
      <c r="GH1185" s="4"/>
      <c r="GI1185" s="4"/>
      <c r="GJ1185" s="4"/>
      <c r="GK1185" s="4"/>
      <c r="GL1185" s="4"/>
      <c r="GM1185" s="4"/>
      <c r="GN1185" s="4"/>
      <c r="GO1185" s="4"/>
      <c r="GP1185" s="4"/>
      <c r="GQ1185" s="4"/>
      <c r="GR1185" s="4"/>
      <c r="GS1185" s="4"/>
      <c r="GT1185" s="4"/>
      <c r="GU1185" s="4"/>
      <c r="GV1185" s="4"/>
      <c r="GW1185" s="4"/>
      <c r="GX1185" s="4"/>
      <c r="GY1185" s="4"/>
      <c r="GZ1185" s="4"/>
      <c r="HA1185" s="4"/>
      <c r="HB1185" s="4"/>
      <c r="HC1185" s="4"/>
      <c r="HD1185" s="4"/>
      <c r="HE1185" s="4"/>
      <c r="HF1185" s="4"/>
      <c r="HG1185" s="4"/>
      <c r="HH1185" s="4"/>
    </row>
    <row r="1186" spans="16:216" ht="15.75" hidden="1" customHeight="1" x14ac:dyDescent="0.3"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  <c r="GY1186" s="4"/>
      <c r="GZ1186" s="4"/>
      <c r="HA1186" s="4"/>
      <c r="HB1186" s="4"/>
      <c r="HC1186" s="4"/>
      <c r="HD1186" s="4"/>
      <c r="HE1186" s="4"/>
      <c r="HF1186" s="4"/>
      <c r="HG1186" s="4"/>
      <c r="HH1186" s="4"/>
    </row>
    <row r="1187" spans="16:216" ht="15.75" hidden="1" customHeight="1" x14ac:dyDescent="0.3"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  <c r="DA1187" s="4"/>
      <c r="DB1187" s="4"/>
      <c r="DC1187" s="4"/>
      <c r="DD1187" s="4"/>
      <c r="DE1187" s="4"/>
      <c r="DF1187" s="4"/>
      <c r="DG1187" s="4"/>
      <c r="DH1187" s="4"/>
      <c r="DI1187" s="4"/>
      <c r="DJ1187" s="4"/>
      <c r="DK1187" s="4"/>
      <c r="DL1187" s="4"/>
      <c r="DM1187" s="4"/>
      <c r="DN1187" s="4"/>
      <c r="DO1187" s="4"/>
      <c r="DP1187" s="4"/>
      <c r="DQ1187" s="4"/>
      <c r="DR1187" s="4"/>
      <c r="DS1187" s="4"/>
      <c r="DT1187" s="4"/>
      <c r="DU1187" s="4"/>
      <c r="DV1187" s="4"/>
      <c r="DW1187" s="4"/>
      <c r="DX1187" s="4"/>
      <c r="DY1187" s="4"/>
      <c r="DZ1187" s="4"/>
      <c r="EA1187" s="4"/>
      <c r="EB1187" s="4"/>
      <c r="EC1187" s="4"/>
      <c r="ED1187" s="4"/>
      <c r="EE1187" s="4"/>
      <c r="EF1187" s="4"/>
      <c r="EG1187" s="4"/>
      <c r="EH1187" s="4"/>
      <c r="EI1187" s="4"/>
      <c r="EJ1187" s="4"/>
      <c r="EK1187" s="4"/>
      <c r="EL1187" s="4"/>
      <c r="EM1187" s="4"/>
      <c r="EN1187" s="4"/>
      <c r="EO1187" s="4"/>
      <c r="EP1187" s="4"/>
      <c r="EQ1187" s="4"/>
      <c r="ER1187" s="4"/>
      <c r="ES1187" s="4"/>
      <c r="ET1187" s="4"/>
      <c r="EU1187" s="4"/>
      <c r="EV1187" s="4"/>
      <c r="EW1187" s="4"/>
      <c r="EX1187" s="4"/>
      <c r="EY1187" s="4"/>
      <c r="EZ1187" s="4"/>
      <c r="FA1187" s="4"/>
      <c r="FB1187" s="4"/>
      <c r="FC1187" s="4"/>
      <c r="FD1187" s="4"/>
      <c r="FE1187" s="4"/>
      <c r="FF1187" s="4"/>
      <c r="FG1187" s="4"/>
      <c r="FH1187" s="4"/>
      <c r="FI1187" s="4"/>
      <c r="FJ1187" s="4"/>
      <c r="FK1187" s="4"/>
      <c r="FL1187" s="4"/>
      <c r="FM1187" s="4"/>
      <c r="FN1187" s="4"/>
      <c r="FO1187" s="4"/>
      <c r="FP1187" s="4"/>
      <c r="FQ1187" s="4"/>
      <c r="FR1187" s="4"/>
      <c r="FS1187" s="4"/>
      <c r="FT1187" s="4"/>
      <c r="FU1187" s="4"/>
      <c r="FV1187" s="4"/>
      <c r="FW1187" s="4"/>
      <c r="FX1187" s="4"/>
      <c r="FY1187" s="4"/>
      <c r="FZ1187" s="4"/>
      <c r="GA1187" s="4"/>
      <c r="GB1187" s="4"/>
      <c r="GC1187" s="4"/>
      <c r="GD1187" s="4"/>
      <c r="GE1187" s="4"/>
      <c r="GF1187" s="4"/>
      <c r="GG1187" s="4"/>
      <c r="GH1187" s="4"/>
      <c r="GI1187" s="4"/>
      <c r="GJ1187" s="4"/>
      <c r="GK1187" s="4"/>
      <c r="GL1187" s="4"/>
      <c r="GM1187" s="4"/>
      <c r="GN1187" s="4"/>
      <c r="GO1187" s="4"/>
      <c r="GP1187" s="4"/>
      <c r="GQ1187" s="4"/>
      <c r="GR1187" s="4"/>
      <c r="GS1187" s="4"/>
      <c r="GT1187" s="4"/>
      <c r="GU1187" s="4"/>
      <c r="GV1187" s="4"/>
      <c r="GW1187" s="4"/>
      <c r="GX1187" s="4"/>
      <c r="GY1187" s="4"/>
      <c r="GZ1187" s="4"/>
      <c r="HA1187" s="4"/>
      <c r="HB1187" s="4"/>
      <c r="HC1187" s="4"/>
      <c r="HD1187" s="4"/>
      <c r="HE1187" s="4"/>
      <c r="HF1187" s="4"/>
      <c r="HG1187" s="4"/>
      <c r="HH1187" s="4"/>
    </row>
    <row r="1188" spans="16:216" ht="15.75" hidden="1" customHeight="1" x14ac:dyDescent="0.3"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  <c r="GY1188" s="4"/>
      <c r="GZ1188" s="4"/>
      <c r="HA1188" s="4"/>
      <c r="HB1188" s="4"/>
      <c r="HC1188" s="4"/>
      <c r="HD1188" s="4"/>
      <c r="HE1188" s="4"/>
      <c r="HF1188" s="4"/>
      <c r="HG1188" s="4"/>
      <c r="HH1188" s="4"/>
    </row>
    <row r="1189" spans="16:216" ht="15.75" hidden="1" customHeight="1" x14ac:dyDescent="0.3"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  <c r="DA1189" s="4"/>
      <c r="DB1189" s="4"/>
      <c r="DC1189" s="4"/>
      <c r="DD1189" s="4"/>
      <c r="DE1189" s="4"/>
      <c r="DF1189" s="4"/>
      <c r="DG1189" s="4"/>
      <c r="DH1189" s="4"/>
      <c r="DI1189" s="4"/>
      <c r="DJ1189" s="4"/>
      <c r="DK1189" s="4"/>
      <c r="DL1189" s="4"/>
      <c r="DM1189" s="4"/>
      <c r="DN1189" s="4"/>
      <c r="DO1189" s="4"/>
      <c r="DP1189" s="4"/>
      <c r="DQ1189" s="4"/>
      <c r="DR1189" s="4"/>
      <c r="DS1189" s="4"/>
      <c r="DT1189" s="4"/>
      <c r="DU1189" s="4"/>
      <c r="DV1189" s="4"/>
      <c r="DW1189" s="4"/>
      <c r="DX1189" s="4"/>
      <c r="DY1189" s="4"/>
      <c r="DZ1189" s="4"/>
      <c r="EA1189" s="4"/>
      <c r="EB1189" s="4"/>
      <c r="EC1189" s="4"/>
      <c r="ED1189" s="4"/>
      <c r="EE1189" s="4"/>
      <c r="EF1189" s="4"/>
      <c r="EG1189" s="4"/>
      <c r="EH1189" s="4"/>
      <c r="EI1189" s="4"/>
      <c r="EJ1189" s="4"/>
      <c r="EK1189" s="4"/>
      <c r="EL1189" s="4"/>
      <c r="EM1189" s="4"/>
      <c r="EN1189" s="4"/>
      <c r="EO1189" s="4"/>
      <c r="EP1189" s="4"/>
      <c r="EQ1189" s="4"/>
      <c r="ER1189" s="4"/>
      <c r="ES1189" s="4"/>
      <c r="ET1189" s="4"/>
      <c r="EU1189" s="4"/>
      <c r="EV1189" s="4"/>
      <c r="EW1189" s="4"/>
      <c r="EX1189" s="4"/>
      <c r="EY1189" s="4"/>
      <c r="EZ1189" s="4"/>
      <c r="FA1189" s="4"/>
      <c r="FB1189" s="4"/>
      <c r="FC1189" s="4"/>
      <c r="FD1189" s="4"/>
      <c r="FE1189" s="4"/>
      <c r="FF1189" s="4"/>
      <c r="FG1189" s="4"/>
      <c r="FH1189" s="4"/>
      <c r="FI1189" s="4"/>
      <c r="FJ1189" s="4"/>
      <c r="FK1189" s="4"/>
      <c r="FL1189" s="4"/>
      <c r="FM1189" s="4"/>
      <c r="FN1189" s="4"/>
      <c r="FO1189" s="4"/>
      <c r="FP1189" s="4"/>
      <c r="FQ1189" s="4"/>
      <c r="FR1189" s="4"/>
      <c r="FS1189" s="4"/>
      <c r="FT1189" s="4"/>
      <c r="FU1189" s="4"/>
      <c r="FV1189" s="4"/>
      <c r="FW1189" s="4"/>
      <c r="FX1189" s="4"/>
      <c r="FY1189" s="4"/>
      <c r="FZ1189" s="4"/>
      <c r="GA1189" s="4"/>
      <c r="GB1189" s="4"/>
      <c r="GC1189" s="4"/>
      <c r="GD1189" s="4"/>
      <c r="GE1189" s="4"/>
      <c r="GF1189" s="4"/>
      <c r="GG1189" s="4"/>
      <c r="GH1189" s="4"/>
      <c r="GI1189" s="4"/>
      <c r="GJ1189" s="4"/>
      <c r="GK1189" s="4"/>
      <c r="GL1189" s="4"/>
      <c r="GM1189" s="4"/>
      <c r="GN1189" s="4"/>
      <c r="GO1189" s="4"/>
      <c r="GP1189" s="4"/>
      <c r="GQ1189" s="4"/>
      <c r="GR1189" s="4"/>
      <c r="GS1189" s="4"/>
      <c r="GT1189" s="4"/>
      <c r="GU1189" s="4"/>
      <c r="GV1189" s="4"/>
      <c r="GW1189" s="4"/>
      <c r="GX1189" s="4"/>
      <c r="GY1189" s="4"/>
      <c r="GZ1189" s="4"/>
      <c r="HA1189" s="4"/>
      <c r="HB1189" s="4"/>
      <c r="HC1189" s="4"/>
      <c r="HD1189" s="4"/>
      <c r="HE1189" s="4"/>
      <c r="HF1189" s="4"/>
      <c r="HG1189" s="4"/>
      <c r="HH1189" s="4"/>
    </row>
    <row r="1190" spans="16:216" ht="15.75" hidden="1" customHeight="1" x14ac:dyDescent="0.3"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  <c r="HB1190" s="4"/>
      <c r="HC1190" s="4"/>
      <c r="HD1190" s="4"/>
      <c r="HE1190" s="4"/>
      <c r="HF1190" s="4"/>
      <c r="HG1190" s="4"/>
      <c r="HH1190" s="4"/>
    </row>
    <row r="1191" spans="16:216" ht="15.75" hidden="1" customHeight="1" x14ac:dyDescent="0.3"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  <c r="DA1191" s="4"/>
      <c r="DB1191" s="4"/>
      <c r="DC1191" s="4"/>
      <c r="DD1191" s="4"/>
      <c r="DE1191" s="4"/>
      <c r="DF1191" s="4"/>
      <c r="DG1191" s="4"/>
      <c r="DH1191" s="4"/>
      <c r="DI1191" s="4"/>
      <c r="DJ1191" s="4"/>
      <c r="DK1191" s="4"/>
      <c r="DL1191" s="4"/>
      <c r="DM1191" s="4"/>
      <c r="DN1191" s="4"/>
      <c r="DO1191" s="4"/>
      <c r="DP1191" s="4"/>
      <c r="DQ1191" s="4"/>
      <c r="DR1191" s="4"/>
      <c r="DS1191" s="4"/>
      <c r="DT1191" s="4"/>
      <c r="DU1191" s="4"/>
      <c r="DV1191" s="4"/>
      <c r="DW1191" s="4"/>
      <c r="DX1191" s="4"/>
      <c r="DY1191" s="4"/>
      <c r="DZ1191" s="4"/>
      <c r="EA1191" s="4"/>
      <c r="EB1191" s="4"/>
      <c r="EC1191" s="4"/>
      <c r="ED1191" s="4"/>
      <c r="EE1191" s="4"/>
      <c r="EF1191" s="4"/>
      <c r="EG1191" s="4"/>
      <c r="EH1191" s="4"/>
      <c r="EI1191" s="4"/>
      <c r="EJ1191" s="4"/>
      <c r="EK1191" s="4"/>
      <c r="EL1191" s="4"/>
      <c r="EM1191" s="4"/>
      <c r="EN1191" s="4"/>
      <c r="EO1191" s="4"/>
      <c r="EP1191" s="4"/>
      <c r="EQ1191" s="4"/>
      <c r="ER1191" s="4"/>
      <c r="ES1191" s="4"/>
      <c r="ET1191" s="4"/>
      <c r="EU1191" s="4"/>
      <c r="EV1191" s="4"/>
      <c r="EW1191" s="4"/>
      <c r="EX1191" s="4"/>
      <c r="EY1191" s="4"/>
      <c r="EZ1191" s="4"/>
      <c r="FA1191" s="4"/>
      <c r="FB1191" s="4"/>
      <c r="FC1191" s="4"/>
      <c r="FD1191" s="4"/>
      <c r="FE1191" s="4"/>
      <c r="FF1191" s="4"/>
      <c r="FG1191" s="4"/>
      <c r="FH1191" s="4"/>
      <c r="FI1191" s="4"/>
      <c r="FJ1191" s="4"/>
      <c r="FK1191" s="4"/>
      <c r="FL1191" s="4"/>
      <c r="FM1191" s="4"/>
      <c r="FN1191" s="4"/>
      <c r="FO1191" s="4"/>
      <c r="FP1191" s="4"/>
      <c r="FQ1191" s="4"/>
      <c r="FR1191" s="4"/>
      <c r="FS1191" s="4"/>
      <c r="FT1191" s="4"/>
      <c r="FU1191" s="4"/>
      <c r="FV1191" s="4"/>
      <c r="FW1191" s="4"/>
      <c r="FX1191" s="4"/>
      <c r="FY1191" s="4"/>
      <c r="FZ1191" s="4"/>
      <c r="GA1191" s="4"/>
      <c r="GB1191" s="4"/>
      <c r="GC1191" s="4"/>
      <c r="GD1191" s="4"/>
      <c r="GE1191" s="4"/>
      <c r="GF1191" s="4"/>
      <c r="GG1191" s="4"/>
      <c r="GH1191" s="4"/>
      <c r="GI1191" s="4"/>
      <c r="GJ1191" s="4"/>
      <c r="GK1191" s="4"/>
      <c r="GL1191" s="4"/>
      <c r="GM1191" s="4"/>
      <c r="GN1191" s="4"/>
      <c r="GO1191" s="4"/>
      <c r="GP1191" s="4"/>
      <c r="GQ1191" s="4"/>
      <c r="GR1191" s="4"/>
      <c r="GS1191" s="4"/>
      <c r="GT1191" s="4"/>
      <c r="GU1191" s="4"/>
      <c r="GV1191" s="4"/>
      <c r="GW1191" s="4"/>
      <c r="GX1191" s="4"/>
      <c r="GY1191" s="4"/>
      <c r="GZ1191" s="4"/>
      <c r="HA1191" s="4"/>
      <c r="HB1191" s="4"/>
      <c r="HC1191" s="4"/>
      <c r="HD1191" s="4"/>
      <c r="HE1191" s="4"/>
      <c r="HF1191" s="4"/>
      <c r="HG1191" s="4"/>
      <c r="HH1191" s="4"/>
    </row>
    <row r="1192" spans="16:216" ht="15.75" hidden="1" customHeight="1" x14ac:dyDescent="0.3"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  <c r="HC1192" s="4"/>
      <c r="HD1192" s="4"/>
      <c r="HE1192" s="4"/>
      <c r="HF1192" s="4"/>
      <c r="HG1192" s="4"/>
      <c r="HH1192" s="4"/>
    </row>
    <row r="1193" spans="16:216" ht="15.75" hidden="1" customHeight="1" x14ac:dyDescent="0.3"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  <c r="DA1193" s="4"/>
      <c r="DB1193" s="4"/>
      <c r="DC1193" s="4"/>
      <c r="DD1193" s="4"/>
      <c r="DE1193" s="4"/>
      <c r="DF1193" s="4"/>
      <c r="DG1193" s="4"/>
      <c r="DH1193" s="4"/>
      <c r="DI1193" s="4"/>
      <c r="DJ1193" s="4"/>
      <c r="DK1193" s="4"/>
      <c r="DL1193" s="4"/>
      <c r="DM1193" s="4"/>
      <c r="DN1193" s="4"/>
      <c r="DO1193" s="4"/>
      <c r="DP1193" s="4"/>
      <c r="DQ1193" s="4"/>
      <c r="DR1193" s="4"/>
      <c r="DS1193" s="4"/>
      <c r="DT1193" s="4"/>
      <c r="DU1193" s="4"/>
      <c r="DV1193" s="4"/>
      <c r="DW1193" s="4"/>
      <c r="DX1193" s="4"/>
      <c r="DY1193" s="4"/>
      <c r="DZ1193" s="4"/>
      <c r="EA1193" s="4"/>
      <c r="EB1193" s="4"/>
      <c r="EC1193" s="4"/>
      <c r="ED1193" s="4"/>
      <c r="EE1193" s="4"/>
      <c r="EF1193" s="4"/>
      <c r="EG1193" s="4"/>
      <c r="EH1193" s="4"/>
      <c r="EI1193" s="4"/>
      <c r="EJ1193" s="4"/>
      <c r="EK1193" s="4"/>
      <c r="EL1193" s="4"/>
      <c r="EM1193" s="4"/>
      <c r="EN1193" s="4"/>
      <c r="EO1193" s="4"/>
      <c r="EP1193" s="4"/>
      <c r="EQ1193" s="4"/>
      <c r="ER1193" s="4"/>
      <c r="ES1193" s="4"/>
      <c r="ET1193" s="4"/>
      <c r="EU1193" s="4"/>
      <c r="EV1193" s="4"/>
      <c r="EW1193" s="4"/>
      <c r="EX1193" s="4"/>
      <c r="EY1193" s="4"/>
      <c r="EZ1193" s="4"/>
      <c r="FA1193" s="4"/>
      <c r="FB1193" s="4"/>
      <c r="FC1193" s="4"/>
      <c r="FD1193" s="4"/>
      <c r="FE1193" s="4"/>
      <c r="FF1193" s="4"/>
      <c r="FG1193" s="4"/>
      <c r="FH1193" s="4"/>
      <c r="FI1193" s="4"/>
      <c r="FJ1193" s="4"/>
      <c r="FK1193" s="4"/>
      <c r="FL1193" s="4"/>
      <c r="FM1193" s="4"/>
      <c r="FN1193" s="4"/>
      <c r="FO1193" s="4"/>
      <c r="FP1193" s="4"/>
      <c r="FQ1193" s="4"/>
      <c r="FR1193" s="4"/>
      <c r="FS1193" s="4"/>
      <c r="FT1193" s="4"/>
      <c r="FU1193" s="4"/>
      <c r="FV1193" s="4"/>
      <c r="FW1193" s="4"/>
      <c r="FX1193" s="4"/>
      <c r="FY1193" s="4"/>
      <c r="FZ1193" s="4"/>
      <c r="GA1193" s="4"/>
      <c r="GB1193" s="4"/>
      <c r="GC1193" s="4"/>
      <c r="GD1193" s="4"/>
      <c r="GE1193" s="4"/>
      <c r="GF1193" s="4"/>
      <c r="GG1193" s="4"/>
      <c r="GH1193" s="4"/>
      <c r="GI1193" s="4"/>
      <c r="GJ1193" s="4"/>
      <c r="GK1193" s="4"/>
      <c r="GL1193" s="4"/>
      <c r="GM1193" s="4"/>
      <c r="GN1193" s="4"/>
      <c r="GO1193" s="4"/>
      <c r="GP1193" s="4"/>
      <c r="GQ1193" s="4"/>
      <c r="GR1193" s="4"/>
      <c r="GS1193" s="4"/>
      <c r="GT1193" s="4"/>
      <c r="GU1193" s="4"/>
      <c r="GV1193" s="4"/>
      <c r="GW1193" s="4"/>
      <c r="GX1193" s="4"/>
      <c r="GY1193" s="4"/>
      <c r="GZ1193" s="4"/>
      <c r="HA1193" s="4"/>
      <c r="HB1193" s="4"/>
      <c r="HC1193" s="4"/>
      <c r="HD1193" s="4"/>
      <c r="HE1193" s="4"/>
      <c r="HF1193" s="4"/>
      <c r="HG1193" s="4"/>
      <c r="HH1193" s="4"/>
    </row>
    <row r="1194" spans="16:216" ht="15.75" hidden="1" customHeight="1" x14ac:dyDescent="0.3"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</row>
    <row r="1195" spans="16:216" ht="15.75" hidden="1" customHeight="1" x14ac:dyDescent="0.3"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  <c r="DA1195" s="4"/>
      <c r="DB1195" s="4"/>
      <c r="DC1195" s="4"/>
      <c r="DD1195" s="4"/>
      <c r="DE1195" s="4"/>
      <c r="DF1195" s="4"/>
      <c r="DG1195" s="4"/>
      <c r="DH1195" s="4"/>
      <c r="DI1195" s="4"/>
      <c r="DJ1195" s="4"/>
      <c r="DK1195" s="4"/>
      <c r="DL1195" s="4"/>
      <c r="DM1195" s="4"/>
      <c r="DN1195" s="4"/>
      <c r="DO1195" s="4"/>
      <c r="DP1195" s="4"/>
      <c r="DQ1195" s="4"/>
      <c r="DR1195" s="4"/>
      <c r="DS1195" s="4"/>
      <c r="DT1195" s="4"/>
      <c r="DU1195" s="4"/>
      <c r="DV1195" s="4"/>
      <c r="DW1195" s="4"/>
      <c r="DX1195" s="4"/>
      <c r="DY1195" s="4"/>
      <c r="DZ1195" s="4"/>
      <c r="EA1195" s="4"/>
      <c r="EB1195" s="4"/>
      <c r="EC1195" s="4"/>
      <c r="ED1195" s="4"/>
      <c r="EE1195" s="4"/>
      <c r="EF1195" s="4"/>
      <c r="EG1195" s="4"/>
      <c r="EH1195" s="4"/>
      <c r="EI1195" s="4"/>
      <c r="EJ1195" s="4"/>
      <c r="EK1195" s="4"/>
      <c r="EL1195" s="4"/>
      <c r="EM1195" s="4"/>
      <c r="EN1195" s="4"/>
      <c r="EO1195" s="4"/>
      <c r="EP1195" s="4"/>
      <c r="EQ1195" s="4"/>
      <c r="ER1195" s="4"/>
      <c r="ES1195" s="4"/>
      <c r="ET1195" s="4"/>
      <c r="EU1195" s="4"/>
      <c r="EV1195" s="4"/>
      <c r="EW1195" s="4"/>
      <c r="EX1195" s="4"/>
      <c r="EY1195" s="4"/>
      <c r="EZ1195" s="4"/>
      <c r="FA1195" s="4"/>
      <c r="FB1195" s="4"/>
      <c r="FC1195" s="4"/>
      <c r="FD1195" s="4"/>
      <c r="FE1195" s="4"/>
      <c r="FF1195" s="4"/>
      <c r="FG1195" s="4"/>
      <c r="FH1195" s="4"/>
      <c r="FI1195" s="4"/>
      <c r="FJ1195" s="4"/>
      <c r="FK1195" s="4"/>
      <c r="FL1195" s="4"/>
      <c r="FM1195" s="4"/>
      <c r="FN1195" s="4"/>
      <c r="FO1195" s="4"/>
      <c r="FP1195" s="4"/>
      <c r="FQ1195" s="4"/>
      <c r="FR1195" s="4"/>
      <c r="FS1195" s="4"/>
      <c r="FT1195" s="4"/>
      <c r="FU1195" s="4"/>
      <c r="FV1195" s="4"/>
      <c r="FW1195" s="4"/>
      <c r="FX1195" s="4"/>
      <c r="FY1195" s="4"/>
      <c r="FZ1195" s="4"/>
      <c r="GA1195" s="4"/>
      <c r="GB1195" s="4"/>
      <c r="GC1195" s="4"/>
      <c r="GD1195" s="4"/>
      <c r="GE1195" s="4"/>
      <c r="GF1195" s="4"/>
      <c r="GG1195" s="4"/>
      <c r="GH1195" s="4"/>
      <c r="GI1195" s="4"/>
      <c r="GJ1195" s="4"/>
      <c r="GK1195" s="4"/>
      <c r="GL1195" s="4"/>
      <c r="GM1195" s="4"/>
      <c r="GN1195" s="4"/>
      <c r="GO1195" s="4"/>
      <c r="GP1195" s="4"/>
      <c r="GQ1195" s="4"/>
      <c r="GR1195" s="4"/>
      <c r="GS1195" s="4"/>
      <c r="GT1195" s="4"/>
      <c r="GU1195" s="4"/>
      <c r="GV1195" s="4"/>
      <c r="GW1195" s="4"/>
      <c r="GX1195" s="4"/>
      <c r="GY1195" s="4"/>
      <c r="GZ1195" s="4"/>
      <c r="HA1195" s="4"/>
      <c r="HB1195" s="4"/>
      <c r="HC1195" s="4"/>
      <c r="HD1195" s="4"/>
      <c r="HE1195" s="4"/>
      <c r="HF1195" s="4"/>
      <c r="HG1195" s="4"/>
      <c r="HH1195" s="4"/>
    </row>
    <row r="1196" spans="16:216" ht="15.75" hidden="1" customHeight="1" x14ac:dyDescent="0.3"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</row>
    <row r="1197" spans="16:216" ht="15.75" hidden="1" customHeight="1" x14ac:dyDescent="0.3"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  <c r="DA1197" s="4"/>
      <c r="DB1197" s="4"/>
      <c r="DC1197" s="4"/>
      <c r="DD1197" s="4"/>
      <c r="DE1197" s="4"/>
      <c r="DF1197" s="4"/>
      <c r="DG1197" s="4"/>
      <c r="DH1197" s="4"/>
      <c r="DI1197" s="4"/>
      <c r="DJ1197" s="4"/>
      <c r="DK1197" s="4"/>
      <c r="DL1197" s="4"/>
      <c r="DM1197" s="4"/>
      <c r="DN1197" s="4"/>
      <c r="DO1197" s="4"/>
      <c r="DP1197" s="4"/>
      <c r="DQ1197" s="4"/>
      <c r="DR1197" s="4"/>
      <c r="DS1197" s="4"/>
      <c r="DT1197" s="4"/>
      <c r="DU1197" s="4"/>
      <c r="DV1197" s="4"/>
      <c r="DW1197" s="4"/>
      <c r="DX1197" s="4"/>
      <c r="DY1197" s="4"/>
      <c r="DZ1197" s="4"/>
      <c r="EA1197" s="4"/>
      <c r="EB1197" s="4"/>
      <c r="EC1197" s="4"/>
      <c r="ED1197" s="4"/>
      <c r="EE1197" s="4"/>
      <c r="EF1197" s="4"/>
      <c r="EG1197" s="4"/>
      <c r="EH1197" s="4"/>
      <c r="EI1197" s="4"/>
      <c r="EJ1197" s="4"/>
      <c r="EK1197" s="4"/>
      <c r="EL1197" s="4"/>
      <c r="EM1197" s="4"/>
      <c r="EN1197" s="4"/>
      <c r="EO1197" s="4"/>
      <c r="EP1197" s="4"/>
      <c r="EQ1197" s="4"/>
      <c r="ER1197" s="4"/>
      <c r="ES1197" s="4"/>
      <c r="ET1197" s="4"/>
      <c r="EU1197" s="4"/>
      <c r="EV1197" s="4"/>
      <c r="EW1197" s="4"/>
      <c r="EX1197" s="4"/>
      <c r="EY1197" s="4"/>
      <c r="EZ1197" s="4"/>
      <c r="FA1197" s="4"/>
      <c r="FB1197" s="4"/>
      <c r="FC1197" s="4"/>
      <c r="FD1197" s="4"/>
      <c r="FE1197" s="4"/>
      <c r="FF1197" s="4"/>
      <c r="FG1197" s="4"/>
      <c r="FH1197" s="4"/>
      <c r="FI1197" s="4"/>
      <c r="FJ1197" s="4"/>
      <c r="FK1197" s="4"/>
      <c r="FL1197" s="4"/>
      <c r="FM1197" s="4"/>
      <c r="FN1197" s="4"/>
      <c r="FO1197" s="4"/>
      <c r="FP1197" s="4"/>
      <c r="FQ1197" s="4"/>
      <c r="FR1197" s="4"/>
      <c r="FS1197" s="4"/>
      <c r="FT1197" s="4"/>
      <c r="FU1197" s="4"/>
      <c r="FV1197" s="4"/>
      <c r="FW1197" s="4"/>
      <c r="FX1197" s="4"/>
      <c r="FY1197" s="4"/>
      <c r="FZ1197" s="4"/>
      <c r="GA1197" s="4"/>
      <c r="GB1197" s="4"/>
      <c r="GC1197" s="4"/>
      <c r="GD1197" s="4"/>
      <c r="GE1197" s="4"/>
      <c r="GF1197" s="4"/>
      <c r="GG1197" s="4"/>
      <c r="GH1197" s="4"/>
      <c r="GI1197" s="4"/>
      <c r="GJ1197" s="4"/>
      <c r="GK1197" s="4"/>
      <c r="GL1197" s="4"/>
      <c r="GM1197" s="4"/>
      <c r="GN1197" s="4"/>
      <c r="GO1197" s="4"/>
      <c r="GP1197" s="4"/>
      <c r="GQ1197" s="4"/>
      <c r="GR1197" s="4"/>
      <c r="GS1197" s="4"/>
      <c r="GT1197" s="4"/>
      <c r="GU1197" s="4"/>
      <c r="GV1197" s="4"/>
      <c r="GW1197" s="4"/>
      <c r="GX1197" s="4"/>
      <c r="GY1197" s="4"/>
      <c r="GZ1197" s="4"/>
      <c r="HA1197" s="4"/>
      <c r="HB1197" s="4"/>
      <c r="HC1197" s="4"/>
      <c r="HD1197" s="4"/>
      <c r="HE1197" s="4"/>
      <c r="HF1197" s="4"/>
      <c r="HG1197" s="4"/>
      <c r="HH1197" s="4"/>
    </row>
    <row r="1198" spans="16:216" ht="15.75" hidden="1" customHeight="1" x14ac:dyDescent="0.3"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</row>
    <row r="1199" spans="16:216" ht="15.75" hidden="1" customHeight="1" x14ac:dyDescent="0.3"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  <c r="DA1199" s="4"/>
      <c r="DB1199" s="4"/>
      <c r="DC1199" s="4"/>
      <c r="DD1199" s="4"/>
      <c r="DE1199" s="4"/>
      <c r="DF1199" s="4"/>
      <c r="DG1199" s="4"/>
      <c r="DH1199" s="4"/>
      <c r="DI1199" s="4"/>
      <c r="DJ1199" s="4"/>
      <c r="DK1199" s="4"/>
      <c r="DL1199" s="4"/>
      <c r="DM1199" s="4"/>
      <c r="DN1199" s="4"/>
      <c r="DO1199" s="4"/>
      <c r="DP1199" s="4"/>
      <c r="DQ1199" s="4"/>
      <c r="DR1199" s="4"/>
      <c r="DS1199" s="4"/>
      <c r="DT1199" s="4"/>
      <c r="DU1199" s="4"/>
      <c r="DV1199" s="4"/>
      <c r="DW1199" s="4"/>
      <c r="DX1199" s="4"/>
      <c r="DY1199" s="4"/>
      <c r="DZ1199" s="4"/>
      <c r="EA1199" s="4"/>
      <c r="EB1199" s="4"/>
      <c r="EC1199" s="4"/>
      <c r="ED1199" s="4"/>
      <c r="EE1199" s="4"/>
      <c r="EF1199" s="4"/>
      <c r="EG1199" s="4"/>
      <c r="EH1199" s="4"/>
      <c r="EI1199" s="4"/>
      <c r="EJ1199" s="4"/>
      <c r="EK1199" s="4"/>
      <c r="EL1199" s="4"/>
      <c r="EM1199" s="4"/>
      <c r="EN1199" s="4"/>
      <c r="EO1199" s="4"/>
      <c r="EP1199" s="4"/>
      <c r="EQ1199" s="4"/>
      <c r="ER1199" s="4"/>
      <c r="ES1199" s="4"/>
      <c r="ET1199" s="4"/>
      <c r="EU1199" s="4"/>
      <c r="EV1199" s="4"/>
      <c r="EW1199" s="4"/>
      <c r="EX1199" s="4"/>
      <c r="EY1199" s="4"/>
      <c r="EZ1199" s="4"/>
      <c r="FA1199" s="4"/>
      <c r="FB1199" s="4"/>
      <c r="FC1199" s="4"/>
      <c r="FD1199" s="4"/>
      <c r="FE1199" s="4"/>
      <c r="FF1199" s="4"/>
      <c r="FG1199" s="4"/>
      <c r="FH1199" s="4"/>
      <c r="FI1199" s="4"/>
      <c r="FJ1199" s="4"/>
      <c r="FK1199" s="4"/>
      <c r="FL1199" s="4"/>
      <c r="FM1199" s="4"/>
      <c r="FN1199" s="4"/>
      <c r="FO1199" s="4"/>
      <c r="FP1199" s="4"/>
      <c r="FQ1199" s="4"/>
      <c r="FR1199" s="4"/>
      <c r="FS1199" s="4"/>
      <c r="FT1199" s="4"/>
      <c r="FU1199" s="4"/>
      <c r="FV1199" s="4"/>
      <c r="FW1199" s="4"/>
      <c r="FX1199" s="4"/>
      <c r="FY1199" s="4"/>
      <c r="FZ1199" s="4"/>
      <c r="GA1199" s="4"/>
      <c r="GB1199" s="4"/>
      <c r="GC1199" s="4"/>
      <c r="GD1199" s="4"/>
      <c r="GE1199" s="4"/>
      <c r="GF1199" s="4"/>
      <c r="GG1199" s="4"/>
      <c r="GH1199" s="4"/>
      <c r="GI1199" s="4"/>
      <c r="GJ1199" s="4"/>
      <c r="GK1199" s="4"/>
      <c r="GL1199" s="4"/>
      <c r="GM1199" s="4"/>
      <c r="GN1199" s="4"/>
      <c r="GO1199" s="4"/>
      <c r="GP1199" s="4"/>
      <c r="GQ1199" s="4"/>
      <c r="GR1199" s="4"/>
      <c r="GS1199" s="4"/>
      <c r="GT1199" s="4"/>
      <c r="GU1199" s="4"/>
      <c r="GV1199" s="4"/>
      <c r="GW1199" s="4"/>
      <c r="GX1199" s="4"/>
      <c r="GY1199" s="4"/>
      <c r="GZ1199" s="4"/>
      <c r="HA1199" s="4"/>
      <c r="HB1199" s="4"/>
      <c r="HC1199" s="4"/>
      <c r="HD1199" s="4"/>
      <c r="HE1199" s="4"/>
      <c r="HF1199" s="4"/>
      <c r="HG1199" s="4"/>
      <c r="HH1199" s="4"/>
    </row>
    <row r="1200" spans="16:216" ht="15.75" hidden="1" customHeight="1" x14ac:dyDescent="0.3"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</row>
    <row r="1201" spans="16:216" ht="15.75" hidden="1" customHeight="1" x14ac:dyDescent="0.3"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  <c r="DA1201" s="4"/>
      <c r="DB1201" s="4"/>
      <c r="DC1201" s="4"/>
      <c r="DD1201" s="4"/>
      <c r="DE1201" s="4"/>
      <c r="DF1201" s="4"/>
      <c r="DG1201" s="4"/>
      <c r="DH1201" s="4"/>
      <c r="DI1201" s="4"/>
      <c r="DJ1201" s="4"/>
      <c r="DK1201" s="4"/>
      <c r="DL1201" s="4"/>
      <c r="DM1201" s="4"/>
      <c r="DN1201" s="4"/>
      <c r="DO1201" s="4"/>
      <c r="DP1201" s="4"/>
      <c r="DQ1201" s="4"/>
      <c r="DR1201" s="4"/>
      <c r="DS1201" s="4"/>
      <c r="DT1201" s="4"/>
      <c r="DU1201" s="4"/>
      <c r="DV1201" s="4"/>
      <c r="DW1201" s="4"/>
      <c r="DX1201" s="4"/>
      <c r="DY1201" s="4"/>
      <c r="DZ1201" s="4"/>
      <c r="EA1201" s="4"/>
      <c r="EB1201" s="4"/>
      <c r="EC1201" s="4"/>
      <c r="ED1201" s="4"/>
      <c r="EE1201" s="4"/>
      <c r="EF1201" s="4"/>
      <c r="EG1201" s="4"/>
      <c r="EH1201" s="4"/>
      <c r="EI1201" s="4"/>
      <c r="EJ1201" s="4"/>
      <c r="EK1201" s="4"/>
      <c r="EL1201" s="4"/>
      <c r="EM1201" s="4"/>
      <c r="EN1201" s="4"/>
      <c r="EO1201" s="4"/>
      <c r="EP1201" s="4"/>
      <c r="EQ1201" s="4"/>
      <c r="ER1201" s="4"/>
      <c r="ES1201" s="4"/>
      <c r="ET1201" s="4"/>
      <c r="EU1201" s="4"/>
      <c r="EV1201" s="4"/>
      <c r="EW1201" s="4"/>
      <c r="EX1201" s="4"/>
      <c r="EY1201" s="4"/>
      <c r="EZ1201" s="4"/>
      <c r="FA1201" s="4"/>
      <c r="FB1201" s="4"/>
      <c r="FC1201" s="4"/>
      <c r="FD1201" s="4"/>
      <c r="FE1201" s="4"/>
      <c r="FF1201" s="4"/>
      <c r="FG1201" s="4"/>
      <c r="FH1201" s="4"/>
      <c r="FI1201" s="4"/>
      <c r="FJ1201" s="4"/>
      <c r="FK1201" s="4"/>
      <c r="FL1201" s="4"/>
      <c r="FM1201" s="4"/>
      <c r="FN1201" s="4"/>
      <c r="FO1201" s="4"/>
      <c r="FP1201" s="4"/>
      <c r="FQ1201" s="4"/>
      <c r="FR1201" s="4"/>
      <c r="FS1201" s="4"/>
      <c r="FT1201" s="4"/>
      <c r="FU1201" s="4"/>
      <c r="FV1201" s="4"/>
      <c r="FW1201" s="4"/>
      <c r="FX1201" s="4"/>
      <c r="FY1201" s="4"/>
      <c r="FZ1201" s="4"/>
      <c r="GA1201" s="4"/>
      <c r="GB1201" s="4"/>
      <c r="GC1201" s="4"/>
      <c r="GD1201" s="4"/>
      <c r="GE1201" s="4"/>
      <c r="GF1201" s="4"/>
      <c r="GG1201" s="4"/>
      <c r="GH1201" s="4"/>
      <c r="GI1201" s="4"/>
      <c r="GJ1201" s="4"/>
      <c r="GK1201" s="4"/>
      <c r="GL1201" s="4"/>
      <c r="GM1201" s="4"/>
      <c r="GN1201" s="4"/>
      <c r="GO1201" s="4"/>
      <c r="GP1201" s="4"/>
      <c r="GQ1201" s="4"/>
      <c r="GR1201" s="4"/>
      <c r="GS1201" s="4"/>
      <c r="GT1201" s="4"/>
      <c r="GU1201" s="4"/>
      <c r="GV1201" s="4"/>
      <c r="GW1201" s="4"/>
      <c r="GX1201" s="4"/>
      <c r="GY1201" s="4"/>
      <c r="GZ1201" s="4"/>
      <c r="HA1201" s="4"/>
      <c r="HB1201" s="4"/>
      <c r="HC1201" s="4"/>
      <c r="HD1201" s="4"/>
      <c r="HE1201" s="4"/>
      <c r="HF1201" s="4"/>
      <c r="HG1201" s="4"/>
      <c r="HH1201" s="4"/>
    </row>
    <row r="1202" spans="16:216" ht="15.75" hidden="1" customHeight="1" x14ac:dyDescent="0.3"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</row>
    <row r="1203" spans="16:216" ht="15.75" hidden="1" customHeight="1" x14ac:dyDescent="0.3"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  <c r="DA1203" s="4"/>
      <c r="DB1203" s="4"/>
      <c r="DC1203" s="4"/>
      <c r="DD1203" s="4"/>
      <c r="DE1203" s="4"/>
      <c r="DF1203" s="4"/>
      <c r="DG1203" s="4"/>
      <c r="DH1203" s="4"/>
      <c r="DI1203" s="4"/>
      <c r="DJ1203" s="4"/>
      <c r="DK1203" s="4"/>
      <c r="DL1203" s="4"/>
      <c r="DM1203" s="4"/>
      <c r="DN1203" s="4"/>
      <c r="DO1203" s="4"/>
      <c r="DP1203" s="4"/>
      <c r="DQ1203" s="4"/>
      <c r="DR1203" s="4"/>
      <c r="DS1203" s="4"/>
      <c r="DT1203" s="4"/>
      <c r="DU1203" s="4"/>
      <c r="DV1203" s="4"/>
      <c r="DW1203" s="4"/>
      <c r="DX1203" s="4"/>
      <c r="DY1203" s="4"/>
      <c r="DZ1203" s="4"/>
      <c r="EA1203" s="4"/>
      <c r="EB1203" s="4"/>
      <c r="EC1203" s="4"/>
      <c r="ED1203" s="4"/>
      <c r="EE1203" s="4"/>
      <c r="EF1203" s="4"/>
      <c r="EG1203" s="4"/>
      <c r="EH1203" s="4"/>
      <c r="EI1203" s="4"/>
      <c r="EJ1203" s="4"/>
      <c r="EK1203" s="4"/>
      <c r="EL1203" s="4"/>
      <c r="EM1203" s="4"/>
      <c r="EN1203" s="4"/>
      <c r="EO1203" s="4"/>
      <c r="EP1203" s="4"/>
      <c r="EQ1203" s="4"/>
      <c r="ER1203" s="4"/>
      <c r="ES1203" s="4"/>
      <c r="ET1203" s="4"/>
      <c r="EU1203" s="4"/>
      <c r="EV1203" s="4"/>
      <c r="EW1203" s="4"/>
      <c r="EX1203" s="4"/>
      <c r="EY1203" s="4"/>
      <c r="EZ1203" s="4"/>
      <c r="FA1203" s="4"/>
      <c r="FB1203" s="4"/>
      <c r="FC1203" s="4"/>
      <c r="FD1203" s="4"/>
      <c r="FE1203" s="4"/>
      <c r="FF1203" s="4"/>
      <c r="FG1203" s="4"/>
      <c r="FH1203" s="4"/>
      <c r="FI1203" s="4"/>
      <c r="FJ1203" s="4"/>
      <c r="FK1203" s="4"/>
      <c r="FL1203" s="4"/>
      <c r="FM1203" s="4"/>
      <c r="FN1203" s="4"/>
      <c r="FO1203" s="4"/>
      <c r="FP1203" s="4"/>
      <c r="FQ1203" s="4"/>
      <c r="FR1203" s="4"/>
      <c r="FS1203" s="4"/>
      <c r="FT1203" s="4"/>
      <c r="FU1203" s="4"/>
      <c r="FV1203" s="4"/>
      <c r="FW1203" s="4"/>
      <c r="FX1203" s="4"/>
      <c r="FY1203" s="4"/>
      <c r="FZ1203" s="4"/>
      <c r="GA1203" s="4"/>
      <c r="GB1203" s="4"/>
      <c r="GC1203" s="4"/>
      <c r="GD1203" s="4"/>
      <c r="GE1203" s="4"/>
      <c r="GF1203" s="4"/>
      <c r="GG1203" s="4"/>
      <c r="GH1203" s="4"/>
      <c r="GI1203" s="4"/>
      <c r="GJ1203" s="4"/>
      <c r="GK1203" s="4"/>
      <c r="GL1203" s="4"/>
      <c r="GM1203" s="4"/>
      <c r="GN1203" s="4"/>
      <c r="GO1203" s="4"/>
      <c r="GP1203" s="4"/>
      <c r="GQ1203" s="4"/>
      <c r="GR1203" s="4"/>
      <c r="GS1203" s="4"/>
      <c r="GT1203" s="4"/>
      <c r="GU1203" s="4"/>
      <c r="GV1203" s="4"/>
      <c r="GW1203" s="4"/>
      <c r="GX1203" s="4"/>
      <c r="GY1203" s="4"/>
      <c r="GZ1203" s="4"/>
      <c r="HA1203" s="4"/>
      <c r="HB1203" s="4"/>
      <c r="HC1203" s="4"/>
      <c r="HD1203" s="4"/>
      <c r="HE1203" s="4"/>
      <c r="HF1203" s="4"/>
      <c r="HG1203" s="4"/>
      <c r="HH1203" s="4"/>
    </row>
    <row r="1204" spans="16:216" ht="15.75" hidden="1" customHeight="1" x14ac:dyDescent="0.3"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</row>
    <row r="1205" spans="16:216" ht="15.75" hidden="1" customHeight="1" x14ac:dyDescent="0.3"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  <c r="DJ1205" s="4"/>
      <c r="DK1205" s="4"/>
      <c r="DL1205" s="4"/>
      <c r="DM1205" s="4"/>
      <c r="DN1205" s="4"/>
      <c r="DO1205" s="4"/>
      <c r="DP1205" s="4"/>
      <c r="DQ1205" s="4"/>
      <c r="DR1205" s="4"/>
      <c r="DS1205" s="4"/>
      <c r="DT1205" s="4"/>
      <c r="DU1205" s="4"/>
      <c r="DV1205" s="4"/>
      <c r="DW1205" s="4"/>
      <c r="DX1205" s="4"/>
      <c r="DY1205" s="4"/>
      <c r="DZ1205" s="4"/>
      <c r="EA1205" s="4"/>
      <c r="EB1205" s="4"/>
      <c r="EC1205" s="4"/>
      <c r="ED1205" s="4"/>
      <c r="EE1205" s="4"/>
      <c r="EF1205" s="4"/>
      <c r="EG1205" s="4"/>
      <c r="EH1205" s="4"/>
      <c r="EI1205" s="4"/>
      <c r="EJ1205" s="4"/>
      <c r="EK1205" s="4"/>
      <c r="EL1205" s="4"/>
      <c r="EM1205" s="4"/>
      <c r="EN1205" s="4"/>
      <c r="EO1205" s="4"/>
      <c r="EP1205" s="4"/>
      <c r="EQ1205" s="4"/>
      <c r="ER1205" s="4"/>
      <c r="ES1205" s="4"/>
      <c r="ET1205" s="4"/>
      <c r="EU1205" s="4"/>
      <c r="EV1205" s="4"/>
      <c r="EW1205" s="4"/>
      <c r="EX1205" s="4"/>
      <c r="EY1205" s="4"/>
      <c r="EZ1205" s="4"/>
      <c r="FA1205" s="4"/>
      <c r="FB1205" s="4"/>
      <c r="FC1205" s="4"/>
      <c r="FD1205" s="4"/>
      <c r="FE1205" s="4"/>
      <c r="FF1205" s="4"/>
      <c r="FG1205" s="4"/>
      <c r="FH1205" s="4"/>
      <c r="FI1205" s="4"/>
      <c r="FJ1205" s="4"/>
      <c r="FK1205" s="4"/>
      <c r="FL1205" s="4"/>
      <c r="FM1205" s="4"/>
      <c r="FN1205" s="4"/>
      <c r="FO1205" s="4"/>
      <c r="FP1205" s="4"/>
      <c r="FQ1205" s="4"/>
      <c r="FR1205" s="4"/>
      <c r="FS1205" s="4"/>
      <c r="FT1205" s="4"/>
      <c r="FU1205" s="4"/>
      <c r="FV1205" s="4"/>
      <c r="FW1205" s="4"/>
      <c r="FX1205" s="4"/>
      <c r="FY1205" s="4"/>
      <c r="FZ1205" s="4"/>
      <c r="GA1205" s="4"/>
      <c r="GB1205" s="4"/>
      <c r="GC1205" s="4"/>
      <c r="GD1205" s="4"/>
      <c r="GE1205" s="4"/>
      <c r="GF1205" s="4"/>
      <c r="GG1205" s="4"/>
      <c r="GH1205" s="4"/>
      <c r="GI1205" s="4"/>
      <c r="GJ1205" s="4"/>
      <c r="GK1205" s="4"/>
      <c r="GL1205" s="4"/>
      <c r="GM1205" s="4"/>
      <c r="GN1205" s="4"/>
      <c r="GO1205" s="4"/>
      <c r="GP1205" s="4"/>
      <c r="GQ1205" s="4"/>
      <c r="GR1205" s="4"/>
      <c r="GS1205" s="4"/>
      <c r="GT1205" s="4"/>
      <c r="GU1205" s="4"/>
      <c r="GV1205" s="4"/>
      <c r="GW1205" s="4"/>
      <c r="GX1205" s="4"/>
      <c r="GY1205" s="4"/>
      <c r="GZ1205" s="4"/>
      <c r="HA1205" s="4"/>
      <c r="HB1205" s="4"/>
      <c r="HC1205" s="4"/>
      <c r="HD1205" s="4"/>
      <c r="HE1205" s="4"/>
      <c r="HF1205" s="4"/>
      <c r="HG1205" s="4"/>
      <c r="HH1205" s="4"/>
    </row>
    <row r="1206" spans="16:216" ht="15.75" hidden="1" customHeight="1" x14ac:dyDescent="0.3"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</row>
    <row r="1207" spans="16:216" ht="15.75" hidden="1" customHeight="1" x14ac:dyDescent="0.3"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  <c r="DA1207" s="4"/>
      <c r="DB1207" s="4"/>
      <c r="DC1207" s="4"/>
      <c r="DD1207" s="4"/>
      <c r="DE1207" s="4"/>
      <c r="DF1207" s="4"/>
      <c r="DG1207" s="4"/>
      <c r="DH1207" s="4"/>
      <c r="DI1207" s="4"/>
      <c r="DJ1207" s="4"/>
      <c r="DK1207" s="4"/>
      <c r="DL1207" s="4"/>
      <c r="DM1207" s="4"/>
      <c r="DN1207" s="4"/>
      <c r="DO1207" s="4"/>
      <c r="DP1207" s="4"/>
      <c r="DQ1207" s="4"/>
      <c r="DR1207" s="4"/>
      <c r="DS1207" s="4"/>
      <c r="DT1207" s="4"/>
      <c r="DU1207" s="4"/>
      <c r="DV1207" s="4"/>
      <c r="DW1207" s="4"/>
      <c r="DX1207" s="4"/>
      <c r="DY1207" s="4"/>
      <c r="DZ1207" s="4"/>
      <c r="EA1207" s="4"/>
      <c r="EB1207" s="4"/>
      <c r="EC1207" s="4"/>
      <c r="ED1207" s="4"/>
      <c r="EE1207" s="4"/>
      <c r="EF1207" s="4"/>
      <c r="EG1207" s="4"/>
      <c r="EH1207" s="4"/>
      <c r="EI1207" s="4"/>
      <c r="EJ1207" s="4"/>
      <c r="EK1207" s="4"/>
      <c r="EL1207" s="4"/>
      <c r="EM1207" s="4"/>
      <c r="EN1207" s="4"/>
      <c r="EO1207" s="4"/>
      <c r="EP1207" s="4"/>
      <c r="EQ1207" s="4"/>
      <c r="ER1207" s="4"/>
      <c r="ES1207" s="4"/>
      <c r="ET1207" s="4"/>
      <c r="EU1207" s="4"/>
      <c r="EV1207" s="4"/>
      <c r="EW1207" s="4"/>
      <c r="EX1207" s="4"/>
      <c r="EY1207" s="4"/>
      <c r="EZ1207" s="4"/>
      <c r="FA1207" s="4"/>
      <c r="FB1207" s="4"/>
      <c r="FC1207" s="4"/>
      <c r="FD1207" s="4"/>
      <c r="FE1207" s="4"/>
      <c r="FF1207" s="4"/>
      <c r="FG1207" s="4"/>
      <c r="FH1207" s="4"/>
      <c r="FI1207" s="4"/>
      <c r="FJ1207" s="4"/>
      <c r="FK1207" s="4"/>
      <c r="FL1207" s="4"/>
      <c r="FM1207" s="4"/>
      <c r="FN1207" s="4"/>
      <c r="FO1207" s="4"/>
      <c r="FP1207" s="4"/>
      <c r="FQ1207" s="4"/>
      <c r="FR1207" s="4"/>
      <c r="FS1207" s="4"/>
      <c r="FT1207" s="4"/>
      <c r="FU1207" s="4"/>
      <c r="FV1207" s="4"/>
      <c r="FW1207" s="4"/>
      <c r="FX1207" s="4"/>
      <c r="FY1207" s="4"/>
      <c r="FZ1207" s="4"/>
      <c r="GA1207" s="4"/>
      <c r="GB1207" s="4"/>
      <c r="GC1207" s="4"/>
      <c r="GD1207" s="4"/>
      <c r="GE1207" s="4"/>
      <c r="GF1207" s="4"/>
      <c r="GG1207" s="4"/>
      <c r="GH1207" s="4"/>
      <c r="GI1207" s="4"/>
      <c r="GJ1207" s="4"/>
      <c r="GK1207" s="4"/>
      <c r="GL1207" s="4"/>
      <c r="GM1207" s="4"/>
      <c r="GN1207" s="4"/>
      <c r="GO1207" s="4"/>
      <c r="GP1207" s="4"/>
      <c r="GQ1207" s="4"/>
      <c r="GR1207" s="4"/>
      <c r="GS1207" s="4"/>
      <c r="GT1207" s="4"/>
      <c r="GU1207" s="4"/>
      <c r="GV1207" s="4"/>
      <c r="GW1207" s="4"/>
      <c r="GX1207" s="4"/>
      <c r="GY1207" s="4"/>
      <c r="GZ1207" s="4"/>
      <c r="HA1207" s="4"/>
      <c r="HB1207" s="4"/>
      <c r="HC1207" s="4"/>
      <c r="HD1207" s="4"/>
      <c r="HE1207" s="4"/>
      <c r="HF1207" s="4"/>
      <c r="HG1207" s="4"/>
      <c r="HH1207" s="4"/>
    </row>
    <row r="1208" spans="16:216" ht="15.75" hidden="1" customHeight="1" x14ac:dyDescent="0.3"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</row>
    <row r="1209" spans="16:216" ht="15.75" hidden="1" customHeight="1" x14ac:dyDescent="0.3"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  <c r="DA1209" s="4"/>
      <c r="DB1209" s="4"/>
      <c r="DC1209" s="4"/>
      <c r="DD1209" s="4"/>
      <c r="DE1209" s="4"/>
      <c r="DF1209" s="4"/>
      <c r="DG1209" s="4"/>
      <c r="DH1209" s="4"/>
      <c r="DI1209" s="4"/>
      <c r="DJ1209" s="4"/>
      <c r="DK1209" s="4"/>
      <c r="DL1209" s="4"/>
      <c r="DM1209" s="4"/>
      <c r="DN1209" s="4"/>
      <c r="DO1209" s="4"/>
      <c r="DP1209" s="4"/>
      <c r="DQ1209" s="4"/>
      <c r="DR1209" s="4"/>
      <c r="DS1209" s="4"/>
      <c r="DT1209" s="4"/>
      <c r="DU1209" s="4"/>
      <c r="DV1209" s="4"/>
      <c r="DW1209" s="4"/>
      <c r="DX1209" s="4"/>
      <c r="DY1209" s="4"/>
      <c r="DZ1209" s="4"/>
      <c r="EA1209" s="4"/>
      <c r="EB1209" s="4"/>
      <c r="EC1209" s="4"/>
      <c r="ED1209" s="4"/>
      <c r="EE1209" s="4"/>
      <c r="EF1209" s="4"/>
      <c r="EG1209" s="4"/>
      <c r="EH1209" s="4"/>
      <c r="EI1209" s="4"/>
      <c r="EJ1209" s="4"/>
      <c r="EK1209" s="4"/>
      <c r="EL1209" s="4"/>
      <c r="EM1209" s="4"/>
      <c r="EN1209" s="4"/>
      <c r="EO1209" s="4"/>
      <c r="EP1209" s="4"/>
      <c r="EQ1209" s="4"/>
      <c r="ER1209" s="4"/>
      <c r="ES1209" s="4"/>
      <c r="ET1209" s="4"/>
      <c r="EU1209" s="4"/>
      <c r="EV1209" s="4"/>
      <c r="EW1209" s="4"/>
      <c r="EX1209" s="4"/>
      <c r="EY1209" s="4"/>
      <c r="EZ1209" s="4"/>
      <c r="FA1209" s="4"/>
      <c r="FB1209" s="4"/>
      <c r="FC1209" s="4"/>
      <c r="FD1209" s="4"/>
      <c r="FE1209" s="4"/>
      <c r="FF1209" s="4"/>
      <c r="FG1209" s="4"/>
      <c r="FH1209" s="4"/>
      <c r="FI1209" s="4"/>
      <c r="FJ1209" s="4"/>
      <c r="FK1209" s="4"/>
      <c r="FL1209" s="4"/>
      <c r="FM1209" s="4"/>
      <c r="FN1209" s="4"/>
      <c r="FO1209" s="4"/>
      <c r="FP1209" s="4"/>
      <c r="FQ1209" s="4"/>
      <c r="FR1209" s="4"/>
      <c r="FS1209" s="4"/>
      <c r="FT1209" s="4"/>
      <c r="FU1209" s="4"/>
      <c r="FV1209" s="4"/>
      <c r="FW1209" s="4"/>
      <c r="FX1209" s="4"/>
      <c r="FY1209" s="4"/>
      <c r="FZ1209" s="4"/>
      <c r="GA1209" s="4"/>
      <c r="GB1209" s="4"/>
      <c r="GC1209" s="4"/>
      <c r="GD1209" s="4"/>
      <c r="GE1209" s="4"/>
      <c r="GF1209" s="4"/>
      <c r="GG1209" s="4"/>
      <c r="GH1209" s="4"/>
      <c r="GI1209" s="4"/>
      <c r="GJ1209" s="4"/>
      <c r="GK1209" s="4"/>
      <c r="GL1209" s="4"/>
      <c r="GM1209" s="4"/>
      <c r="GN1209" s="4"/>
      <c r="GO1209" s="4"/>
      <c r="GP1209" s="4"/>
      <c r="GQ1209" s="4"/>
      <c r="GR1209" s="4"/>
      <c r="GS1209" s="4"/>
      <c r="GT1209" s="4"/>
      <c r="GU1209" s="4"/>
      <c r="GV1209" s="4"/>
      <c r="GW1209" s="4"/>
      <c r="GX1209" s="4"/>
      <c r="GY1209" s="4"/>
      <c r="GZ1209" s="4"/>
      <c r="HA1209" s="4"/>
      <c r="HB1209" s="4"/>
      <c r="HC1209" s="4"/>
      <c r="HD1209" s="4"/>
      <c r="HE1209" s="4"/>
      <c r="HF1209" s="4"/>
      <c r="HG1209" s="4"/>
      <c r="HH1209" s="4"/>
    </row>
    <row r="1210" spans="16:216" ht="15.75" hidden="1" customHeight="1" x14ac:dyDescent="0.3"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</row>
    <row r="1211" spans="16:216" ht="15.75" hidden="1" customHeight="1" x14ac:dyDescent="0.3"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  <c r="DA1211" s="4"/>
      <c r="DB1211" s="4"/>
      <c r="DC1211" s="4"/>
      <c r="DD1211" s="4"/>
      <c r="DE1211" s="4"/>
      <c r="DF1211" s="4"/>
      <c r="DG1211" s="4"/>
      <c r="DH1211" s="4"/>
      <c r="DI1211" s="4"/>
      <c r="DJ1211" s="4"/>
      <c r="DK1211" s="4"/>
      <c r="DL1211" s="4"/>
      <c r="DM1211" s="4"/>
      <c r="DN1211" s="4"/>
      <c r="DO1211" s="4"/>
      <c r="DP1211" s="4"/>
      <c r="DQ1211" s="4"/>
      <c r="DR1211" s="4"/>
      <c r="DS1211" s="4"/>
      <c r="DT1211" s="4"/>
      <c r="DU1211" s="4"/>
      <c r="DV1211" s="4"/>
      <c r="DW1211" s="4"/>
      <c r="DX1211" s="4"/>
      <c r="DY1211" s="4"/>
      <c r="DZ1211" s="4"/>
      <c r="EA1211" s="4"/>
      <c r="EB1211" s="4"/>
      <c r="EC1211" s="4"/>
      <c r="ED1211" s="4"/>
      <c r="EE1211" s="4"/>
      <c r="EF1211" s="4"/>
      <c r="EG1211" s="4"/>
      <c r="EH1211" s="4"/>
      <c r="EI1211" s="4"/>
      <c r="EJ1211" s="4"/>
      <c r="EK1211" s="4"/>
      <c r="EL1211" s="4"/>
      <c r="EM1211" s="4"/>
      <c r="EN1211" s="4"/>
      <c r="EO1211" s="4"/>
      <c r="EP1211" s="4"/>
      <c r="EQ1211" s="4"/>
      <c r="ER1211" s="4"/>
      <c r="ES1211" s="4"/>
      <c r="ET1211" s="4"/>
      <c r="EU1211" s="4"/>
      <c r="EV1211" s="4"/>
      <c r="EW1211" s="4"/>
      <c r="EX1211" s="4"/>
      <c r="EY1211" s="4"/>
      <c r="EZ1211" s="4"/>
      <c r="FA1211" s="4"/>
      <c r="FB1211" s="4"/>
      <c r="FC1211" s="4"/>
      <c r="FD1211" s="4"/>
      <c r="FE1211" s="4"/>
      <c r="FF1211" s="4"/>
      <c r="FG1211" s="4"/>
      <c r="FH1211" s="4"/>
      <c r="FI1211" s="4"/>
      <c r="FJ1211" s="4"/>
      <c r="FK1211" s="4"/>
      <c r="FL1211" s="4"/>
      <c r="FM1211" s="4"/>
      <c r="FN1211" s="4"/>
      <c r="FO1211" s="4"/>
      <c r="FP1211" s="4"/>
      <c r="FQ1211" s="4"/>
      <c r="FR1211" s="4"/>
      <c r="FS1211" s="4"/>
      <c r="FT1211" s="4"/>
      <c r="FU1211" s="4"/>
      <c r="FV1211" s="4"/>
      <c r="FW1211" s="4"/>
      <c r="FX1211" s="4"/>
      <c r="FY1211" s="4"/>
      <c r="FZ1211" s="4"/>
      <c r="GA1211" s="4"/>
      <c r="GB1211" s="4"/>
      <c r="GC1211" s="4"/>
      <c r="GD1211" s="4"/>
      <c r="GE1211" s="4"/>
      <c r="GF1211" s="4"/>
      <c r="GG1211" s="4"/>
      <c r="GH1211" s="4"/>
      <c r="GI1211" s="4"/>
      <c r="GJ1211" s="4"/>
      <c r="GK1211" s="4"/>
      <c r="GL1211" s="4"/>
      <c r="GM1211" s="4"/>
      <c r="GN1211" s="4"/>
      <c r="GO1211" s="4"/>
      <c r="GP1211" s="4"/>
      <c r="GQ1211" s="4"/>
      <c r="GR1211" s="4"/>
      <c r="GS1211" s="4"/>
      <c r="GT1211" s="4"/>
      <c r="GU1211" s="4"/>
      <c r="GV1211" s="4"/>
      <c r="GW1211" s="4"/>
      <c r="GX1211" s="4"/>
      <c r="GY1211" s="4"/>
      <c r="GZ1211" s="4"/>
      <c r="HA1211" s="4"/>
      <c r="HB1211" s="4"/>
      <c r="HC1211" s="4"/>
      <c r="HD1211" s="4"/>
      <c r="HE1211" s="4"/>
      <c r="HF1211" s="4"/>
      <c r="HG1211" s="4"/>
      <c r="HH1211" s="4"/>
    </row>
    <row r="1212" spans="16:216" ht="15.75" hidden="1" customHeight="1" x14ac:dyDescent="0.3"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</row>
    <row r="1213" spans="16:216" ht="15.75" hidden="1" customHeight="1" x14ac:dyDescent="0.3"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  <c r="DA1213" s="4"/>
      <c r="DB1213" s="4"/>
      <c r="DC1213" s="4"/>
      <c r="DD1213" s="4"/>
      <c r="DE1213" s="4"/>
      <c r="DF1213" s="4"/>
      <c r="DG1213" s="4"/>
      <c r="DH1213" s="4"/>
      <c r="DI1213" s="4"/>
      <c r="DJ1213" s="4"/>
      <c r="DK1213" s="4"/>
      <c r="DL1213" s="4"/>
      <c r="DM1213" s="4"/>
      <c r="DN1213" s="4"/>
      <c r="DO1213" s="4"/>
      <c r="DP1213" s="4"/>
      <c r="DQ1213" s="4"/>
      <c r="DR1213" s="4"/>
      <c r="DS1213" s="4"/>
      <c r="DT1213" s="4"/>
      <c r="DU1213" s="4"/>
      <c r="DV1213" s="4"/>
      <c r="DW1213" s="4"/>
      <c r="DX1213" s="4"/>
      <c r="DY1213" s="4"/>
      <c r="DZ1213" s="4"/>
      <c r="EA1213" s="4"/>
      <c r="EB1213" s="4"/>
      <c r="EC1213" s="4"/>
      <c r="ED1213" s="4"/>
      <c r="EE1213" s="4"/>
      <c r="EF1213" s="4"/>
      <c r="EG1213" s="4"/>
      <c r="EH1213" s="4"/>
      <c r="EI1213" s="4"/>
      <c r="EJ1213" s="4"/>
      <c r="EK1213" s="4"/>
      <c r="EL1213" s="4"/>
      <c r="EM1213" s="4"/>
      <c r="EN1213" s="4"/>
      <c r="EO1213" s="4"/>
      <c r="EP1213" s="4"/>
      <c r="EQ1213" s="4"/>
      <c r="ER1213" s="4"/>
      <c r="ES1213" s="4"/>
      <c r="ET1213" s="4"/>
      <c r="EU1213" s="4"/>
      <c r="EV1213" s="4"/>
      <c r="EW1213" s="4"/>
      <c r="EX1213" s="4"/>
      <c r="EY1213" s="4"/>
      <c r="EZ1213" s="4"/>
      <c r="FA1213" s="4"/>
      <c r="FB1213" s="4"/>
      <c r="FC1213" s="4"/>
      <c r="FD1213" s="4"/>
      <c r="FE1213" s="4"/>
      <c r="FF1213" s="4"/>
      <c r="FG1213" s="4"/>
      <c r="FH1213" s="4"/>
      <c r="FI1213" s="4"/>
      <c r="FJ1213" s="4"/>
      <c r="FK1213" s="4"/>
      <c r="FL1213" s="4"/>
      <c r="FM1213" s="4"/>
      <c r="FN1213" s="4"/>
      <c r="FO1213" s="4"/>
      <c r="FP1213" s="4"/>
      <c r="FQ1213" s="4"/>
      <c r="FR1213" s="4"/>
      <c r="FS1213" s="4"/>
      <c r="FT1213" s="4"/>
      <c r="FU1213" s="4"/>
      <c r="FV1213" s="4"/>
      <c r="FW1213" s="4"/>
      <c r="FX1213" s="4"/>
      <c r="FY1213" s="4"/>
      <c r="FZ1213" s="4"/>
      <c r="GA1213" s="4"/>
      <c r="GB1213" s="4"/>
      <c r="GC1213" s="4"/>
      <c r="GD1213" s="4"/>
      <c r="GE1213" s="4"/>
      <c r="GF1213" s="4"/>
      <c r="GG1213" s="4"/>
      <c r="GH1213" s="4"/>
      <c r="GI1213" s="4"/>
      <c r="GJ1213" s="4"/>
      <c r="GK1213" s="4"/>
      <c r="GL1213" s="4"/>
      <c r="GM1213" s="4"/>
      <c r="GN1213" s="4"/>
      <c r="GO1213" s="4"/>
      <c r="GP1213" s="4"/>
      <c r="GQ1213" s="4"/>
      <c r="GR1213" s="4"/>
      <c r="GS1213" s="4"/>
      <c r="GT1213" s="4"/>
      <c r="GU1213" s="4"/>
      <c r="GV1213" s="4"/>
      <c r="GW1213" s="4"/>
      <c r="GX1213" s="4"/>
      <c r="GY1213" s="4"/>
      <c r="GZ1213" s="4"/>
      <c r="HA1213" s="4"/>
      <c r="HB1213" s="4"/>
      <c r="HC1213" s="4"/>
      <c r="HD1213" s="4"/>
      <c r="HE1213" s="4"/>
      <c r="HF1213" s="4"/>
      <c r="HG1213" s="4"/>
      <c r="HH1213" s="4"/>
    </row>
    <row r="1214" spans="16:216" ht="15.75" hidden="1" customHeight="1" x14ac:dyDescent="0.3"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</row>
    <row r="1215" spans="16:216" ht="15.75" hidden="1" customHeight="1" x14ac:dyDescent="0.3"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  <c r="DA1215" s="4"/>
      <c r="DB1215" s="4"/>
      <c r="DC1215" s="4"/>
      <c r="DD1215" s="4"/>
      <c r="DE1215" s="4"/>
      <c r="DF1215" s="4"/>
      <c r="DG1215" s="4"/>
      <c r="DH1215" s="4"/>
      <c r="DI1215" s="4"/>
      <c r="DJ1215" s="4"/>
      <c r="DK1215" s="4"/>
      <c r="DL1215" s="4"/>
      <c r="DM1215" s="4"/>
      <c r="DN1215" s="4"/>
      <c r="DO1215" s="4"/>
      <c r="DP1215" s="4"/>
      <c r="DQ1215" s="4"/>
      <c r="DR1215" s="4"/>
      <c r="DS1215" s="4"/>
      <c r="DT1215" s="4"/>
      <c r="DU1215" s="4"/>
      <c r="DV1215" s="4"/>
      <c r="DW1215" s="4"/>
      <c r="DX1215" s="4"/>
      <c r="DY1215" s="4"/>
      <c r="DZ1215" s="4"/>
      <c r="EA1215" s="4"/>
      <c r="EB1215" s="4"/>
      <c r="EC1215" s="4"/>
      <c r="ED1215" s="4"/>
      <c r="EE1215" s="4"/>
      <c r="EF1215" s="4"/>
      <c r="EG1215" s="4"/>
      <c r="EH1215" s="4"/>
      <c r="EI1215" s="4"/>
      <c r="EJ1215" s="4"/>
      <c r="EK1215" s="4"/>
      <c r="EL1215" s="4"/>
      <c r="EM1215" s="4"/>
      <c r="EN1215" s="4"/>
      <c r="EO1215" s="4"/>
      <c r="EP1215" s="4"/>
      <c r="EQ1215" s="4"/>
      <c r="ER1215" s="4"/>
      <c r="ES1215" s="4"/>
      <c r="ET1215" s="4"/>
      <c r="EU1215" s="4"/>
      <c r="EV1215" s="4"/>
      <c r="EW1215" s="4"/>
      <c r="EX1215" s="4"/>
      <c r="EY1215" s="4"/>
      <c r="EZ1215" s="4"/>
      <c r="FA1215" s="4"/>
      <c r="FB1215" s="4"/>
      <c r="FC1215" s="4"/>
      <c r="FD1215" s="4"/>
      <c r="FE1215" s="4"/>
      <c r="FF1215" s="4"/>
      <c r="FG1215" s="4"/>
      <c r="FH1215" s="4"/>
      <c r="FI1215" s="4"/>
      <c r="FJ1215" s="4"/>
      <c r="FK1215" s="4"/>
      <c r="FL1215" s="4"/>
      <c r="FM1215" s="4"/>
      <c r="FN1215" s="4"/>
      <c r="FO1215" s="4"/>
      <c r="FP1215" s="4"/>
      <c r="FQ1215" s="4"/>
      <c r="FR1215" s="4"/>
      <c r="FS1215" s="4"/>
      <c r="FT1215" s="4"/>
      <c r="FU1215" s="4"/>
      <c r="FV1215" s="4"/>
      <c r="FW1215" s="4"/>
      <c r="FX1215" s="4"/>
      <c r="FY1215" s="4"/>
      <c r="FZ1215" s="4"/>
      <c r="GA1215" s="4"/>
      <c r="GB1215" s="4"/>
      <c r="GC1215" s="4"/>
      <c r="GD1215" s="4"/>
      <c r="GE1215" s="4"/>
      <c r="GF1215" s="4"/>
      <c r="GG1215" s="4"/>
      <c r="GH1215" s="4"/>
      <c r="GI1215" s="4"/>
      <c r="GJ1215" s="4"/>
      <c r="GK1215" s="4"/>
      <c r="GL1215" s="4"/>
      <c r="GM1215" s="4"/>
      <c r="GN1215" s="4"/>
      <c r="GO1215" s="4"/>
      <c r="GP1215" s="4"/>
      <c r="GQ1215" s="4"/>
      <c r="GR1215" s="4"/>
      <c r="GS1215" s="4"/>
      <c r="GT1215" s="4"/>
      <c r="GU1215" s="4"/>
      <c r="GV1215" s="4"/>
      <c r="GW1215" s="4"/>
      <c r="GX1215" s="4"/>
      <c r="GY1215" s="4"/>
      <c r="GZ1215" s="4"/>
      <c r="HA1215" s="4"/>
      <c r="HB1215" s="4"/>
      <c r="HC1215" s="4"/>
      <c r="HD1215" s="4"/>
      <c r="HE1215" s="4"/>
      <c r="HF1215" s="4"/>
      <c r="HG1215" s="4"/>
      <c r="HH1215" s="4"/>
    </row>
    <row r="1216" spans="16:216" ht="15" customHeight="1" x14ac:dyDescent="0.3"/>
    <row r="1217" ht="15" customHeight="1" x14ac:dyDescent="0.3"/>
    <row r="1218" ht="15" customHeight="1" x14ac:dyDescent="0.3"/>
    <row r="1219" ht="15" customHeight="1" x14ac:dyDescent="0.3"/>
    <row r="1220" ht="15" customHeight="1" x14ac:dyDescent="0.3"/>
    <row r="1221" ht="15" customHeight="1" x14ac:dyDescent="0.3"/>
    <row r="1222" ht="15" customHeight="1" x14ac:dyDescent="0.3"/>
    <row r="1223" ht="15" customHeight="1" x14ac:dyDescent="0.3"/>
    <row r="1224" ht="15" customHeight="1" x14ac:dyDescent="0.3"/>
  </sheetData>
  <mergeCells count="83">
    <mergeCell ref="C262:D262"/>
    <mergeCell ref="C263:D263"/>
    <mergeCell ref="C264:D264"/>
    <mergeCell ref="B259:D259"/>
    <mergeCell ref="B261:D261"/>
    <mergeCell ref="C249:D249"/>
    <mergeCell ref="B247:D247"/>
    <mergeCell ref="A248:E248"/>
    <mergeCell ref="B235:D235"/>
    <mergeCell ref="A236:E236"/>
    <mergeCell ref="C237:D237"/>
    <mergeCell ref="B223:D223"/>
    <mergeCell ref="C225:D225"/>
    <mergeCell ref="A224:E224"/>
    <mergeCell ref="C213:D213"/>
    <mergeCell ref="B211:D211"/>
    <mergeCell ref="A212:E212"/>
    <mergeCell ref="B199:D199"/>
    <mergeCell ref="A200:E200"/>
    <mergeCell ref="C201:D201"/>
    <mergeCell ref="B187:D187"/>
    <mergeCell ref="C189:D189"/>
    <mergeCell ref="A188:E188"/>
    <mergeCell ref="C177:D177"/>
    <mergeCell ref="B175:D175"/>
    <mergeCell ref="A176:E176"/>
    <mergeCell ref="B163:D163"/>
    <mergeCell ref="A164:E164"/>
    <mergeCell ref="C165:D165"/>
    <mergeCell ref="C153:D153"/>
    <mergeCell ref="B151:D151"/>
    <mergeCell ref="A152:E152"/>
    <mergeCell ref="B127:D127"/>
    <mergeCell ref="A128:E128"/>
    <mergeCell ref="C129:D129"/>
    <mergeCell ref="C141:D141"/>
    <mergeCell ref="B139:D139"/>
    <mergeCell ref="A140:E140"/>
    <mergeCell ref="B115:D115"/>
    <mergeCell ref="A116:E116"/>
    <mergeCell ref="C117:D117"/>
    <mergeCell ref="B103:D103"/>
    <mergeCell ref="C105:D105"/>
    <mergeCell ref="A104:E104"/>
    <mergeCell ref="C93:D93"/>
    <mergeCell ref="B91:D91"/>
    <mergeCell ref="A92:E92"/>
    <mergeCell ref="B79:D79"/>
    <mergeCell ref="A80:E80"/>
    <mergeCell ref="C81:D81"/>
    <mergeCell ref="B67:D67"/>
    <mergeCell ref="A68:E68"/>
    <mergeCell ref="C57:D57"/>
    <mergeCell ref="A56:E56"/>
    <mergeCell ref="C69:D69"/>
    <mergeCell ref="A37:E37"/>
    <mergeCell ref="B38:D38"/>
    <mergeCell ref="B39:C41"/>
    <mergeCell ref="A42:D42"/>
    <mergeCell ref="B55:D55"/>
    <mergeCell ref="B43:D43"/>
    <mergeCell ref="A44:D44"/>
    <mergeCell ref="C45:D45"/>
    <mergeCell ref="B32:D32"/>
    <mergeCell ref="B33:D33"/>
    <mergeCell ref="B34:D34"/>
    <mergeCell ref="B35:D35"/>
    <mergeCell ref="B36:D36"/>
    <mergeCell ref="E12:E13"/>
    <mergeCell ref="B13:D13"/>
    <mergeCell ref="B14:C16"/>
    <mergeCell ref="A17:D17"/>
    <mergeCell ref="B22:B24"/>
    <mergeCell ref="C22:C24"/>
    <mergeCell ref="B18:D18"/>
    <mergeCell ref="B19:B21"/>
    <mergeCell ref="C19:C21"/>
    <mergeCell ref="A31:D31"/>
    <mergeCell ref="B12:D12"/>
    <mergeCell ref="B25:B27"/>
    <mergeCell ref="C25:C27"/>
    <mergeCell ref="B28:B30"/>
    <mergeCell ref="C28:C30"/>
  </mergeCells>
  <conditionalFormatting sqref="E30">
    <cfRule type="expression" dxfId="308" priority="67">
      <formula>E30&lt;&gt;E264</formula>
    </cfRule>
    <cfRule type="expression" dxfId="307" priority="68">
      <formula>E30&lt;&gt;E34</formula>
    </cfRule>
  </conditionalFormatting>
  <conditionalFormatting sqref="E55">
    <cfRule type="containsBlanks" dxfId="306" priority="1">
      <formula>LEN(TRIM(E55))=0</formula>
    </cfRule>
  </conditionalFormatting>
  <conditionalFormatting sqref="E67">
    <cfRule type="containsBlanks" dxfId="305" priority="2">
      <formula>LEN(TRIM(E67))=0</formula>
    </cfRule>
  </conditionalFormatting>
  <conditionalFormatting sqref="E79">
    <cfRule type="containsBlanks" dxfId="304" priority="3">
      <formula>LEN(TRIM(E79))=0</formula>
    </cfRule>
  </conditionalFormatting>
  <conditionalFormatting sqref="E91">
    <cfRule type="containsBlanks" dxfId="303" priority="4">
      <formula>LEN(TRIM(E91))=0</formula>
    </cfRule>
  </conditionalFormatting>
  <conditionalFormatting sqref="E103">
    <cfRule type="containsBlanks" dxfId="302" priority="5">
      <formula>LEN(TRIM(E103))=0</formula>
    </cfRule>
  </conditionalFormatting>
  <conditionalFormatting sqref="E115">
    <cfRule type="containsBlanks" dxfId="301" priority="6">
      <formula>LEN(TRIM(E115))=0</formula>
    </cfRule>
  </conditionalFormatting>
  <conditionalFormatting sqref="E127">
    <cfRule type="containsBlanks" dxfId="300" priority="7">
      <formula>LEN(TRIM(E127))=0</formula>
    </cfRule>
  </conditionalFormatting>
  <conditionalFormatting sqref="E139">
    <cfRule type="containsBlanks" dxfId="299" priority="8">
      <formula>LEN(TRIM(E139))=0</formula>
    </cfRule>
  </conditionalFormatting>
  <conditionalFormatting sqref="E151">
    <cfRule type="containsBlanks" dxfId="298" priority="9">
      <formula>LEN(TRIM(E151))=0</formula>
    </cfRule>
  </conditionalFormatting>
  <conditionalFormatting sqref="E163">
    <cfRule type="containsBlanks" dxfId="297" priority="10">
      <formula>LEN(TRIM(E163))=0</formula>
    </cfRule>
  </conditionalFormatting>
  <conditionalFormatting sqref="E175">
    <cfRule type="containsBlanks" dxfId="296" priority="11">
      <formula>LEN(TRIM(E175))=0</formula>
    </cfRule>
  </conditionalFormatting>
  <conditionalFormatting sqref="E187">
    <cfRule type="containsBlanks" dxfId="295" priority="12">
      <formula>LEN(TRIM(E187))=0</formula>
    </cfRule>
  </conditionalFormatting>
  <conditionalFormatting sqref="E199">
    <cfRule type="containsBlanks" dxfId="294" priority="13">
      <formula>LEN(TRIM(E199))=0</formula>
    </cfRule>
  </conditionalFormatting>
  <conditionalFormatting sqref="E211">
    <cfRule type="containsBlanks" dxfId="293" priority="14">
      <formula>LEN(TRIM(E211))=0</formula>
    </cfRule>
  </conditionalFormatting>
  <conditionalFormatting sqref="E223">
    <cfRule type="containsBlanks" dxfId="292" priority="15">
      <formula>LEN(TRIM(E223))=0</formula>
    </cfRule>
  </conditionalFormatting>
  <conditionalFormatting sqref="E235">
    <cfRule type="containsBlanks" dxfId="291" priority="16">
      <formula>LEN(TRIM(E235))=0</formula>
    </cfRule>
  </conditionalFormatting>
  <conditionalFormatting sqref="E247">
    <cfRule type="containsBlanks" dxfId="290" priority="17">
      <formula>LEN(TRIM(E247))=0</formula>
    </cfRule>
  </conditionalFormatting>
  <conditionalFormatting sqref="E259">
    <cfRule type="containsBlanks" dxfId="289" priority="25">
      <formula>LEN(TRIM(E259))=0</formula>
    </cfRule>
  </conditionalFormatting>
  <conditionalFormatting sqref="F259:O261">
    <cfRule type="cellIs" dxfId="288" priority="49" operator="equal">
      <formula>"FALSE"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0B6F-3DA7-481D-AF0D-47F958A575F4}">
  <sheetPr>
    <tabColor rgb="FF00B050"/>
  </sheetPr>
  <dimension ref="A2:V264"/>
  <sheetViews>
    <sheetView zoomScale="70" zoomScaleNormal="70" workbookViewId="0">
      <selection activeCell="M7" sqref="M7"/>
    </sheetView>
  </sheetViews>
  <sheetFormatPr defaultRowHeight="13" x14ac:dyDescent="0.3"/>
  <cols>
    <col min="3" max="3" width="67.09765625" bestFit="1" customWidth="1"/>
    <col min="4" max="4" width="5.8984375" bestFit="1" customWidth="1"/>
    <col min="22" max="22" width="13.296875" customWidth="1"/>
  </cols>
  <sheetData>
    <row r="2" spans="1:22" x14ac:dyDescent="0.3">
      <c r="C2" s="43" t="s">
        <v>98</v>
      </c>
      <c r="D2" s="43" t="s">
        <v>104</v>
      </c>
    </row>
    <row r="3" spans="1:22" x14ac:dyDescent="0.3">
      <c r="C3" s="43" t="s">
        <v>99</v>
      </c>
      <c r="D3" s="43" t="s">
        <v>100</v>
      </c>
    </row>
    <row r="4" spans="1:22" x14ac:dyDescent="0.3">
      <c r="C4" s="43" t="s">
        <v>101</v>
      </c>
      <c r="D4" s="43" t="s">
        <v>102</v>
      </c>
    </row>
    <row r="5" spans="1:22" x14ac:dyDescent="0.3">
      <c r="C5" s="43"/>
      <c r="D5" s="43"/>
    </row>
    <row r="6" spans="1:22" x14ac:dyDescent="0.3">
      <c r="C6" s="43"/>
      <c r="D6" s="43"/>
    </row>
    <row r="7" spans="1:22" x14ac:dyDescent="0.3">
      <c r="C7" s="43"/>
      <c r="D7" s="43"/>
    </row>
    <row r="8" spans="1:22" x14ac:dyDescent="0.3">
      <c r="C8" s="43"/>
      <c r="D8" s="43"/>
    </row>
    <row r="9" spans="1:22" x14ac:dyDescent="0.3">
      <c r="C9" s="43" t="s">
        <v>103</v>
      </c>
      <c r="D9" s="43" t="s">
        <v>105</v>
      </c>
    </row>
    <row r="11" spans="1:22" x14ac:dyDescent="0.3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1"/>
      <c r="S11" s="1"/>
      <c r="T11" s="1"/>
      <c r="U11" s="1"/>
    </row>
    <row r="12" spans="1:22" x14ac:dyDescent="0.3">
      <c r="A12" s="5" t="s">
        <v>0</v>
      </c>
      <c r="B12" s="65" t="s">
        <v>1</v>
      </c>
      <c r="C12" s="63"/>
      <c r="D12" s="64"/>
      <c r="E12" s="99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1" t="s">
        <v>97</v>
      </c>
    </row>
    <row r="13" spans="1:22" x14ac:dyDescent="0.3">
      <c r="A13" s="6" t="s">
        <v>2</v>
      </c>
      <c r="B13" s="76" t="s">
        <v>3</v>
      </c>
      <c r="C13" s="63"/>
      <c r="D13" s="6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102"/>
    </row>
    <row r="14" spans="1:22" x14ac:dyDescent="0.3">
      <c r="A14" s="7"/>
      <c r="B14" s="77" t="s">
        <v>22</v>
      </c>
      <c r="C14" s="78"/>
      <c r="D14" s="6" t="s">
        <v>23</v>
      </c>
      <c r="E14" s="6">
        <v>124</v>
      </c>
      <c r="F14" s="6">
        <v>110</v>
      </c>
      <c r="G14" s="6">
        <v>95</v>
      </c>
      <c r="H14" s="6">
        <v>116</v>
      </c>
      <c r="I14" s="6">
        <v>101</v>
      </c>
      <c r="J14" s="6">
        <v>88</v>
      </c>
      <c r="K14" s="6">
        <v>79</v>
      </c>
      <c r="L14" s="6">
        <v>121</v>
      </c>
      <c r="M14" s="6">
        <v>101</v>
      </c>
      <c r="N14" s="6">
        <v>107</v>
      </c>
      <c r="O14" s="6">
        <v>99</v>
      </c>
      <c r="P14" s="6">
        <v>103</v>
      </c>
      <c r="Q14" s="6">
        <v>128</v>
      </c>
      <c r="R14" s="6">
        <v>83</v>
      </c>
      <c r="S14" s="6">
        <v>104</v>
      </c>
      <c r="T14" s="6">
        <v>93</v>
      </c>
      <c r="U14" s="6">
        <v>127</v>
      </c>
      <c r="V14" s="5">
        <f>SUM(E14:U14)</f>
        <v>1779</v>
      </c>
    </row>
    <row r="15" spans="1:22" x14ac:dyDescent="0.3">
      <c r="A15" s="7"/>
      <c r="B15" s="79"/>
      <c r="C15" s="67"/>
      <c r="D15" s="6" t="s">
        <v>24</v>
      </c>
      <c r="E15" s="6">
        <v>128</v>
      </c>
      <c r="F15" s="6">
        <v>102</v>
      </c>
      <c r="G15" s="6">
        <v>92</v>
      </c>
      <c r="H15" s="6">
        <v>125</v>
      </c>
      <c r="I15" s="6">
        <v>117</v>
      </c>
      <c r="J15" s="6">
        <v>94</v>
      </c>
      <c r="K15" s="6">
        <v>93</v>
      </c>
      <c r="L15" s="6">
        <v>124</v>
      </c>
      <c r="M15" s="6">
        <v>94</v>
      </c>
      <c r="N15" s="6">
        <v>117</v>
      </c>
      <c r="O15" s="6">
        <v>90</v>
      </c>
      <c r="P15" s="6">
        <v>108</v>
      </c>
      <c r="Q15" s="6">
        <v>126</v>
      </c>
      <c r="R15" s="6">
        <v>85</v>
      </c>
      <c r="S15" s="6">
        <v>113</v>
      </c>
      <c r="T15" s="6">
        <v>113</v>
      </c>
      <c r="U15" s="6">
        <v>110</v>
      </c>
      <c r="V15" s="5">
        <f>SUM(E15:U15)</f>
        <v>1831</v>
      </c>
    </row>
    <row r="16" spans="1:22" x14ac:dyDescent="0.3">
      <c r="A16" s="8"/>
      <c r="B16" s="75"/>
      <c r="C16" s="68"/>
      <c r="D16" s="5" t="s">
        <v>25</v>
      </c>
      <c r="E16" s="5">
        <f t="shared" ref="E16:U16" si="0">SUM(E14:E15)</f>
        <v>252</v>
      </c>
      <c r="F16" s="5">
        <f t="shared" ref="F16:N16" si="1">SUM(F14:F15)</f>
        <v>212</v>
      </c>
      <c r="G16" s="5">
        <f t="shared" si="1"/>
        <v>187</v>
      </c>
      <c r="H16" s="5">
        <f t="shared" si="1"/>
        <v>241</v>
      </c>
      <c r="I16" s="5">
        <f t="shared" si="1"/>
        <v>218</v>
      </c>
      <c r="J16" s="5">
        <f t="shared" si="1"/>
        <v>182</v>
      </c>
      <c r="K16" s="5">
        <f t="shared" si="1"/>
        <v>172</v>
      </c>
      <c r="L16" s="5">
        <f t="shared" si="1"/>
        <v>245</v>
      </c>
      <c r="M16" s="5">
        <f t="shared" si="1"/>
        <v>195</v>
      </c>
      <c r="N16" s="5">
        <f t="shared" si="1"/>
        <v>224</v>
      </c>
      <c r="O16" s="5">
        <f t="shared" si="0"/>
        <v>189</v>
      </c>
      <c r="P16" s="5">
        <f t="shared" si="0"/>
        <v>211</v>
      </c>
      <c r="Q16" s="5">
        <f t="shared" si="0"/>
        <v>254</v>
      </c>
      <c r="R16" s="5">
        <f t="shared" si="0"/>
        <v>168</v>
      </c>
      <c r="S16" s="5">
        <f t="shared" si="0"/>
        <v>217</v>
      </c>
      <c r="T16" s="5">
        <f t="shared" si="0"/>
        <v>206</v>
      </c>
      <c r="U16" s="5">
        <f t="shared" si="0"/>
        <v>237</v>
      </c>
      <c r="V16" s="5">
        <f>SUM(E16:U16)</f>
        <v>3610</v>
      </c>
    </row>
    <row r="17" spans="1:22" x14ac:dyDescent="0.3">
      <c r="A17" s="62"/>
      <c r="B17" s="63"/>
      <c r="C17" s="63"/>
      <c r="D17" s="64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6"/>
      <c r="Q17" s="6"/>
      <c r="R17" s="6"/>
      <c r="S17" s="6"/>
      <c r="T17" s="6"/>
      <c r="U17" s="6"/>
      <c r="V17" s="28"/>
    </row>
    <row r="18" spans="1:22" x14ac:dyDescent="0.3">
      <c r="A18" s="11" t="s">
        <v>26</v>
      </c>
      <c r="B18" s="76" t="s">
        <v>27</v>
      </c>
      <c r="C18" s="63"/>
      <c r="D18" s="64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6"/>
      <c r="Q18" s="6"/>
      <c r="R18" s="6"/>
      <c r="S18" s="6"/>
      <c r="T18" s="6"/>
      <c r="U18" s="6"/>
      <c r="V18" s="28"/>
    </row>
    <row r="19" spans="1:22" x14ac:dyDescent="0.3">
      <c r="A19" s="11"/>
      <c r="B19" s="66" t="s">
        <v>28</v>
      </c>
      <c r="C19" s="69" t="s">
        <v>29</v>
      </c>
      <c r="D19" s="6" t="s">
        <v>23</v>
      </c>
      <c r="E19" s="6">
        <v>114</v>
      </c>
      <c r="F19" s="6">
        <v>90</v>
      </c>
      <c r="G19" s="6">
        <v>71</v>
      </c>
      <c r="H19" s="6">
        <v>89</v>
      </c>
      <c r="I19" s="6">
        <v>80</v>
      </c>
      <c r="J19" s="6">
        <v>65</v>
      </c>
      <c r="K19" s="6">
        <v>63</v>
      </c>
      <c r="L19" s="6">
        <v>92</v>
      </c>
      <c r="M19" s="6">
        <v>82</v>
      </c>
      <c r="N19" s="6">
        <v>86</v>
      </c>
      <c r="O19" s="6">
        <v>81</v>
      </c>
      <c r="P19" s="6">
        <v>83</v>
      </c>
      <c r="Q19" s="6">
        <v>81</v>
      </c>
      <c r="R19" s="6">
        <v>66</v>
      </c>
      <c r="S19" s="6">
        <v>81</v>
      </c>
      <c r="T19" s="6">
        <v>82</v>
      </c>
      <c r="U19" s="6">
        <v>107</v>
      </c>
      <c r="V19" s="5">
        <f t="shared" ref="V19:V30" si="2">SUM(E19:U19)</f>
        <v>1413</v>
      </c>
    </row>
    <row r="20" spans="1:22" x14ac:dyDescent="0.3">
      <c r="A20" s="12"/>
      <c r="B20" s="67"/>
      <c r="C20" s="70"/>
      <c r="D20" s="6" t="s">
        <v>24</v>
      </c>
      <c r="E20" s="6">
        <v>94</v>
      </c>
      <c r="F20" s="6">
        <v>90</v>
      </c>
      <c r="G20" s="6">
        <v>81</v>
      </c>
      <c r="H20" s="6">
        <v>95</v>
      </c>
      <c r="I20" s="6">
        <v>102</v>
      </c>
      <c r="J20" s="6">
        <v>77</v>
      </c>
      <c r="K20" s="6">
        <v>74</v>
      </c>
      <c r="L20" s="6">
        <v>100</v>
      </c>
      <c r="M20" s="6">
        <v>79</v>
      </c>
      <c r="N20" s="6">
        <v>95</v>
      </c>
      <c r="O20" s="6">
        <v>74</v>
      </c>
      <c r="P20" s="6">
        <v>86</v>
      </c>
      <c r="Q20" s="6">
        <v>96</v>
      </c>
      <c r="R20" s="6">
        <v>74</v>
      </c>
      <c r="S20" s="6">
        <v>95</v>
      </c>
      <c r="T20" s="6">
        <v>102</v>
      </c>
      <c r="U20" s="6">
        <v>104</v>
      </c>
      <c r="V20" s="5">
        <f t="shared" si="2"/>
        <v>1518</v>
      </c>
    </row>
    <row r="21" spans="1:22" x14ac:dyDescent="0.3">
      <c r="A21" s="13"/>
      <c r="B21" s="68"/>
      <c r="C21" s="71"/>
      <c r="D21" s="5" t="s">
        <v>25</v>
      </c>
      <c r="E21" s="5">
        <f t="shared" ref="E21:U21" si="3">SUM(E19:E20)</f>
        <v>208</v>
      </c>
      <c r="F21" s="5">
        <f t="shared" ref="F21:N21" si="4">SUM(F19:F20)</f>
        <v>180</v>
      </c>
      <c r="G21" s="5">
        <f t="shared" si="4"/>
        <v>152</v>
      </c>
      <c r="H21" s="5">
        <f t="shared" si="4"/>
        <v>184</v>
      </c>
      <c r="I21" s="5">
        <f t="shared" si="4"/>
        <v>182</v>
      </c>
      <c r="J21" s="5">
        <f t="shared" si="4"/>
        <v>142</v>
      </c>
      <c r="K21" s="5">
        <f t="shared" si="4"/>
        <v>137</v>
      </c>
      <c r="L21" s="5">
        <f t="shared" si="4"/>
        <v>192</v>
      </c>
      <c r="M21" s="5">
        <f t="shared" si="4"/>
        <v>161</v>
      </c>
      <c r="N21" s="5">
        <f t="shared" si="4"/>
        <v>181</v>
      </c>
      <c r="O21" s="5">
        <f t="shared" si="3"/>
        <v>155</v>
      </c>
      <c r="P21" s="5">
        <f t="shared" si="3"/>
        <v>169</v>
      </c>
      <c r="Q21" s="5">
        <f t="shared" si="3"/>
        <v>177</v>
      </c>
      <c r="R21" s="5">
        <f t="shared" si="3"/>
        <v>140</v>
      </c>
      <c r="S21" s="5">
        <f t="shared" si="3"/>
        <v>176</v>
      </c>
      <c r="T21" s="5">
        <f t="shared" si="3"/>
        <v>184</v>
      </c>
      <c r="U21" s="5">
        <f t="shared" si="3"/>
        <v>211</v>
      </c>
      <c r="V21" s="5">
        <f t="shared" si="2"/>
        <v>2931</v>
      </c>
    </row>
    <row r="22" spans="1:22" x14ac:dyDescent="0.3">
      <c r="A22" s="12"/>
      <c r="B22" s="66" t="s">
        <v>30</v>
      </c>
      <c r="C22" s="69" t="s">
        <v>31</v>
      </c>
      <c r="D22" s="6" t="s">
        <v>23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>
        <v>0</v>
      </c>
      <c r="U22" s="6">
        <v>0</v>
      </c>
      <c r="V22" s="5">
        <f t="shared" si="2"/>
        <v>0</v>
      </c>
    </row>
    <row r="23" spans="1:22" x14ac:dyDescent="0.3">
      <c r="A23" s="12"/>
      <c r="B23" s="67"/>
      <c r="C23" s="70"/>
      <c r="D23" s="6" t="s">
        <v>24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>
        <v>0</v>
      </c>
      <c r="U23" s="6">
        <v>1</v>
      </c>
      <c r="V23" s="5">
        <f t="shared" si="2"/>
        <v>1</v>
      </c>
    </row>
    <row r="24" spans="1:22" x14ac:dyDescent="0.3">
      <c r="A24" s="13"/>
      <c r="B24" s="68"/>
      <c r="C24" s="71"/>
      <c r="D24" s="5" t="s">
        <v>25</v>
      </c>
      <c r="E24" s="5">
        <f t="shared" ref="E24:U24" si="5">SUM(E22:E23)</f>
        <v>0</v>
      </c>
      <c r="F24" s="5">
        <f t="shared" ref="F24:N24" si="6">SUM(F22:F23)</f>
        <v>0</v>
      </c>
      <c r="G24" s="5">
        <f t="shared" si="6"/>
        <v>0</v>
      </c>
      <c r="H24" s="5">
        <f t="shared" si="6"/>
        <v>0</v>
      </c>
      <c r="I24" s="5">
        <f t="shared" si="6"/>
        <v>0</v>
      </c>
      <c r="J24" s="5">
        <f t="shared" si="6"/>
        <v>0</v>
      </c>
      <c r="K24" s="5">
        <f t="shared" si="6"/>
        <v>0</v>
      </c>
      <c r="L24" s="5">
        <f t="shared" si="6"/>
        <v>0</v>
      </c>
      <c r="M24" s="5">
        <f t="shared" si="6"/>
        <v>0</v>
      </c>
      <c r="N24" s="5">
        <f t="shared" si="6"/>
        <v>0</v>
      </c>
      <c r="O24" s="5">
        <f t="shared" si="5"/>
        <v>0</v>
      </c>
      <c r="P24" s="5">
        <f t="shared" si="5"/>
        <v>0</v>
      </c>
      <c r="Q24" s="5">
        <f t="shared" si="5"/>
        <v>0</v>
      </c>
      <c r="R24" s="5">
        <f t="shared" si="5"/>
        <v>0</v>
      </c>
      <c r="S24" s="5">
        <f t="shared" si="5"/>
        <v>0</v>
      </c>
      <c r="T24" s="5">
        <f t="shared" si="5"/>
        <v>0</v>
      </c>
      <c r="U24" s="5">
        <f t="shared" si="5"/>
        <v>1</v>
      </c>
      <c r="V24" s="5">
        <f t="shared" si="2"/>
        <v>1</v>
      </c>
    </row>
    <row r="25" spans="1:22" x14ac:dyDescent="0.3">
      <c r="A25" s="12"/>
      <c r="B25" s="66" t="s">
        <v>32</v>
      </c>
      <c r="C25" s="69" t="s">
        <v>33</v>
      </c>
      <c r="D25" s="6" t="s">
        <v>23</v>
      </c>
      <c r="E25" s="6">
        <v>5</v>
      </c>
      <c r="F25" s="6">
        <v>6</v>
      </c>
      <c r="G25" s="6">
        <v>1</v>
      </c>
      <c r="H25" s="6">
        <v>0</v>
      </c>
      <c r="I25" s="6">
        <v>0</v>
      </c>
      <c r="J25" s="6">
        <v>1</v>
      </c>
      <c r="K25" s="6">
        <v>0</v>
      </c>
      <c r="L25" s="6">
        <v>1</v>
      </c>
      <c r="M25" s="6">
        <v>0</v>
      </c>
      <c r="N25" s="6">
        <v>4</v>
      </c>
      <c r="O25" s="6">
        <v>1</v>
      </c>
      <c r="P25" s="6">
        <v>2</v>
      </c>
      <c r="Q25" s="6">
        <v>3</v>
      </c>
      <c r="R25" s="6">
        <v>0</v>
      </c>
      <c r="S25" s="6">
        <v>3</v>
      </c>
      <c r="T25" s="6">
        <v>2</v>
      </c>
      <c r="U25" s="6">
        <v>0</v>
      </c>
      <c r="V25" s="5">
        <f t="shared" si="2"/>
        <v>29</v>
      </c>
    </row>
    <row r="26" spans="1:22" x14ac:dyDescent="0.3">
      <c r="A26" s="12"/>
      <c r="B26" s="67"/>
      <c r="C26" s="70"/>
      <c r="D26" s="6" t="s">
        <v>24</v>
      </c>
      <c r="E26" s="6">
        <v>3</v>
      </c>
      <c r="F26" s="6">
        <v>6</v>
      </c>
      <c r="G26" s="6">
        <v>2</v>
      </c>
      <c r="H26" s="6">
        <v>0</v>
      </c>
      <c r="I26" s="6">
        <v>0</v>
      </c>
      <c r="J26" s="6">
        <v>2</v>
      </c>
      <c r="K26" s="6">
        <v>0</v>
      </c>
      <c r="L26" s="6">
        <v>2</v>
      </c>
      <c r="M26" s="6">
        <v>0</v>
      </c>
      <c r="N26" s="6">
        <v>1</v>
      </c>
      <c r="O26" s="6">
        <v>1</v>
      </c>
      <c r="P26" s="6">
        <v>1</v>
      </c>
      <c r="Q26" s="6">
        <v>1</v>
      </c>
      <c r="R26" s="6">
        <v>1</v>
      </c>
      <c r="S26" s="6">
        <v>1</v>
      </c>
      <c r="T26" s="6">
        <v>3</v>
      </c>
      <c r="U26" s="6">
        <v>0</v>
      </c>
      <c r="V26" s="5">
        <f t="shared" si="2"/>
        <v>24</v>
      </c>
    </row>
    <row r="27" spans="1:22" x14ac:dyDescent="0.3">
      <c r="A27" s="13"/>
      <c r="B27" s="68"/>
      <c r="C27" s="71"/>
      <c r="D27" s="5" t="s">
        <v>25</v>
      </c>
      <c r="E27" s="5">
        <f t="shared" ref="E27:U27" si="7">SUM(E25:E26)</f>
        <v>8</v>
      </c>
      <c r="F27" s="5">
        <f t="shared" ref="F27:N27" si="8">SUM(F25:F26)</f>
        <v>12</v>
      </c>
      <c r="G27" s="5">
        <f t="shared" si="8"/>
        <v>3</v>
      </c>
      <c r="H27" s="5">
        <f t="shared" si="8"/>
        <v>0</v>
      </c>
      <c r="I27" s="5">
        <f t="shared" si="8"/>
        <v>0</v>
      </c>
      <c r="J27" s="5">
        <f t="shared" si="8"/>
        <v>3</v>
      </c>
      <c r="K27" s="5">
        <f t="shared" si="8"/>
        <v>0</v>
      </c>
      <c r="L27" s="5">
        <f t="shared" si="8"/>
        <v>3</v>
      </c>
      <c r="M27" s="5">
        <f t="shared" si="8"/>
        <v>0</v>
      </c>
      <c r="N27" s="5">
        <f t="shared" si="8"/>
        <v>5</v>
      </c>
      <c r="O27" s="5">
        <f t="shared" si="7"/>
        <v>2</v>
      </c>
      <c r="P27" s="5">
        <f t="shared" si="7"/>
        <v>3</v>
      </c>
      <c r="Q27" s="5">
        <f t="shared" si="7"/>
        <v>4</v>
      </c>
      <c r="R27" s="5">
        <f t="shared" si="7"/>
        <v>1</v>
      </c>
      <c r="S27" s="5">
        <f t="shared" si="7"/>
        <v>4</v>
      </c>
      <c r="T27" s="5">
        <f t="shared" si="7"/>
        <v>5</v>
      </c>
      <c r="U27" s="5">
        <f t="shared" si="7"/>
        <v>0</v>
      </c>
      <c r="V27" s="5">
        <f t="shared" si="2"/>
        <v>53</v>
      </c>
    </row>
    <row r="28" spans="1:22" x14ac:dyDescent="0.3">
      <c r="A28" s="13"/>
      <c r="B28" s="72" t="s">
        <v>34</v>
      </c>
      <c r="C28" s="73" t="s">
        <v>35</v>
      </c>
      <c r="D28" s="5" t="s">
        <v>23</v>
      </c>
      <c r="E28" s="5">
        <f>SUM(E19,E22,E25)</f>
        <v>119</v>
      </c>
      <c r="F28" s="5">
        <f t="shared" ref="F28:N28" si="9">SUM(F19,F22,F25)</f>
        <v>96</v>
      </c>
      <c r="G28" s="5">
        <f t="shared" si="9"/>
        <v>72</v>
      </c>
      <c r="H28" s="5">
        <f t="shared" si="9"/>
        <v>89</v>
      </c>
      <c r="I28" s="5">
        <f t="shared" si="9"/>
        <v>80</v>
      </c>
      <c r="J28" s="5">
        <f t="shared" si="9"/>
        <v>66</v>
      </c>
      <c r="K28" s="5">
        <f t="shared" si="9"/>
        <v>63</v>
      </c>
      <c r="L28" s="5">
        <f t="shared" si="9"/>
        <v>93</v>
      </c>
      <c r="M28" s="5">
        <f t="shared" si="9"/>
        <v>82</v>
      </c>
      <c r="N28" s="5">
        <f t="shared" si="9"/>
        <v>90</v>
      </c>
      <c r="O28" s="5">
        <f t="shared" ref="O28:U29" si="10">SUM(O19,O22,O25)</f>
        <v>82</v>
      </c>
      <c r="P28" s="5">
        <f t="shared" si="10"/>
        <v>85</v>
      </c>
      <c r="Q28" s="5">
        <f t="shared" si="10"/>
        <v>84</v>
      </c>
      <c r="R28" s="5">
        <f t="shared" si="10"/>
        <v>66</v>
      </c>
      <c r="S28" s="5">
        <f t="shared" si="10"/>
        <v>84</v>
      </c>
      <c r="T28" s="5">
        <f t="shared" si="10"/>
        <v>84</v>
      </c>
      <c r="U28" s="5">
        <f t="shared" si="10"/>
        <v>107</v>
      </c>
      <c r="V28" s="5">
        <f t="shared" si="2"/>
        <v>1442</v>
      </c>
    </row>
    <row r="29" spans="1:22" x14ac:dyDescent="0.3">
      <c r="A29" s="13"/>
      <c r="B29" s="67"/>
      <c r="C29" s="70"/>
      <c r="D29" s="5" t="s">
        <v>24</v>
      </c>
      <c r="E29" s="5">
        <f>SUM(E20,E23,E26)</f>
        <v>97</v>
      </c>
      <c r="F29" s="5">
        <f t="shared" ref="F29:N29" si="11">SUM(F20,F23,F26)</f>
        <v>96</v>
      </c>
      <c r="G29" s="5">
        <f t="shared" si="11"/>
        <v>83</v>
      </c>
      <c r="H29" s="5">
        <f t="shared" si="11"/>
        <v>95</v>
      </c>
      <c r="I29" s="5">
        <f t="shared" si="11"/>
        <v>102</v>
      </c>
      <c r="J29" s="5">
        <f t="shared" si="11"/>
        <v>79</v>
      </c>
      <c r="K29" s="5">
        <f t="shared" si="11"/>
        <v>74</v>
      </c>
      <c r="L29" s="5">
        <f t="shared" si="11"/>
        <v>102</v>
      </c>
      <c r="M29" s="5">
        <f t="shared" si="11"/>
        <v>79</v>
      </c>
      <c r="N29" s="5">
        <f t="shared" si="11"/>
        <v>96</v>
      </c>
      <c r="O29" s="5">
        <f t="shared" si="10"/>
        <v>75</v>
      </c>
      <c r="P29" s="5">
        <f t="shared" si="10"/>
        <v>87</v>
      </c>
      <c r="Q29" s="5">
        <f t="shared" si="10"/>
        <v>97</v>
      </c>
      <c r="R29" s="5">
        <f t="shared" si="10"/>
        <v>75</v>
      </c>
      <c r="S29" s="5">
        <f t="shared" si="10"/>
        <v>96</v>
      </c>
      <c r="T29" s="5">
        <f t="shared" si="10"/>
        <v>105</v>
      </c>
      <c r="U29" s="5">
        <f t="shared" si="10"/>
        <v>105</v>
      </c>
      <c r="V29" s="5">
        <f t="shared" si="2"/>
        <v>1543</v>
      </c>
    </row>
    <row r="30" spans="1:22" x14ac:dyDescent="0.3">
      <c r="A30" s="13"/>
      <c r="B30" s="68"/>
      <c r="C30" s="71"/>
      <c r="D30" s="5" t="s">
        <v>25</v>
      </c>
      <c r="E30" s="5">
        <f t="shared" ref="E30:U30" si="12">SUM(E28:E29)</f>
        <v>216</v>
      </c>
      <c r="F30" s="5">
        <f t="shared" ref="F30:N30" si="13">SUM(F28:F29)</f>
        <v>192</v>
      </c>
      <c r="G30" s="5">
        <f t="shared" si="13"/>
        <v>155</v>
      </c>
      <c r="H30" s="5">
        <f t="shared" si="13"/>
        <v>184</v>
      </c>
      <c r="I30" s="5">
        <f t="shared" si="13"/>
        <v>182</v>
      </c>
      <c r="J30" s="5">
        <f t="shared" si="13"/>
        <v>145</v>
      </c>
      <c r="K30" s="5">
        <f t="shared" si="13"/>
        <v>137</v>
      </c>
      <c r="L30" s="5">
        <f t="shared" si="13"/>
        <v>195</v>
      </c>
      <c r="M30" s="5">
        <f t="shared" si="13"/>
        <v>161</v>
      </c>
      <c r="N30" s="5">
        <f t="shared" si="13"/>
        <v>186</v>
      </c>
      <c r="O30" s="5">
        <f t="shared" si="12"/>
        <v>157</v>
      </c>
      <c r="P30" s="5">
        <f t="shared" si="12"/>
        <v>172</v>
      </c>
      <c r="Q30" s="5">
        <f t="shared" si="12"/>
        <v>181</v>
      </c>
      <c r="R30" s="5">
        <f t="shared" si="12"/>
        <v>141</v>
      </c>
      <c r="S30" s="5">
        <f t="shared" si="12"/>
        <v>180</v>
      </c>
      <c r="T30" s="5">
        <f t="shared" si="12"/>
        <v>189</v>
      </c>
      <c r="U30" s="5">
        <f t="shared" si="12"/>
        <v>212</v>
      </c>
      <c r="V30" s="5">
        <f t="shared" si="2"/>
        <v>2985</v>
      </c>
    </row>
    <row r="31" spans="1:22" x14ac:dyDescent="0.3">
      <c r="A31" s="62"/>
      <c r="B31" s="63"/>
      <c r="C31" s="63"/>
      <c r="D31" s="64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6"/>
      <c r="Q31" s="6"/>
      <c r="R31" s="6"/>
      <c r="S31" s="6"/>
      <c r="T31" s="6"/>
      <c r="U31" s="6"/>
      <c r="V31" s="28"/>
    </row>
    <row r="32" spans="1:22" x14ac:dyDescent="0.3">
      <c r="A32" s="14" t="s">
        <v>36</v>
      </c>
      <c r="B32" s="65" t="s">
        <v>37</v>
      </c>
      <c r="C32" s="63"/>
      <c r="D32" s="64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5"/>
      <c r="Q32" s="5"/>
      <c r="R32" s="5"/>
      <c r="S32" s="5"/>
      <c r="T32" s="5"/>
      <c r="U32" s="5"/>
      <c r="V32" s="28"/>
    </row>
    <row r="33" spans="1:22" x14ac:dyDescent="0.3">
      <c r="A33" s="6">
        <v>1</v>
      </c>
      <c r="B33" s="76" t="s">
        <v>38</v>
      </c>
      <c r="C33" s="63"/>
      <c r="D33" s="64"/>
      <c r="E33" s="6">
        <v>256</v>
      </c>
      <c r="F33" s="6">
        <v>215</v>
      </c>
      <c r="G33" s="6">
        <v>291</v>
      </c>
      <c r="H33" s="6">
        <v>243</v>
      </c>
      <c r="I33" s="6">
        <v>220</v>
      </c>
      <c r="J33" s="6">
        <v>184</v>
      </c>
      <c r="K33" s="6">
        <v>173</v>
      </c>
      <c r="L33" s="6">
        <v>247</v>
      </c>
      <c r="M33" s="6">
        <v>198</v>
      </c>
      <c r="N33" s="6">
        <v>229</v>
      </c>
      <c r="O33" s="6">
        <v>190</v>
      </c>
      <c r="P33" s="6">
        <v>210</v>
      </c>
      <c r="Q33" s="6">
        <v>257</v>
      </c>
      <c r="R33" s="6">
        <v>169</v>
      </c>
      <c r="S33" s="6">
        <v>216</v>
      </c>
      <c r="T33" s="6">
        <v>209</v>
      </c>
      <c r="U33" s="6">
        <v>239</v>
      </c>
      <c r="V33" s="5">
        <f>SUM(E33:U33)</f>
        <v>3746</v>
      </c>
    </row>
    <row r="34" spans="1:22" x14ac:dyDescent="0.3">
      <c r="A34" s="6">
        <v>2</v>
      </c>
      <c r="B34" s="76" t="s">
        <v>39</v>
      </c>
      <c r="C34" s="63"/>
      <c r="D34" s="64"/>
      <c r="E34" s="5">
        <v>216</v>
      </c>
      <c r="F34" s="5">
        <v>192</v>
      </c>
      <c r="G34" s="5">
        <v>155</v>
      </c>
      <c r="H34" s="5">
        <v>184</v>
      </c>
      <c r="I34" s="5">
        <v>182</v>
      </c>
      <c r="J34" s="5">
        <v>145</v>
      </c>
      <c r="K34" s="5">
        <v>137</v>
      </c>
      <c r="L34" s="5">
        <v>195</v>
      </c>
      <c r="M34" s="5">
        <v>161</v>
      </c>
      <c r="N34" s="5">
        <v>186</v>
      </c>
      <c r="O34" s="5">
        <v>157</v>
      </c>
      <c r="P34" s="5">
        <v>172</v>
      </c>
      <c r="Q34" s="5">
        <v>181</v>
      </c>
      <c r="R34" s="5">
        <v>141</v>
      </c>
      <c r="S34" s="5">
        <v>180</v>
      </c>
      <c r="T34" s="5">
        <v>189</v>
      </c>
      <c r="U34" s="5">
        <v>212</v>
      </c>
      <c r="V34" s="5">
        <f>SUM(E34:U34)</f>
        <v>2985</v>
      </c>
    </row>
    <row r="35" spans="1:22" x14ac:dyDescent="0.3">
      <c r="A35" s="6">
        <v>3</v>
      </c>
      <c r="B35" s="76" t="s">
        <v>40</v>
      </c>
      <c r="C35" s="63"/>
      <c r="D35" s="64"/>
      <c r="E35" s="6">
        <v>0</v>
      </c>
      <c r="F35" s="6">
        <v>0</v>
      </c>
      <c r="G35" s="6">
        <v>0</v>
      </c>
      <c r="H35" s="6">
        <v>0</v>
      </c>
      <c r="I35" s="6">
        <v>2</v>
      </c>
      <c r="J35" s="6">
        <v>0</v>
      </c>
      <c r="K35" s="6">
        <v>0</v>
      </c>
      <c r="L35" s="6">
        <v>4</v>
      </c>
      <c r="M35" s="6">
        <v>2</v>
      </c>
      <c r="N35" s="6">
        <v>1</v>
      </c>
      <c r="O35" s="6">
        <v>0</v>
      </c>
      <c r="P35" s="6">
        <v>0</v>
      </c>
      <c r="Q35" s="6">
        <v>2</v>
      </c>
      <c r="R35" s="6">
        <v>0</v>
      </c>
      <c r="S35" s="6">
        <v>1</v>
      </c>
      <c r="T35" s="6">
        <v>0</v>
      </c>
      <c r="U35" s="6">
        <v>1</v>
      </c>
      <c r="V35" s="5">
        <f>SUM(E35:U35)</f>
        <v>13</v>
      </c>
    </row>
    <row r="36" spans="1:22" x14ac:dyDescent="0.3">
      <c r="A36" s="6">
        <v>4</v>
      </c>
      <c r="B36" s="76" t="s">
        <v>41</v>
      </c>
      <c r="C36" s="63"/>
      <c r="D36" s="64"/>
      <c r="E36" s="5">
        <f t="shared" ref="E36:U36" si="14">E33-(E34+E35)</f>
        <v>40</v>
      </c>
      <c r="F36" s="5">
        <f t="shared" ref="F36:N36" si="15">F33-(F34+F35)</f>
        <v>23</v>
      </c>
      <c r="G36" s="5">
        <f t="shared" si="15"/>
        <v>136</v>
      </c>
      <c r="H36" s="5">
        <f t="shared" si="15"/>
        <v>59</v>
      </c>
      <c r="I36" s="5">
        <f t="shared" si="15"/>
        <v>36</v>
      </c>
      <c r="J36" s="5">
        <f t="shared" si="15"/>
        <v>39</v>
      </c>
      <c r="K36" s="5">
        <f t="shared" si="15"/>
        <v>36</v>
      </c>
      <c r="L36" s="5">
        <f t="shared" si="15"/>
        <v>48</v>
      </c>
      <c r="M36" s="5">
        <f t="shared" si="15"/>
        <v>35</v>
      </c>
      <c r="N36" s="5">
        <f t="shared" si="15"/>
        <v>42</v>
      </c>
      <c r="O36" s="5">
        <f t="shared" si="14"/>
        <v>33</v>
      </c>
      <c r="P36" s="5">
        <f t="shared" si="14"/>
        <v>38</v>
      </c>
      <c r="Q36" s="5">
        <f t="shared" si="14"/>
        <v>74</v>
      </c>
      <c r="R36" s="5">
        <f t="shared" si="14"/>
        <v>28</v>
      </c>
      <c r="S36" s="5">
        <f t="shared" si="14"/>
        <v>35</v>
      </c>
      <c r="T36" s="5">
        <f t="shared" si="14"/>
        <v>20</v>
      </c>
      <c r="U36" s="5">
        <f t="shared" si="14"/>
        <v>26</v>
      </c>
      <c r="V36" s="5">
        <f>SUM(E36:U36)</f>
        <v>748</v>
      </c>
    </row>
    <row r="37" spans="1:22" x14ac:dyDescent="0.3">
      <c r="A37" s="62"/>
      <c r="B37" s="63"/>
      <c r="C37" s="63"/>
      <c r="D37" s="63"/>
      <c r="E37" s="62"/>
      <c r="F37" s="89"/>
      <c r="G37" s="89"/>
      <c r="H37" s="89"/>
      <c r="I37" s="89"/>
      <c r="J37" s="89"/>
      <c r="K37" s="89"/>
      <c r="L37" s="89"/>
      <c r="M37" s="89"/>
      <c r="N37" s="89"/>
      <c r="O37" s="103"/>
      <c r="P37" s="103"/>
      <c r="Q37" s="103"/>
      <c r="R37" s="103"/>
      <c r="S37" s="103"/>
      <c r="T37" s="103"/>
      <c r="U37" s="103"/>
      <c r="V37" s="28"/>
    </row>
    <row r="38" spans="1:22" x14ac:dyDescent="0.3">
      <c r="A38" s="16" t="s">
        <v>42</v>
      </c>
      <c r="B38" s="65" t="s">
        <v>43</v>
      </c>
      <c r="C38" s="63"/>
      <c r="D38" s="64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  <c r="Q38" s="5"/>
      <c r="R38" s="5"/>
      <c r="S38" s="5"/>
      <c r="T38" s="5"/>
      <c r="U38" s="5"/>
      <c r="V38" s="28"/>
    </row>
    <row r="39" spans="1:22" x14ac:dyDescent="0.3">
      <c r="A39" s="11"/>
      <c r="B39" s="80" t="s">
        <v>44</v>
      </c>
      <c r="C39" s="78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>
        <v>1</v>
      </c>
      <c r="S39" s="6"/>
      <c r="T39" s="6"/>
      <c r="U39" s="6"/>
      <c r="V39" s="5">
        <f>SUM(E39:U39)</f>
        <v>1</v>
      </c>
    </row>
    <row r="40" spans="1:22" x14ac:dyDescent="0.3">
      <c r="A40" s="12"/>
      <c r="B40" s="81"/>
      <c r="C40" s="67"/>
      <c r="D40" s="6" t="s">
        <v>24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5">
        <f>SUM(E40:U40)</f>
        <v>0</v>
      </c>
    </row>
    <row r="41" spans="1:22" x14ac:dyDescent="0.3">
      <c r="A41" s="14"/>
      <c r="B41" s="82"/>
      <c r="C41" s="68"/>
      <c r="D41" s="5" t="s">
        <v>25</v>
      </c>
      <c r="E41" s="5">
        <f t="shared" ref="E41:U41" si="16">SUM(E39:E40)</f>
        <v>0</v>
      </c>
      <c r="F41" s="5">
        <f t="shared" ref="F41:N41" si="17">SUM(F39:F40)</f>
        <v>0</v>
      </c>
      <c r="G41" s="5">
        <f t="shared" si="17"/>
        <v>0</v>
      </c>
      <c r="H41" s="5">
        <f t="shared" si="17"/>
        <v>0</v>
      </c>
      <c r="I41" s="5">
        <f t="shared" si="17"/>
        <v>0</v>
      </c>
      <c r="J41" s="5">
        <f t="shared" si="17"/>
        <v>0</v>
      </c>
      <c r="K41" s="5">
        <f t="shared" si="17"/>
        <v>0</v>
      </c>
      <c r="L41" s="5">
        <f t="shared" si="17"/>
        <v>0</v>
      </c>
      <c r="M41" s="5">
        <f t="shared" si="17"/>
        <v>0</v>
      </c>
      <c r="N41" s="5">
        <f t="shared" si="17"/>
        <v>0</v>
      </c>
      <c r="O41" s="5">
        <f t="shared" si="16"/>
        <v>0</v>
      </c>
      <c r="P41" s="5">
        <f t="shared" si="16"/>
        <v>0</v>
      </c>
      <c r="Q41" s="5">
        <f t="shared" si="16"/>
        <v>0</v>
      </c>
      <c r="R41" s="5">
        <f t="shared" si="16"/>
        <v>1</v>
      </c>
      <c r="S41" s="5">
        <f t="shared" si="16"/>
        <v>0</v>
      </c>
      <c r="T41" s="5">
        <f t="shared" si="16"/>
        <v>0</v>
      </c>
      <c r="U41" s="5">
        <f t="shared" si="16"/>
        <v>0</v>
      </c>
      <c r="V41" s="5">
        <f>SUM(E41:U41)</f>
        <v>1</v>
      </c>
    </row>
    <row r="42" spans="1:22" x14ac:dyDescent="0.3">
      <c r="A42" s="83"/>
      <c r="B42" s="82"/>
      <c r="C42" s="82"/>
      <c r="D42" s="68"/>
      <c r="E42" s="62"/>
      <c r="F42" s="89"/>
      <c r="G42" s="89"/>
      <c r="H42" s="89"/>
      <c r="I42" s="89"/>
      <c r="J42" s="89"/>
      <c r="K42" s="89"/>
      <c r="L42" s="89"/>
      <c r="M42" s="89"/>
      <c r="N42" s="89"/>
      <c r="O42" s="63"/>
      <c r="P42" s="63"/>
      <c r="Q42" s="63"/>
      <c r="R42" s="63"/>
      <c r="S42" s="63"/>
      <c r="T42" s="63"/>
      <c r="U42" s="63"/>
      <c r="V42" s="5"/>
    </row>
    <row r="43" spans="1:22" ht="13.15" customHeight="1" x14ac:dyDescent="0.3">
      <c r="A43" s="16" t="s">
        <v>45</v>
      </c>
      <c r="B43" s="65" t="s">
        <v>46</v>
      </c>
      <c r="C43" s="63"/>
      <c r="D43" s="6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  <c r="Q43" s="5"/>
      <c r="R43" s="5"/>
      <c r="S43" s="5"/>
      <c r="T43" s="5"/>
      <c r="U43" s="5"/>
      <c r="V43" s="5"/>
    </row>
    <row r="44" spans="1:22" ht="13.15" customHeight="1" x14ac:dyDescent="0.3">
      <c r="A44" s="80" t="s">
        <v>47</v>
      </c>
      <c r="B44" s="85"/>
      <c r="C44" s="85"/>
      <c r="D44" s="78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6"/>
      <c r="Q44" s="6"/>
      <c r="R44" s="6"/>
      <c r="S44" s="6"/>
      <c r="T44" s="6"/>
      <c r="U44" s="6"/>
      <c r="V44" s="5"/>
    </row>
    <row r="45" spans="1:22" x14ac:dyDescent="0.3">
      <c r="A45" s="11" t="s">
        <v>48</v>
      </c>
      <c r="B45" s="17" t="s">
        <v>28</v>
      </c>
      <c r="C45" s="86" t="s">
        <v>49</v>
      </c>
      <c r="D45" s="64"/>
      <c r="E45" s="6">
        <v>7</v>
      </c>
      <c r="F45" s="6">
        <v>3</v>
      </c>
      <c r="G45" s="6">
        <v>8</v>
      </c>
      <c r="H45" s="6">
        <v>5</v>
      </c>
      <c r="I45" s="6">
        <v>7</v>
      </c>
      <c r="J45" s="6">
        <v>3</v>
      </c>
      <c r="K45" s="6">
        <v>6</v>
      </c>
      <c r="L45" s="6">
        <v>6</v>
      </c>
      <c r="M45" s="6">
        <v>3</v>
      </c>
      <c r="N45" s="6">
        <v>4</v>
      </c>
      <c r="O45" s="6">
        <v>3</v>
      </c>
      <c r="P45" s="6">
        <v>1</v>
      </c>
      <c r="Q45" s="6">
        <v>3</v>
      </c>
      <c r="R45" s="6">
        <v>6</v>
      </c>
      <c r="S45" s="6">
        <v>8</v>
      </c>
      <c r="T45" s="6">
        <v>6</v>
      </c>
      <c r="U45" s="6">
        <v>12</v>
      </c>
      <c r="V45" s="5">
        <f t="shared" ref="V45:V54" si="18">SUM(E45:U45)</f>
        <v>91</v>
      </c>
    </row>
    <row r="46" spans="1:22" x14ac:dyDescent="0.3">
      <c r="A46" s="11" t="s">
        <v>50</v>
      </c>
      <c r="B46" s="50"/>
      <c r="C46" s="24" t="s">
        <v>115</v>
      </c>
      <c r="D46" s="49"/>
      <c r="E46" s="6">
        <v>17</v>
      </c>
      <c r="F46" s="6">
        <v>19</v>
      </c>
      <c r="G46" s="6">
        <v>12</v>
      </c>
      <c r="H46" s="6">
        <v>12</v>
      </c>
      <c r="I46" s="6">
        <v>25</v>
      </c>
      <c r="J46" s="6">
        <v>8</v>
      </c>
      <c r="K46" s="6">
        <v>17</v>
      </c>
      <c r="L46" s="6">
        <v>16</v>
      </c>
      <c r="M46" s="6">
        <v>3</v>
      </c>
      <c r="N46" s="6">
        <v>4</v>
      </c>
      <c r="O46" s="6">
        <v>7</v>
      </c>
      <c r="P46" s="6">
        <v>7</v>
      </c>
      <c r="Q46" s="6">
        <v>9</v>
      </c>
      <c r="R46" s="6">
        <v>7</v>
      </c>
      <c r="S46" s="6">
        <v>17</v>
      </c>
      <c r="T46" s="6">
        <v>18</v>
      </c>
      <c r="U46" s="6">
        <v>34</v>
      </c>
      <c r="V46" s="5">
        <f t="shared" si="18"/>
        <v>232</v>
      </c>
    </row>
    <row r="47" spans="1:22" x14ac:dyDescent="0.3">
      <c r="A47" s="7"/>
      <c r="B47" s="50"/>
      <c r="C47" s="24" t="s">
        <v>116</v>
      </c>
      <c r="D47" s="49"/>
      <c r="E47" s="6">
        <v>4</v>
      </c>
      <c r="F47" s="6">
        <v>3</v>
      </c>
      <c r="G47" s="6">
        <v>2</v>
      </c>
      <c r="H47" s="6">
        <v>4</v>
      </c>
      <c r="I47" s="6">
        <v>7</v>
      </c>
      <c r="J47" s="6">
        <v>0</v>
      </c>
      <c r="K47" s="6">
        <v>1</v>
      </c>
      <c r="L47" s="6">
        <v>3</v>
      </c>
      <c r="M47" s="6">
        <v>0</v>
      </c>
      <c r="N47" s="6">
        <v>5</v>
      </c>
      <c r="O47" s="6">
        <v>3</v>
      </c>
      <c r="P47" s="6">
        <v>1</v>
      </c>
      <c r="Q47" s="6">
        <v>3</v>
      </c>
      <c r="R47" s="6">
        <v>3</v>
      </c>
      <c r="S47" s="6">
        <v>8</v>
      </c>
      <c r="T47" s="6">
        <v>5</v>
      </c>
      <c r="U47" s="6">
        <v>5</v>
      </c>
      <c r="V47" s="5">
        <f t="shared" si="18"/>
        <v>57</v>
      </c>
    </row>
    <row r="48" spans="1:22" x14ac:dyDescent="0.3">
      <c r="A48" s="7"/>
      <c r="B48" s="50"/>
      <c r="C48" s="24" t="s">
        <v>117</v>
      </c>
      <c r="D48" s="49"/>
      <c r="E48" s="6">
        <v>0</v>
      </c>
      <c r="F48" s="6">
        <v>1</v>
      </c>
      <c r="G48" s="6">
        <v>1</v>
      </c>
      <c r="H48" s="6">
        <v>0</v>
      </c>
      <c r="I48" s="6">
        <v>0</v>
      </c>
      <c r="J48" s="6">
        <v>1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1</v>
      </c>
      <c r="S48" s="6">
        <v>0</v>
      </c>
      <c r="T48" s="6">
        <v>2</v>
      </c>
      <c r="U48" s="6">
        <v>0</v>
      </c>
      <c r="V48" s="5">
        <f t="shared" si="18"/>
        <v>6</v>
      </c>
    </row>
    <row r="49" spans="1:22" x14ac:dyDescent="0.3">
      <c r="A49" s="7"/>
      <c r="B49" s="50"/>
      <c r="C49" s="24" t="s">
        <v>118</v>
      </c>
      <c r="D49" s="49"/>
      <c r="E49" s="6">
        <v>1</v>
      </c>
      <c r="F49" s="6">
        <v>1</v>
      </c>
      <c r="G49" s="6">
        <v>2</v>
      </c>
      <c r="H49" s="6">
        <v>2</v>
      </c>
      <c r="I49" s="6">
        <v>1</v>
      </c>
      <c r="J49" s="6">
        <v>0</v>
      </c>
      <c r="K49" s="6">
        <v>0</v>
      </c>
      <c r="L49" s="6">
        <v>1</v>
      </c>
      <c r="M49" s="6">
        <v>0</v>
      </c>
      <c r="N49" s="6">
        <v>1</v>
      </c>
      <c r="O49" s="6">
        <v>1</v>
      </c>
      <c r="P49" s="6">
        <v>2</v>
      </c>
      <c r="Q49" s="6">
        <v>2</v>
      </c>
      <c r="R49" s="6">
        <v>2</v>
      </c>
      <c r="S49" s="6">
        <v>5</v>
      </c>
      <c r="T49" s="6">
        <v>2</v>
      </c>
      <c r="U49" s="6">
        <v>18</v>
      </c>
      <c r="V49" s="5">
        <f t="shared" si="18"/>
        <v>41</v>
      </c>
    </row>
    <row r="50" spans="1:22" x14ac:dyDescent="0.3">
      <c r="A50" s="7"/>
      <c r="B50" s="50"/>
      <c r="C50" s="24" t="s">
        <v>119</v>
      </c>
      <c r="D50" s="49"/>
      <c r="E50" s="6">
        <v>0</v>
      </c>
      <c r="F50" s="6">
        <v>2</v>
      </c>
      <c r="G50" s="6">
        <v>2</v>
      </c>
      <c r="H50" s="6">
        <v>2</v>
      </c>
      <c r="I50" s="6">
        <v>0</v>
      </c>
      <c r="J50" s="6">
        <v>0</v>
      </c>
      <c r="K50" s="6">
        <v>0</v>
      </c>
      <c r="L50" s="6">
        <v>0</v>
      </c>
      <c r="M50" s="6">
        <v>1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1</v>
      </c>
      <c r="U50" s="6">
        <v>0</v>
      </c>
      <c r="V50" s="5">
        <f t="shared" si="18"/>
        <v>8</v>
      </c>
    </row>
    <row r="51" spans="1:22" x14ac:dyDescent="0.3">
      <c r="A51" s="7"/>
      <c r="B51" s="50"/>
      <c r="C51" s="24" t="s">
        <v>120</v>
      </c>
      <c r="D51" s="49"/>
      <c r="E51" s="6">
        <v>0</v>
      </c>
      <c r="F51" s="6">
        <v>1</v>
      </c>
      <c r="G51" s="6">
        <v>0</v>
      </c>
      <c r="H51" s="6">
        <v>1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1</v>
      </c>
      <c r="U51" s="6">
        <v>0</v>
      </c>
      <c r="V51" s="5">
        <f t="shared" si="18"/>
        <v>3</v>
      </c>
    </row>
    <row r="52" spans="1:22" ht="13.15" customHeight="1" x14ac:dyDescent="0.3">
      <c r="A52" s="7"/>
      <c r="B52" s="50"/>
      <c r="C52" s="24" t="s">
        <v>121</v>
      </c>
      <c r="D52" s="49"/>
      <c r="E52" s="6">
        <v>0</v>
      </c>
      <c r="F52" s="6">
        <v>0</v>
      </c>
      <c r="G52" s="6">
        <v>0</v>
      </c>
      <c r="H52" s="6">
        <v>1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1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5">
        <f t="shared" si="18"/>
        <v>2</v>
      </c>
    </row>
    <row r="53" spans="1:22" ht="13.15" customHeight="1" x14ac:dyDescent="0.3">
      <c r="A53" s="7"/>
      <c r="B53" s="50"/>
      <c r="C53" s="24" t="s">
        <v>122</v>
      </c>
      <c r="D53" s="51"/>
      <c r="E53" s="6">
        <v>1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1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5">
        <f t="shared" si="18"/>
        <v>2</v>
      </c>
    </row>
    <row r="54" spans="1:22" ht="13.15" customHeight="1" x14ac:dyDescent="0.3">
      <c r="A54" s="7"/>
      <c r="B54" s="50"/>
      <c r="C54" s="24" t="s">
        <v>123</v>
      </c>
      <c r="D54" s="49"/>
      <c r="E54" s="6">
        <v>1</v>
      </c>
      <c r="F54" s="6">
        <v>0</v>
      </c>
      <c r="G54" s="6">
        <v>0</v>
      </c>
      <c r="H54" s="6">
        <v>1</v>
      </c>
      <c r="I54" s="6">
        <v>0</v>
      </c>
      <c r="J54" s="6">
        <v>0</v>
      </c>
      <c r="K54" s="6">
        <v>0</v>
      </c>
      <c r="L54" s="6">
        <v>1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5">
        <f t="shared" si="18"/>
        <v>3</v>
      </c>
    </row>
    <row r="55" spans="1:22" x14ac:dyDescent="0.3">
      <c r="A55" s="6" t="s">
        <v>26</v>
      </c>
      <c r="B55" s="84" t="s">
        <v>51</v>
      </c>
      <c r="C55" s="63"/>
      <c r="D55" s="64"/>
      <c r="E55" s="5">
        <f>SUM(E45:E54)</f>
        <v>31</v>
      </c>
      <c r="F55" s="5">
        <f t="shared" ref="F55:V55" si="19">SUM(F45:F54)</f>
        <v>30</v>
      </c>
      <c r="G55" s="5">
        <f t="shared" si="19"/>
        <v>27</v>
      </c>
      <c r="H55" s="5">
        <f t="shared" si="19"/>
        <v>28</v>
      </c>
      <c r="I55" s="5">
        <f t="shared" si="19"/>
        <v>40</v>
      </c>
      <c r="J55" s="5">
        <f t="shared" si="19"/>
        <v>12</v>
      </c>
      <c r="K55" s="5">
        <f t="shared" si="19"/>
        <v>24</v>
      </c>
      <c r="L55" s="5">
        <f t="shared" si="19"/>
        <v>28</v>
      </c>
      <c r="M55" s="5">
        <f t="shared" si="19"/>
        <v>7</v>
      </c>
      <c r="N55" s="5">
        <f t="shared" si="19"/>
        <v>14</v>
      </c>
      <c r="O55" s="5">
        <f t="shared" si="19"/>
        <v>15</v>
      </c>
      <c r="P55" s="5">
        <f t="shared" si="19"/>
        <v>11</v>
      </c>
      <c r="Q55" s="5">
        <f t="shared" si="19"/>
        <v>17</v>
      </c>
      <c r="R55" s="5">
        <f t="shared" si="19"/>
        <v>19</v>
      </c>
      <c r="S55" s="5">
        <f t="shared" si="19"/>
        <v>38</v>
      </c>
      <c r="T55" s="5">
        <f t="shared" si="19"/>
        <v>35</v>
      </c>
      <c r="U55" s="5">
        <f t="shared" si="19"/>
        <v>69</v>
      </c>
      <c r="V55" s="5">
        <f t="shared" si="19"/>
        <v>445</v>
      </c>
    </row>
    <row r="56" spans="1:22" x14ac:dyDescent="0.3">
      <c r="A56" s="83"/>
      <c r="B56" s="82"/>
      <c r="C56" s="82"/>
      <c r="D56" s="82"/>
      <c r="E56" s="82"/>
      <c r="V56" s="5"/>
    </row>
    <row r="57" spans="1:22" x14ac:dyDescent="0.3">
      <c r="A57" s="11" t="s">
        <v>48</v>
      </c>
      <c r="B57" s="17" t="s">
        <v>30</v>
      </c>
      <c r="C57" s="86" t="s">
        <v>52</v>
      </c>
      <c r="D57" s="64"/>
      <c r="E57" s="6">
        <v>16</v>
      </c>
      <c r="F57" s="6">
        <v>17</v>
      </c>
      <c r="G57" s="6">
        <v>24</v>
      </c>
      <c r="H57" s="6">
        <v>13</v>
      </c>
      <c r="I57" s="6">
        <v>17</v>
      </c>
      <c r="J57" s="6">
        <v>3</v>
      </c>
      <c r="K57" s="6">
        <v>16</v>
      </c>
      <c r="L57" s="6">
        <v>4</v>
      </c>
      <c r="M57" s="6">
        <v>5</v>
      </c>
      <c r="N57" s="6">
        <v>9</v>
      </c>
      <c r="O57" s="6">
        <v>9</v>
      </c>
      <c r="P57" s="6">
        <v>12</v>
      </c>
      <c r="Q57" s="6">
        <v>13</v>
      </c>
      <c r="R57" s="6">
        <v>15</v>
      </c>
      <c r="S57" s="6">
        <v>7</v>
      </c>
      <c r="T57" s="6">
        <v>15</v>
      </c>
      <c r="U57" s="6">
        <v>7</v>
      </c>
      <c r="V57" s="5">
        <f t="shared" ref="V57:V66" si="20">SUM(E57:U57)</f>
        <v>202</v>
      </c>
    </row>
    <row r="58" spans="1:22" x14ac:dyDescent="0.3">
      <c r="A58" s="11" t="s">
        <v>50</v>
      </c>
      <c r="B58" s="50"/>
      <c r="C58" s="24" t="s">
        <v>124</v>
      </c>
      <c r="D58" s="49"/>
      <c r="E58" s="6">
        <v>19</v>
      </c>
      <c r="F58" s="6">
        <v>10</v>
      </c>
      <c r="G58" s="6">
        <v>6</v>
      </c>
      <c r="H58" s="6">
        <v>10</v>
      </c>
      <c r="I58" s="6">
        <v>18</v>
      </c>
      <c r="J58" s="6">
        <v>6</v>
      </c>
      <c r="K58" s="6">
        <v>6</v>
      </c>
      <c r="L58" s="6">
        <v>19</v>
      </c>
      <c r="M58" s="6">
        <v>69</v>
      </c>
      <c r="N58" s="6">
        <v>5</v>
      </c>
      <c r="O58" s="6">
        <v>7</v>
      </c>
      <c r="P58" s="6">
        <v>3</v>
      </c>
      <c r="Q58" s="6">
        <v>4</v>
      </c>
      <c r="R58" s="6">
        <v>7</v>
      </c>
      <c r="S58" s="6">
        <v>4</v>
      </c>
      <c r="T58" s="6">
        <v>5</v>
      </c>
      <c r="U58" s="6">
        <v>9</v>
      </c>
      <c r="V58" s="5">
        <f t="shared" si="20"/>
        <v>207</v>
      </c>
    </row>
    <row r="59" spans="1:22" x14ac:dyDescent="0.3">
      <c r="A59" s="7"/>
      <c r="B59" s="50"/>
      <c r="C59" s="24" t="s">
        <v>125</v>
      </c>
      <c r="D59" s="49"/>
      <c r="E59" s="6">
        <v>19</v>
      </c>
      <c r="F59" s="6">
        <v>12</v>
      </c>
      <c r="G59" s="6">
        <v>18</v>
      </c>
      <c r="H59" s="6">
        <v>9</v>
      </c>
      <c r="I59" s="6">
        <v>12</v>
      </c>
      <c r="J59" s="6">
        <v>4</v>
      </c>
      <c r="K59" s="6">
        <v>7</v>
      </c>
      <c r="L59" s="6">
        <v>37</v>
      </c>
      <c r="M59" s="6">
        <v>3</v>
      </c>
      <c r="N59" s="6">
        <v>21</v>
      </c>
      <c r="O59" s="6">
        <v>8</v>
      </c>
      <c r="P59" s="6">
        <v>13</v>
      </c>
      <c r="Q59" s="6">
        <v>33</v>
      </c>
      <c r="R59" s="6">
        <v>17</v>
      </c>
      <c r="S59" s="6">
        <v>12</v>
      </c>
      <c r="T59" s="6">
        <v>19</v>
      </c>
      <c r="U59" s="6">
        <v>14</v>
      </c>
      <c r="V59" s="5">
        <f t="shared" si="20"/>
        <v>258</v>
      </c>
    </row>
    <row r="60" spans="1:22" x14ac:dyDescent="0.3">
      <c r="A60" s="7"/>
      <c r="B60" s="50"/>
      <c r="C60" s="24" t="s">
        <v>126</v>
      </c>
      <c r="D60" s="49"/>
      <c r="E60" s="6">
        <v>5</v>
      </c>
      <c r="F60" s="6">
        <v>2</v>
      </c>
      <c r="G60" s="6">
        <v>1</v>
      </c>
      <c r="H60" s="6">
        <v>0</v>
      </c>
      <c r="I60" s="6">
        <v>2</v>
      </c>
      <c r="J60" s="6">
        <v>2</v>
      </c>
      <c r="K60" s="6">
        <v>2</v>
      </c>
      <c r="L60" s="6">
        <v>2</v>
      </c>
      <c r="M60" s="6">
        <v>5</v>
      </c>
      <c r="N60" s="6">
        <v>1</v>
      </c>
      <c r="O60" s="6">
        <v>5</v>
      </c>
      <c r="P60" s="6">
        <v>2</v>
      </c>
      <c r="Q60" s="6">
        <v>2</v>
      </c>
      <c r="R60" s="6">
        <v>1</v>
      </c>
      <c r="S60" s="6">
        <v>1</v>
      </c>
      <c r="T60" s="6">
        <v>1</v>
      </c>
      <c r="U60" s="6">
        <v>3</v>
      </c>
      <c r="V60" s="5">
        <f t="shared" si="20"/>
        <v>37</v>
      </c>
    </row>
    <row r="61" spans="1:22" x14ac:dyDescent="0.3">
      <c r="A61" s="7"/>
      <c r="B61" s="50"/>
      <c r="C61" s="24" t="s">
        <v>127</v>
      </c>
      <c r="D61" s="49"/>
      <c r="E61" s="6">
        <v>6</v>
      </c>
      <c r="F61" s="6">
        <v>2</v>
      </c>
      <c r="G61" s="6">
        <v>2</v>
      </c>
      <c r="H61" s="6">
        <v>0</v>
      </c>
      <c r="I61" s="6">
        <v>2</v>
      </c>
      <c r="J61" s="6">
        <v>19</v>
      </c>
      <c r="K61" s="6">
        <v>1</v>
      </c>
      <c r="L61" s="6">
        <v>5</v>
      </c>
      <c r="M61" s="6">
        <v>1</v>
      </c>
      <c r="N61" s="6">
        <v>2</v>
      </c>
      <c r="O61" s="6">
        <v>1</v>
      </c>
      <c r="P61" s="6">
        <v>4</v>
      </c>
      <c r="Q61" s="6">
        <v>3</v>
      </c>
      <c r="R61" s="6">
        <v>2</v>
      </c>
      <c r="S61" s="6">
        <v>1</v>
      </c>
      <c r="T61" s="6">
        <v>2</v>
      </c>
      <c r="U61" s="6">
        <v>1</v>
      </c>
      <c r="V61" s="5">
        <f t="shared" si="20"/>
        <v>54</v>
      </c>
    </row>
    <row r="62" spans="1:22" x14ac:dyDescent="0.3">
      <c r="A62" s="7"/>
      <c r="B62" s="50"/>
      <c r="C62" s="24" t="s">
        <v>128</v>
      </c>
      <c r="D62" s="49"/>
      <c r="E62" s="6">
        <v>0</v>
      </c>
      <c r="F62" s="6">
        <v>4</v>
      </c>
      <c r="G62" s="6">
        <v>1</v>
      </c>
      <c r="H62" s="6">
        <v>0</v>
      </c>
      <c r="I62" s="6">
        <v>0</v>
      </c>
      <c r="J62" s="6">
        <v>2</v>
      </c>
      <c r="K62" s="6">
        <v>1</v>
      </c>
      <c r="L62" s="6">
        <v>1</v>
      </c>
      <c r="M62" s="6">
        <v>0</v>
      </c>
      <c r="N62" s="6">
        <v>1</v>
      </c>
      <c r="O62" s="6">
        <v>1</v>
      </c>
      <c r="P62" s="6">
        <v>2</v>
      </c>
      <c r="Q62" s="6">
        <v>0</v>
      </c>
      <c r="R62" s="6">
        <v>0</v>
      </c>
      <c r="S62" s="6">
        <v>0</v>
      </c>
      <c r="T62" s="6">
        <v>1</v>
      </c>
      <c r="U62" s="6">
        <v>1</v>
      </c>
      <c r="V62" s="5">
        <f t="shared" si="20"/>
        <v>15</v>
      </c>
    </row>
    <row r="63" spans="1:22" ht="13.15" customHeight="1" x14ac:dyDescent="0.3">
      <c r="A63" s="7"/>
      <c r="B63" s="50"/>
      <c r="C63" s="24" t="s">
        <v>129</v>
      </c>
      <c r="D63" s="49"/>
      <c r="E63" s="6">
        <v>0</v>
      </c>
      <c r="F63" s="6">
        <v>0</v>
      </c>
      <c r="G63" s="6">
        <v>0</v>
      </c>
      <c r="H63" s="6">
        <v>2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1</v>
      </c>
      <c r="P63" s="6">
        <v>0</v>
      </c>
      <c r="Q63" s="6">
        <v>0</v>
      </c>
      <c r="R63" s="6">
        <v>0</v>
      </c>
      <c r="S63" s="6">
        <v>0</v>
      </c>
      <c r="T63" s="6">
        <v>1</v>
      </c>
      <c r="U63" s="6">
        <v>0</v>
      </c>
      <c r="V63" s="5">
        <f t="shared" si="20"/>
        <v>4</v>
      </c>
    </row>
    <row r="64" spans="1:22" x14ac:dyDescent="0.3">
      <c r="A64" s="7"/>
      <c r="B64" s="50"/>
      <c r="C64" s="24" t="s">
        <v>130</v>
      </c>
      <c r="D64" s="49"/>
      <c r="E64" s="6">
        <v>0</v>
      </c>
      <c r="F64" s="6">
        <v>1</v>
      </c>
      <c r="G64" s="6">
        <v>0</v>
      </c>
      <c r="H64" s="6">
        <v>1</v>
      </c>
      <c r="I64" s="6">
        <v>0</v>
      </c>
      <c r="J64" s="6">
        <v>1</v>
      </c>
      <c r="K64" s="6">
        <v>0</v>
      </c>
      <c r="L64" s="6">
        <v>1</v>
      </c>
      <c r="M64" s="6">
        <v>0</v>
      </c>
      <c r="N64" s="6">
        <v>1</v>
      </c>
      <c r="O64" s="6">
        <v>0</v>
      </c>
      <c r="P64" s="6">
        <v>0</v>
      </c>
      <c r="Q64" s="6">
        <v>0</v>
      </c>
      <c r="R64" s="6">
        <v>1</v>
      </c>
      <c r="S64" s="6">
        <v>0</v>
      </c>
      <c r="T64" s="6">
        <v>0</v>
      </c>
      <c r="U64" s="6">
        <v>0</v>
      </c>
      <c r="V64" s="5">
        <f t="shared" si="20"/>
        <v>6</v>
      </c>
    </row>
    <row r="65" spans="1:22" x14ac:dyDescent="0.3">
      <c r="A65" s="7"/>
      <c r="B65" s="50"/>
      <c r="C65" s="24" t="s">
        <v>131</v>
      </c>
      <c r="D65" s="49"/>
      <c r="E65" s="6">
        <v>1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5">
        <f t="shared" si="20"/>
        <v>1</v>
      </c>
    </row>
    <row r="66" spans="1:22" x14ac:dyDescent="0.3">
      <c r="A66" s="7"/>
      <c r="B66" s="50"/>
      <c r="C66" s="24" t="s">
        <v>132</v>
      </c>
      <c r="D66" s="49"/>
      <c r="E66" s="6">
        <v>0</v>
      </c>
      <c r="F66" s="6">
        <v>1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2</v>
      </c>
      <c r="V66" s="5">
        <f t="shared" si="20"/>
        <v>3</v>
      </c>
    </row>
    <row r="67" spans="1:22" x14ac:dyDescent="0.3">
      <c r="A67" s="6" t="s">
        <v>26</v>
      </c>
      <c r="B67" s="84" t="s">
        <v>51</v>
      </c>
      <c r="C67" s="63"/>
      <c r="D67" s="64"/>
      <c r="E67" s="5">
        <f t="shared" ref="E67:V67" si="21">SUM(E57:E66)</f>
        <v>66</v>
      </c>
      <c r="F67" s="5">
        <f t="shared" si="21"/>
        <v>49</v>
      </c>
      <c r="G67" s="5">
        <f t="shared" si="21"/>
        <v>52</v>
      </c>
      <c r="H67" s="5">
        <f t="shared" si="21"/>
        <v>35</v>
      </c>
      <c r="I67" s="5">
        <f t="shared" si="21"/>
        <v>51</v>
      </c>
      <c r="J67" s="5">
        <f t="shared" si="21"/>
        <v>37</v>
      </c>
      <c r="K67" s="5">
        <f t="shared" si="21"/>
        <v>33</v>
      </c>
      <c r="L67" s="5">
        <f t="shared" si="21"/>
        <v>69</v>
      </c>
      <c r="M67" s="5">
        <f t="shared" si="21"/>
        <v>83</v>
      </c>
      <c r="N67" s="5">
        <f t="shared" si="21"/>
        <v>40</v>
      </c>
      <c r="O67" s="5">
        <f t="shared" si="21"/>
        <v>32</v>
      </c>
      <c r="P67" s="5">
        <f t="shared" si="21"/>
        <v>36</v>
      </c>
      <c r="Q67" s="5">
        <f t="shared" si="21"/>
        <v>55</v>
      </c>
      <c r="R67" s="5">
        <f t="shared" si="21"/>
        <v>43</v>
      </c>
      <c r="S67" s="5">
        <f t="shared" si="21"/>
        <v>25</v>
      </c>
      <c r="T67" s="5">
        <f t="shared" si="21"/>
        <v>44</v>
      </c>
      <c r="U67" s="5">
        <f t="shared" si="21"/>
        <v>37</v>
      </c>
      <c r="V67" s="5">
        <f t="shared" si="21"/>
        <v>787</v>
      </c>
    </row>
    <row r="68" spans="1:22" x14ac:dyDescent="0.3">
      <c r="A68" s="83"/>
      <c r="B68" s="82"/>
      <c r="C68" s="82"/>
      <c r="D68" s="82"/>
      <c r="E68" s="82"/>
    </row>
    <row r="69" spans="1:22" x14ac:dyDescent="0.3">
      <c r="A69" s="11" t="s">
        <v>48</v>
      </c>
      <c r="B69" s="17" t="s">
        <v>32</v>
      </c>
      <c r="C69" s="86" t="s">
        <v>53</v>
      </c>
      <c r="D69" s="64"/>
      <c r="E69" s="6">
        <v>11</v>
      </c>
      <c r="F69" s="6">
        <v>10</v>
      </c>
      <c r="G69" s="6">
        <v>8</v>
      </c>
      <c r="H69" s="6">
        <v>18</v>
      </c>
      <c r="I69" s="6">
        <v>4</v>
      </c>
      <c r="J69" s="6">
        <v>4</v>
      </c>
      <c r="K69" s="6">
        <v>4</v>
      </c>
      <c r="L69" s="6">
        <v>13</v>
      </c>
      <c r="M69" s="6">
        <v>11</v>
      </c>
      <c r="N69" s="6">
        <v>17</v>
      </c>
      <c r="O69" s="6">
        <v>11</v>
      </c>
      <c r="P69" s="6">
        <v>11</v>
      </c>
      <c r="Q69" s="6">
        <v>14</v>
      </c>
      <c r="R69" s="6">
        <v>13</v>
      </c>
      <c r="S69" s="6">
        <v>5</v>
      </c>
      <c r="T69" s="6">
        <v>9</v>
      </c>
      <c r="U69" s="6">
        <v>5</v>
      </c>
      <c r="V69" s="5">
        <f t="shared" ref="V69:V78" si="22">SUM(E69:U69)</f>
        <v>168</v>
      </c>
    </row>
    <row r="70" spans="1:22" x14ac:dyDescent="0.3">
      <c r="A70" s="11" t="s">
        <v>50</v>
      </c>
      <c r="B70" s="50"/>
      <c r="C70" s="24" t="s">
        <v>133</v>
      </c>
      <c r="D70" s="49"/>
      <c r="E70" s="6">
        <v>10</v>
      </c>
      <c r="F70" s="6">
        <v>9</v>
      </c>
      <c r="G70" s="6">
        <v>0</v>
      </c>
      <c r="H70" s="6">
        <v>2</v>
      </c>
      <c r="I70" s="6">
        <v>3</v>
      </c>
      <c r="J70" s="6">
        <v>2</v>
      </c>
      <c r="K70" s="6">
        <v>2</v>
      </c>
      <c r="L70" s="6">
        <v>1</v>
      </c>
      <c r="M70" s="6">
        <v>1</v>
      </c>
      <c r="N70" s="6">
        <v>4</v>
      </c>
      <c r="O70" s="6">
        <v>4</v>
      </c>
      <c r="P70" s="6">
        <v>0</v>
      </c>
      <c r="Q70" s="6">
        <v>4</v>
      </c>
      <c r="R70" s="6">
        <v>0</v>
      </c>
      <c r="S70" s="6">
        <v>6</v>
      </c>
      <c r="T70" s="6">
        <v>3</v>
      </c>
      <c r="U70" s="6">
        <v>1</v>
      </c>
      <c r="V70" s="5">
        <f t="shared" si="22"/>
        <v>52</v>
      </c>
    </row>
    <row r="71" spans="1:22" x14ac:dyDescent="0.3">
      <c r="A71" s="7"/>
      <c r="B71" s="50"/>
      <c r="C71" s="24" t="s">
        <v>134</v>
      </c>
      <c r="D71" s="49"/>
      <c r="E71" s="6">
        <v>11</v>
      </c>
      <c r="F71" s="6">
        <v>5</v>
      </c>
      <c r="G71" s="6">
        <v>6</v>
      </c>
      <c r="H71" s="6">
        <v>3</v>
      </c>
      <c r="I71" s="6">
        <v>3</v>
      </c>
      <c r="J71" s="6">
        <v>1</v>
      </c>
      <c r="K71" s="6">
        <v>7</v>
      </c>
      <c r="L71" s="6">
        <v>11</v>
      </c>
      <c r="M71" s="6">
        <v>15</v>
      </c>
      <c r="N71" s="6">
        <v>8</v>
      </c>
      <c r="O71" s="6">
        <v>6</v>
      </c>
      <c r="P71" s="6">
        <v>7</v>
      </c>
      <c r="Q71" s="6">
        <v>16</v>
      </c>
      <c r="R71" s="6">
        <v>4</v>
      </c>
      <c r="S71" s="6">
        <v>0</v>
      </c>
      <c r="T71" s="6">
        <v>2</v>
      </c>
      <c r="U71" s="6">
        <v>2</v>
      </c>
      <c r="V71" s="5">
        <f t="shared" si="22"/>
        <v>107</v>
      </c>
    </row>
    <row r="72" spans="1:22" x14ac:dyDescent="0.3">
      <c r="A72" s="7"/>
      <c r="B72" s="50"/>
      <c r="C72" s="24" t="s">
        <v>135</v>
      </c>
      <c r="D72" s="49"/>
      <c r="E72" s="6">
        <v>2</v>
      </c>
      <c r="F72" s="6">
        <v>6</v>
      </c>
      <c r="G72" s="6">
        <v>1</v>
      </c>
      <c r="H72" s="6">
        <v>1</v>
      </c>
      <c r="I72" s="6">
        <v>1</v>
      </c>
      <c r="J72" s="6">
        <v>1</v>
      </c>
      <c r="K72" s="6">
        <v>4</v>
      </c>
      <c r="L72" s="6">
        <v>6</v>
      </c>
      <c r="M72" s="6">
        <v>4</v>
      </c>
      <c r="N72" s="6">
        <v>5</v>
      </c>
      <c r="O72" s="6">
        <v>2</v>
      </c>
      <c r="P72" s="6">
        <v>2</v>
      </c>
      <c r="Q72" s="6">
        <v>6</v>
      </c>
      <c r="R72" s="6">
        <v>1</v>
      </c>
      <c r="S72" s="6">
        <v>4</v>
      </c>
      <c r="T72" s="6">
        <v>0</v>
      </c>
      <c r="U72" s="6">
        <v>0</v>
      </c>
      <c r="V72" s="5">
        <f t="shared" si="22"/>
        <v>46</v>
      </c>
    </row>
    <row r="73" spans="1:22" x14ac:dyDescent="0.3">
      <c r="A73" s="7"/>
      <c r="B73" s="50"/>
      <c r="C73" s="24" t="s">
        <v>136</v>
      </c>
      <c r="D73" s="49"/>
      <c r="E73" s="6">
        <v>3</v>
      </c>
      <c r="F73" s="6">
        <v>3</v>
      </c>
      <c r="G73" s="6">
        <v>3</v>
      </c>
      <c r="H73" s="6">
        <v>0</v>
      </c>
      <c r="I73" s="6">
        <v>7</v>
      </c>
      <c r="J73" s="6">
        <v>0</v>
      </c>
      <c r="K73" s="6">
        <v>0</v>
      </c>
      <c r="L73" s="6">
        <v>1</v>
      </c>
      <c r="M73" s="6">
        <v>4</v>
      </c>
      <c r="N73" s="6">
        <v>2</v>
      </c>
      <c r="O73" s="6">
        <v>0</v>
      </c>
      <c r="P73" s="6">
        <v>1</v>
      </c>
      <c r="Q73" s="6">
        <v>7</v>
      </c>
      <c r="R73" s="6">
        <v>3</v>
      </c>
      <c r="S73" s="6">
        <v>0</v>
      </c>
      <c r="T73" s="6">
        <v>4</v>
      </c>
      <c r="U73" s="6">
        <v>0</v>
      </c>
      <c r="V73" s="5">
        <f t="shared" si="22"/>
        <v>38</v>
      </c>
    </row>
    <row r="74" spans="1:22" ht="13.15" customHeight="1" x14ac:dyDescent="0.3">
      <c r="A74" s="7"/>
      <c r="B74" s="50"/>
      <c r="C74" s="24" t="s">
        <v>137</v>
      </c>
      <c r="D74" s="49"/>
      <c r="E74" s="6">
        <v>2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2</v>
      </c>
      <c r="L74" s="6">
        <v>0</v>
      </c>
      <c r="M74" s="6">
        <v>1</v>
      </c>
      <c r="N74" s="6">
        <v>4</v>
      </c>
      <c r="O74" s="6">
        <v>1</v>
      </c>
      <c r="P74" s="6">
        <v>1</v>
      </c>
      <c r="Q74" s="6">
        <v>2</v>
      </c>
      <c r="R74" s="6">
        <v>0</v>
      </c>
      <c r="S74" s="6">
        <v>0</v>
      </c>
      <c r="T74" s="6">
        <v>0</v>
      </c>
      <c r="U74" s="6">
        <v>0</v>
      </c>
      <c r="V74" s="5">
        <f t="shared" si="22"/>
        <v>13</v>
      </c>
    </row>
    <row r="75" spans="1:22" x14ac:dyDescent="0.3">
      <c r="A75" s="7"/>
      <c r="B75" s="50"/>
      <c r="C75" s="24" t="s">
        <v>138</v>
      </c>
      <c r="D75" s="49"/>
      <c r="E75" s="6">
        <v>0</v>
      </c>
      <c r="F75" s="6">
        <v>0</v>
      </c>
      <c r="G75" s="6">
        <v>2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1</v>
      </c>
      <c r="P75" s="6">
        <v>0</v>
      </c>
      <c r="Q75" s="6">
        <v>3</v>
      </c>
      <c r="R75" s="6">
        <v>0</v>
      </c>
      <c r="S75" s="6">
        <v>0</v>
      </c>
      <c r="T75" s="6">
        <v>1</v>
      </c>
      <c r="U75" s="6">
        <v>0</v>
      </c>
      <c r="V75" s="5">
        <f t="shared" si="22"/>
        <v>7</v>
      </c>
    </row>
    <row r="76" spans="1:22" x14ac:dyDescent="0.3">
      <c r="A76" s="7"/>
      <c r="B76" s="50"/>
      <c r="C76" s="24" t="s">
        <v>139</v>
      </c>
      <c r="D76" s="49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1</v>
      </c>
      <c r="M76" s="6">
        <v>0</v>
      </c>
      <c r="N76" s="6">
        <v>2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5">
        <f t="shared" si="22"/>
        <v>3</v>
      </c>
    </row>
    <row r="77" spans="1:22" x14ac:dyDescent="0.3">
      <c r="A77" s="7"/>
      <c r="B77" s="50"/>
      <c r="C77" s="24" t="s">
        <v>140</v>
      </c>
      <c r="D77" s="49"/>
      <c r="E77" s="6">
        <v>2</v>
      </c>
      <c r="F77" s="6">
        <v>1</v>
      </c>
      <c r="G77" s="6">
        <v>0</v>
      </c>
      <c r="H77" s="6">
        <v>2</v>
      </c>
      <c r="I77" s="6">
        <v>1</v>
      </c>
      <c r="J77" s="6">
        <v>0</v>
      </c>
      <c r="K77" s="6">
        <v>2</v>
      </c>
      <c r="L77" s="6">
        <v>0</v>
      </c>
      <c r="M77" s="6">
        <v>0</v>
      </c>
      <c r="N77" s="6">
        <v>1</v>
      </c>
      <c r="O77" s="6">
        <v>0</v>
      </c>
      <c r="P77" s="6">
        <v>1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5">
        <f t="shared" si="22"/>
        <v>10</v>
      </c>
    </row>
    <row r="78" spans="1:22" x14ac:dyDescent="0.3">
      <c r="A78" s="7"/>
      <c r="B78" s="50"/>
      <c r="C78" s="24" t="s">
        <v>141</v>
      </c>
      <c r="D78" s="49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3</v>
      </c>
      <c r="L78" s="6">
        <v>0</v>
      </c>
      <c r="M78" s="6">
        <v>0</v>
      </c>
      <c r="N78" s="6">
        <v>0</v>
      </c>
      <c r="O78" s="6">
        <v>2</v>
      </c>
      <c r="P78" s="6">
        <v>0</v>
      </c>
      <c r="Q78" s="6">
        <v>0</v>
      </c>
      <c r="R78" s="6">
        <v>0</v>
      </c>
      <c r="S78" s="6">
        <v>0</v>
      </c>
      <c r="T78" s="6">
        <v>1</v>
      </c>
      <c r="U78" s="6">
        <v>0</v>
      </c>
      <c r="V78" s="5">
        <f t="shared" si="22"/>
        <v>6</v>
      </c>
    </row>
    <row r="79" spans="1:22" x14ac:dyDescent="0.3">
      <c r="A79" s="6" t="s">
        <v>26</v>
      </c>
      <c r="B79" s="84" t="s">
        <v>51</v>
      </c>
      <c r="C79" s="63"/>
      <c r="D79" s="64"/>
      <c r="E79" s="5">
        <f t="shared" ref="E79:V79" si="23">SUM(E69:E78)</f>
        <v>41</v>
      </c>
      <c r="F79" s="5">
        <f t="shared" si="23"/>
        <v>34</v>
      </c>
      <c r="G79" s="5">
        <f t="shared" si="23"/>
        <v>20</v>
      </c>
      <c r="H79" s="5">
        <f t="shared" si="23"/>
        <v>26</v>
      </c>
      <c r="I79" s="5">
        <f t="shared" si="23"/>
        <v>19</v>
      </c>
      <c r="J79" s="5">
        <f t="shared" si="23"/>
        <v>8</v>
      </c>
      <c r="K79" s="5">
        <f t="shared" si="23"/>
        <v>24</v>
      </c>
      <c r="L79" s="5">
        <f t="shared" si="23"/>
        <v>33</v>
      </c>
      <c r="M79" s="5">
        <f t="shared" si="23"/>
        <v>36</v>
      </c>
      <c r="N79" s="5">
        <f t="shared" si="23"/>
        <v>43</v>
      </c>
      <c r="O79" s="5">
        <f t="shared" si="23"/>
        <v>27</v>
      </c>
      <c r="P79" s="5">
        <f t="shared" si="23"/>
        <v>23</v>
      </c>
      <c r="Q79" s="5">
        <f t="shared" si="23"/>
        <v>52</v>
      </c>
      <c r="R79" s="5">
        <f t="shared" si="23"/>
        <v>21</v>
      </c>
      <c r="S79" s="5">
        <f t="shared" si="23"/>
        <v>15</v>
      </c>
      <c r="T79" s="5">
        <f t="shared" si="23"/>
        <v>20</v>
      </c>
      <c r="U79" s="5">
        <f t="shared" si="23"/>
        <v>8</v>
      </c>
      <c r="V79" s="5">
        <f t="shared" si="23"/>
        <v>450</v>
      </c>
    </row>
    <row r="80" spans="1:22" x14ac:dyDescent="0.3">
      <c r="A80" s="83"/>
      <c r="B80" s="82"/>
      <c r="C80" s="82"/>
      <c r="D80" s="82"/>
      <c r="E80" s="82"/>
    </row>
    <row r="81" spans="1:22" x14ac:dyDescent="0.3">
      <c r="A81" s="11" t="s">
        <v>48</v>
      </c>
      <c r="B81" s="17" t="s">
        <v>34</v>
      </c>
      <c r="C81" s="86" t="s">
        <v>54</v>
      </c>
      <c r="D81" s="64"/>
      <c r="E81" s="6">
        <v>2</v>
      </c>
      <c r="F81" s="6">
        <v>3</v>
      </c>
      <c r="G81" s="6">
        <v>3</v>
      </c>
      <c r="H81" s="6">
        <v>10</v>
      </c>
      <c r="I81" s="6">
        <v>1</v>
      </c>
      <c r="J81" s="6">
        <v>11</v>
      </c>
      <c r="K81" s="6">
        <v>4</v>
      </c>
      <c r="L81" s="6">
        <v>2</v>
      </c>
      <c r="M81" s="6">
        <v>1</v>
      </c>
      <c r="N81" s="6">
        <v>8</v>
      </c>
      <c r="O81" s="6">
        <v>7</v>
      </c>
      <c r="P81" s="6">
        <v>6</v>
      </c>
      <c r="Q81" s="6">
        <v>2</v>
      </c>
      <c r="R81" s="6">
        <v>5</v>
      </c>
      <c r="S81" s="6">
        <v>3</v>
      </c>
      <c r="T81" s="6">
        <v>5</v>
      </c>
      <c r="U81" s="6">
        <v>6</v>
      </c>
      <c r="V81" s="5">
        <f t="shared" ref="V81:V90" si="24">SUM(E81:U81)</f>
        <v>79</v>
      </c>
    </row>
    <row r="82" spans="1:22" x14ac:dyDescent="0.3">
      <c r="A82" s="11" t="s">
        <v>50</v>
      </c>
      <c r="B82" s="50"/>
      <c r="C82" s="24" t="s">
        <v>142</v>
      </c>
      <c r="D82" s="49"/>
      <c r="E82" s="6">
        <v>4</v>
      </c>
      <c r="F82" s="6">
        <v>2</v>
      </c>
      <c r="G82" s="6">
        <v>4</v>
      </c>
      <c r="H82" s="6">
        <v>5</v>
      </c>
      <c r="I82" s="6">
        <v>6</v>
      </c>
      <c r="J82" s="6">
        <v>11</v>
      </c>
      <c r="K82" s="6">
        <v>6</v>
      </c>
      <c r="L82" s="6">
        <v>7</v>
      </c>
      <c r="M82" s="6">
        <v>6</v>
      </c>
      <c r="N82" s="6">
        <v>3</v>
      </c>
      <c r="O82" s="6">
        <v>5</v>
      </c>
      <c r="P82" s="6">
        <v>2</v>
      </c>
      <c r="Q82" s="6">
        <v>5</v>
      </c>
      <c r="R82" s="6">
        <v>5</v>
      </c>
      <c r="S82" s="6">
        <v>6</v>
      </c>
      <c r="T82" s="6">
        <v>3</v>
      </c>
      <c r="U82" s="6">
        <v>9</v>
      </c>
      <c r="V82" s="5">
        <f t="shared" si="24"/>
        <v>89</v>
      </c>
    </row>
    <row r="83" spans="1:22" x14ac:dyDescent="0.3">
      <c r="A83" s="7"/>
      <c r="B83" s="50"/>
      <c r="C83" s="24" t="s">
        <v>143</v>
      </c>
      <c r="D83" s="49"/>
      <c r="E83" s="6">
        <v>4</v>
      </c>
      <c r="F83" s="6">
        <v>0</v>
      </c>
      <c r="G83" s="6">
        <v>1</v>
      </c>
      <c r="H83" s="6">
        <v>2</v>
      </c>
      <c r="I83" s="6">
        <v>1</v>
      </c>
      <c r="J83" s="6">
        <v>4</v>
      </c>
      <c r="K83" s="6">
        <v>2</v>
      </c>
      <c r="L83" s="6">
        <v>1</v>
      </c>
      <c r="M83" s="6">
        <v>0</v>
      </c>
      <c r="N83" s="6">
        <v>4</v>
      </c>
      <c r="O83" s="6">
        <v>3</v>
      </c>
      <c r="P83" s="6">
        <v>2</v>
      </c>
      <c r="Q83" s="6">
        <v>1</v>
      </c>
      <c r="R83" s="6">
        <v>3</v>
      </c>
      <c r="S83" s="6">
        <v>3</v>
      </c>
      <c r="T83" s="6">
        <v>0</v>
      </c>
      <c r="U83" s="6">
        <v>2</v>
      </c>
      <c r="V83" s="5">
        <f t="shared" si="24"/>
        <v>33</v>
      </c>
    </row>
    <row r="84" spans="1:22" x14ac:dyDescent="0.3">
      <c r="A84" s="7"/>
      <c r="B84" s="50"/>
      <c r="C84" s="24" t="s">
        <v>144</v>
      </c>
      <c r="D84" s="49"/>
      <c r="E84" s="6">
        <v>2</v>
      </c>
      <c r="F84" s="6">
        <v>1</v>
      </c>
      <c r="G84" s="6">
        <v>1</v>
      </c>
      <c r="H84" s="6">
        <v>1</v>
      </c>
      <c r="I84" s="6">
        <v>0</v>
      </c>
      <c r="J84" s="6">
        <v>0</v>
      </c>
      <c r="K84" s="6">
        <v>1</v>
      </c>
      <c r="L84" s="6">
        <v>1</v>
      </c>
      <c r="M84" s="6">
        <v>1</v>
      </c>
      <c r="N84" s="6">
        <v>1</v>
      </c>
      <c r="O84" s="6">
        <v>1</v>
      </c>
      <c r="P84" s="6">
        <v>0</v>
      </c>
      <c r="Q84" s="6">
        <v>2</v>
      </c>
      <c r="R84" s="6">
        <v>0</v>
      </c>
      <c r="S84" s="6">
        <v>0</v>
      </c>
      <c r="T84" s="6">
        <v>0</v>
      </c>
      <c r="U84" s="6">
        <v>1</v>
      </c>
      <c r="V84" s="5">
        <f t="shared" si="24"/>
        <v>13</v>
      </c>
    </row>
    <row r="85" spans="1:22" ht="13.15" customHeight="1" x14ac:dyDescent="0.3">
      <c r="A85" s="7"/>
      <c r="B85" s="50"/>
      <c r="C85" s="24" t="s">
        <v>145</v>
      </c>
      <c r="D85" s="49"/>
      <c r="E85" s="6">
        <v>0</v>
      </c>
      <c r="F85" s="6">
        <v>0</v>
      </c>
      <c r="G85" s="6">
        <v>0</v>
      </c>
      <c r="H85" s="6">
        <v>1</v>
      </c>
      <c r="I85" s="6">
        <v>1</v>
      </c>
      <c r="J85" s="6">
        <v>7</v>
      </c>
      <c r="K85" s="6">
        <v>1</v>
      </c>
      <c r="L85" s="6">
        <v>0</v>
      </c>
      <c r="M85" s="6">
        <v>0</v>
      </c>
      <c r="N85" s="6">
        <v>0</v>
      </c>
      <c r="O85" s="6">
        <v>1</v>
      </c>
      <c r="P85" s="6">
        <v>3</v>
      </c>
      <c r="Q85" s="6">
        <v>0</v>
      </c>
      <c r="R85" s="6">
        <v>1</v>
      </c>
      <c r="S85" s="6">
        <v>1</v>
      </c>
      <c r="T85" s="6">
        <v>0</v>
      </c>
      <c r="U85" s="6">
        <v>2</v>
      </c>
      <c r="V85" s="5">
        <f t="shared" si="24"/>
        <v>18</v>
      </c>
    </row>
    <row r="86" spans="1:22" x14ac:dyDescent="0.3">
      <c r="A86" s="7"/>
      <c r="B86" s="50"/>
      <c r="C86" s="24" t="s">
        <v>146</v>
      </c>
      <c r="D86" s="49"/>
      <c r="E86" s="6">
        <v>1</v>
      </c>
      <c r="F86" s="6">
        <v>1</v>
      </c>
      <c r="G86" s="6">
        <v>1</v>
      </c>
      <c r="H86" s="6">
        <v>4</v>
      </c>
      <c r="I86" s="6">
        <v>3</v>
      </c>
      <c r="J86" s="6">
        <v>12</v>
      </c>
      <c r="K86" s="6">
        <v>2</v>
      </c>
      <c r="L86" s="6">
        <v>1</v>
      </c>
      <c r="M86" s="6">
        <v>2</v>
      </c>
      <c r="N86" s="6">
        <v>9</v>
      </c>
      <c r="O86" s="6">
        <v>10</v>
      </c>
      <c r="P86" s="6">
        <v>4</v>
      </c>
      <c r="Q86" s="6">
        <v>8</v>
      </c>
      <c r="R86" s="6">
        <v>0</v>
      </c>
      <c r="S86" s="6">
        <v>2</v>
      </c>
      <c r="T86" s="6">
        <v>1</v>
      </c>
      <c r="U86" s="6">
        <v>0</v>
      </c>
      <c r="V86" s="5">
        <f t="shared" si="24"/>
        <v>61</v>
      </c>
    </row>
    <row r="87" spans="1:22" x14ac:dyDescent="0.3">
      <c r="A87" s="7"/>
      <c r="B87" s="50"/>
      <c r="C87" s="24" t="s">
        <v>147</v>
      </c>
      <c r="D87" s="49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5">
        <f t="shared" si="24"/>
        <v>0</v>
      </c>
    </row>
    <row r="88" spans="1:22" x14ac:dyDescent="0.3">
      <c r="A88" s="7"/>
      <c r="B88" s="50"/>
      <c r="C88" s="24" t="s">
        <v>148</v>
      </c>
      <c r="D88" s="49"/>
      <c r="E88" s="6">
        <v>0</v>
      </c>
      <c r="F88" s="6">
        <v>0</v>
      </c>
      <c r="G88" s="6">
        <v>0</v>
      </c>
      <c r="H88" s="6">
        <v>1</v>
      </c>
      <c r="I88" s="6">
        <v>1</v>
      </c>
      <c r="J88" s="6">
        <v>1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5">
        <f t="shared" si="24"/>
        <v>3</v>
      </c>
    </row>
    <row r="89" spans="1:22" x14ac:dyDescent="0.3">
      <c r="A89" s="7"/>
      <c r="B89" s="50"/>
      <c r="C89" s="24" t="s">
        <v>149</v>
      </c>
      <c r="D89" s="49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5">
        <f t="shared" si="24"/>
        <v>0</v>
      </c>
    </row>
    <row r="90" spans="1:22" x14ac:dyDescent="0.3">
      <c r="A90" s="7"/>
      <c r="B90" s="50"/>
      <c r="C90" s="24" t="s">
        <v>150</v>
      </c>
      <c r="D90" s="49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1</v>
      </c>
      <c r="L90" s="6">
        <v>0</v>
      </c>
      <c r="M90" s="6">
        <v>0</v>
      </c>
      <c r="N90" s="6">
        <v>3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5">
        <f t="shared" si="24"/>
        <v>4</v>
      </c>
    </row>
    <row r="91" spans="1:22" x14ac:dyDescent="0.3">
      <c r="A91" s="6" t="s">
        <v>26</v>
      </c>
      <c r="B91" s="84" t="s">
        <v>51</v>
      </c>
      <c r="C91" s="63"/>
      <c r="D91" s="64"/>
      <c r="E91" s="5">
        <f t="shared" ref="E91:V91" si="25">SUM(E81:E90)</f>
        <v>13</v>
      </c>
      <c r="F91" s="5">
        <f t="shared" si="25"/>
        <v>7</v>
      </c>
      <c r="G91" s="5">
        <f t="shared" si="25"/>
        <v>10</v>
      </c>
      <c r="H91" s="5">
        <f t="shared" si="25"/>
        <v>24</v>
      </c>
      <c r="I91" s="5">
        <f t="shared" si="25"/>
        <v>13</v>
      </c>
      <c r="J91" s="5">
        <f t="shared" si="25"/>
        <v>46</v>
      </c>
      <c r="K91" s="5">
        <f t="shared" si="25"/>
        <v>17</v>
      </c>
      <c r="L91" s="5">
        <f t="shared" si="25"/>
        <v>12</v>
      </c>
      <c r="M91" s="5">
        <f t="shared" si="25"/>
        <v>10</v>
      </c>
      <c r="N91" s="5">
        <f t="shared" si="25"/>
        <v>28</v>
      </c>
      <c r="O91" s="5">
        <f t="shared" si="25"/>
        <v>27</v>
      </c>
      <c r="P91" s="5">
        <f t="shared" si="25"/>
        <v>17</v>
      </c>
      <c r="Q91" s="5">
        <f t="shared" si="25"/>
        <v>18</v>
      </c>
      <c r="R91" s="5">
        <f t="shared" si="25"/>
        <v>14</v>
      </c>
      <c r="S91" s="5">
        <f t="shared" si="25"/>
        <v>15</v>
      </c>
      <c r="T91" s="5">
        <f t="shared" si="25"/>
        <v>9</v>
      </c>
      <c r="U91" s="5">
        <f t="shared" si="25"/>
        <v>20</v>
      </c>
      <c r="V91" s="5">
        <f t="shared" si="25"/>
        <v>300</v>
      </c>
    </row>
    <row r="92" spans="1:22" x14ac:dyDescent="0.3">
      <c r="A92" s="83"/>
      <c r="B92" s="82"/>
      <c r="C92" s="82"/>
      <c r="D92" s="82"/>
      <c r="E92" s="82"/>
    </row>
    <row r="93" spans="1:22" x14ac:dyDescent="0.3">
      <c r="A93" s="11" t="s">
        <v>48</v>
      </c>
      <c r="B93" s="17" t="s">
        <v>55</v>
      </c>
      <c r="C93" s="86" t="s">
        <v>56</v>
      </c>
      <c r="D93" s="64"/>
      <c r="E93" s="6">
        <v>0</v>
      </c>
      <c r="F93" s="6">
        <v>1</v>
      </c>
      <c r="G93" s="6">
        <v>0</v>
      </c>
      <c r="H93" s="6">
        <v>3</v>
      </c>
      <c r="I93" s="6">
        <v>1</v>
      </c>
      <c r="J93" s="6">
        <v>1</v>
      </c>
      <c r="K93" s="6">
        <v>0</v>
      </c>
      <c r="L93" s="6">
        <v>0</v>
      </c>
      <c r="M93" s="6">
        <v>1</v>
      </c>
      <c r="N93" s="6">
        <v>3</v>
      </c>
      <c r="O93" s="6">
        <v>1</v>
      </c>
      <c r="P93" s="6">
        <v>1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5">
        <f t="shared" ref="V93:V102" si="26">SUM(E93:U93)</f>
        <v>12</v>
      </c>
    </row>
    <row r="94" spans="1:22" x14ac:dyDescent="0.3">
      <c r="A94" s="11" t="s">
        <v>50</v>
      </c>
      <c r="B94" s="50"/>
      <c r="C94" s="24" t="s">
        <v>151</v>
      </c>
      <c r="D94" s="51"/>
      <c r="E94" s="6">
        <v>2</v>
      </c>
      <c r="F94" s="6">
        <v>1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1</v>
      </c>
      <c r="N94" s="6">
        <v>1</v>
      </c>
      <c r="O94" s="6">
        <v>1</v>
      </c>
      <c r="P94" s="6">
        <v>2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5">
        <f t="shared" si="26"/>
        <v>8</v>
      </c>
    </row>
    <row r="95" spans="1:22" x14ac:dyDescent="0.3">
      <c r="A95" s="7"/>
      <c r="B95" s="50"/>
      <c r="C95" s="24" t="s">
        <v>152</v>
      </c>
      <c r="D95" s="51"/>
      <c r="E95" s="6">
        <v>4</v>
      </c>
      <c r="F95" s="6">
        <v>0</v>
      </c>
      <c r="G95" s="6">
        <v>0</v>
      </c>
      <c r="H95" s="6">
        <v>0</v>
      </c>
      <c r="I95" s="6">
        <v>1</v>
      </c>
      <c r="J95" s="6">
        <v>0</v>
      </c>
      <c r="K95" s="6">
        <v>0</v>
      </c>
      <c r="L95" s="6">
        <v>0</v>
      </c>
      <c r="M95" s="6">
        <v>0</v>
      </c>
      <c r="N95" s="6">
        <v>1</v>
      </c>
      <c r="O95" s="6">
        <v>0</v>
      </c>
      <c r="P95" s="6">
        <v>0</v>
      </c>
      <c r="Q95" s="6">
        <v>1</v>
      </c>
      <c r="R95" s="6">
        <v>0</v>
      </c>
      <c r="S95" s="6">
        <v>0</v>
      </c>
      <c r="T95" s="6">
        <v>0</v>
      </c>
      <c r="U95" s="6">
        <v>0</v>
      </c>
      <c r="V95" s="5">
        <f t="shared" si="26"/>
        <v>7</v>
      </c>
    </row>
    <row r="96" spans="1:22" ht="13.15" customHeight="1" x14ac:dyDescent="0.3">
      <c r="A96" s="7"/>
      <c r="B96" s="50"/>
      <c r="C96" s="24" t="s">
        <v>153</v>
      </c>
      <c r="D96" s="51"/>
      <c r="E96" s="6">
        <v>0</v>
      </c>
      <c r="F96" s="6">
        <v>0</v>
      </c>
      <c r="G96" s="6">
        <v>0</v>
      </c>
      <c r="H96" s="6">
        <v>1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1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5">
        <f t="shared" si="26"/>
        <v>2</v>
      </c>
    </row>
    <row r="97" spans="1:22" x14ac:dyDescent="0.3">
      <c r="A97" s="7"/>
      <c r="B97" s="50"/>
      <c r="C97" s="24" t="s">
        <v>154</v>
      </c>
      <c r="D97" s="51"/>
      <c r="E97" s="6">
        <v>0</v>
      </c>
      <c r="F97" s="6">
        <v>0</v>
      </c>
      <c r="G97" s="6">
        <v>0</v>
      </c>
      <c r="H97" s="6">
        <v>1</v>
      </c>
      <c r="I97" s="6">
        <v>0</v>
      </c>
      <c r="J97" s="6">
        <v>0</v>
      </c>
      <c r="K97" s="6">
        <v>0</v>
      </c>
      <c r="L97" s="6">
        <v>0</v>
      </c>
      <c r="M97" s="6">
        <v>1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5">
        <f t="shared" si="26"/>
        <v>2</v>
      </c>
    </row>
    <row r="98" spans="1:22" x14ac:dyDescent="0.3">
      <c r="A98" s="7"/>
      <c r="B98" s="50"/>
      <c r="C98" s="24" t="s">
        <v>155</v>
      </c>
      <c r="D98" s="49"/>
      <c r="E98" s="6">
        <v>0</v>
      </c>
      <c r="F98" s="6">
        <v>0</v>
      </c>
      <c r="G98" s="6">
        <v>1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1</v>
      </c>
      <c r="U98" s="6">
        <v>0</v>
      </c>
      <c r="V98" s="5">
        <f t="shared" si="26"/>
        <v>2</v>
      </c>
    </row>
    <row r="99" spans="1:22" x14ac:dyDescent="0.3">
      <c r="A99" s="7"/>
      <c r="B99" s="50"/>
      <c r="C99" s="24" t="s">
        <v>156</v>
      </c>
      <c r="D99" s="49"/>
      <c r="E99" s="6">
        <v>0</v>
      </c>
      <c r="F99" s="6">
        <v>1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5">
        <f t="shared" si="26"/>
        <v>1</v>
      </c>
    </row>
    <row r="100" spans="1:22" x14ac:dyDescent="0.3">
      <c r="A100" s="7"/>
      <c r="B100" s="50"/>
      <c r="C100" s="24" t="s">
        <v>157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5">
        <f t="shared" si="26"/>
        <v>0</v>
      </c>
    </row>
    <row r="101" spans="1:22" x14ac:dyDescent="0.3">
      <c r="A101" s="7"/>
      <c r="B101" s="50"/>
      <c r="C101" s="24" t="s">
        <v>158</v>
      </c>
      <c r="D101" s="51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5">
        <f t="shared" si="26"/>
        <v>0</v>
      </c>
    </row>
    <row r="102" spans="1:22" x14ac:dyDescent="0.3">
      <c r="A102" s="7"/>
      <c r="B102" s="50"/>
      <c r="C102" s="24" t="s">
        <v>159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5">
        <f t="shared" si="26"/>
        <v>0</v>
      </c>
    </row>
    <row r="103" spans="1:22" x14ac:dyDescent="0.3">
      <c r="A103" s="6" t="s">
        <v>26</v>
      </c>
      <c r="B103" s="84" t="s">
        <v>51</v>
      </c>
      <c r="C103" s="63"/>
      <c r="D103" s="64"/>
      <c r="E103" s="5">
        <f t="shared" ref="E103:V103" si="27">SUM(E93:E102)</f>
        <v>6</v>
      </c>
      <c r="F103" s="5">
        <f t="shared" si="27"/>
        <v>3</v>
      </c>
      <c r="G103" s="5">
        <f t="shared" si="27"/>
        <v>1</v>
      </c>
      <c r="H103" s="5">
        <f t="shared" si="27"/>
        <v>5</v>
      </c>
      <c r="I103" s="5">
        <f t="shared" si="27"/>
        <v>2</v>
      </c>
      <c r="J103" s="5">
        <f t="shared" si="27"/>
        <v>1</v>
      </c>
      <c r="K103" s="5">
        <f t="shared" si="27"/>
        <v>0</v>
      </c>
      <c r="L103" s="5">
        <f t="shared" si="27"/>
        <v>0</v>
      </c>
      <c r="M103" s="5">
        <f t="shared" si="27"/>
        <v>3</v>
      </c>
      <c r="N103" s="5">
        <f t="shared" si="27"/>
        <v>6</v>
      </c>
      <c r="O103" s="5">
        <f t="shared" si="27"/>
        <v>2</v>
      </c>
      <c r="P103" s="5">
        <f t="shared" si="27"/>
        <v>3</v>
      </c>
      <c r="Q103" s="5">
        <f t="shared" si="27"/>
        <v>1</v>
      </c>
      <c r="R103" s="5">
        <f t="shared" si="27"/>
        <v>0</v>
      </c>
      <c r="S103" s="5">
        <f t="shared" si="27"/>
        <v>0</v>
      </c>
      <c r="T103" s="5">
        <f t="shared" si="27"/>
        <v>1</v>
      </c>
      <c r="U103" s="5">
        <f t="shared" si="27"/>
        <v>0</v>
      </c>
      <c r="V103" s="5">
        <f t="shared" si="27"/>
        <v>34</v>
      </c>
    </row>
    <row r="104" spans="1:22" x14ac:dyDescent="0.3">
      <c r="A104" s="83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 spans="1:22" x14ac:dyDescent="0.3">
      <c r="A105" s="11" t="s">
        <v>48</v>
      </c>
      <c r="B105" s="17" t="s">
        <v>57</v>
      </c>
      <c r="C105" s="86" t="s">
        <v>58</v>
      </c>
      <c r="D105" s="64"/>
      <c r="E105" s="6">
        <v>0</v>
      </c>
      <c r="F105" s="6">
        <v>1</v>
      </c>
      <c r="G105" s="6">
        <v>1</v>
      </c>
      <c r="H105" s="6">
        <v>1</v>
      </c>
      <c r="I105" s="6">
        <v>1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1</v>
      </c>
      <c r="P105" s="6">
        <v>0</v>
      </c>
      <c r="Q105" s="6">
        <v>0</v>
      </c>
      <c r="R105" s="6">
        <v>0</v>
      </c>
      <c r="S105" s="6">
        <v>1</v>
      </c>
      <c r="T105" s="6">
        <v>0</v>
      </c>
      <c r="U105" s="6">
        <v>0</v>
      </c>
      <c r="V105" s="5">
        <f t="shared" ref="V105:V114" si="28">SUM(E105:U105)</f>
        <v>6</v>
      </c>
    </row>
    <row r="106" spans="1:22" x14ac:dyDescent="0.3">
      <c r="A106" s="11" t="s">
        <v>50</v>
      </c>
      <c r="B106" s="50"/>
      <c r="C106" s="24" t="s">
        <v>160</v>
      </c>
      <c r="D106" s="49"/>
      <c r="E106" s="6">
        <v>1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1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1</v>
      </c>
      <c r="U106" s="6">
        <v>1</v>
      </c>
      <c r="V106" s="5">
        <f t="shared" si="28"/>
        <v>4</v>
      </c>
    </row>
    <row r="107" spans="1:22" ht="13.15" customHeight="1" x14ac:dyDescent="0.3">
      <c r="A107" s="7"/>
      <c r="B107" s="50"/>
      <c r="C107" s="24" t="s">
        <v>161</v>
      </c>
      <c r="D107" s="49"/>
      <c r="E107" s="6">
        <v>0</v>
      </c>
      <c r="F107" s="6">
        <v>1</v>
      </c>
      <c r="G107" s="6">
        <v>0</v>
      </c>
      <c r="H107" s="6">
        <v>0</v>
      </c>
      <c r="I107" s="6">
        <v>0</v>
      </c>
      <c r="J107" s="6">
        <v>1</v>
      </c>
      <c r="K107" s="6">
        <v>0</v>
      </c>
      <c r="L107" s="6">
        <v>0</v>
      </c>
      <c r="M107" s="6">
        <v>1</v>
      </c>
      <c r="N107" s="6">
        <v>0</v>
      </c>
      <c r="O107" s="6">
        <v>1</v>
      </c>
      <c r="P107" s="6">
        <v>0</v>
      </c>
      <c r="Q107" s="6">
        <v>0</v>
      </c>
      <c r="R107" s="6">
        <v>1</v>
      </c>
      <c r="S107" s="6">
        <v>0</v>
      </c>
      <c r="T107" s="6">
        <v>3</v>
      </c>
      <c r="U107" s="6">
        <v>0</v>
      </c>
      <c r="V107" s="5">
        <f t="shared" si="28"/>
        <v>8</v>
      </c>
    </row>
    <row r="108" spans="1:22" x14ac:dyDescent="0.3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5">
        <f t="shared" si="28"/>
        <v>0</v>
      </c>
    </row>
    <row r="109" spans="1:22" x14ac:dyDescent="0.3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5">
        <f t="shared" si="28"/>
        <v>0</v>
      </c>
    </row>
    <row r="110" spans="1:22" x14ac:dyDescent="0.3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5">
        <f t="shared" si="28"/>
        <v>0</v>
      </c>
    </row>
    <row r="111" spans="1:22" x14ac:dyDescent="0.3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5">
        <f t="shared" si="28"/>
        <v>0</v>
      </c>
    </row>
    <row r="112" spans="1:22" x14ac:dyDescent="0.3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5">
        <f t="shared" si="28"/>
        <v>0</v>
      </c>
    </row>
    <row r="113" spans="1:22" x14ac:dyDescent="0.3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5">
        <f t="shared" si="28"/>
        <v>0</v>
      </c>
    </row>
    <row r="114" spans="1:22" x14ac:dyDescent="0.3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5">
        <f t="shared" si="28"/>
        <v>0</v>
      </c>
    </row>
    <row r="115" spans="1:22" ht="13.15" customHeight="1" x14ac:dyDescent="0.3">
      <c r="A115" s="6" t="s">
        <v>26</v>
      </c>
      <c r="B115" s="84" t="s">
        <v>51</v>
      </c>
      <c r="C115" s="87"/>
      <c r="D115" s="88"/>
      <c r="E115" s="5">
        <f t="shared" ref="E115:V115" si="29">SUM(E105:E114)</f>
        <v>1</v>
      </c>
      <c r="F115" s="5">
        <f t="shared" si="29"/>
        <v>2</v>
      </c>
      <c r="G115" s="5">
        <f t="shared" si="29"/>
        <v>1</v>
      </c>
      <c r="H115" s="5">
        <f t="shared" si="29"/>
        <v>1</v>
      </c>
      <c r="I115" s="5">
        <f t="shared" si="29"/>
        <v>1</v>
      </c>
      <c r="J115" s="5">
        <f t="shared" si="29"/>
        <v>1</v>
      </c>
      <c r="K115" s="5">
        <f t="shared" si="29"/>
        <v>0</v>
      </c>
      <c r="L115" s="5">
        <f t="shared" si="29"/>
        <v>1</v>
      </c>
      <c r="M115" s="5">
        <f t="shared" si="29"/>
        <v>1</v>
      </c>
      <c r="N115" s="5">
        <f t="shared" si="29"/>
        <v>0</v>
      </c>
      <c r="O115" s="5">
        <f t="shared" si="29"/>
        <v>2</v>
      </c>
      <c r="P115" s="5">
        <f t="shared" si="29"/>
        <v>0</v>
      </c>
      <c r="Q115" s="5">
        <f t="shared" si="29"/>
        <v>0</v>
      </c>
      <c r="R115" s="5">
        <f t="shared" si="29"/>
        <v>1</v>
      </c>
      <c r="S115" s="5">
        <f t="shared" si="29"/>
        <v>1</v>
      </c>
      <c r="T115" s="5">
        <f t="shared" si="29"/>
        <v>4</v>
      </c>
      <c r="U115" s="5">
        <f t="shared" si="29"/>
        <v>1</v>
      </c>
      <c r="V115" s="5">
        <f t="shared" si="29"/>
        <v>18</v>
      </c>
    </row>
    <row r="116" spans="1:22" x14ac:dyDescent="0.3">
      <c r="A116" s="62"/>
      <c r="B116" s="89"/>
      <c r="C116" s="89"/>
      <c r="D116" s="89"/>
      <c r="E116" s="90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5"/>
    </row>
    <row r="117" spans="1:22" x14ac:dyDescent="0.3">
      <c r="A117" s="11" t="s">
        <v>48</v>
      </c>
      <c r="B117" s="17" t="s">
        <v>59</v>
      </c>
      <c r="C117" s="86" t="s">
        <v>60</v>
      </c>
      <c r="D117" s="64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1</v>
      </c>
      <c r="R117" s="6">
        <v>0</v>
      </c>
      <c r="S117" s="6">
        <v>1</v>
      </c>
      <c r="T117" s="6"/>
      <c r="U117" s="6">
        <v>0</v>
      </c>
      <c r="V117" s="5">
        <f t="shared" ref="V117:V126" si="30">SUM(E117:U117)</f>
        <v>2</v>
      </c>
    </row>
    <row r="118" spans="1:22" x14ac:dyDescent="0.3">
      <c r="A118" s="11" t="s">
        <v>50</v>
      </c>
      <c r="B118" s="50"/>
      <c r="C118" s="24" t="s">
        <v>162</v>
      </c>
      <c r="D118" s="49"/>
      <c r="E118" s="6">
        <v>0</v>
      </c>
      <c r="F118" s="6">
        <v>1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1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5">
        <f t="shared" si="30"/>
        <v>2</v>
      </c>
    </row>
    <row r="119" spans="1:22" x14ac:dyDescent="0.3">
      <c r="A119" s="7"/>
      <c r="B119" s="50"/>
      <c r="C119" s="24" t="s">
        <v>163</v>
      </c>
      <c r="D119" s="49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1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1</v>
      </c>
      <c r="U119" s="6">
        <v>0</v>
      </c>
      <c r="V119" s="5">
        <f t="shared" si="30"/>
        <v>2</v>
      </c>
    </row>
    <row r="120" spans="1:22" x14ac:dyDescent="0.3">
      <c r="A120" s="7"/>
      <c r="B120" s="50"/>
      <c r="C120" s="24" t="s">
        <v>164</v>
      </c>
      <c r="D120" s="49"/>
      <c r="E120" s="6">
        <v>0</v>
      </c>
      <c r="F120" s="6">
        <v>1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5">
        <f t="shared" si="30"/>
        <v>1</v>
      </c>
    </row>
    <row r="121" spans="1:22" x14ac:dyDescent="0.3">
      <c r="A121" s="7"/>
      <c r="B121" s="50"/>
      <c r="C121" s="24" t="s">
        <v>165</v>
      </c>
      <c r="D121" s="49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5">
        <f t="shared" si="30"/>
        <v>0</v>
      </c>
    </row>
    <row r="122" spans="1:22" x14ac:dyDescent="0.3">
      <c r="A122" s="7"/>
      <c r="B122" s="50"/>
      <c r="C122" s="24" t="s">
        <v>166</v>
      </c>
      <c r="D122" s="49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5">
        <f t="shared" si="30"/>
        <v>0</v>
      </c>
    </row>
    <row r="123" spans="1:22" x14ac:dyDescent="0.3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5">
        <f t="shared" si="30"/>
        <v>0</v>
      </c>
    </row>
    <row r="124" spans="1:22" x14ac:dyDescent="0.3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5">
        <f t="shared" si="30"/>
        <v>0</v>
      </c>
    </row>
    <row r="125" spans="1:22" x14ac:dyDescent="0.3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5">
        <f t="shared" si="30"/>
        <v>0</v>
      </c>
    </row>
    <row r="126" spans="1:22" x14ac:dyDescent="0.3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5">
        <f t="shared" si="30"/>
        <v>0</v>
      </c>
    </row>
    <row r="127" spans="1:22" x14ac:dyDescent="0.3">
      <c r="A127" s="6" t="s">
        <v>26</v>
      </c>
      <c r="B127" s="84" t="s">
        <v>51</v>
      </c>
      <c r="C127" s="87"/>
      <c r="D127" s="88"/>
      <c r="E127" s="5">
        <f t="shared" ref="E127:V127" si="31">SUM(E117:E126)</f>
        <v>0</v>
      </c>
      <c r="F127" s="5">
        <f t="shared" si="31"/>
        <v>2</v>
      </c>
      <c r="G127" s="5">
        <f t="shared" si="31"/>
        <v>0</v>
      </c>
      <c r="H127" s="5">
        <f t="shared" si="31"/>
        <v>0</v>
      </c>
      <c r="I127" s="5">
        <f t="shared" si="31"/>
        <v>0</v>
      </c>
      <c r="J127" s="5">
        <f t="shared" si="31"/>
        <v>0</v>
      </c>
      <c r="K127" s="5">
        <f t="shared" si="31"/>
        <v>0</v>
      </c>
      <c r="L127" s="5">
        <f t="shared" si="31"/>
        <v>0</v>
      </c>
      <c r="M127" s="5">
        <f t="shared" si="31"/>
        <v>0</v>
      </c>
      <c r="N127" s="5">
        <f t="shared" si="31"/>
        <v>2</v>
      </c>
      <c r="O127" s="5">
        <f t="shared" si="31"/>
        <v>0</v>
      </c>
      <c r="P127" s="5">
        <f t="shared" si="31"/>
        <v>0</v>
      </c>
      <c r="Q127" s="5">
        <f t="shared" si="31"/>
        <v>1</v>
      </c>
      <c r="R127" s="5">
        <f t="shared" si="31"/>
        <v>0</v>
      </c>
      <c r="S127" s="5">
        <f t="shared" si="31"/>
        <v>1</v>
      </c>
      <c r="T127" s="5">
        <f t="shared" si="31"/>
        <v>1</v>
      </c>
      <c r="U127" s="5">
        <f t="shared" si="31"/>
        <v>0</v>
      </c>
      <c r="V127" s="5">
        <f t="shared" si="31"/>
        <v>7</v>
      </c>
    </row>
    <row r="128" spans="1:22" x14ac:dyDescent="0.3">
      <c r="A128" s="62"/>
      <c r="B128" s="89"/>
      <c r="C128" s="89"/>
      <c r="D128" s="89"/>
      <c r="E128" s="90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</row>
    <row r="129" spans="1:22" x14ac:dyDescent="0.3">
      <c r="A129" s="11" t="s">
        <v>48</v>
      </c>
      <c r="B129" s="17" t="s">
        <v>61</v>
      </c>
      <c r="C129" s="86" t="s">
        <v>62</v>
      </c>
      <c r="D129" s="64"/>
      <c r="E129" s="6">
        <v>0</v>
      </c>
      <c r="F129" s="6">
        <v>0</v>
      </c>
      <c r="G129" s="6">
        <v>0</v>
      </c>
      <c r="H129" s="6">
        <v>0</v>
      </c>
      <c r="I129" s="6">
        <v>1</v>
      </c>
      <c r="J129" s="6">
        <v>2</v>
      </c>
      <c r="K129" s="6">
        <v>1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5">
        <f t="shared" ref="V129:V138" si="32">SUM(E129:U129)</f>
        <v>4</v>
      </c>
    </row>
    <row r="130" spans="1:22" ht="13.15" customHeight="1" x14ac:dyDescent="0.3">
      <c r="A130" s="11" t="s">
        <v>50</v>
      </c>
      <c r="B130" s="50"/>
      <c r="C130" s="24" t="s">
        <v>167</v>
      </c>
      <c r="D130" s="49"/>
      <c r="E130" s="6">
        <v>2</v>
      </c>
      <c r="F130" s="6">
        <v>1</v>
      </c>
      <c r="G130" s="6">
        <v>0</v>
      </c>
      <c r="H130" s="6">
        <v>0</v>
      </c>
      <c r="I130" s="6">
        <v>0</v>
      </c>
      <c r="J130" s="6">
        <v>3</v>
      </c>
      <c r="K130" s="6">
        <v>0</v>
      </c>
      <c r="L130" s="6">
        <v>0</v>
      </c>
      <c r="M130" s="6">
        <v>3</v>
      </c>
      <c r="N130" s="6">
        <v>5</v>
      </c>
      <c r="O130" s="6">
        <v>1</v>
      </c>
      <c r="P130" s="6">
        <v>9</v>
      </c>
      <c r="Q130" s="6">
        <v>0</v>
      </c>
      <c r="R130" s="6">
        <v>0</v>
      </c>
      <c r="S130" s="6">
        <v>3</v>
      </c>
      <c r="T130" s="6">
        <v>1</v>
      </c>
      <c r="U130" s="6">
        <v>1</v>
      </c>
      <c r="V130" s="5">
        <f t="shared" si="32"/>
        <v>29</v>
      </c>
    </row>
    <row r="131" spans="1:22" x14ac:dyDescent="0.3">
      <c r="A131" s="7"/>
      <c r="B131" s="50"/>
      <c r="C131" s="24" t="s">
        <v>168</v>
      </c>
      <c r="D131" s="49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5">
        <f t="shared" si="32"/>
        <v>0</v>
      </c>
    </row>
    <row r="132" spans="1:22" x14ac:dyDescent="0.3">
      <c r="A132" s="7"/>
      <c r="B132" s="50"/>
      <c r="C132" s="24" t="s">
        <v>169</v>
      </c>
      <c r="D132" s="49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1</v>
      </c>
      <c r="N132" s="6">
        <v>0</v>
      </c>
      <c r="O132" s="6">
        <v>0</v>
      </c>
      <c r="P132" s="6">
        <v>0</v>
      </c>
      <c r="Q132" s="6">
        <v>0</v>
      </c>
      <c r="R132" s="6">
        <v>1</v>
      </c>
      <c r="S132" s="6">
        <v>0</v>
      </c>
      <c r="T132" s="6">
        <v>0</v>
      </c>
      <c r="U132" s="6">
        <v>0</v>
      </c>
      <c r="V132" s="5">
        <f t="shared" si="32"/>
        <v>2</v>
      </c>
    </row>
    <row r="133" spans="1:22" x14ac:dyDescent="0.3">
      <c r="A133" s="7"/>
      <c r="B133" s="50"/>
      <c r="C133" s="24" t="s">
        <v>170</v>
      </c>
      <c r="D133" s="49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1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5">
        <f t="shared" si="32"/>
        <v>1</v>
      </c>
    </row>
    <row r="134" spans="1:22" x14ac:dyDescent="0.3">
      <c r="A134" s="7"/>
      <c r="B134" s="50"/>
      <c r="C134" s="24" t="s">
        <v>171</v>
      </c>
      <c r="D134" s="49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2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5">
        <f t="shared" si="32"/>
        <v>2</v>
      </c>
    </row>
    <row r="135" spans="1:22" x14ac:dyDescent="0.3">
      <c r="A135" s="7"/>
      <c r="B135" s="50"/>
      <c r="C135" s="24" t="s">
        <v>172</v>
      </c>
      <c r="D135" s="49"/>
      <c r="E135" s="6">
        <v>0</v>
      </c>
      <c r="F135" s="6">
        <v>0</v>
      </c>
      <c r="G135" s="6">
        <v>0</v>
      </c>
      <c r="H135" s="6">
        <v>0</v>
      </c>
      <c r="I135" s="6">
        <v>1</v>
      </c>
      <c r="J135" s="6">
        <v>0</v>
      </c>
      <c r="K135" s="6">
        <v>0</v>
      </c>
      <c r="L135" s="6">
        <v>0</v>
      </c>
      <c r="M135" s="6">
        <v>1</v>
      </c>
      <c r="N135" s="6">
        <v>1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5">
        <f t="shared" si="32"/>
        <v>3</v>
      </c>
    </row>
    <row r="136" spans="1:22" x14ac:dyDescent="0.3">
      <c r="A136" s="7"/>
      <c r="B136" s="50"/>
      <c r="C136" s="24" t="s">
        <v>173</v>
      </c>
      <c r="D136" s="49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5">
        <f t="shared" si="32"/>
        <v>0</v>
      </c>
    </row>
    <row r="137" spans="1:22" x14ac:dyDescent="0.3">
      <c r="A137" s="7"/>
      <c r="B137" s="50"/>
      <c r="C137" s="24" t="s">
        <v>174</v>
      </c>
      <c r="D137" s="49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5">
        <f t="shared" si="32"/>
        <v>0</v>
      </c>
    </row>
    <row r="138" spans="1:22" x14ac:dyDescent="0.3">
      <c r="A138" s="7"/>
      <c r="B138" s="50"/>
      <c r="C138" s="24" t="s">
        <v>175</v>
      </c>
      <c r="D138" s="49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5">
        <f t="shared" si="32"/>
        <v>0</v>
      </c>
    </row>
    <row r="139" spans="1:22" x14ac:dyDescent="0.3">
      <c r="A139" s="6" t="s">
        <v>26</v>
      </c>
      <c r="B139" s="84" t="s">
        <v>51</v>
      </c>
      <c r="C139" s="87"/>
      <c r="D139" s="88"/>
      <c r="E139" s="5">
        <f t="shared" ref="E139:V139" si="33">SUM(E129:E138)</f>
        <v>2</v>
      </c>
      <c r="F139" s="5">
        <f t="shared" si="33"/>
        <v>1</v>
      </c>
      <c r="G139" s="5">
        <f t="shared" si="33"/>
        <v>0</v>
      </c>
      <c r="H139" s="5">
        <f t="shared" si="33"/>
        <v>0</v>
      </c>
      <c r="I139" s="5">
        <f t="shared" si="33"/>
        <v>2</v>
      </c>
      <c r="J139" s="5">
        <f t="shared" si="33"/>
        <v>6</v>
      </c>
      <c r="K139" s="5">
        <f t="shared" si="33"/>
        <v>1</v>
      </c>
      <c r="L139" s="5">
        <f t="shared" si="33"/>
        <v>0</v>
      </c>
      <c r="M139" s="5">
        <f t="shared" si="33"/>
        <v>5</v>
      </c>
      <c r="N139" s="5">
        <f t="shared" si="33"/>
        <v>6</v>
      </c>
      <c r="O139" s="5">
        <f t="shared" si="33"/>
        <v>3</v>
      </c>
      <c r="P139" s="5">
        <f t="shared" si="33"/>
        <v>9</v>
      </c>
      <c r="Q139" s="5">
        <f t="shared" si="33"/>
        <v>0</v>
      </c>
      <c r="R139" s="5">
        <f t="shared" si="33"/>
        <v>1</v>
      </c>
      <c r="S139" s="5">
        <f t="shared" si="33"/>
        <v>3</v>
      </c>
      <c r="T139" s="5">
        <f t="shared" si="33"/>
        <v>1</v>
      </c>
      <c r="U139" s="5">
        <f t="shared" si="33"/>
        <v>1</v>
      </c>
      <c r="V139" s="5">
        <f t="shared" si="33"/>
        <v>41</v>
      </c>
    </row>
    <row r="140" spans="1:22" x14ac:dyDescent="0.3">
      <c r="A140" s="62"/>
      <c r="B140" s="89"/>
      <c r="C140" s="89"/>
      <c r="D140" s="89"/>
      <c r="E140" s="90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</row>
    <row r="141" spans="1:22" ht="13.15" customHeight="1" x14ac:dyDescent="0.3">
      <c r="A141" s="11" t="s">
        <v>48</v>
      </c>
      <c r="B141" s="17" t="s">
        <v>63</v>
      </c>
      <c r="C141" s="86" t="s">
        <v>64</v>
      </c>
      <c r="D141" s="64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1</v>
      </c>
      <c r="S141" s="6">
        <v>0</v>
      </c>
      <c r="T141" s="6"/>
      <c r="U141" s="6"/>
      <c r="V141" s="5">
        <f t="shared" ref="V141:V150" si="34">SUM(E141:U141)</f>
        <v>1</v>
      </c>
    </row>
    <row r="142" spans="1:22" x14ac:dyDescent="0.3">
      <c r="A142" s="11" t="s">
        <v>50</v>
      </c>
      <c r="B142" s="50"/>
      <c r="C142" s="24" t="s">
        <v>176</v>
      </c>
      <c r="D142" s="49"/>
      <c r="E142" s="6">
        <v>0</v>
      </c>
      <c r="F142" s="6">
        <v>0</v>
      </c>
      <c r="G142" s="6">
        <v>0</v>
      </c>
      <c r="H142" s="6">
        <v>1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/>
      <c r="U142" s="6"/>
      <c r="V142" s="5">
        <f t="shared" si="34"/>
        <v>1</v>
      </c>
    </row>
    <row r="143" spans="1:22" x14ac:dyDescent="0.3">
      <c r="A143" s="7"/>
      <c r="B143" s="50"/>
      <c r="C143" s="24" t="s">
        <v>177</v>
      </c>
      <c r="D143" s="49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/>
      <c r="U143" s="6"/>
      <c r="V143" s="5">
        <f t="shared" si="34"/>
        <v>0</v>
      </c>
    </row>
    <row r="144" spans="1:22" x14ac:dyDescent="0.3">
      <c r="A144" s="7"/>
      <c r="B144" s="50"/>
      <c r="C144" s="24" t="s">
        <v>178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/>
      <c r="U144" s="6"/>
      <c r="V144" s="5">
        <f t="shared" si="34"/>
        <v>0</v>
      </c>
    </row>
    <row r="145" spans="1:22" x14ac:dyDescent="0.3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5">
        <f t="shared" si="34"/>
        <v>0</v>
      </c>
    </row>
    <row r="146" spans="1:22" x14ac:dyDescent="0.3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5">
        <f t="shared" si="34"/>
        <v>0</v>
      </c>
    </row>
    <row r="147" spans="1:22" x14ac:dyDescent="0.3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5">
        <f t="shared" si="34"/>
        <v>0</v>
      </c>
    </row>
    <row r="148" spans="1:22" x14ac:dyDescent="0.3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5">
        <f t="shared" si="34"/>
        <v>0</v>
      </c>
    </row>
    <row r="149" spans="1:22" x14ac:dyDescent="0.3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5">
        <f t="shared" si="34"/>
        <v>0</v>
      </c>
    </row>
    <row r="150" spans="1:22" x14ac:dyDescent="0.3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5">
        <f t="shared" si="34"/>
        <v>0</v>
      </c>
    </row>
    <row r="151" spans="1:22" ht="13.15" customHeight="1" x14ac:dyDescent="0.3">
      <c r="A151" s="6" t="s">
        <v>26</v>
      </c>
      <c r="B151" s="84" t="s">
        <v>51</v>
      </c>
      <c r="C151" s="87"/>
      <c r="D151" s="88"/>
      <c r="E151" s="5">
        <f t="shared" ref="E151:V151" si="35">SUM(E141:E150)</f>
        <v>0</v>
      </c>
      <c r="F151" s="5">
        <f t="shared" si="35"/>
        <v>0</v>
      </c>
      <c r="G151" s="5">
        <f t="shared" si="35"/>
        <v>0</v>
      </c>
      <c r="H151" s="5">
        <f t="shared" si="35"/>
        <v>1</v>
      </c>
      <c r="I151" s="5">
        <f t="shared" si="35"/>
        <v>0</v>
      </c>
      <c r="J151" s="5">
        <f t="shared" si="35"/>
        <v>0</v>
      </c>
      <c r="K151" s="5">
        <f t="shared" si="35"/>
        <v>0</v>
      </c>
      <c r="L151" s="5">
        <f t="shared" si="35"/>
        <v>0</v>
      </c>
      <c r="M151" s="5">
        <f t="shared" si="35"/>
        <v>0</v>
      </c>
      <c r="N151" s="5">
        <f t="shared" si="35"/>
        <v>0</v>
      </c>
      <c r="O151" s="5">
        <f t="shared" si="35"/>
        <v>0</v>
      </c>
      <c r="P151" s="5">
        <f t="shared" si="35"/>
        <v>0</v>
      </c>
      <c r="Q151" s="5">
        <f t="shared" si="35"/>
        <v>0</v>
      </c>
      <c r="R151" s="5">
        <f t="shared" si="35"/>
        <v>1</v>
      </c>
      <c r="S151" s="5">
        <f t="shared" si="35"/>
        <v>0</v>
      </c>
      <c r="T151" s="5">
        <f t="shared" si="35"/>
        <v>0</v>
      </c>
      <c r="U151" s="5">
        <f t="shared" si="35"/>
        <v>0</v>
      </c>
      <c r="V151" s="5">
        <f t="shared" si="35"/>
        <v>2</v>
      </c>
    </row>
    <row r="152" spans="1:22" x14ac:dyDescent="0.3">
      <c r="A152" s="62"/>
      <c r="B152" s="89"/>
      <c r="C152" s="89"/>
      <c r="D152" s="89"/>
      <c r="E152" s="90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5"/>
    </row>
    <row r="153" spans="1:22" x14ac:dyDescent="0.3">
      <c r="A153" s="11" t="s">
        <v>48</v>
      </c>
      <c r="B153" s="44" t="s">
        <v>65</v>
      </c>
      <c r="C153" s="91" t="s">
        <v>66</v>
      </c>
      <c r="D153" s="78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/>
      <c r="U153" s="6"/>
      <c r="V153" s="5">
        <f>SUM(E153:U153)</f>
        <v>0</v>
      </c>
    </row>
    <row r="154" spans="1:22" x14ac:dyDescent="0.3">
      <c r="A154" s="52" t="s">
        <v>50</v>
      </c>
      <c r="B154" s="50"/>
      <c r="C154" s="24" t="s">
        <v>179</v>
      </c>
      <c r="D154" s="49"/>
      <c r="E154" s="53">
        <v>0</v>
      </c>
      <c r="F154" s="6">
        <v>0</v>
      </c>
      <c r="G154" s="6">
        <v>0</v>
      </c>
      <c r="H154" s="6">
        <v>0</v>
      </c>
      <c r="I154" s="6">
        <v>1</v>
      </c>
      <c r="J154" s="6">
        <v>0</v>
      </c>
      <c r="K154" s="6">
        <v>1</v>
      </c>
      <c r="L154" s="6">
        <v>0</v>
      </c>
      <c r="M154" s="6">
        <v>0</v>
      </c>
      <c r="N154" s="6">
        <v>0</v>
      </c>
      <c r="O154" s="6">
        <v>1</v>
      </c>
      <c r="P154" s="6">
        <v>0</v>
      </c>
      <c r="Q154" s="6">
        <v>0</v>
      </c>
      <c r="R154" s="6">
        <v>0</v>
      </c>
      <c r="S154" s="6">
        <v>0</v>
      </c>
      <c r="T154" s="6">
        <v>1</v>
      </c>
      <c r="U154" s="6"/>
      <c r="V154" s="5">
        <f t="shared" ref="V154:V161" si="36">SUM(E154:U154)</f>
        <v>4</v>
      </c>
    </row>
    <row r="155" spans="1:22" x14ac:dyDescent="0.3">
      <c r="A155" s="7"/>
      <c r="B155" s="50"/>
      <c r="C155" s="24" t="s">
        <v>180</v>
      </c>
      <c r="D155" s="49"/>
      <c r="E155" s="53">
        <v>0</v>
      </c>
      <c r="F155" s="6">
        <v>0</v>
      </c>
      <c r="G155" s="6">
        <v>0</v>
      </c>
      <c r="H155" s="6">
        <v>0</v>
      </c>
      <c r="I155" s="6">
        <v>1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1</v>
      </c>
      <c r="S155" s="6">
        <v>0</v>
      </c>
      <c r="T155" s="6"/>
      <c r="U155" s="6"/>
      <c r="V155" s="5">
        <f t="shared" si="36"/>
        <v>2</v>
      </c>
    </row>
    <row r="156" spans="1:22" x14ac:dyDescent="0.3">
      <c r="A156" s="7"/>
      <c r="B156" s="50"/>
      <c r="C156" s="24" t="s">
        <v>181</v>
      </c>
      <c r="D156" s="49"/>
      <c r="E156" s="53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1</v>
      </c>
      <c r="M156" s="6">
        <v>0</v>
      </c>
      <c r="N156" s="6">
        <v>0</v>
      </c>
      <c r="O156" s="6">
        <v>1</v>
      </c>
      <c r="P156" s="6">
        <v>0</v>
      </c>
      <c r="Q156" s="6">
        <v>0</v>
      </c>
      <c r="R156" s="6">
        <v>1</v>
      </c>
      <c r="S156" s="6">
        <v>0</v>
      </c>
      <c r="T156" s="6"/>
      <c r="U156" s="6"/>
      <c r="V156" s="5">
        <f t="shared" si="36"/>
        <v>3</v>
      </c>
    </row>
    <row r="157" spans="1:22" x14ac:dyDescent="0.3">
      <c r="A157" s="7"/>
      <c r="B157" s="50"/>
      <c r="C157" s="24" t="s">
        <v>182</v>
      </c>
      <c r="D157" s="49"/>
      <c r="E157" s="53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/>
      <c r="U157" s="6"/>
      <c r="V157" s="5">
        <f t="shared" si="36"/>
        <v>0</v>
      </c>
    </row>
    <row r="158" spans="1:22" x14ac:dyDescent="0.3">
      <c r="A158" s="7"/>
      <c r="B158" s="50"/>
      <c r="C158" s="24" t="s">
        <v>183</v>
      </c>
      <c r="D158" s="49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/>
      <c r="U158" s="6"/>
      <c r="V158" s="5">
        <f t="shared" si="36"/>
        <v>0</v>
      </c>
    </row>
    <row r="159" spans="1:22" x14ac:dyDescent="0.3">
      <c r="A159" s="7"/>
      <c r="B159" s="50"/>
      <c r="C159" s="24" t="s">
        <v>184</v>
      </c>
      <c r="D159" s="49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/>
      <c r="U159" s="6"/>
      <c r="V159" s="5">
        <f t="shared" si="36"/>
        <v>0</v>
      </c>
    </row>
    <row r="160" spans="1:22" x14ac:dyDescent="0.3">
      <c r="A160" s="7"/>
      <c r="B160" s="50"/>
      <c r="C160" s="24" t="s">
        <v>185</v>
      </c>
      <c r="D160" s="49"/>
      <c r="E160" s="53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/>
      <c r="U160" s="6"/>
      <c r="V160" s="5">
        <f t="shared" si="36"/>
        <v>0</v>
      </c>
    </row>
    <row r="161" spans="1:22" x14ac:dyDescent="0.3">
      <c r="A161" s="7"/>
      <c r="B161" s="57"/>
      <c r="C161" s="58"/>
      <c r="D161" s="59"/>
      <c r="E161" s="53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1</v>
      </c>
      <c r="S161" s="6">
        <v>0</v>
      </c>
      <c r="T161" s="6"/>
      <c r="U161" s="6"/>
      <c r="V161" s="5">
        <f t="shared" si="36"/>
        <v>1</v>
      </c>
    </row>
    <row r="162" spans="1:22" x14ac:dyDescent="0.3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5">
        <f t="shared" ref="V162" si="37">SUM(E168:U168)</f>
        <v>0</v>
      </c>
    </row>
    <row r="163" spans="1:22" x14ac:dyDescent="0.3">
      <c r="A163" s="6" t="s">
        <v>26</v>
      </c>
      <c r="B163" s="92" t="s">
        <v>51</v>
      </c>
      <c r="C163" s="93"/>
      <c r="D163" s="94"/>
      <c r="E163" s="5">
        <f t="shared" ref="E163:V163" si="38">SUM(E153:E162)</f>
        <v>0</v>
      </c>
      <c r="F163" s="5">
        <f t="shared" si="38"/>
        <v>0</v>
      </c>
      <c r="G163" s="5">
        <f t="shared" si="38"/>
        <v>0</v>
      </c>
      <c r="H163" s="5">
        <f t="shared" si="38"/>
        <v>0</v>
      </c>
      <c r="I163" s="5">
        <f t="shared" si="38"/>
        <v>2</v>
      </c>
      <c r="J163" s="5">
        <f t="shared" si="38"/>
        <v>0</v>
      </c>
      <c r="K163" s="5">
        <f t="shared" si="38"/>
        <v>1</v>
      </c>
      <c r="L163" s="5">
        <f t="shared" si="38"/>
        <v>1</v>
      </c>
      <c r="M163" s="5">
        <f t="shared" si="38"/>
        <v>0</v>
      </c>
      <c r="N163" s="5">
        <f t="shared" si="38"/>
        <v>0</v>
      </c>
      <c r="O163" s="5">
        <f t="shared" si="38"/>
        <v>2</v>
      </c>
      <c r="P163" s="5">
        <f t="shared" si="38"/>
        <v>0</v>
      </c>
      <c r="Q163" s="5">
        <f t="shared" si="38"/>
        <v>0</v>
      </c>
      <c r="R163" s="5">
        <f t="shared" si="38"/>
        <v>3</v>
      </c>
      <c r="S163" s="5">
        <f t="shared" si="38"/>
        <v>0</v>
      </c>
      <c r="T163" s="5">
        <f t="shared" si="38"/>
        <v>1</v>
      </c>
      <c r="U163" s="5">
        <f t="shared" si="38"/>
        <v>0</v>
      </c>
      <c r="V163" s="5">
        <f t="shared" si="38"/>
        <v>10</v>
      </c>
    </row>
    <row r="164" spans="1:22" x14ac:dyDescent="0.3">
      <c r="A164" s="62"/>
      <c r="B164" s="89"/>
      <c r="C164" s="89"/>
      <c r="D164" s="89"/>
      <c r="E164" s="90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</row>
    <row r="165" spans="1:22" ht="13.15" customHeight="1" x14ac:dyDescent="0.3">
      <c r="A165" s="11" t="s">
        <v>48</v>
      </c>
      <c r="B165" s="17" t="s">
        <v>67</v>
      </c>
      <c r="C165" s="86" t="s">
        <v>68</v>
      </c>
      <c r="D165" s="64"/>
      <c r="E165" s="6">
        <v>0</v>
      </c>
      <c r="F165" s="6">
        <v>1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/>
      <c r="U165" s="6">
        <v>1</v>
      </c>
      <c r="V165" s="5">
        <f t="shared" ref="V165:V174" si="39">SUM(E165:U165)</f>
        <v>2</v>
      </c>
    </row>
    <row r="166" spans="1:22" x14ac:dyDescent="0.3">
      <c r="A166" s="11" t="s">
        <v>50</v>
      </c>
      <c r="B166" s="50"/>
      <c r="C166" s="24" t="s">
        <v>186</v>
      </c>
      <c r="D166" s="49"/>
      <c r="E166" s="6">
        <v>0</v>
      </c>
      <c r="F166" s="6">
        <v>0</v>
      </c>
      <c r="G166" s="6">
        <v>1</v>
      </c>
      <c r="H166" s="6">
        <v>0</v>
      </c>
      <c r="I166" s="6">
        <v>1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1</v>
      </c>
      <c r="S166" s="6">
        <v>0</v>
      </c>
      <c r="T166" s="6"/>
      <c r="U166" s="6">
        <v>1</v>
      </c>
      <c r="V166" s="5">
        <f t="shared" si="39"/>
        <v>4</v>
      </c>
    </row>
    <row r="167" spans="1:22" x14ac:dyDescent="0.3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5">
        <f t="shared" si="39"/>
        <v>0</v>
      </c>
    </row>
    <row r="168" spans="1:22" x14ac:dyDescent="0.3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5">
        <f t="shared" si="39"/>
        <v>0</v>
      </c>
    </row>
    <row r="169" spans="1:22" x14ac:dyDescent="0.3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5">
        <f t="shared" si="39"/>
        <v>0</v>
      </c>
    </row>
    <row r="170" spans="1:22" x14ac:dyDescent="0.3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5">
        <f t="shared" si="39"/>
        <v>0</v>
      </c>
    </row>
    <row r="171" spans="1:22" x14ac:dyDescent="0.3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5">
        <f t="shared" si="39"/>
        <v>0</v>
      </c>
    </row>
    <row r="172" spans="1:22" x14ac:dyDescent="0.3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5">
        <f t="shared" si="39"/>
        <v>0</v>
      </c>
    </row>
    <row r="173" spans="1:22" x14ac:dyDescent="0.3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5">
        <f t="shared" si="39"/>
        <v>0</v>
      </c>
    </row>
    <row r="174" spans="1:22" x14ac:dyDescent="0.3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5">
        <f t="shared" si="39"/>
        <v>0</v>
      </c>
    </row>
    <row r="175" spans="1:22" x14ac:dyDescent="0.3">
      <c r="A175" s="6" t="s">
        <v>26</v>
      </c>
      <c r="B175" s="84" t="s">
        <v>51</v>
      </c>
      <c r="C175" s="87"/>
      <c r="D175" s="88"/>
      <c r="E175" s="5">
        <f t="shared" ref="E175:V175" si="40">SUM(E165:E174)</f>
        <v>0</v>
      </c>
      <c r="F175" s="5">
        <f t="shared" si="40"/>
        <v>1</v>
      </c>
      <c r="G175" s="5">
        <f t="shared" si="40"/>
        <v>1</v>
      </c>
      <c r="H175" s="5">
        <f t="shared" si="40"/>
        <v>0</v>
      </c>
      <c r="I175" s="5">
        <f t="shared" si="40"/>
        <v>1</v>
      </c>
      <c r="J175" s="5">
        <f t="shared" si="40"/>
        <v>0</v>
      </c>
      <c r="K175" s="5">
        <f t="shared" si="40"/>
        <v>0</v>
      </c>
      <c r="L175" s="5">
        <f t="shared" si="40"/>
        <v>0</v>
      </c>
      <c r="M175" s="5">
        <f t="shared" si="40"/>
        <v>0</v>
      </c>
      <c r="N175" s="5">
        <f t="shared" si="40"/>
        <v>0</v>
      </c>
      <c r="O175" s="5">
        <f t="shared" si="40"/>
        <v>0</v>
      </c>
      <c r="P175" s="5">
        <f t="shared" si="40"/>
        <v>0</v>
      </c>
      <c r="Q175" s="5">
        <f t="shared" si="40"/>
        <v>0</v>
      </c>
      <c r="R175" s="5">
        <f t="shared" si="40"/>
        <v>1</v>
      </c>
      <c r="S175" s="5">
        <f t="shared" si="40"/>
        <v>0</v>
      </c>
      <c r="T175" s="5">
        <f t="shared" si="40"/>
        <v>0</v>
      </c>
      <c r="U175" s="5">
        <f t="shared" si="40"/>
        <v>2</v>
      </c>
      <c r="V175" s="5">
        <f t="shared" si="40"/>
        <v>6</v>
      </c>
    </row>
    <row r="176" spans="1:22" ht="13.15" customHeight="1" x14ac:dyDescent="0.3">
      <c r="A176" s="62"/>
      <c r="B176" s="89"/>
      <c r="C176" s="89"/>
      <c r="D176" s="89"/>
      <c r="E176" s="90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</row>
    <row r="177" spans="1:22" x14ac:dyDescent="0.3">
      <c r="A177" s="11" t="s">
        <v>48</v>
      </c>
      <c r="B177" s="17" t="s">
        <v>69</v>
      </c>
      <c r="C177" s="86" t="s">
        <v>70</v>
      </c>
      <c r="D177" s="64"/>
      <c r="E177" s="6">
        <v>0</v>
      </c>
      <c r="F177" s="6">
        <v>2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2</v>
      </c>
      <c r="M177" s="6">
        <v>0</v>
      </c>
      <c r="N177" s="6">
        <v>0</v>
      </c>
      <c r="O177" s="6">
        <v>0</v>
      </c>
      <c r="P177" s="6">
        <v>0</v>
      </c>
      <c r="Q177" s="6">
        <v>1</v>
      </c>
      <c r="R177" s="6">
        <v>1</v>
      </c>
      <c r="S177" s="6">
        <v>1</v>
      </c>
      <c r="T177" s="6">
        <v>2</v>
      </c>
      <c r="U177" s="6">
        <v>2</v>
      </c>
      <c r="V177" s="5">
        <f t="shared" ref="V177:V186" si="41">SUM(E177:U177)</f>
        <v>11</v>
      </c>
    </row>
    <row r="178" spans="1:22" x14ac:dyDescent="0.3">
      <c r="A178" s="11" t="s">
        <v>50</v>
      </c>
      <c r="B178" s="50"/>
      <c r="C178" s="24" t="s">
        <v>187</v>
      </c>
      <c r="D178" s="49"/>
      <c r="E178" s="6">
        <v>0</v>
      </c>
      <c r="F178" s="6">
        <v>0</v>
      </c>
      <c r="G178" s="6">
        <v>0</v>
      </c>
      <c r="H178" s="6">
        <v>0</v>
      </c>
      <c r="I178" s="6">
        <v>1</v>
      </c>
      <c r="J178" s="6">
        <v>1</v>
      </c>
      <c r="K178" s="6">
        <v>3</v>
      </c>
      <c r="L178" s="6">
        <v>1</v>
      </c>
      <c r="M178" s="6">
        <v>0</v>
      </c>
      <c r="N178" s="6">
        <v>1</v>
      </c>
      <c r="O178" s="6">
        <v>2</v>
      </c>
      <c r="P178" s="6">
        <v>1</v>
      </c>
      <c r="Q178" s="6">
        <v>0</v>
      </c>
      <c r="R178" s="6">
        <v>1</v>
      </c>
      <c r="S178" s="6">
        <v>0</v>
      </c>
      <c r="T178" s="6"/>
      <c r="U178" s="6"/>
      <c r="V178" s="5">
        <f t="shared" si="41"/>
        <v>11</v>
      </c>
    </row>
    <row r="179" spans="1:22" x14ac:dyDescent="0.3">
      <c r="A179" s="7"/>
      <c r="B179" s="50"/>
      <c r="C179" s="24" t="s">
        <v>188</v>
      </c>
      <c r="D179" s="49"/>
      <c r="E179" s="6">
        <v>1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1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/>
      <c r="U179" s="6"/>
      <c r="V179" s="5">
        <f t="shared" si="41"/>
        <v>2</v>
      </c>
    </row>
    <row r="180" spans="1:22" x14ac:dyDescent="0.3">
      <c r="A180" s="7"/>
      <c r="B180" s="50"/>
      <c r="C180" s="24" t="s">
        <v>189</v>
      </c>
      <c r="D180" s="49"/>
      <c r="E180" s="6">
        <v>1</v>
      </c>
      <c r="F180" s="6">
        <v>0</v>
      </c>
      <c r="G180" s="6">
        <v>0</v>
      </c>
      <c r="H180" s="6">
        <v>0</v>
      </c>
      <c r="I180" s="6">
        <v>1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1</v>
      </c>
      <c r="Q180" s="6">
        <v>0</v>
      </c>
      <c r="R180" s="6">
        <v>0</v>
      </c>
      <c r="S180" s="6">
        <v>0</v>
      </c>
      <c r="T180" s="6">
        <v>1</v>
      </c>
      <c r="U180" s="6"/>
      <c r="V180" s="5">
        <f t="shared" si="41"/>
        <v>4</v>
      </c>
    </row>
    <row r="181" spans="1:22" x14ac:dyDescent="0.3">
      <c r="A181" s="7"/>
      <c r="B181" s="50"/>
      <c r="C181" s="24" t="s">
        <v>190</v>
      </c>
      <c r="D181" s="49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2</v>
      </c>
      <c r="Q181" s="6">
        <v>0</v>
      </c>
      <c r="R181" s="6">
        <v>0</v>
      </c>
      <c r="S181" s="6">
        <v>0</v>
      </c>
      <c r="T181" s="6"/>
      <c r="U181" s="6">
        <v>1</v>
      </c>
      <c r="V181" s="5">
        <f t="shared" si="41"/>
        <v>3</v>
      </c>
    </row>
    <row r="182" spans="1:22" x14ac:dyDescent="0.3">
      <c r="A182" s="7"/>
      <c r="B182" s="50"/>
      <c r="C182" s="24" t="s">
        <v>191</v>
      </c>
      <c r="D182" s="49"/>
      <c r="E182" s="6">
        <v>1</v>
      </c>
      <c r="F182" s="6">
        <v>0</v>
      </c>
      <c r="G182" s="6">
        <v>0</v>
      </c>
      <c r="H182" s="6">
        <v>1</v>
      </c>
      <c r="I182" s="6">
        <v>0</v>
      </c>
      <c r="J182" s="6">
        <v>0</v>
      </c>
      <c r="K182" s="6">
        <v>0</v>
      </c>
      <c r="L182" s="6">
        <v>0</v>
      </c>
      <c r="M182" s="6">
        <v>1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/>
      <c r="U182" s="6"/>
      <c r="V182" s="5">
        <f t="shared" si="41"/>
        <v>3</v>
      </c>
    </row>
    <row r="183" spans="1:22" x14ac:dyDescent="0.3">
      <c r="A183" s="7"/>
      <c r="B183" s="50"/>
      <c r="C183" s="24" t="s">
        <v>192</v>
      </c>
      <c r="D183" s="49"/>
      <c r="E183" s="6">
        <v>0</v>
      </c>
      <c r="F183" s="6">
        <v>0</v>
      </c>
      <c r="G183" s="6">
        <v>0</v>
      </c>
      <c r="H183" s="6">
        <v>1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/>
      <c r="U183" s="6"/>
      <c r="V183" s="5">
        <f t="shared" si="41"/>
        <v>1</v>
      </c>
    </row>
    <row r="184" spans="1:22" x14ac:dyDescent="0.3">
      <c r="A184" s="7"/>
      <c r="B184" s="50"/>
      <c r="C184" s="24" t="s">
        <v>193</v>
      </c>
      <c r="D184" s="49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/>
      <c r="U184" s="6"/>
      <c r="V184" s="5">
        <f t="shared" si="41"/>
        <v>0</v>
      </c>
    </row>
    <row r="185" spans="1:22" x14ac:dyDescent="0.3">
      <c r="A185" s="7"/>
      <c r="B185" s="50"/>
      <c r="C185" s="24" t="s">
        <v>194</v>
      </c>
      <c r="D185" s="49"/>
      <c r="E185" s="6">
        <v>0</v>
      </c>
      <c r="F185" s="6">
        <v>0</v>
      </c>
      <c r="G185" s="6">
        <v>0</v>
      </c>
      <c r="H185" s="6">
        <v>1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/>
      <c r="U185" s="6"/>
      <c r="V185" s="5">
        <f t="shared" si="41"/>
        <v>1</v>
      </c>
    </row>
    <row r="186" spans="1:22" x14ac:dyDescent="0.3">
      <c r="A186" s="7"/>
      <c r="B186" s="50"/>
      <c r="C186" s="24" t="s">
        <v>195</v>
      </c>
      <c r="D186" s="49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5">
        <f t="shared" si="41"/>
        <v>0</v>
      </c>
    </row>
    <row r="187" spans="1:22" ht="13.15" customHeight="1" x14ac:dyDescent="0.3">
      <c r="A187" s="6" t="s">
        <v>26</v>
      </c>
      <c r="B187" s="84" t="s">
        <v>51</v>
      </c>
      <c r="C187" s="87"/>
      <c r="D187" s="88"/>
      <c r="E187" s="5">
        <f t="shared" ref="E187:V187" si="42">SUM(E177:E186)</f>
        <v>3</v>
      </c>
      <c r="F187" s="5">
        <f t="shared" si="42"/>
        <v>2</v>
      </c>
      <c r="G187" s="5">
        <f t="shared" si="42"/>
        <v>0</v>
      </c>
      <c r="H187" s="5">
        <f t="shared" si="42"/>
        <v>3</v>
      </c>
      <c r="I187" s="5">
        <f t="shared" si="42"/>
        <v>2</v>
      </c>
      <c r="J187" s="5">
        <f t="shared" si="42"/>
        <v>1</v>
      </c>
      <c r="K187" s="5">
        <f t="shared" si="42"/>
        <v>4</v>
      </c>
      <c r="L187" s="5">
        <f t="shared" si="42"/>
        <v>3</v>
      </c>
      <c r="M187" s="5">
        <f t="shared" si="42"/>
        <v>1</v>
      </c>
      <c r="N187" s="5">
        <f t="shared" si="42"/>
        <v>1</v>
      </c>
      <c r="O187" s="5">
        <f t="shared" si="42"/>
        <v>2</v>
      </c>
      <c r="P187" s="5">
        <f t="shared" si="42"/>
        <v>4</v>
      </c>
      <c r="Q187" s="5">
        <f t="shared" si="42"/>
        <v>1</v>
      </c>
      <c r="R187" s="5">
        <f t="shared" si="42"/>
        <v>2</v>
      </c>
      <c r="S187" s="5">
        <f t="shared" si="42"/>
        <v>1</v>
      </c>
      <c r="T187" s="5">
        <f t="shared" si="42"/>
        <v>3</v>
      </c>
      <c r="U187" s="5">
        <f t="shared" si="42"/>
        <v>3</v>
      </c>
      <c r="V187" s="5">
        <f t="shared" si="42"/>
        <v>36</v>
      </c>
    </row>
    <row r="188" spans="1:22" x14ac:dyDescent="0.3">
      <c r="A188" s="62"/>
      <c r="B188" s="89"/>
      <c r="C188" s="89"/>
      <c r="D188" s="89"/>
      <c r="E188" s="90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5"/>
    </row>
    <row r="189" spans="1:22" x14ac:dyDescent="0.3">
      <c r="A189" s="11" t="s">
        <v>48</v>
      </c>
      <c r="B189" s="17" t="s">
        <v>71</v>
      </c>
      <c r="C189" s="86" t="s">
        <v>72</v>
      </c>
      <c r="D189" s="64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>
        <v>1</v>
      </c>
      <c r="P189" s="6"/>
      <c r="Q189" s="6"/>
      <c r="R189" s="6"/>
      <c r="S189" s="6"/>
      <c r="T189" s="6"/>
      <c r="U189" s="6"/>
      <c r="V189" s="5">
        <f t="shared" ref="V189:V198" si="43">SUM(E189:U189)</f>
        <v>1</v>
      </c>
    </row>
    <row r="190" spans="1:22" x14ac:dyDescent="0.3">
      <c r="A190" s="11" t="s">
        <v>50</v>
      </c>
      <c r="B190" s="50"/>
      <c r="C190" s="24" t="s">
        <v>196</v>
      </c>
      <c r="D190" s="49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5">
        <f t="shared" si="43"/>
        <v>0</v>
      </c>
    </row>
    <row r="191" spans="1:22" x14ac:dyDescent="0.3">
      <c r="A191" s="7"/>
      <c r="B191" s="50"/>
      <c r="C191" s="24" t="s">
        <v>197</v>
      </c>
      <c r="D191" s="49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5">
        <f t="shared" si="43"/>
        <v>0</v>
      </c>
    </row>
    <row r="192" spans="1:22" x14ac:dyDescent="0.3">
      <c r="A192" s="7"/>
      <c r="B192" s="50"/>
      <c r="C192" s="24" t="s">
        <v>198</v>
      </c>
      <c r="D192" s="49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5">
        <f t="shared" si="43"/>
        <v>0</v>
      </c>
    </row>
    <row r="193" spans="1:22" x14ac:dyDescent="0.3">
      <c r="A193" s="7"/>
      <c r="B193" s="50"/>
      <c r="C193" s="24" t="s">
        <v>199</v>
      </c>
      <c r="D193" s="49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5">
        <f t="shared" si="43"/>
        <v>0</v>
      </c>
    </row>
    <row r="194" spans="1:22" x14ac:dyDescent="0.3">
      <c r="A194" s="7"/>
      <c r="B194" s="50"/>
      <c r="C194" s="24" t="s">
        <v>200</v>
      </c>
      <c r="D194" s="49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5">
        <f t="shared" si="43"/>
        <v>0</v>
      </c>
    </row>
    <row r="195" spans="1:22" x14ac:dyDescent="0.3">
      <c r="A195" s="7"/>
      <c r="B195" s="50"/>
      <c r="C195" s="24" t="s">
        <v>201</v>
      </c>
      <c r="D195" s="49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5">
        <f t="shared" si="43"/>
        <v>0</v>
      </c>
    </row>
    <row r="196" spans="1:22" ht="13.15" customHeight="1" x14ac:dyDescent="0.3">
      <c r="A196" s="7"/>
      <c r="B196" s="50"/>
      <c r="C196" s="24" t="s">
        <v>202</v>
      </c>
      <c r="D196" s="49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5">
        <f t="shared" si="43"/>
        <v>0</v>
      </c>
    </row>
    <row r="197" spans="1:22" ht="13.15" customHeight="1" x14ac:dyDescent="0.3">
      <c r="A197" s="7"/>
      <c r="B197" s="50"/>
      <c r="C197" s="24" t="s">
        <v>203</v>
      </c>
      <c r="D197" s="49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5">
        <f t="shared" si="43"/>
        <v>0</v>
      </c>
    </row>
    <row r="198" spans="1:22" ht="13.15" customHeight="1" x14ac:dyDescent="0.3">
      <c r="A198" s="7"/>
      <c r="B198" s="50"/>
      <c r="C198" s="24" t="s">
        <v>204</v>
      </c>
      <c r="D198" s="49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5">
        <f t="shared" si="43"/>
        <v>0</v>
      </c>
    </row>
    <row r="199" spans="1:22" x14ac:dyDescent="0.3">
      <c r="A199" s="6" t="s">
        <v>26</v>
      </c>
      <c r="B199" s="84" t="s">
        <v>51</v>
      </c>
      <c r="C199" s="87"/>
      <c r="D199" s="88"/>
      <c r="E199" s="5">
        <f t="shared" ref="E199:V199" si="44">SUM(E189:E198)</f>
        <v>0</v>
      </c>
      <c r="F199" s="5">
        <f t="shared" si="44"/>
        <v>0</v>
      </c>
      <c r="G199" s="5">
        <f t="shared" si="44"/>
        <v>0</v>
      </c>
      <c r="H199" s="5">
        <f t="shared" si="44"/>
        <v>0</v>
      </c>
      <c r="I199" s="5">
        <f t="shared" si="44"/>
        <v>0</v>
      </c>
      <c r="J199" s="5">
        <f t="shared" si="44"/>
        <v>0</v>
      </c>
      <c r="K199" s="5">
        <f t="shared" si="44"/>
        <v>0</v>
      </c>
      <c r="L199" s="5">
        <f t="shared" si="44"/>
        <v>0</v>
      </c>
      <c r="M199" s="5">
        <f t="shared" si="44"/>
        <v>0</v>
      </c>
      <c r="N199" s="5">
        <f t="shared" si="44"/>
        <v>0</v>
      </c>
      <c r="O199" s="5">
        <f t="shared" si="44"/>
        <v>1</v>
      </c>
      <c r="P199" s="5">
        <f t="shared" si="44"/>
        <v>0</v>
      </c>
      <c r="Q199" s="5">
        <f t="shared" si="44"/>
        <v>0</v>
      </c>
      <c r="R199" s="5">
        <f t="shared" si="44"/>
        <v>0</v>
      </c>
      <c r="S199" s="5">
        <f t="shared" si="44"/>
        <v>0</v>
      </c>
      <c r="T199" s="5">
        <f t="shared" si="44"/>
        <v>0</v>
      </c>
      <c r="U199" s="5">
        <f t="shared" si="44"/>
        <v>0</v>
      </c>
      <c r="V199" s="5">
        <f t="shared" si="44"/>
        <v>1</v>
      </c>
    </row>
    <row r="200" spans="1:22" x14ac:dyDescent="0.3">
      <c r="A200" s="62"/>
      <c r="B200" s="89"/>
      <c r="C200" s="89"/>
      <c r="D200" s="89"/>
      <c r="E200" s="90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</row>
    <row r="201" spans="1:22" x14ac:dyDescent="0.3">
      <c r="A201" s="11" t="s">
        <v>48</v>
      </c>
      <c r="B201" s="17" t="s">
        <v>73</v>
      </c>
      <c r="C201" s="86" t="s">
        <v>74</v>
      </c>
      <c r="D201" s="64"/>
      <c r="E201" s="6">
        <v>3</v>
      </c>
      <c r="F201" s="6">
        <v>2</v>
      </c>
      <c r="G201" s="6">
        <v>5</v>
      </c>
      <c r="H201" s="6">
        <v>5</v>
      </c>
      <c r="I201" s="6">
        <v>4</v>
      </c>
      <c r="J201" s="6">
        <v>4</v>
      </c>
      <c r="K201" s="6">
        <v>1</v>
      </c>
      <c r="L201" s="6">
        <v>4</v>
      </c>
      <c r="M201" s="6">
        <v>1</v>
      </c>
      <c r="N201" s="6">
        <v>6</v>
      </c>
      <c r="O201" s="6">
        <v>6</v>
      </c>
      <c r="P201" s="6">
        <v>6</v>
      </c>
      <c r="Q201" s="6">
        <v>1</v>
      </c>
      <c r="R201" s="6">
        <v>2</v>
      </c>
      <c r="S201" s="6">
        <v>2</v>
      </c>
      <c r="T201" s="6">
        <v>3</v>
      </c>
      <c r="U201" s="6"/>
      <c r="V201" s="5">
        <f t="shared" ref="V201:V210" si="45">SUM(E201:U201)</f>
        <v>55</v>
      </c>
    </row>
    <row r="202" spans="1:22" x14ac:dyDescent="0.3">
      <c r="A202" s="11" t="s">
        <v>50</v>
      </c>
      <c r="B202" s="50"/>
      <c r="C202" s="24" t="s">
        <v>205</v>
      </c>
      <c r="D202" s="49"/>
      <c r="E202" s="6">
        <v>9</v>
      </c>
      <c r="F202" s="6">
        <v>6</v>
      </c>
      <c r="G202" s="6">
        <v>4</v>
      </c>
      <c r="H202" s="6">
        <v>8</v>
      </c>
      <c r="I202" s="6">
        <v>8</v>
      </c>
      <c r="J202" s="6">
        <v>3</v>
      </c>
      <c r="K202" s="6">
        <v>2</v>
      </c>
      <c r="L202" s="6">
        <v>2</v>
      </c>
      <c r="M202" s="6">
        <v>2</v>
      </c>
      <c r="N202" s="6">
        <v>3</v>
      </c>
      <c r="O202" s="6">
        <v>9</v>
      </c>
      <c r="P202" s="6">
        <v>7</v>
      </c>
      <c r="Q202" s="6">
        <v>1</v>
      </c>
      <c r="R202" s="6">
        <v>2</v>
      </c>
      <c r="S202" s="6">
        <v>1</v>
      </c>
      <c r="T202" s="6">
        <v>3</v>
      </c>
      <c r="U202" s="6">
        <v>1</v>
      </c>
      <c r="V202" s="5">
        <f t="shared" si="45"/>
        <v>71</v>
      </c>
    </row>
    <row r="203" spans="1:22" x14ac:dyDescent="0.3">
      <c r="A203" s="7"/>
      <c r="B203" s="50"/>
      <c r="C203" s="24" t="s">
        <v>206</v>
      </c>
      <c r="D203" s="49"/>
      <c r="E203" s="6">
        <v>0</v>
      </c>
      <c r="F203" s="6">
        <v>1</v>
      </c>
      <c r="G203" s="6">
        <v>1</v>
      </c>
      <c r="H203" s="6">
        <v>0</v>
      </c>
      <c r="I203" s="6">
        <v>1</v>
      </c>
      <c r="J203" s="6">
        <v>0</v>
      </c>
      <c r="K203" s="6">
        <v>2</v>
      </c>
      <c r="L203" s="6">
        <v>2</v>
      </c>
      <c r="M203" s="6">
        <v>0</v>
      </c>
      <c r="N203" s="6">
        <v>2</v>
      </c>
      <c r="O203" s="6">
        <v>3</v>
      </c>
      <c r="P203" s="6">
        <v>1</v>
      </c>
      <c r="Q203" s="6">
        <v>4</v>
      </c>
      <c r="R203" s="6">
        <v>0</v>
      </c>
      <c r="S203" s="6">
        <v>1</v>
      </c>
      <c r="T203" s="6">
        <v>1</v>
      </c>
      <c r="U203" s="6"/>
      <c r="V203" s="5">
        <f t="shared" si="45"/>
        <v>19</v>
      </c>
    </row>
    <row r="204" spans="1:22" x14ac:dyDescent="0.3">
      <c r="A204" s="7"/>
      <c r="B204" s="50"/>
      <c r="C204" s="24" t="s">
        <v>207</v>
      </c>
      <c r="D204" s="49"/>
      <c r="E204" s="6">
        <v>0</v>
      </c>
      <c r="F204" s="6">
        <v>0</v>
      </c>
      <c r="G204" s="6">
        <v>0</v>
      </c>
      <c r="H204" s="6">
        <v>0</v>
      </c>
      <c r="I204" s="6">
        <v>1</v>
      </c>
      <c r="J204" s="6">
        <v>0</v>
      </c>
      <c r="K204" s="6">
        <v>0</v>
      </c>
      <c r="L204" s="6">
        <v>0</v>
      </c>
      <c r="M204" s="6">
        <v>1</v>
      </c>
      <c r="N204" s="6">
        <v>1</v>
      </c>
      <c r="O204" s="6">
        <v>0</v>
      </c>
      <c r="P204" s="6">
        <v>1</v>
      </c>
      <c r="Q204" s="6">
        <v>0</v>
      </c>
      <c r="R204" s="6">
        <v>0</v>
      </c>
      <c r="S204" s="6">
        <v>0</v>
      </c>
      <c r="T204" s="6"/>
      <c r="U204" s="6"/>
      <c r="V204" s="5">
        <f t="shared" si="45"/>
        <v>4</v>
      </c>
    </row>
    <row r="205" spans="1:22" x14ac:dyDescent="0.3">
      <c r="A205" s="7"/>
      <c r="B205" s="50"/>
      <c r="C205" s="24" t="s">
        <v>208</v>
      </c>
      <c r="D205" s="49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1</v>
      </c>
      <c r="L205" s="6">
        <v>0</v>
      </c>
      <c r="M205" s="6">
        <v>0</v>
      </c>
      <c r="N205" s="6">
        <v>1</v>
      </c>
      <c r="O205" s="6">
        <v>0</v>
      </c>
      <c r="P205" s="6">
        <v>1</v>
      </c>
      <c r="Q205" s="6">
        <v>0</v>
      </c>
      <c r="R205" s="6">
        <v>0</v>
      </c>
      <c r="S205" s="6">
        <v>0</v>
      </c>
      <c r="T205" s="6"/>
      <c r="U205" s="6"/>
      <c r="V205" s="5">
        <f t="shared" si="45"/>
        <v>3</v>
      </c>
    </row>
    <row r="206" spans="1:22" x14ac:dyDescent="0.3">
      <c r="A206" s="7"/>
      <c r="B206" s="50"/>
      <c r="C206" s="24" t="s">
        <v>209</v>
      </c>
      <c r="D206" s="49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1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1</v>
      </c>
      <c r="T206" s="6"/>
      <c r="U206" s="6"/>
      <c r="V206" s="5">
        <f t="shared" si="45"/>
        <v>2</v>
      </c>
    </row>
    <row r="207" spans="1:22" ht="13.15" customHeight="1" x14ac:dyDescent="0.3">
      <c r="A207" s="7"/>
      <c r="B207" s="50"/>
      <c r="C207" s="24" t="s">
        <v>210</v>
      </c>
      <c r="D207" s="49"/>
      <c r="E207" s="6">
        <v>0</v>
      </c>
      <c r="F207" s="6">
        <v>1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/>
      <c r="U207" s="6"/>
      <c r="V207" s="5">
        <f t="shared" si="45"/>
        <v>1</v>
      </c>
    </row>
    <row r="208" spans="1:22" x14ac:dyDescent="0.3">
      <c r="A208" s="7"/>
      <c r="B208" s="50"/>
      <c r="C208" s="24" t="s">
        <v>211</v>
      </c>
      <c r="D208" s="49"/>
      <c r="E208" s="6">
        <v>2</v>
      </c>
      <c r="F208" s="6">
        <v>0</v>
      </c>
      <c r="G208" s="6">
        <v>0</v>
      </c>
      <c r="H208" s="6">
        <v>1</v>
      </c>
      <c r="I208" s="6">
        <v>0</v>
      </c>
      <c r="J208" s="6">
        <v>0</v>
      </c>
      <c r="K208" s="6">
        <v>0</v>
      </c>
      <c r="L208" s="6">
        <v>1</v>
      </c>
      <c r="M208" s="6">
        <v>0</v>
      </c>
      <c r="N208" s="6">
        <v>0</v>
      </c>
      <c r="O208" s="6">
        <v>0</v>
      </c>
      <c r="P208" s="6">
        <v>1</v>
      </c>
      <c r="Q208" s="6">
        <v>1</v>
      </c>
      <c r="R208" s="6">
        <v>0</v>
      </c>
      <c r="S208" s="6">
        <v>0</v>
      </c>
      <c r="T208" s="6"/>
      <c r="U208" s="6"/>
      <c r="V208" s="5">
        <f t="shared" si="45"/>
        <v>6</v>
      </c>
    </row>
    <row r="209" spans="1:22" x14ac:dyDescent="0.3">
      <c r="A209" s="7"/>
      <c r="B209" s="50"/>
      <c r="C209" s="24" t="s">
        <v>212</v>
      </c>
      <c r="D209" s="49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/>
      <c r="U209" s="6"/>
      <c r="V209" s="5">
        <f t="shared" si="45"/>
        <v>0</v>
      </c>
    </row>
    <row r="210" spans="1:22" x14ac:dyDescent="0.3">
      <c r="A210" s="7"/>
      <c r="B210" s="50"/>
      <c r="C210" s="24" t="s">
        <v>213</v>
      </c>
      <c r="D210" s="49"/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1</v>
      </c>
      <c r="P210" s="6">
        <v>0</v>
      </c>
      <c r="Q210" s="6">
        <v>0</v>
      </c>
      <c r="R210" s="6">
        <v>0</v>
      </c>
      <c r="S210" s="6">
        <v>0</v>
      </c>
      <c r="T210" s="6"/>
      <c r="U210" s="6"/>
      <c r="V210" s="5">
        <f t="shared" si="45"/>
        <v>1</v>
      </c>
    </row>
    <row r="211" spans="1:22" x14ac:dyDescent="0.3">
      <c r="A211" s="6" t="s">
        <v>26</v>
      </c>
      <c r="B211" s="84" t="s">
        <v>51</v>
      </c>
      <c r="C211" s="87"/>
      <c r="D211" s="88"/>
      <c r="E211" s="5">
        <f t="shared" ref="E211:V211" si="46">SUM(E201:E210)</f>
        <v>14</v>
      </c>
      <c r="F211" s="5">
        <f t="shared" si="46"/>
        <v>10</v>
      </c>
      <c r="G211" s="5">
        <f t="shared" si="46"/>
        <v>10</v>
      </c>
      <c r="H211" s="5">
        <f t="shared" si="46"/>
        <v>14</v>
      </c>
      <c r="I211" s="5">
        <f t="shared" si="46"/>
        <v>14</v>
      </c>
      <c r="J211" s="5">
        <f t="shared" si="46"/>
        <v>7</v>
      </c>
      <c r="K211" s="5">
        <f t="shared" si="46"/>
        <v>7</v>
      </c>
      <c r="L211" s="5">
        <f t="shared" si="46"/>
        <v>9</v>
      </c>
      <c r="M211" s="5">
        <f t="shared" si="46"/>
        <v>4</v>
      </c>
      <c r="N211" s="5">
        <f t="shared" si="46"/>
        <v>13</v>
      </c>
      <c r="O211" s="5">
        <f t="shared" si="46"/>
        <v>19</v>
      </c>
      <c r="P211" s="5">
        <f t="shared" si="46"/>
        <v>17</v>
      </c>
      <c r="Q211" s="5">
        <f t="shared" si="46"/>
        <v>7</v>
      </c>
      <c r="R211" s="5">
        <f t="shared" si="46"/>
        <v>4</v>
      </c>
      <c r="S211" s="5">
        <f t="shared" si="46"/>
        <v>5</v>
      </c>
      <c r="T211" s="5">
        <f t="shared" si="46"/>
        <v>7</v>
      </c>
      <c r="U211" s="5">
        <f t="shared" si="46"/>
        <v>1</v>
      </c>
      <c r="V211" s="5">
        <f t="shared" si="46"/>
        <v>162</v>
      </c>
    </row>
    <row r="212" spans="1:22" x14ac:dyDescent="0.3">
      <c r="A212" s="62"/>
      <c r="B212" s="89"/>
      <c r="C212" s="89"/>
      <c r="D212" s="89"/>
      <c r="E212" s="90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</row>
    <row r="213" spans="1:22" x14ac:dyDescent="0.3">
      <c r="A213" s="11" t="s">
        <v>48</v>
      </c>
      <c r="B213" s="17" t="s">
        <v>75</v>
      </c>
      <c r="C213" s="86" t="s">
        <v>76</v>
      </c>
      <c r="D213" s="64"/>
      <c r="E213" s="6">
        <v>3</v>
      </c>
      <c r="F213" s="6">
        <v>1</v>
      </c>
      <c r="G213" s="6">
        <v>2</v>
      </c>
      <c r="H213" s="6">
        <v>1</v>
      </c>
      <c r="I213" s="6">
        <v>2</v>
      </c>
      <c r="J213" s="6">
        <v>1</v>
      </c>
      <c r="K213" s="6">
        <v>0</v>
      </c>
      <c r="L213" s="6">
        <v>2</v>
      </c>
      <c r="M213" s="6">
        <v>0</v>
      </c>
      <c r="N213" s="6">
        <v>2</v>
      </c>
      <c r="O213" s="6">
        <v>0</v>
      </c>
      <c r="P213" s="6">
        <v>3</v>
      </c>
      <c r="Q213" s="6">
        <v>0</v>
      </c>
      <c r="R213" s="6">
        <v>5</v>
      </c>
      <c r="S213" s="6">
        <v>2</v>
      </c>
      <c r="T213" s="6">
        <v>2</v>
      </c>
      <c r="U213" s="6">
        <v>1</v>
      </c>
      <c r="V213" s="5">
        <f t="shared" ref="V213:V222" si="47">SUM(E213:U213)</f>
        <v>27</v>
      </c>
    </row>
    <row r="214" spans="1:22" x14ac:dyDescent="0.3">
      <c r="A214" s="11" t="s">
        <v>50</v>
      </c>
      <c r="B214" s="50"/>
      <c r="C214" s="24" t="s">
        <v>214</v>
      </c>
      <c r="D214" s="49"/>
      <c r="E214" s="6">
        <v>2</v>
      </c>
      <c r="F214" s="6">
        <v>1</v>
      </c>
      <c r="G214" s="6">
        <v>1</v>
      </c>
      <c r="H214" s="6">
        <v>1</v>
      </c>
      <c r="I214" s="6">
        <v>2</v>
      </c>
      <c r="J214" s="6">
        <v>3</v>
      </c>
      <c r="K214" s="6">
        <v>0</v>
      </c>
      <c r="L214" s="6">
        <v>1</v>
      </c>
      <c r="M214" s="6">
        <v>0</v>
      </c>
      <c r="N214" s="6">
        <v>2</v>
      </c>
      <c r="O214" s="6">
        <v>1</v>
      </c>
      <c r="P214" s="6">
        <v>0</v>
      </c>
      <c r="Q214" s="6">
        <v>1</v>
      </c>
      <c r="R214" s="6">
        <v>5</v>
      </c>
      <c r="S214" s="6">
        <v>1</v>
      </c>
      <c r="T214" s="6">
        <v>3</v>
      </c>
      <c r="U214" s="6">
        <v>2</v>
      </c>
      <c r="V214" s="5">
        <f t="shared" si="47"/>
        <v>26</v>
      </c>
    </row>
    <row r="215" spans="1:22" x14ac:dyDescent="0.3">
      <c r="A215" s="7"/>
      <c r="B215" s="50"/>
      <c r="C215" s="24" t="s">
        <v>215</v>
      </c>
      <c r="D215" s="49"/>
      <c r="E215" s="6">
        <v>2</v>
      </c>
      <c r="F215" s="6">
        <v>0</v>
      </c>
      <c r="G215" s="6">
        <v>0</v>
      </c>
      <c r="H215" s="6">
        <v>1</v>
      </c>
      <c r="I215" s="6">
        <v>1</v>
      </c>
      <c r="J215" s="6">
        <v>1</v>
      </c>
      <c r="K215" s="6">
        <v>1</v>
      </c>
      <c r="L215" s="6">
        <v>5</v>
      </c>
      <c r="M215" s="6">
        <v>0</v>
      </c>
      <c r="N215" s="6">
        <v>4</v>
      </c>
      <c r="O215" s="6">
        <v>0</v>
      </c>
      <c r="P215" s="6">
        <v>1</v>
      </c>
      <c r="Q215" s="6">
        <v>1</v>
      </c>
      <c r="R215" s="6">
        <v>0</v>
      </c>
      <c r="S215" s="6">
        <v>5</v>
      </c>
      <c r="T215" s="6">
        <v>5</v>
      </c>
      <c r="U215" s="6">
        <v>1</v>
      </c>
      <c r="V215" s="5">
        <f t="shared" si="47"/>
        <v>28</v>
      </c>
    </row>
    <row r="216" spans="1:22" x14ac:dyDescent="0.3">
      <c r="A216" s="7"/>
      <c r="B216" s="50"/>
      <c r="C216" s="24" t="s">
        <v>216</v>
      </c>
      <c r="D216" s="49"/>
      <c r="E216" s="6">
        <v>0</v>
      </c>
      <c r="F216" s="6">
        <v>0</v>
      </c>
      <c r="G216" s="6">
        <v>0</v>
      </c>
      <c r="H216" s="6">
        <v>1</v>
      </c>
      <c r="I216" s="6">
        <v>1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1</v>
      </c>
      <c r="Q216" s="6">
        <v>0</v>
      </c>
      <c r="R216" s="6">
        <v>0</v>
      </c>
      <c r="S216" s="6">
        <v>0</v>
      </c>
      <c r="T216" s="6">
        <v>1</v>
      </c>
      <c r="U216" s="6">
        <v>0</v>
      </c>
      <c r="V216" s="5">
        <f t="shared" si="47"/>
        <v>4</v>
      </c>
    </row>
    <row r="217" spans="1:22" x14ac:dyDescent="0.3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5">
        <f t="shared" si="47"/>
        <v>0</v>
      </c>
    </row>
    <row r="218" spans="1:22" ht="13.15" customHeight="1" x14ac:dyDescent="0.3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5">
        <f t="shared" si="47"/>
        <v>0</v>
      </c>
    </row>
    <row r="219" spans="1:22" x14ac:dyDescent="0.3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5">
        <f t="shared" si="47"/>
        <v>0</v>
      </c>
    </row>
    <row r="220" spans="1:22" x14ac:dyDescent="0.3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5">
        <f t="shared" si="47"/>
        <v>0</v>
      </c>
    </row>
    <row r="221" spans="1:22" x14ac:dyDescent="0.3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5">
        <f t="shared" si="47"/>
        <v>0</v>
      </c>
    </row>
    <row r="222" spans="1:22" x14ac:dyDescent="0.3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5">
        <f t="shared" si="47"/>
        <v>0</v>
      </c>
    </row>
    <row r="223" spans="1:22" x14ac:dyDescent="0.3">
      <c r="A223" s="6" t="s">
        <v>26</v>
      </c>
      <c r="B223" s="84" t="s">
        <v>51</v>
      </c>
      <c r="C223" s="87"/>
      <c r="D223" s="88"/>
      <c r="E223" s="5">
        <f t="shared" ref="E223:V223" si="48">SUM(E213:E222)</f>
        <v>7</v>
      </c>
      <c r="F223" s="5">
        <f t="shared" si="48"/>
        <v>2</v>
      </c>
      <c r="G223" s="5">
        <f t="shared" si="48"/>
        <v>3</v>
      </c>
      <c r="H223" s="5">
        <f t="shared" si="48"/>
        <v>4</v>
      </c>
      <c r="I223" s="5">
        <f t="shared" si="48"/>
        <v>6</v>
      </c>
      <c r="J223" s="5">
        <f t="shared" si="48"/>
        <v>5</v>
      </c>
      <c r="K223" s="5">
        <f t="shared" si="48"/>
        <v>1</v>
      </c>
      <c r="L223" s="5">
        <f t="shared" si="48"/>
        <v>8</v>
      </c>
      <c r="M223" s="5">
        <f t="shared" si="48"/>
        <v>0</v>
      </c>
      <c r="N223" s="5">
        <f t="shared" si="48"/>
        <v>8</v>
      </c>
      <c r="O223" s="5">
        <f t="shared" si="48"/>
        <v>1</v>
      </c>
      <c r="P223" s="5">
        <f t="shared" si="48"/>
        <v>5</v>
      </c>
      <c r="Q223" s="5">
        <f t="shared" si="48"/>
        <v>2</v>
      </c>
      <c r="R223" s="5">
        <f t="shared" si="48"/>
        <v>10</v>
      </c>
      <c r="S223" s="5">
        <f t="shared" si="48"/>
        <v>8</v>
      </c>
      <c r="T223" s="5">
        <f t="shared" si="48"/>
        <v>11</v>
      </c>
      <c r="U223" s="5">
        <f t="shared" si="48"/>
        <v>4</v>
      </c>
      <c r="V223" s="5">
        <f t="shared" si="48"/>
        <v>85</v>
      </c>
    </row>
    <row r="224" spans="1:22" x14ac:dyDescent="0.3">
      <c r="A224" s="62"/>
      <c r="B224" s="89"/>
      <c r="C224" s="89"/>
      <c r="D224" s="89"/>
      <c r="E224" s="90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</row>
    <row r="225" spans="1:22" x14ac:dyDescent="0.3">
      <c r="A225" s="11" t="s">
        <v>48</v>
      </c>
      <c r="B225" s="17" t="s">
        <v>77</v>
      </c>
      <c r="C225" s="86" t="s">
        <v>78</v>
      </c>
      <c r="D225" s="64"/>
      <c r="E225" s="6">
        <v>1</v>
      </c>
      <c r="F225" s="6">
        <v>0</v>
      </c>
      <c r="G225" s="6">
        <v>0</v>
      </c>
      <c r="H225" s="6">
        <v>1</v>
      </c>
      <c r="I225" s="6">
        <v>0</v>
      </c>
      <c r="J225" s="6">
        <v>0</v>
      </c>
      <c r="K225" s="6">
        <v>0</v>
      </c>
      <c r="L225" s="6">
        <v>0</v>
      </c>
      <c r="M225" s="6">
        <v>1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/>
      <c r="U225" s="6"/>
      <c r="V225" s="5">
        <f t="shared" ref="V225:V234" si="49">SUM(E225:U225)</f>
        <v>3</v>
      </c>
    </row>
    <row r="226" spans="1:22" x14ac:dyDescent="0.3">
      <c r="A226" s="11" t="s">
        <v>50</v>
      </c>
      <c r="B226" s="50"/>
      <c r="C226" s="24" t="s">
        <v>217</v>
      </c>
      <c r="D226" s="49"/>
      <c r="E226" s="6">
        <v>1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1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/>
      <c r="U226" s="6"/>
      <c r="V226" s="5">
        <f t="shared" si="49"/>
        <v>2</v>
      </c>
    </row>
    <row r="227" spans="1:22" x14ac:dyDescent="0.3">
      <c r="A227" s="7"/>
      <c r="B227" s="50"/>
      <c r="C227" s="24" t="s">
        <v>218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/>
      <c r="U227" s="6"/>
      <c r="V227" s="5">
        <f t="shared" si="49"/>
        <v>0</v>
      </c>
    </row>
    <row r="228" spans="1:22" x14ac:dyDescent="0.3">
      <c r="A228" s="7"/>
      <c r="B228" s="50"/>
      <c r="C228" s="24" t="s">
        <v>219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/>
      <c r="U228" s="6"/>
      <c r="V228" s="5">
        <f t="shared" si="49"/>
        <v>0</v>
      </c>
    </row>
    <row r="229" spans="1:22" ht="13.15" customHeight="1" x14ac:dyDescent="0.3">
      <c r="A229" s="7"/>
      <c r="B229" s="50"/>
      <c r="C229" s="24" t="s">
        <v>220</v>
      </c>
      <c r="D229" s="49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/>
      <c r="U229" s="6"/>
      <c r="V229" s="5">
        <f t="shared" si="49"/>
        <v>0</v>
      </c>
    </row>
    <row r="230" spans="1:22" x14ac:dyDescent="0.3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5">
        <f t="shared" si="49"/>
        <v>0</v>
      </c>
    </row>
    <row r="231" spans="1:22" x14ac:dyDescent="0.3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5">
        <f t="shared" si="49"/>
        <v>0</v>
      </c>
    </row>
    <row r="232" spans="1:22" x14ac:dyDescent="0.3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5">
        <f t="shared" si="49"/>
        <v>0</v>
      </c>
    </row>
    <row r="233" spans="1:22" x14ac:dyDescent="0.3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5">
        <f t="shared" si="49"/>
        <v>0</v>
      </c>
    </row>
    <row r="234" spans="1:22" x14ac:dyDescent="0.3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5">
        <f t="shared" si="49"/>
        <v>0</v>
      </c>
    </row>
    <row r="235" spans="1:22" x14ac:dyDescent="0.3">
      <c r="A235" s="6" t="s">
        <v>26</v>
      </c>
      <c r="B235" s="84" t="s">
        <v>51</v>
      </c>
      <c r="C235" s="87"/>
      <c r="D235" s="88"/>
      <c r="E235" s="5">
        <f t="shared" ref="E235:V235" si="50">SUM(E225:E234)</f>
        <v>2</v>
      </c>
      <c r="F235" s="5">
        <f t="shared" si="50"/>
        <v>0</v>
      </c>
      <c r="G235" s="5">
        <f t="shared" si="50"/>
        <v>0</v>
      </c>
      <c r="H235" s="5">
        <f t="shared" si="50"/>
        <v>1</v>
      </c>
      <c r="I235" s="5">
        <f t="shared" si="50"/>
        <v>0</v>
      </c>
      <c r="J235" s="5">
        <f t="shared" si="50"/>
        <v>0</v>
      </c>
      <c r="K235" s="5">
        <f t="shared" si="50"/>
        <v>0</v>
      </c>
      <c r="L235" s="5">
        <f t="shared" si="50"/>
        <v>0</v>
      </c>
      <c r="M235" s="5">
        <f t="shared" si="50"/>
        <v>2</v>
      </c>
      <c r="N235" s="5">
        <f t="shared" si="50"/>
        <v>0</v>
      </c>
      <c r="O235" s="5">
        <f t="shared" si="50"/>
        <v>0</v>
      </c>
      <c r="P235" s="5">
        <f t="shared" si="50"/>
        <v>0</v>
      </c>
      <c r="Q235" s="5">
        <f t="shared" si="50"/>
        <v>0</v>
      </c>
      <c r="R235" s="5">
        <f t="shared" si="50"/>
        <v>0</v>
      </c>
      <c r="S235" s="5">
        <f t="shared" si="50"/>
        <v>0</v>
      </c>
      <c r="T235" s="5">
        <f t="shared" si="50"/>
        <v>0</v>
      </c>
      <c r="U235" s="5">
        <f t="shared" si="50"/>
        <v>0</v>
      </c>
      <c r="V235" s="5">
        <f t="shared" si="50"/>
        <v>5</v>
      </c>
    </row>
    <row r="236" spans="1:22" x14ac:dyDescent="0.3">
      <c r="A236" s="62"/>
      <c r="B236" s="89"/>
      <c r="C236" s="89"/>
      <c r="D236" s="89"/>
      <c r="E236" s="90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</row>
    <row r="237" spans="1:22" x14ac:dyDescent="0.3">
      <c r="A237" s="11" t="s">
        <v>48</v>
      </c>
      <c r="B237" s="17" t="s">
        <v>79</v>
      </c>
      <c r="C237" s="86" t="s">
        <v>80</v>
      </c>
      <c r="D237" s="64"/>
      <c r="E237" s="6">
        <v>0</v>
      </c>
      <c r="F237" s="6">
        <v>1</v>
      </c>
      <c r="G237" s="6">
        <v>0</v>
      </c>
      <c r="H237" s="6">
        <v>1</v>
      </c>
      <c r="I237" s="6">
        <v>2</v>
      </c>
      <c r="J237" s="6">
        <v>0</v>
      </c>
      <c r="K237" s="6">
        <v>2</v>
      </c>
      <c r="L237" s="6">
        <v>2</v>
      </c>
      <c r="M237" s="6">
        <v>0</v>
      </c>
      <c r="N237" s="6">
        <v>0</v>
      </c>
      <c r="O237" s="6">
        <v>0</v>
      </c>
      <c r="P237" s="6">
        <v>1</v>
      </c>
      <c r="Q237" s="6">
        <v>0</v>
      </c>
      <c r="R237" s="6">
        <v>0</v>
      </c>
      <c r="S237" s="6">
        <v>0</v>
      </c>
      <c r="T237" s="6"/>
      <c r="U237" s="6"/>
      <c r="V237" s="5">
        <f t="shared" ref="V237:V246" si="51">SUM(E237:U237)</f>
        <v>9</v>
      </c>
    </row>
    <row r="238" spans="1:22" x14ac:dyDescent="0.3">
      <c r="A238" s="11" t="s">
        <v>50</v>
      </c>
      <c r="B238" s="50"/>
      <c r="C238" s="24" t="s">
        <v>221</v>
      </c>
      <c r="D238" s="49"/>
      <c r="E238" s="6">
        <v>0</v>
      </c>
      <c r="F238" s="6">
        <v>0</v>
      </c>
      <c r="G238" s="6">
        <v>1</v>
      </c>
      <c r="H238" s="6">
        <v>2</v>
      </c>
      <c r="I238" s="6">
        <v>1</v>
      </c>
      <c r="J238" s="6">
        <v>0</v>
      </c>
      <c r="K238" s="6">
        <v>1</v>
      </c>
      <c r="L238" s="6">
        <v>1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/>
      <c r="U238" s="6"/>
      <c r="V238" s="5">
        <f t="shared" si="51"/>
        <v>6</v>
      </c>
    </row>
    <row r="239" spans="1:22" x14ac:dyDescent="0.3">
      <c r="A239" s="7"/>
      <c r="B239" s="50"/>
      <c r="C239" s="24" t="s">
        <v>222</v>
      </c>
      <c r="D239" s="49"/>
      <c r="E239" s="6">
        <v>0</v>
      </c>
      <c r="F239" s="6">
        <v>0</v>
      </c>
      <c r="G239" s="6">
        <v>3</v>
      </c>
      <c r="H239" s="6">
        <v>4</v>
      </c>
      <c r="I239" s="6">
        <v>1</v>
      </c>
      <c r="J239" s="6">
        <v>0</v>
      </c>
      <c r="K239" s="6">
        <v>0</v>
      </c>
      <c r="L239" s="6">
        <v>6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1</v>
      </c>
      <c r="U239" s="6"/>
      <c r="V239" s="5">
        <f t="shared" si="51"/>
        <v>15</v>
      </c>
    </row>
    <row r="240" spans="1:22" ht="13.15" customHeight="1" x14ac:dyDescent="0.3">
      <c r="A240" s="7"/>
      <c r="B240" s="50"/>
      <c r="C240" s="24" t="s">
        <v>223</v>
      </c>
      <c r="D240" s="49"/>
      <c r="E240" s="6"/>
      <c r="F240" s="6"/>
      <c r="G240" s="6"/>
      <c r="H240" s="6"/>
      <c r="I240" s="6">
        <v>1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5">
        <f t="shared" si="51"/>
        <v>1</v>
      </c>
    </row>
    <row r="241" spans="1:22" x14ac:dyDescent="0.3">
      <c r="A241" s="7"/>
      <c r="B241" s="50"/>
      <c r="C241" s="24" t="s">
        <v>224</v>
      </c>
      <c r="D241" s="49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>
        <v>1</v>
      </c>
      <c r="U241" s="6"/>
      <c r="V241" s="5">
        <f t="shared" si="51"/>
        <v>1</v>
      </c>
    </row>
    <row r="242" spans="1:22" ht="12.75" customHeight="1" x14ac:dyDescent="0.3">
      <c r="A242" s="7"/>
      <c r="B242" s="50"/>
      <c r="C242" s="24" t="s">
        <v>225</v>
      </c>
      <c r="D242" s="49"/>
      <c r="E242" s="6"/>
      <c r="F242" s="6"/>
      <c r="G242" s="6"/>
      <c r="H242" s="6"/>
      <c r="I242" s="6">
        <v>1</v>
      </c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5">
        <f t="shared" si="51"/>
        <v>1</v>
      </c>
    </row>
    <row r="243" spans="1:22" x14ac:dyDescent="0.3">
      <c r="A243" s="7"/>
      <c r="B243" s="50"/>
      <c r="C243" s="24" t="s">
        <v>226</v>
      </c>
      <c r="D243" s="49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5">
        <f t="shared" si="51"/>
        <v>0</v>
      </c>
    </row>
    <row r="244" spans="1:22" x14ac:dyDescent="0.3">
      <c r="A244" s="7"/>
      <c r="B244" s="50"/>
      <c r="C244" s="24" t="s">
        <v>227</v>
      </c>
      <c r="D244" s="49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5">
        <f t="shared" si="51"/>
        <v>0</v>
      </c>
    </row>
    <row r="245" spans="1:22" x14ac:dyDescent="0.3">
      <c r="A245" s="7"/>
      <c r="B245" s="50"/>
      <c r="C245" s="24" t="s">
        <v>228</v>
      </c>
      <c r="D245" s="49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5">
        <f t="shared" si="51"/>
        <v>0</v>
      </c>
    </row>
    <row r="246" spans="1:22" x14ac:dyDescent="0.3">
      <c r="A246" s="7"/>
      <c r="B246" s="50"/>
      <c r="C246" s="24" t="s">
        <v>229</v>
      </c>
      <c r="D246" s="49"/>
      <c r="E246" s="6"/>
      <c r="F246" s="6"/>
      <c r="G246" s="6"/>
      <c r="H246" s="6"/>
      <c r="I246" s="6"/>
      <c r="J246" s="6"/>
      <c r="K246" s="6">
        <v>1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5">
        <f t="shared" si="51"/>
        <v>1</v>
      </c>
    </row>
    <row r="247" spans="1:22" ht="12.75" customHeight="1" x14ac:dyDescent="0.3">
      <c r="A247" s="6" t="s">
        <v>26</v>
      </c>
      <c r="B247" s="84" t="s">
        <v>51</v>
      </c>
      <c r="C247" s="87"/>
      <c r="D247" s="88"/>
      <c r="E247" s="5">
        <f t="shared" ref="E247:V247" si="52">SUM(E237:E246)</f>
        <v>0</v>
      </c>
      <c r="F247" s="5">
        <f t="shared" si="52"/>
        <v>1</v>
      </c>
      <c r="G247" s="5">
        <f t="shared" si="52"/>
        <v>4</v>
      </c>
      <c r="H247" s="5">
        <f t="shared" si="52"/>
        <v>7</v>
      </c>
      <c r="I247" s="5">
        <f t="shared" si="52"/>
        <v>6</v>
      </c>
      <c r="J247" s="5">
        <f t="shared" si="52"/>
        <v>0</v>
      </c>
      <c r="K247" s="5">
        <f t="shared" si="52"/>
        <v>4</v>
      </c>
      <c r="L247" s="5">
        <f t="shared" si="52"/>
        <v>9</v>
      </c>
      <c r="M247" s="5">
        <f t="shared" si="52"/>
        <v>0</v>
      </c>
      <c r="N247" s="5">
        <f t="shared" si="52"/>
        <v>0</v>
      </c>
      <c r="O247" s="5">
        <f t="shared" si="52"/>
        <v>0</v>
      </c>
      <c r="P247" s="5">
        <f t="shared" si="52"/>
        <v>1</v>
      </c>
      <c r="Q247" s="5">
        <f t="shared" si="52"/>
        <v>0</v>
      </c>
      <c r="R247" s="5">
        <f t="shared" si="52"/>
        <v>0</v>
      </c>
      <c r="S247" s="5">
        <f t="shared" si="52"/>
        <v>0</v>
      </c>
      <c r="T247" s="5">
        <f t="shared" si="52"/>
        <v>2</v>
      </c>
      <c r="U247" s="5">
        <f t="shared" si="52"/>
        <v>0</v>
      </c>
      <c r="V247" s="5">
        <f t="shared" si="52"/>
        <v>34</v>
      </c>
    </row>
    <row r="248" spans="1:22" x14ac:dyDescent="0.3">
      <c r="A248" s="62"/>
      <c r="B248" s="89"/>
      <c r="C248" s="89"/>
      <c r="D248" s="89"/>
      <c r="E248" s="90"/>
    </row>
    <row r="249" spans="1:22" x14ac:dyDescent="0.3">
      <c r="A249" s="11" t="s">
        <v>48</v>
      </c>
      <c r="B249" s="17" t="s">
        <v>81</v>
      </c>
      <c r="C249" s="86" t="s">
        <v>82</v>
      </c>
      <c r="D249" s="64"/>
      <c r="E249" s="6">
        <v>0</v>
      </c>
      <c r="F249" s="6">
        <v>2</v>
      </c>
      <c r="G249" s="6">
        <v>0</v>
      </c>
      <c r="H249" s="6">
        <v>0</v>
      </c>
      <c r="I249" s="6">
        <v>0</v>
      </c>
      <c r="J249" s="6">
        <v>1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/>
      <c r="U249" s="6"/>
      <c r="V249" s="5">
        <f t="shared" ref="V249:V258" si="53">SUM(E249:U249)</f>
        <v>3</v>
      </c>
    </row>
    <row r="250" spans="1:22" x14ac:dyDescent="0.3">
      <c r="A250" s="11" t="s">
        <v>50</v>
      </c>
      <c r="B250" s="50"/>
      <c r="C250" s="24" t="s">
        <v>230</v>
      </c>
      <c r="D250" s="49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1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/>
      <c r="U250" s="6"/>
      <c r="V250" s="5">
        <f t="shared" si="53"/>
        <v>1</v>
      </c>
    </row>
    <row r="251" spans="1:22" x14ac:dyDescent="0.3">
      <c r="A251" s="7"/>
      <c r="B251" s="50"/>
      <c r="C251" s="24" t="s">
        <v>231</v>
      </c>
      <c r="D251" s="49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5">
        <f t="shared" si="53"/>
        <v>0</v>
      </c>
    </row>
    <row r="252" spans="1:22" x14ac:dyDescent="0.3">
      <c r="A252" s="7"/>
      <c r="B252" s="50"/>
      <c r="C252" s="24" t="s">
        <v>232</v>
      </c>
      <c r="D252" s="49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5">
        <f t="shared" si="53"/>
        <v>0</v>
      </c>
    </row>
    <row r="253" spans="1:22" x14ac:dyDescent="0.3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5">
        <f t="shared" si="53"/>
        <v>0</v>
      </c>
    </row>
    <row r="254" spans="1:22" x14ac:dyDescent="0.3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5">
        <f t="shared" si="53"/>
        <v>0</v>
      </c>
    </row>
    <row r="255" spans="1:22" x14ac:dyDescent="0.3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5">
        <f t="shared" si="53"/>
        <v>0</v>
      </c>
    </row>
    <row r="256" spans="1:22" x14ac:dyDescent="0.3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5">
        <f t="shared" si="53"/>
        <v>0</v>
      </c>
    </row>
    <row r="257" spans="1:22" x14ac:dyDescent="0.3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5">
        <f t="shared" si="53"/>
        <v>0</v>
      </c>
    </row>
    <row r="258" spans="1:22" x14ac:dyDescent="0.3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5">
        <f t="shared" si="53"/>
        <v>0</v>
      </c>
    </row>
    <row r="259" spans="1:22" x14ac:dyDescent="0.3">
      <c r="A259" s="6" t="s">
        <v>26</v>
      </c>
      <c r="B259" s="84" t="s">
        <v>51</v>
      </c>
      <c r="C259" s="87"/>
      <c r="D259" s="88"/>
      <c r="E259" s="5">
        <f t="shared" ref="E259:V259" si="54">SUM(E249:E258)</f>
        <v>0</v>
      </c>
      <c r="F259" s="5">
        <f t="shared" si="54"/>
        <v>2</v>
      </c>
      <c r="G259" s="5">
        <f t="shared" si="54"/>
        <v>0</v>
      </c>
      <c r="H259" s="5">
        <f t="shared" si="54"/>
        <v>0</v>
      </c>
      <c r="I259" s="5">
        <f t="shared" si="54"/>
        <v>0</v>
      </c>
      <c r="J259" s="5">
        <f t="shared" si="54"/>
        <v>1</v>
      </c>
      <c r="K259" s="5">
        <f t="shared" si="54"/>
        <v>1</v>
      </c>
      <c r="L259" s="5">
        <f t="shared" si="54"/>
        <v>0</v>
      </c>
      <c r="M259" s="5">
        <f t="shared" si="54"/>
        <v>0</v>
      </c>
      <c r="N259" s="5">
        <f t="shared" si="54"/>
        <v>0</v>
      </c>
      <c r="O259" s="5">
        <f t="shared" si="54"/>
        <v>0</v>
      </c>
      <c r="P259" s="5">
        <f t="shared" si="54"/>
        <v>0</v>
      </c>
      <c r="Q259" s="5">
        <f t="shared" si="54"/>
        <v>0</v>
      </c>
      <c r="R259" s="5">
        <f t="shared" si="54"/>
        <v>0</v>
      </c>
      <c r="S259" s="5">
        <f t="shared" si="54"/>
        <v>0</v>
      </c>
      <c r="T259" s="5">
        <f t="shared" si="54"/>
        <v>0</v>
      </c>
      <c r="U259" s="5">
        <f t="shared" si="54"/>
        <v>0</v>
      </c>
      <c r="V259" s="5">
        <f t="shared" si="54"/>
        <v>4</v>
      </c>
    </row>
    <row r="261" spans="1:22" x14ac:dyDescent="0.3">
      <c r="A261" s="16" t="s">
        <v>83</v>
      </c>
      <c r="B261" s="65" t="s">
        <v>84</v>
      </c>
      <c r="C261" s="97"/>
      <c r="D261" s="98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5"/>
      <c r="P261" s="5"/>
      <c r="Q261" s="5"/>
      <c r="R261" s="5"/>
      <c r="S261" s="5"/>
      <c r="T261" s="5"/>
      <c r="U261" s="5"/>
      <c r="V261" s="5"/>
    </row>
    <row r="262" spans="1:22" x14ac:dyDescent="0.3">
      <c r="A262" s="16"/>
      <c r="B262" s="19" t="s">
        <v>85</v>
      </c>
      <c r="C262" s="95" t="s">
        <v>86</v>
      </c>
      <c r="D262" s="96"/>
      <c r="E262" s="6">
        <f>E55+E67+E79+E91+E103+E115+E127+E139+E151+E163+E175+E187+E199+E211+E223+E235+E247+E259</f>
        <v>186</v>
      </c>
      <c r="F262" s="6">
        <f t="shared" ref="F262:N262" si="55">F55+F67+F79+F91+F103+F115+F127+F139+F151+F163+F175+F187+F199+F211+F223+F235+F247+F259</f>
        <v>146</v>
      </c>
      <c r="G262" s="6">
        <f t="shared" si="55"/>
        <v>129</v>
      </c>
      <c r="H262" s="6">
        <f t="shared" si="55"/>
        <v>149</v>
      </c>
      <c r="I262" s="6">
        <f t="shared" si="55"/>
        <v>159</v>
      </c>
      <c r="J262" s="6">
        <f t="shared" si="55"/>
        <v>125</v>
      </c>
      <c r="K262" s="6">
        <f t="shared" si="55"/>
        <v>117</v>
      </c>
      <c r="L262" s="6">
        <f t="shared" si="55"/>
        <v>173</v>
      </c>
      <c r="M262" s="6">
        <f t="shared" si="55"/>
        <v>152</v>
      </c>
      <c r="N262" s="6">
        <f t="shared" si="55"/>
        <v>161</v>
      </c>
      <c r="O262" s="6">
        <f t="shared" ref="O262:U262" si="56">O55+O67+O79+O91+O103+O115+O127+O139+O151+O163+O175+O187+O199+O211+O223+O235+O247+O259</f>
        <v>133</v>
      </c>
      <c r="P262" s="6">
        <f t="shared" si="56"/>
        <v>126</v>
      </c>
      <c r="Q262" s="6">
        <f t="shared" si="56"/>
        <v>154</v>
      </c>
      <c r="R262" s="6">
        <f t="shared" si="56"/>
        <v>120</v>
      </c>
      <c r="S262" s="6">
        <f t="shared" si="56"/>
        <v>112</v>
      </c>
      <c r="T262" s="6">
        <f t="shared" si="56"/>
        <v>139</v>
      </c>
      <c r="U262" s="6">
        <f t="shared" si="56"/>
        <v>146</v>
      </c>
      <c r="V262" s="5">
        <f>SUM(E262:U262)</f>
        <v>2427</v>
      </c>
    </row>
    <row r="263" spans="1:22" x14ac:dyDescent="0.3">
      <c r="A263" s="13"/>
      <c r="B263" s="19" t="s">
        <v>87</v>
      </c>
      <c r="C263" s="95" t="s">
        <v>88</v>
      </c>
      <c r="D263" s="96"/>
      <c r="E263" s="6">
        <v>30</v>
      </c>
      <c r="F263" s="6">
        <v>46</v>
      </c>
      <c r="G263" s="6">
        <v>26</v>
      </c>
      <c r="H263" s="6">
        <v>35</v>
      </c>
      <c r="I263" s="6">
        <v>24</v>
      </c>
      <c r="J263" s="6">
        <v>20</v>
      </c>
      <c r="K263" s="6">
        <v>19</v>
      </c>
      <c r="L263" s="6">
        <v>22</v>
      </c>
      <c r="M263" s="6">
        <v>9</v>
      </c>
      <c r="N263" s="6">
        <v>25</v>
      </c>
      <c r="O263" s="6">
        <v>24</v>
      </c>
      <c r="P263" s="6">
        <v>46</v>
      </c>
      <c r="Q263" s="6">
        <v>27</v>
      </c>
      <c r="R263" s="6">
        <v>21</v>
      </c>
      <c r="S263" s="6">
        <v>68</v>
      </c>
      <c r="T263" s="6">
        <v>50</v>
      </c>
      <c r="U263" s="6">
        <v>66</v>
      </c>
      <c r="V263" s="5">
        <f>SUM(E263:U263)</f>
        <v>558</v>
      </c>
    </row>
    <row r="264" spans="1:22" x14ac:dyDescent="0.3">
      <c r="A264" s="14"/>
      <c r="B264" s="19" t="s">
        <v>89</v>
      </c>
      <c r="C264" s="95" t="s">
        <v>90</v>
      </c>
      <c r="D264" s="96"/>
      <c r="E264" s="5">
        <f>SUM(E262:E263)</f>
        <v>216</v>
      </c>
      <c r="F264" s="5">
        <f t="shared" ref="F264:N264" si="57">SUM(F262:F263)</f>
        <v>192</v>
      </c>
      <c r="G264" s="5">
        <f t="shared" si="57"/>
        <v>155</v>
      </c>
      <c r="H264" s="5">
        <f t="shared" si="57"/>
        <v>184</v>
      </c>
      <c r="I264" s="5">
        <f t="shared" si="57"/>
        <v>183</v>
      </c>
      <c r="J264" s="5">
        <f t="shared" si="57"/>
        <v>145</v>
      </c>
      <c r="K264" s="5">
        <f t="shared" si="57"/>
        <v>136</v>
      </c>
      <c r="L264" s="5">
        <f t="shared" si="57"/>
        <v>195</v>
      </c>
      <c r="M264" s="5">
        <f t="shared" si="57"/>
        <v>161</v>
      </c>
      <c r="N264" s="5">
        <f t="shared" si="57"/>
        <v>186</v>
      </c>
      <c r="O264" s="5">
        <f t="shared" ref="O264:U264" si="58">SUM(O262:O263)</f>
        <v>157</v>
      </c>
      <c r="P264" s="5">
        <f t="shared" si="58"/>
        <v>172</v>
      </c>
      <c r="Q264" s="5">
        <f t="shared" si="58"/>
        <v>181</v>
      </c>
      <c r="R264" s="5">
        <f t="shared" si="58"/>
        <v>141</v>
      </c>
      <c r="S264" s="5">
        <f t="shared" si="58"/>
        <v>180</v>
      </c>
      <c r="T264" s="5">
        <f t="shared" si="58"/>
        <v>189</v>
      </c>
      <c r="U264" s="5">
        <f t="shared" si="58"/>
        <v>212</v>
      </c>
      <c r="V264" s="5">
        <f>SUM(E264:U264)</f>
        <v>2985</v>
      </c>
    </row>
  </sheetData>
  <mergeCells count="86"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63:D263"/>
    <mergeCell ref="C264:D264"/>
    <mergeCell ref="B247:D247"/>
    <mergeCell ref="A248:E248"/>
    <mergeCell ref="C249:D249"/>
    <mergeCell ref="B259:D259"/>
    <mergeCell ref="B261:D261"/>
    <mergeCell ref="C262:D262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E37:U37"/>
    <mergeCell ref="B38:D38"/>
    <mergeCell ref="A42:D42"/>
    <mergeCell ref="E42:U42"/>
    <mergeCell ref="B43:D43"/>
    <mergeCell ref="B39:C41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</mergeCells>
  <phoneticPr fontId="9" type="noConversion"/>
  <conditionalFormatting sqref="E14:U15 E19:U20 E22:U23 E25:U26 E33:U33 E35:U35 E39:U40 E45:U54 E57:U66 E69:U78 E81:U90 E93:U102 E105:U114 E117:U126 E129:U138 E141:U150 E153:U162 E165:U174 E177:U186 E189:U198 E201:U210 E213:U222 E225:U234 E237:U246 E249:U258 E262:U263">
    <cfRule type="containsBlanks" dxfId="287" priority="21">
      <formula>LEN(TRIM(E14))=0</formula>
    </cfRule>
  </conditionalFormatting>
  <conditionalFormatting sqref="E30:U30">
    <cfRule type="expression" dxfId="286" priority="26">
      <formula>E30&lt;&gt;E47</formula>
    </cfRule>
    <cfRule type="expression" dxfId="285" priority="27">
      <formula>E30&lt;&gt;E34</formula>
    </cfRule>
  </conditionalFormatting>
  <conditionalFormatting sqref="E34:U34">
    <cfRule type="expression" dxfId="284" priority="22">
      <formula>E30&lt;&gt;E34</formula>
    </cfRule>
    <cfRule type="expression" dxfId="283" priority="23">
      <formula>E30=E34</formula>
    </cfRule>
    <cfRule type="expression" dxfId="282" priority="28">
      <formula>E34&lt;&gt;E30</formula>
    </cfRule>
    <cfRule type="expression" dxfId="281" priority="30">
      <formula>E34&lt;&gt;E64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5FD6-8239-4E01-9C1D-06A4A085E946}">
  <sheetPr>
    <tabColor rgb="FF00B050"/>
  </sheetPr>
  <dimension ref="A2:S264"/>
  <sheetViews>
    <sheetView topLeftCell="C1" zoomScale="85" zoomScaleNormal="85" workbookViewId="0">
      <selection activeCell="J22" sqref="J22"/>
    </sheetView>
  </sheetViews>
  <sheetFormatPr defaultRowHeight="13" x14ac:dyDescent="0.3"/>
  <cols>
    <col min="3" max="3" width="67.09765625" bestFit="1" customWidth="1"/>
    <col min="4" max="4" width="5.8984375" bestFit="1" customWidth="1"/>
    <col min="19" max="19" width="13.296875" customWidth="1"/>
  </cols>
  <sheetData>
    <row r="2" spans="1:19" x14ac:dyDescent="0.3">
      <c r="C2" s="43" t="s">
        <v>98</v>
      </c>
      <c r="D2" s="43" t="s">
        <v>104</v>
      </c>
    </row>
    <row r="3" spans="1:19" x14ac:dyDescent="0.3">
      <c r="C3" s="43" t="s">
        <v>99</v>
      </c>
      <c r="D3" s="43" t="s">
        <v>100</v>
      </c>
    </row>
    <row r="4" spans="1:19" x14ac:dyDescent="0.3">
      <c r="C4" s="43" t="s">
        <v>101</v>
      </c>
      <c r="D4" s="43" t="s">
        <v>102</v>
      </c>
    </row>
    <row r="5" spans="1:19" x14ac:dyDescent="0.3">
      <c r="C5" s="43"/>
      <c r="D5" s="43"/>
    </row>
    <row r="6" spans="1:19" x14ac:dyDescent="0.3">
      <c r="C6" s="43"/>
      <c r="D6" s="43"/>
    </row>
    <row r="7" spans="1:19" x14ac:dyDescent="0.3">
      <c r="C7" s="43"/>
      <c r="D7" s="43"/>
    </row>
    <row r="8" spans="1:19" x14ac:dyDescent="0.3">
      <c r="C8" s="43"/>
      <c r="D8" s="43"/>
    </row>
    <row r="9" spans="1:19" x14ac:dyDescent="0.3">
      <c r="C9" s="43" t="s">
        <v>103</v>
      </c>
      <c r="D9" s="43" t="s">
        <v>106</v>
      </c>
    </row>
    <row r="11" spans="1:19" x14ac:dyDescent="0.3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9" x14ac:dyDescent="0.3">
      <c r="A12" s="5" t="s">
        <v>0</v>
      </c>
      <c r="B12" s="65" t="s">
        <v>1</v>
      </c>
      <c r="C12" s="63"/>
      <c r="D12" s="64"/>
      <c r="E12" s="99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1" t="s">
        <v>97</v>
      </c>
    </row>
    <row r="13" spans="1:19" x14ac:dyDescent="0.3">
      <c r="A13" s="6" t="s">
        <v>2</v>
      </c>
      <c r="B13" s="76" t="s">
        <v>3</v>
      </c>
      <c r="C13" s="63"/>
      <c r="D13" s="6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102"/>
    </row>
    <row r="14" spans="1:19" x14ac:dyDescent="0.3">
      <c r="A14" s="7"/>
      <c r="B14" s="77" t="s">
        <v>22</v>
      </c>
      <c r="C14" s="78"/>
      <c r="D14" s="6" t="s">
        <v>23</v>
      </c>
      <c r="E14" s="6">
        <v>138</v>
      </c>
      <c r="F14" s="6">
        <v>130</v>
      </c>
      <c r="G14" s="6">
        <v>130</v>
      </c>
      <c r="H14" s="6">
        <v>146</v>
      </c>
      <c r="I14" s="6">
        <v>139</v>
      </c>
      <c r="J14" s="6">
        <v>137</v>
      </c>
      <c r="K14" s="6">
        <v>149</v>
      </c>
      <c r="L14" s="6">
        <v>133</v>
      </c>
      <c r="M14" s="6">
        <v>123</v>
      </c>
      <c r="N14" s="6">
        <v>136</v>
      </c>
      <c r="O14" s="6">
        <v>128</v>
      </c>
      <c r="P14" s="6">
        <v>107</v>
      </c>
      <c r="Q14" s="6">
        <v>127</v>
      </c>
      <c r="R14" s="6">
        <v>117</v>
      </c>
      <c r="S14" s="5">
        <f>SUM(E14:R14)</f>
        <v>1840</v>
      </c>
    </row>
    <row r="15" spans="1:19" x14ac:dyDescent="0.3">
      <c r="A15" s="7"/>
      <c r="B15" s="79"/>
      <c r="C15" s="67"/>
      <c r="D15" s="6" t="s">
        <v>24</v>
      </c>
      <c r="E15" s="6">
        <v>126</v>
      </c>
      <c r="F15" s="6">
        <v>119</v>
      </c>
      <c r="G15" s="6">
        <v>135</v>
      </c>
      <c r="H15" s="6">
        <v>133</v>
      </c>
      <c r="I15" s="6">
        <v>129</v>
      </c>
      <c r="J15" s="6">
        <v>144</v>
      </c>
      <c r="K15" s="6">
        <v>133</v>
      </c>
      <c r="L15" s="6">
        <v>134</v>
      </c>
      <c r="M15" s="6">
        <v>115</v>
      </c>
      <c r="N15" s="6">
        <v>125</v>
      </c>
      <c r="O15" s="6">
        <v>139</v>
      </c>
      <c r="P15" s="6">
        <v>101</v>
      </c>
      <c r="Q15" s="6">
        <v>123</v>
      </c>
      <c r="R15" s="6">
        <v>112</v>
      </c>
      <c r="S15" s="5">
        <f>SUM(E15:R15)</f>
        <v>1768</v>
      </c>
    </row>
    <row r="16" spans="1:19" x14ac:dyDescent="0.3">
      <c r="A16" s="8"/>
      <c r="B16" s="75"/>
      <c r="C16" s="68"/>
      <c r="D16" s="5" t="s">
        <v>25</v>
      </c>
      <c r="E16" s="5">
        <f t="shared" ref="E16:R16" si="0">SUM(E14:E15)</f>
        <v>264</v>
      </c>
      <c r="F16" s="5">
        <f t="shared" ref="F16:K16" si="1">SUM(F14:F15)</f>
        <v>249</v>
      </c>
      <c r="G16" s="5">
        <f t="shared" si="1"/>
        <v>265</v>
      </c>
      <c r="H16" s="5">
        <f t="shared" si="1"/>
        <v>279</v>
      </c>
      <c r="I16" s="5">
        <f t="shared" si="1"/>
        <v>268</v>
      </c>
      <c r="J16" s="5">
        <f t="shared" si="1"/>
        <v>281</v>
      </c>
      <c r="K16" s="5">
        <f t="shared" si="1"/>
        <v>282</v>
      </c>
      <c r="L16" s="5">
        <f t="shared" si="0"/>
        <v>267</v>
      </c>
      <c r="M16" s="5">
        <f t="shared" si="0"/>
        <v>238</v>
      </c>
      <c r="N16" s="5">
        <f t="shared" si="0"/>
        <v>261</v>
      </c>
      <c r="O16" s="5">
        <f t="shared" si="0"/>
        <v>267</v>
      </c>
      <c r="P16" s="5">
        <f t="shared" ref="P16:Q16" si="2">SUM(P14:P15)</f>
        <v>208</v>
      </c>
      <c r="Q16" s="5">
        <f t="shared" si="2"/>
        <v>250</v>
      </c>
      <c r="R16" s="5">
        <f t="shared" si="0"/>
        <v>229</v>
      </c>
      <c r="S16" s="5">
        <f>SUM(E16:R16)</f>
        <v>3608</v>
      </c>
    </row>
    <row r="17" spans="1:19" x14ac:dyDescent="0.3">
      <c r="A17" s="62"/>
      <c r="B17" s="63"/>
      <c r="C17" s="63"/>
      <c r="D17" s="64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28"/>
    </row>
    <row r="18" spans="1:19" x14ac:dyDescent="0.3">
      <c r="A18" s="11" t="s">
        <v>26</v>
      </c>
      <c r="B18" s="76" t="s">
        <v>27</v>
      </c>
      <c r="C18" s="63"/>
      <c r="D18" s="64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28"/>
    </row>
    <row r="19" spans="1:19" x14ac:dyDescent="0.3">
      <c r="A19" s="11"/>
      <c r="B19" s="66" t="s">
        <v>28</v>
      </c>
      <c r="C19" s="69" t="s">
        <v>29</v>
      </c>
      <c r="D19" s="6" t="s">
        <v>23</v>
      </c>
      <c r="E19" s="6">
        <v>111</v>
      </c>
      <c r="F19" s="6">
        <v>107</v>
      </c>
      <c r="G19" s="6">
        <v>102</v>
      </c>
      <c r="H19" s="6">
        <v>112</v>
      </c>
      <c r="I19" s="6">
        <v>110</v>
      </c>
      <c r="J19" s="6">
        <v>105</v>
      </c>
      <c r="K19" s="6">
        <v>117</v>
      </c>
      <c r="L19" s="6">
        <v>102</v>
      </c>
      <c r="M19" s="6">
        <v>86</v>
      </c>
      <c r="N19" s="6">
        <v>101</v>
      </c>
      <c r="O19" s="6">
        <v>93</v>
      </c>
      <c r="P19" s="6">
        <v>82</v>
      </c>
      <c r="Q19" s="6">
        <v>97</v>
      </c>
      <c r="R19" s="6">
        <v>96</v>
      </c>
      <c r="S19" s="5">
        <f t="shared" ref="S19:S30" si="3">SUM(E19:R19)</f>
        <v>1421</v>
      </c>
    </row>
    <row r="20" spans="1:19" x14ac:dyDescent="0.3">
      <c r="A20" s="12"/>
      <c r="B20" s="67"/>
      <c r="C20" s="70"/>
      <c r="D20" s="6" t="s">
        <v>24</v>
      </c>
      <c r="E20" s="6">
        <v>108</v>
      </c>
      <c r="F20" s="6">
        <v>99</v>
      </c>
      <c r="G20" s="6">
        <v>113</v>
      </c>
      <c r="H20" s="6">
        <v>114</v>
      </c>
      <c r="I20" s="6">
        <v>106</v>
      </c>
      <c r="J20" s="6">
        <v>117</v>
      </c>
      <c r="K20" s="6">
        <v>115</v>
      </c>
      <c r="L20" s="6">
        <v>108</v>
      </c>
      <c r="M20" s="6">
        <v>93</v>
      </c>
      <c r="N20" s="6">
        <v>83</v>
      </c>
      <c r="O20" s="6">
        <v>108</v>
      </c>
      <c r="P20" s="6">
        <v>78</v>
      </c>
      <c r="Q20" s="6">
        <v>107</v>
      </c>
      <c r="R20" s="6">
        <v>98</v>
      </c>
      <c r="S20" s="5">
        <f t="shared" si="3"/>
        <v>1447</v>
      </c>
    </row>
    <row r="21" spans="1:19" x14ac:dyDescent="0.3">
      <c r="A21" s="13"/>
      <c r="B21" s="68"/>
      <c r="C21" s="71"/>
      <c r="D21" s="5" t="s">
        <v>25</v>
      </c>
      <c r="E21" s="5">
        <f t="shared" ref="E21:R21" si="4">SUM(E19:E20)</f>
        <v>219</v>
      </c>
      <c r="F21" s="5">
        <f t="shared" ref="F21:K21" si="5">SUM(F19:F20)</f>
        <v>206</v>
      </c>
      <c r="G21" s="5">
        <f t="shared" si="5"/>
        <v>215</v>
      </c>
      <c r="H21" s="5">
        <f t="shared" si="5"/>
        <v>226</v>
      </c>
      <c r="I21" s="5">
        <f t="shared" si="5"/>
        <v>216</v>
      </c>
      <c r="J21" s="5">
        <f t="shared" si="5"/>
        <v>222</v>
      </c>
      <c r="K21" s="5">
        <f t="shared" si="5"/>
        <v>232</v>
      </c>
      <c r="L21" s="5">
        <f t="shared" si="4"/>
        <v>210</v>
      </c>
      <c r="M21" s="5">
        <f t="shared" si="4"/>
        <v>179</v>
      </c>
      <c r="N21" s="5">
        <f t="shared" si="4"/>
        <v>184</v>
      </c>
      <c r="O21" s="5">
        <f t="shared" si="4"/>
        <v>201</v>
      </c>
      <c r="P21" s="5">
        <f t="shared" ref="P21:Q21" si="6">SUM(P19:P20)</f>
        <v>160</v>
      </c>
      <c r="Q21" s="5">
        <f t="shared" si="6"/>
        <v>204</v>
      </c>
      <c r="R21" s="5">
        <f t="shared" si="4"/>
        <v>194</v>
      </c>
      <c r="S21" s="5">
        <f t="shared" si="3"/>
        <v>2868</v>
      </c>
    </row>
    <row r="22" spans="1:19" x14ac:dyDescent="0.3">
      <c r="A22" s="12"/>
      <c r="B22" s="66" t="s">
        <v>30</v>
      </c>
      <c r="C22" s="69" t="s">
        <v>31</v>
      </c>
      <c r="D22" s="6" t="s">
        <v>23</v>
      </c>
      <c r="E22" s="6">
        <v>0</v>
      </c>
      <c r="F22" s="6">
        <v>1</v>
      </c>
      <c r="G22" s="6">
        <v>0</v>
      </c>
      <c r="H22" s="6">
        <v>2</v>
      </c>
      <c r="I22" s="6">
        <v>1</v>
      </c>
      <c r="J22" s="6">
        <v>0</v>
      </c>
      <c r="K22" s="6">
        <v>0</v>
      </c>
      <c r="L22" s="6">
        <v>0</v>
      </c>
      <c r="M22" s="6">
        <v>1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5">
        <f t="shared" si="3"/>
        <v>5</v>
      </c>
    </row>
    <row r="23" spans="1:19" x14ac:dyDescent="0.3">
      <c r="A23" s="12"/>
      <c r="B23" s="67"/>
      <c r="C23" s="70"/>
      <c r="D23" s="6" t="s">
        <v>24</v>
      </c>
      <c r="E23" s="6">
        <v>0</v>
      </c>
      <c r="F23" s="6">
        <v>1</v>
      </c>
      <c r="G23" s="6">
        <v>0</v>
      </c>
      <c r="H23" s="6">
        <v>1</v>
      </c>
      <c r="I23" s="6">
        <v>2</v>
      </c>
      <c r="J23" s="6">
        <v>0</v>
      </c>
      <c r="K23" s="6">
        <v>0</v>
      </c>
      <c r="L23" s="6">
        <v>0</v>
      </c>
      <c r="M23" s="6">
        <v>1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5">
        <f t="shared" si="3"/>
        <v>5</v>
      </c>
    </row>
    <row r="24" spans="1:19" x14ac:dyDescent="0.3">
      <c r="A24" s="13"/>
      <c r="B24" s="68"/>
      <c r="C24" s="71"/>
      <c r="D24" s="5" t="s">
        <v>25</v>
      </c>
      <c r="E24" s="5">
        <f t="shared" ref="E24:R24" si="7">SUM(E22:E23)</f>
        <v>0</v>
      </c>
      <c r="F24" s="5">
        <f t="shared" ref="F24:K24" si="8">SUM(F22:F23)</f>
        <v>2</v>
      </c>
      <c r="G24" s="5">
        <f t="shared" si="8"/>
        <v>0</v>
      </c>
      <c r="H24" s="5">
        <f t="shared" si="8"/>
        <v>3</v>
      </c>
      <c r="I24" s="5">
        <f t="shared" si="8"/>
        <v>3</v>
      </c>
      <c r="J24" s="5">
        <f t="shared" si="8"/>
        <v>0</v>
      </c>
      <c r="K24" s="5">
        <f t="shared" si="8"/>
        <v>0</v>
      </c>
      <c r="L24" s="5">
        <f t="shared" si="7"/>
        <v>0</v>
      </c>
      <c r="M24" s="5">
        <f t="shared" si="7"/>
        <v>2</v>
      </c>
      <c r="N24" s="5">
        <f t="shared" si="7"/>
        <v>0</v>
      </c>
      <c r="O24" s="5">
        <f t="shared" si="7"/>
        <v>0</v>
      </c>
      <c r="P24" s="5">
        <f t="shared" ref="P24:Q24" si="9">SUM(P22:P23)</f>
        <v>0</v>
      </c>
      <c r="Q24" s="5">
        <f t="shared" si="9"/>
        <v>0</v>
      </c>
      <c r="R24" s="5">
        <f t="shared" si="7"/>
        <v>0</v>
      </c>
      <c r="S24" s="5">
        <f t="shared" si="3"/>
        <v>10</v>
      </c>
    </row>
    <row r="25" spans="1:19" x14ac:dyDescent="0.3">
      <c r="A25" s="12"/>
      <c r="B25" s="66" t="s">
        <v>32</v>
      </c>
      <c r="C25" s="69" t="s">
        <v>33</v>
      </c>
      <c r="D25" s="6" t="s">
        <v>23</v>
      </c>
      <c r="E25" s="6"/>
      <c r="F25" s="6">
        <v>4</v>
      </c>
      <c r="G25" s="6">
        <v>1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2</v>
      </c>
      <c r="N25" s="6">
        <v>0</v>
      </c>
      <c r="O25" s="6">
        <v>3</v>
      </c>
      <c r="P25" s="6">
        <v>0</v>
      </c>
      <c r="Q25" s="6">
        <v>0</v>
      </c>
      <c r="R25" s="6">
        <v>0</v>
      </c>
      <c r="S25" s="5">
        <f t="shared" si="3"/>
        <v>10</v>
      </c>
    </row>
    <row r="26" spans="1:19" x14ac:dyDescent="0.3">
      <c r="A26" s="12"/>
      <c r="B26" s="67"/>
      <c r="C26" s="70"/>
      <c r="D26" s="6" t="s">
        <v>24</v>
      </c>
      <c r="E26" s="6">
        <v>0</v>
      </c>
      <c r="F26" s="6">
        <v>6</v>
      </c>
      <c r="G26" s="6">
        <v>1</v>
      </c>
      <c r="H26" s="6">
        <v>0</v>
      </c>
      <c r="I26" s="6">
        <v>0</v>
      </c>
      <c r="J26" s="6">
        <v>2</v>
      </c>
      <c r="K26" s="6">
        <v>0</v>
      </c>
      <c r="L26" s="6">
        <v>0</v>
      </c>
      <c r="M26" s="6">
        <v>3</v>
      </c>
      <c r="N26" s="6">
        <v>0</v>
      </c>
      <c r="O26" s="6">
        <v>2</v>
      </c>
      <c r="P26" s="6">
        <v>0</v>
      </c>
      <c r="Q26" s="6">
        <v>0</v>
      </c>
      <c r="R26" s="6">
        <v>0</v>
      </c>
      <c r="S26" s="5">
        <f t="shared" si="3"/>
        <v>14</v>
      </c>
    </row>
    <row r="27" spans="1:19" x14ac:dyDescent="0.3">
      <c r="A27" s="13"/>
      <c r="B27" s="68"/>
      <c r="C27" s="71"/>
      <c r="D27" s="5" t="s">
        <v>25</v>
      </c>
      <c r="E27" s="5">
        <f t="shared" ref="E27:R27" si="10">SUM(E25:E26)</f>
        <v>0</v>
      </c>
      <c r="F27" s="5">
        <f t="shared" ref="F27:K27" si="11">SUM(F25:F26)</f>
        <v>10</v>
      </c>
      <c r="G27" s="5">
        <f t="shared" si="11"/>
        <v>2</v>
      </c>
      <c r="H27" s="5">
        <f t="shared" si="11"/>
        <v>0</v>
      </c>
      <c r="I27" s="5">
        <f t="shared" si="11"/>
        <v>0</v>
      </c>
      <c r="J27" s="5">
        <f t="shared" si="11"/>
        <v>2</v>
      </c>
      <c r="K27" s="5">
        <f t="shared" si="11"/>
        <v>0</v>
      </c>
      <c r="L27" s="5">
        <f t="shared" si="10"/>
        <v>0</v>
      </c>
      <c r="M27" s="5">
        <f t="shared" si="10"/>
        <v>5</v>
      </c>
      <c r="N27" s="5">
        <f t="shared" si="10"/>
        <v>0</v>
      </c>
      <c r="O27" s="5">
        <f t="shared" si="10"/>
        <v>5</v>
      </c>
      <c r="P27" s="5">
        <f t="shared" ref="P27:Q27" si="12">SUM(P25:P26)</f>
        <v>0</v>
      </c>
      <c r="Q27" s="5">
        <f t="shared" si="12"/>
        <v>0</v>
      </c>
      <c r="R27" s="5">
        <f t="shared" si="10"/>
        <v>0</v>
      </c>
      <c r="S27" s="5">
        <f t="shared" si="3"/>
        <v>24</v>
      </c>
    </row>
    <row r="28" spans="1:19" x14ac:dyDescent="0.3">
      <c r="A28" s="13"/>
      <c r="B28" s="72" t="s">
        <v>34</v>
      </c>
      <c r="C28" s="73" t="s">
        <v>35</v>
      </c>
      <c r="D28" s="5" t="s">
        <v>23</v>
      </c>
      <c r="E28" s="5">
        <f>SUM(E19,E22,E25)</f>
        <v>111</v>
      </c>
      <c r="F28" s="5">
        <f t="shared" ref="F28:K28" si="13">SUM(F19,F22,F25)</f>
        <v>112</v>
      </c>
      <c r="G28" s="5">
        <f t="shared" si="13"/>
        <v>103</v>
      </c>
      <c r="H28" s="5">
        <f t="shared" si="13"/>
        <v>114</v>
      </c>
      <c r="I28" s="5">
        <f t="shared" si="13"/>
        <v>111</v>
      </c>
      <c r="J28" s="5">
        <f t="shared" si="13"/>
        <v>105</v>
      </c>
      <c r="K28" s="5">
        <f t="shared" si="13"/>
        <v>117</v>
      </c>
      <c r="L28" s="5">
        <f t="shared" ref="L28:R29" si="14">SUM(L19,L22,L25)</f>
        <v>102</v>
      </c>
      <c r="M28" s="5">
        <f t="shared" si="14"/>
        <v>89</v>
      </c>
      <c r="N28" s="5">
        <f t="shared" si="14"/>
        <v>101</v>
      </c>
      <c r="O28" s="5">
        <f t="shared" si="14"/>
        <v>96</v>
      </c>
      <c r="P28" s="5">
        <f t="shared" ref="P28:Q28" si="15">SUM(P19,P22,P25)</f>
        <v>82</v>
      </c>
      <c r="Q28" s="5">
        <f t="shared" si="15"/>
        <v>97</v>
      </c>
      <c r="R28" s="5">
        <f t="shared" si="14"/>
        <v>96</v>
      </c>
      <c r="S28" s="5">
        <f t="shared" si="3"/>
        <v>1436</v>
      </c>
    </row>
    <row r="29" spans="1:19" x14ac:dyDescent="0.3">
      <c r="A29" s="13"/>
      <c r="B29" s="67"/>
      <c r="C29" s="70"/>
      <c r="D29" s="5" t="s">
        <v>24</v>
      </c>
      <c r="E29" s="5">
        <f>SUM(E20,E23,E26)</f>
        <v>108</v>
      </c>
      <c r="F29" s="5">
        <f t="shared" ref="F29:K29" si="16">SUM(F20,F23,F26)</f>
        <v>106</v>
      </c>
      <c r="G29" s="5">
        <f t="shared" si="16"/>
        <v>114</v>
      </c>
      <c r="H29" s="5">
        <f t="shared" si="16"/>
        <v>115</v>
      </c>
      <c r="I29" s="5">
        <f t="shared" si="16"/>
        <v>108</v>
      </c>
      <c r="J29" s="5">
        <f t="shared" si="16"/>
        <v>119</v>
      </c>
      <c r="K29" s="5">
        <f t="shared" si="16"/>
        <v>115</v>
      </c>
      <c r="L29" s="5">
        <f t="shared" si="14"/>
        <v>108</v>
      </c>
      <c r="M29" s="5">
        <f t="shared" si="14"/>
        <v>97</v>
      </c>
      <c r="N29" s="5">
        <f t="shared" si="14"/>
        <v>83</v>
      </c>
      <c r="O29" s="5">
        <f t="shared" si="14"/>
        <v>110</v>
      </c>
      <c r="P29" s="5">
        <f t="shared" ref="P29:Q29" si="17">SUM(P20,P23,P26)</f>
        <v>78</v>
      </c>
      <c r="Q29" s="5">
        <f t="shared" si="17"/>
        <v>107</v>
      </c>
      <c r="R29" s="5">
        <f t="shared" si="14"/>
        <v>98</v>
      </c>
      <c r="S29" s="5">
        <f t="shared" si="3"/>
        <v>1466</v>
      </c>
    </row>
    <row r="30" spans="1:19" x14ac:dyDescent="0.3">
      <c r="A30" s="13"/>
      <c r="B30" s="68"/>
      <c r="C30" s="71"/>
      <c r="D30" s="5" t="s">
        <v>25</v>
      </c>
      <c r="E30" s="5">
        <f t="shared" ref="E30:R30" si="18">SUM(E28:E29)</f>
        <v>219</v>
      </c>
      <c r="F30" s="5">
        <f t="shared" ref="F30:K30" si="19">SUM(F28:F29)</f>
        <v>218</v>
      </c>
      <c r="G30" s="5">
        <f t="shared" si="19"/>
        <v>217</v>
      </c>
      <c r="H30" s="5">
        <f t="shared" si="19"/>
        <v>229</v>
      </c>
      <c r="I30" s="5">
        <f t="shared" si="19"/>
        <v>219</v>
      </c>
      <c r="J30" s="5">
        <f t="shared" si="19"/>
        <v>224</v>
      </c>
      <c r="K30" s="5">
        <f t="shared" si="19"/>
        <v>232</v>
      </c>
      <c r="L30" s="5">
        <f t="shared" si="18"/>
        <v>210</v>
      </c>
      <c r="M30" s="5">
        <f t="shared" si="18"/>
        <v>186</v>
      </c>
      <c r="N30" s="5">
        <f t="shared" si="18"/>
        <v>184</v>
      </c>
      <c r="O30" s="5">
        <f t="shared" si="18"/>
        <v>206</v>
      </c>
      <c r="P30" s="5">
        <f t="shared" ref="P30:Q30" si="20">SUM(P28:P29)</f>
        <v>160</v>
      </c>
      <c r="Q30" s="5">
        <f t="shared" si="20"/>
        <v>204</v>
      </c>
      <c r="R30" s="5">
        <f t="shared" si="18"/>
        <v>194</v>
      </c>
      <c r="S30" s="5">
        <f t="shared" si="3"/>
        <v>2902</v>
      </c>
    </row>
    <row r="31" spans="1:19" x14ac:dyDescent="0.3">
      <c r="A31" s="62"/>
      <c r="B31" s="63"/>
      <c r="C31" s="63"/>
      <c r="D31" s="64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28"/>
    </row>
    <row r="32" spans="1:19" x14ac:dyDescent="0.3">
      <c r="A32" s="14" t="s">
        <v>36</v>
      </c>
      <c r="B32" s="65" t="s">
        <v>37</v>
      </c>
      <c r="C32" s="63"/>
      <c r="D32" s="6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8"/>
    </row>
    <row r="33" spans="1:19" x14ac:dyDescent="0.3">
      <c r="A33" s="6">
        <v>1</v>
      </c>
      <c r="B33" s="76" t="s">
        <v>38</v>
      </c>
      <c r="C33" s="63"/>
      <c r="D33" s="64"/>
      <c r="E33" s="6">
        <v>267</v>
      </c>
      <c r="F33" s="6">
        <v>253</v>
      </c>
      <c r="G33" s="6">
        <v>271</v>
      </c>
      <c r="H33" s="6">
        <v>282</v>
      </c>
      <c r="I33" s="6">
        <v>273</v>
      </c>
      <c r="J33" s="6">
        <v>287</v>
      </c>
      <c r="K33" s="6">
        <v>285</v>
      </c>
      <c r="L33" s="6">
        <v>270</v>
      </c>
      <c r="M33" s="6">
        <v>240</v>
      </c>
      <c r="N33" s="6">
        <v>264</v>
      </c>
      <c r="O33" s="6">
        <v>271</v>
      </c>
      <c r="P33" s="6">
        <v>210</v>
      </c>
      <c r="Q33" s="6">
        <v>253</v>
      </c>
      <c r="R33" s="6">
        <v>231</v>
      </c>
      <c r="S33" s="5">
        <f>SUM(E33:R33)</f>
        <v>3657</v>
      </c>
    </row>
    <row r="34" spans="1:19" x14ac:dyDescent="0.3">
      <c r="A34" s="6">
        <v>2</v>
      </c>
      <c r="B34" s="76" t="s">
        <v>39</v>
      </c>
      <c r="C34" s="63"/>
      <c r="D34" s="64"/>
      <c r="E34" s="5">
        <v>219</v>
      </c>
      <c r="F34" s="5">
        <v>218</v>
      </c>
      <c r="G34" s="5">
        <v>217</v>
      </c>
      <c r="H34" s="5">
        <v>229</v>
      </c>
      <c r="I34" s="5">
        <v>219</v>
      </c>
      <c r="J34" s="5">
        <v>224</v>
      </c>
      <c r="K34" s="5">
        <v>232</v>
      </c>
      <c r="L34" s="5">
        <v>210</v>
      </c>
      <c r="M34" s="5">
        <v>186</v>
      </c>
      <c r="N34" s="5">
        <v>184</v>
      </c>
      <c r="O34" s="5">
        <v>206</v>
      </c>
      <c r="P34" s="5">
        <v>160</v>
      </c>
      <c r="Q34" s="5">
        <v>204</v>
      </c>
      <c r="R34" s="5">
        <v>194</v>
      </c>
      <c r="S34" s="5">
        <f>SUM(E34:R34)</f>
        <v>2902</v>
      </c>
    </row>
    <row r="35" spans="1:19" x14ac:dyDescent="0.3">
      <c r="A35" s="6">
        <v>3</v>
      </c>
      <c r="B35" s="76" t="s">
        <v>40</v>
      </c>
      <c r="C35" s="63"/>
      <c r="D35" s="64"/>
      <c r="E35" s="6">
        <v>0</v>
      </c>
      <c r="F35" s="6">
        <v>0</v>
      </c>
      <c r="G35" s="6">
        <v>4</v>
      </c>
      <c r="H35" s="6">
        <v>1</v>
      </c>
      <c r="I35" s="6">
        <v>2</v>
      </c>
      <c r="J35" s="6">
        <v>0</v>
      </c>
      <c r="K35" s="6">
        <v>2</v>
      </c>
      <c r="L35" s="6">
        <v>0</v>
      </c>
      <c r="M35" s="6">
        <v>0</v>
      </c>
      <c r="N35" s="6">
        <v>0</v>
      </c>
      <c r="O35" s="6">
        <v>1</v>
      </c>
      <c r="P35" s="6">
        <v>0</v>
      </c>
      <c r="Q35" s="6">
        <v>0</v>
      </c>
      <c r="R35" s="6">
        <v>0</v>
      </c>
      <c r="S35" s="5">
        <f>SUM(E35:R35)</f>
        <v>10</v>
      </c>
    </row>
    <row r="36" spans="1:19" x14ac:dyDescent="0.3">
      <c r="A36" s="6">
        <v>4</v>
      </c>
      <c r="B36" s="76" t="s">
        <v>41</v>
      </c>
      <c r="C36" s="63"/>
      <c r="D36" s="64"/>
      <c r="E36" s="5">
        <f t="shared" ref="E36:R36" si="21">E33-(E34+E35)</f>
        <v>48</v>
      </c>
      <c r="F36" s="5">
        <f t="shared" ref="F36:K36" si="22">F33-(F34+F35)</f>
        <v>35</v>
      </c>
      <c r="G36" s="5">
        <f t="shared" si="22"/>
        <v>50</v>
      </c>
      <c r="H36" s="5">
        <f t="shared" si="22"/>
        <v>52</v>
      </c>
      <c r="I36" s="5">
        <f t="shared" si="22"/>
        <v>52</v>
      </c>
      <c r="J36" s="5">
        <f t="shared" si="22"/>
        <v>63</v>
      </c>
      <c r="K36" s="5">
        <f t="shared" si="22"/>
        <v>51</v>
      </c>
      <c r="L36" s="5">
        <f t="shared" si="21"/>
        <v>60</v>
      </c>
      <c r="M36" s="5">
        <f t="shared" si="21"/>
        <v>54</v>
      </c>
      <c r="N36" s="5">
        <f t="shared" si="21"/>
        <v>80</v>
      </c>
      <c r="O36" s="5">
        <f t="shared" si="21"/>
        <v>64</v>
      </c>
      <c r="P36" s="5">
        <f t="shared" ref="P36:Q36" si="23">P33-(P34+P35)</f>
        <v>50</v>
      </c>
      <c r="Q36" s="5">
        <f t="shared" si="23"/>
        <v>49</v>
      </c>
      <c r="R36" s="5">
        <f t="shared" si="21"/>
        <v>37</v>
      </c>
      <c r="S36" s="5">
        <f>SUM(E36:R36)</f>
        <v>745</v>
      </c>
    </row>
    <row r="37" spans="1:19" x14ac:dyDescent="0.3">
      <c r="A37" s="62"/>
      <c r="B37" s="63"/>
      <c r="C37" s="63"/>
      <c r="D37" s="63"/>
      <c r="E37" s="62"/>
      <c r="F37" s="89"/>
      <c r="G37" s="89"/>
      <c r="H37" s="89"/>
      <c r="I37" s="89"/>
      <c r="J37" s="89"/>
      <c r="K37" s="89"/>
      <c r="L37" s="103"/>
      <c r="M37" s="103"/>
      <c r="N37" s="103"/>
      <c r="O37" s="104"/>
      <c r="P37" s="6"/>
      <c r="Q37" s="6"/>
      <c r="R37" s="6"/>
      <c r="S37" s="28"/>
    </row>
    <row r="38" spans="1:19" x14ac:dyDescent="0.3">
      <c r="A38" s="16" t="s">
        <v>42</v>
      </c>
      <c r="B38" s="65" t="s">
        <v>43</v>
      </c>
      <c r="C38" s="63"/>
      <c r="D38" s="6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8"/>
    </row>
    <row r="39" spans="1:19" x14ac:dyDescent="0.3">
      <c r="A39" s="11"/>
      <c r="B39" s="80" t="s">
        <v>44</v>
      </c>
      <c r="C39" s="78"/>
      <c r="D39" s="6" t="s">
        <v>23</v>
      </c>
      <c r="E39" s="6">
        <v>0</v>
      </c>
      <c r="F39" s="6">
        <v>1</v>
      </c>
      <c r="G39" s="6">
        <v>0</v>
      </c>
      <c r="H39" s="6">
        <v>2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2</v>
      </c>
      <c r="O39" s="6">
        <v>0</v>
      </c>
      <c r="P39" s="6">
        <v>0</v>
      </c>
      <c r="Q39" s="6">
        <v>0</v>
      </c>
      <c r="R39" s="6">
        <v>0</v>
      </c>
      <c r="S39" s="5">
        <f>SUM(E39:R39)</f>
        <v>5</v>
      </c>
    </row>
    <row r="40" spans="1:19" x14ac:dyDescent="0.3">
      <c r="A40" s="12"/>
      <c r="B40" s="81"/>
      <c r="C40" s="67"/>
      <c r="D40" s="6" t="s">
        <v>24</v>
      </c>
      <c r="E40" s="6">
        <v>0</v>
      </c>
      <c r="F40" s="6">
        <v>3</v>
      </c>
      <c r="G40" s="6">
        <v>0</v>
      </c>
      <c r="H40" s="6">
        <v>4</v>
      </c>
      <c r="I40" s="6">
        <v>0</v>
      </c>
      <c r="J40" s="6">
        <v>4</v>
      </c>
      <c r="K40" s="6">
        <v>0</v>
      </c>
      <c r="L40" s="6">
        <v>0</v>
      </c>
      <c r="M40" s="6">
        <v>0</v>
      </c>
      <c r="N40" s="6">
        <v>2</v>
      </c>
      <c r="O40" s="6">
        <v>0</v>
      </c>
      <c r="P40" s="6">
        <v>0</v>
      </c>
      <c r="Q40" s="6">
        <v>0</v>
      </c>
      <c r="R40" s="6">
        <v>0</v>
      </c>
      <c r="S40" s="5">
        <f>SUM(E40:R40)</f>
        <v>13</v>
      </c>
    </row>
    <row r="41" spans="1:19" x14ac:dyDescent="0.3">
      <c r="A41" s="14"/>
      <c r="B41" s="82"/>
      <c r="C41" s="68"/>
      <c r="D41" s="5" t="s">
        <v>25</v>
      </c>
      <c r="E41" s="5">
        <f t="shared" ref="E41:R41" si="24">SUM(E39:E40)</f>
        <v>0</v>
      </c>
      <c r="F41" s="5">
        <f t="shared" ref="F41:K41" si="25">SUM(F39:F40)</f>
        <v>4</v>
      </c>
      <c r="G41" s="5">
        <f t="shared" si="25"/>
        <v>0</v>
      </c>
      <c r="H41" s="5">
        <f t="shared" si="25"/>
        <v>6</v>
      </c>
      <c r="I41" s="5">
        <f t="shared" si="25"/>
        <v>0</v>
      </c>
      <c r="J41" s="5">
        <f t="shared" si="25"/>
        <v>4</v>
      </c>
      <c r="K41" s="5">
        <f t="shared" si="25"/>
        <v>0</v>
      </c>
      <c r="L41" s="5">
        <f t="shared" si="24"/>
        <v>0</v>
      </c>
      <c r="M41" s="5">
        <f t="shared" si="24"/>
        <v>0</v>
      </c>
      <c r="N41" s="5">
        <f t="shared" si="24"/>
        <v>4</v>
      </c>
      <c r="O41" s="5">
        <f t="shared" si="24"/>
        <v>0</v>
      </c>
      <c r="P41" s="5">
        <f t="shared" ref="P41:Q41" si="26">SUM(P39:P40)</f>
        <v>0</v>
      </c>
      <c r="Q41" s="5">
        <f t="shared" si="26"/>
        <v>0</v>
      </c>
      <c r="R41" s="5">
        <f t="shared" si="24"/>
        <v>0</v>
      </c>
      <c r="S41" s="5">
        <f>SUM(E41:R41)</f>
        <v>18</v>
      </c>
    </row>
    <row r="42" spans="1:19" x14ac:dyDescent="0.3">
      <c r="A42" s="83"/>
      <c r="B42" s="82"/>
      <c r="C42" s="82"/>
      <c r="D42" s="68"/>
      <c r="E42" s="62"/>
      <c r="F42" s="89"/>
      <c r="G42" s="89"/>
      <c r="H42" s="89"/>
      <c r="I42" s="89"/>
      <c r="J42" s="89"/>
      <c r="K42" s="89"/>
      <c r="L42" s="63"/>
      <c r="M42" s="63"/>
      <c r="N42" s="63"/>
      <c r="O42" s="64"/>
      <c r="P42" s="6"/>
      <c r="Q42" s="6"/>
      <c r="R42" s="6"/>
      <c r="S42" s="5"/>
    </row>
    <row r="43" spans="1:19" ht="13.15" customHeight="1" x14ac:dyDescent="0.3">
      <c r="A43" s="16" t="s">
        <v>45</v>
      </c>
      <c r="B43" s="65" t="s">
        <v>46</v>
      </c>
      <c r="C43" s="63"/>
      <c r="D43" s="64"/>
      <c r="E43" s="2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1:19" ht="13.15" customHeight="1" x14ac:dyDescent="0.3">
      <c r="A44" s="80" t="s">
        <v>47</v>
      </c>
      <c r="B44" s="85"/>
      <c r="C44" s="85"/>
      <c r="D44" s="78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5"/>
    </row>
    <row r="45" spans="1:19" x14ac:dyDescent="0.3">
      <c r="A45" s="11" t="s">
        <v>48</v>
      </c>
      <c r="B45" s="17" t="s">
        <v>28</v>
      </c>
      <c r="C45" s="86" t="s">
        <v>49</v>
      </c>
      <c r="D45" s="64"/>
      <c r="E45" s="6">
        <v>6</v>
      </c>
      <c r="F45" s="6">
        <v>17</v>
      </c>
      <c r="G45" s="6">
        <v>7</v>
      </c>
      <c r="H45" s="6">
        <v>0</v>
      </c>
      <c r="I45" s="6">
        <v>6</v>
      </c>
      <c r="J45" s="6">
        <v>12</v>
      </c>
      <c r="K45" s="6">
        <v>11</v>
      </c>
      <c r="L45" s="6">
        <v>17</v>
      </c>
      <c r="M45" s="6">
        <v>14</v>
      </c>
      <c r="N45" s="6">
        <v>12</v>
      </c>
      <c r="O45" s="6">
        <v>4</v>
      </c>
      <c r="P45" s="6">
        <v>2</v>
      </c>
      <c r="Q45" s="6">
        <v>9</v>
      </c>
      <c r="R45" s="6">
        <v>7</v>
      </c>
      <c r="S45" s="5">
        <f t="shared" ref="S45:S54" si="27">SUM(E45:R45)</f>
        <v>124</v>
      </c>
    </row>
    <row r="46" spans="1:19" x14ac:dyDescent="0.3">
      <c r="A46" s="11" t="s">
        <v>50</v>
      </c>
      <c r="B46" s="50"/>
      <c r="C46" s="24" t="s">
        <v>115</v>
      </c>
      <c r="D46" s="49"/>
      <c r="E46" s="6">
        <v>16</v>
      </c>
      <c r="F46" s="6">
        <v>36</v>
      </c>
      <c r="G46" s="6">
        <v>15</v>
      </c>
      <c r="H46" s="6">
        <v>8</v>
      </c>
      <c r="I46" s="6">
        <v>6</v>
      </c>
      <c r="J46" s="6">
        <v>24</v>
      </c>
      <c r="K46" s="6">
        <v>23</v>
      </c>
      <c r="L46" s="6">
        <v>12</v>
      </c>
      <c r="M46" s="6">
        <v>29</v>
      </c>
      <c r="N46" s="6">
        <v>11</v>
      </c>
      <c r="O46" s="6">
        <v>13</v>
      </c>
      <c r="P46" s="6">
        <v>5</v>
      </c>
      <c r="Q46" s="6">
        <v>14</v>
      </c>
      <c r="R46" s="6">
        <v>3</v>
      </c>
      <c r="S46" s="5">
        <f t="shared" si="27"/>
        <v>215</v>
      </c>
    </row>
    <row r="47" spans="1:19" x14ac:dyDescent="0.3">
      <c r="A47" s="7"/>
      <c r="B47" s="50"/>
      <c r="C47" s="24" t="s">
        <v>116</v>
      </c>
      <c r="D47" s="49"/>
      <c r="E47" s="6">
        <v>0</v>
      </c>
      <c r="F47" s="6">
        <v>1</v>
      </c>
      <c r="G47" s="6">
        <v>1</v>
      </c>
      <c r="H47" s="6">
        <v>2</v>
      </c>
      <c r="I47" s="6">
        <v>4</v>
      </c>
      <c r="J47" s="6">
        <v>7</v>
      </c>
      <c r="K47" s="6">
        <v>8</v>
      </c>
      <c r="L47" s="6">
        <v>6</v>
      </c>
      <c r="M47" s="6">
        <v>3</v>
      </c>
      <c r="N47" s="6">
        <v>11</v>
      </c>
      <c r="O47" s="6">
        <v>3</v>
      </c>
      <c r="P47" s="6">
        <v>4</v>
      </c>
      <c r="Q47" s="6">
        <v>4</v>
      </c>
      <c r="R47" s="6">
        <v>5</v>
      </c>
      <c r="S47" s="5">
        <f t="shared" si="27"/>
        <v>59</v>
      </c>
    </row>
    <row r="48" spans="1:19" x14ac:dyDescent="0.3">
      <c r="A48" s="7"/>
      <c r="B48" s="50"/>
      <c r="C48" s="24" t="s">
        <v>117</v>
      </c>
      <c r="D48" s="49"/>
      <c r="E48" s="6">
        <v>0</v>
      </c>
      <c r="F48" s="6">
        <v>0</v>
      </c>
      <c r="G48" s="6">
        <v>0</v>
      </c>
      <c r="H48" s="6">
        <v>0</v>
      </c>
      <c r="I48" s="6">
        <v>2</v>
      </c>
      <c r="J48" s="6">
        <v>3</v>
      </c>
      <c r="K48" s="6">
        <v>4</v>
      </c>
      <c r="L48" s="6">
        <v>1</v>
      </c>
      <c r="M48" s="6">
        <v>2</v>
      </c>
      <c r="N48" s="6">
        <v>2</v>
      </c>
      <c r="O48" s="6">
        <v>1</v>
      </c>
      <c r="P48" s="6">
        <v>2</v>
      </c>
      <c r="Q48" s="6">
        <v>1</v>
      </c>
      <c r="R48" s="6">
        <v>2</v>
      </c>
      <c r="S48" s="5">
        <f t="shared" si="27"/>
        <v>20</v>
      </c>
    </row>
    <row r="49" spans="1:19" x14ac:dyDescent="0.3">
      <c r="A49" s="7"/>
      <c r="B49" s="50"/>
      <c r="C49" s="24" t="s">
        <v>118</v>
      </c>
      <c r="D49" s="49"/>
      <c r="E49" s="6">
        <v>0</v>
      </c>
      <c r="F49" s="6">
        <v>0</v>
      </c>
      <c r="G49" s="6">
        <v>1</v>
      </c>
      <c r="H49" s="6">
        <v>0</v>
      </c>
      <c r="I49" s="6">
        <v>0</v>
      </c>
      <c r="J49" s="6">
        <v>1</v>
      </c>
      <c r="K49" s="6">
        <v>1</v>
      </c>
      <c r="L49" s="6">
        <v>1</v>
      </c>
      <c r="M49" s="6">
        <v>0</v>
      </c>
      <c r="N49" s="6">
        <v>1</v>
      </c>
      <c r="O49" s="6">
        <v>0</v>
      </c>
      <c r="P49" s="6">
        <v>1</v>
      </c>
      <c r="Q49" s="6">
        <v>0</v>
      </c>
      <c r="R49" s="6">
        <v>0</v>
      </c>
      <c r="S49" s="5">
        <f t="shared" si="27"/>
        <v>6</v>
      </c>
    </row>
    <row r="50" spans="1:19" x14ac:dyDescent="0.3">
      <c r="A50" s="7"/>
      <c r="B50" s="50"/>
      <c r="C50" s="24" t="s">
        <v>119</v>
      </c>
      <c r="D50" s="49"/>
      <c r="E50" s="6">
        <v>1</v>
      </c>
      <c r="F50" s="6">
        <v>0</v>
      </c>
      <c r="G50" s="6">
        <v>0</v>
      </c>
      <c r="H50" s="6">
        <v>0</v>
      </c>
      <c r="I50" s="6">
        <v>2</v>
      </c>
      <c r="J50" s="6">
        <v>2</v>
      </c>
      <c r="K50" s="6">
        <v>1</v>
      </c>
      <c r="L50" s="6">
        <v>0</v>
      </c>
      <c r="M50" s="6">
        <v>0</v>
      </c>
      <c r="N50" s="6">
        <v>1</v>
      </c>
      <c r="O50" s="6">
        <v>0</v>
      </c>
      <c r="P50" s="6">
        <v>1</v>
      </c>
      <c r="Q50" s="6">
        <v>0</v>
      </c>
      <c r="R50" s="6">
        <v>0</v>
      </c>
      <c r="S50" s="5">
        <f t="shared" si="27"/>
        <v>8</v>
      </c>
    </row>
    <row r="51" spans="1:19" x14ac:dyDescent="0.3">
      <c r="A51" s="7"/>
      <c r="B51" s="50"/>
      <c r="C51" s="24" t="s">
        <v>120</v>
      </c>
      <c r="D51" s="49"/>
      <c r="E51" s="6">
        <v>0</v>
      </c>
      <c r="F51" s="6">
        <v>3</v>
      </c>
      <c r="G51" s="6">
        <v>0</v>
      </c>
      <c r="H51" s="6">
        <v>0</v>
      </c>
      <c r="I51" s="6">
        <v>0</v>
      </c>
      <c r="J51" s="6">
        <v>1</v>
      </c>
      <c r="K51" s="6">
        <v>2</v>
      </c>
      <c r="L51" s="6">
        <v>1</v>
      </c>
      <c r="M51" s="6">
        <v>0</v>
      </c>
      <c r="N51" s="6">
        <v>0</v>
      </c>
      <c r="O51" s="6">
        <v>0</v>
      </c>
      <c r="P51" s="6">
        <v>1</v>
      </c>
      <c r="Q51" s="6">
        <v>1</v>
      </c>
      <c r="R51" s="6">
        <v>0</v>
      </c>
      <c r="S51" s="5">
        <f t="shared" si="27"/>
        <v>9</v>
      </c>
    </row>
    <row r="52" spans="1:19" ht="13.15" customHeight="1" x14ac:dyDescent="0.3">
      <c r="A52" s="7"/>
      <c r="B52" s="50"/>
      <c r="C52" s="24" t="s">
        <v>121</v>
      </c>
      <c r="D52" s="49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1</v>
      </c>
      <c r="L52" s="6">
        <v>0</v>
      </c>
      <c r="M52" s="6">
        <v>0</v>
      </c>
      <c r="N52" s="6">
        <v>0</v>
      </c>
      <c r="O52" s="6">
        <v>1</v>
      </c>
      <c r="P52" s="6">
        <v>1</v>
      </c>
      <c r="Q52" s="6">
        <v>0</v>
      </c>
      <c r="R52" s="6">
        <v>1</v>
      </c>
      <c r="S52" s="5">
        <f t="shared" si="27"/>
        <v>4</v>
      </c>
    </row>
    <row r="53" spans="1:19" ht="13.15" customHeight="1" x14ac:dyDescent="0.3">
      <c r="A53" s="7"/>
      <c r="B53" s="50"/>
      <c r="C53" s="24" t="s">
        <v>122</v>
      </c>
      <c r="D53" s="51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1</v>
      </c>
      <c r="M53" s="6">
        <v>0</v>
      </c>
      <c r="N53" s="6">
        <v>0</v>
      </c>
      <c r="O53" s="6">
        <v>0</v>
      </c>
      <c r="P53" s="6">
        <v>1</v>
      </c>
      <c r="Q53" s="6">
        <v>0</v>
      </c>
      <c r="R53" s="6">
        <v>0</v>
      </c>
      <c r="S53" s="5">
        <f t="shared" si="27"/>
        <v>2</v>
      </c>
    </row>
    <row r="54" spans="1:19" ht="13.15" customHeight="1" x14ac:dyDescent="0.3">
      <c r="A54" s="7"/>
      <c r="B54" s="50"/>
      <c r="C54" s="24" t="s">
        <v>123</v>
      </c>
      <c r="D54" s="49"/>
      <c r="E54" s="6">
        <v>0</v>
      </c>
      <c r="F54" s="6">
        <v>0</v>
      </c>
      <c r="G54" s="6">
        <v>1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1</v>
      </c>
      <c r="N54" s="6">
        <v>0</v>
      </c>
      <c r="O54" s="6">
        <v>0</v>
      </c>
      <c r="P54" s="6">
        <v>0</v>
      </c>
      <c r="Q54" s="6">
        <v>1</v>
      </c>
      <c r="R54" s="6">
        <v>0</v>
      </c>
      <c r="S54" s="5">
        <f t="shared" si="27"/>
        <v>3</v>
      </c>
    </row>
    <row r="55" spans="1:19" x14ac:dyDescent="0.3">
      <c r="A55" s="6" t="s">
        <v>26</v>
      </c>
      <c r="B55" s="84" t="s">
        <v>51</v>
      </c>
      <c r="C55" s="63"/>
      <c r="D55" s="64"/>
      <c r="E55" s="5">
        <f>SUM(E45:E54)</f>
        <v>23</v>
      </c>
      <c r="F55" s="5">
        <f t="shared" ref="F55:S55" si="28">SUM(F45:F54)</f>
        <v>57</v>
      </c>
      <c r="G55" s="5">
        <f t="shared" si="28"/>
        <v>25</v>
      </c>
      <c r="H55" s="5">
        <f t="shared" si="28"/>
        <v>10</v>
      </c>
      <c r="I55" s="5">
        <f t="shared" si="28"/>
        <v>20</v>
      </c>
      <c r="J55" s="5">
        <f t="shared" si="28"/>
        <v>50</v>
      </c>
      <c r="K55" s="5">
        <f t="shared" si="28"/>
        <v>51</v>
      </c>
      <c r="L55" s="5">
        <f t="shared" si="28"/>
        <v>39</v>
      </c>
      <c r="M55" s="5">
        <f t="shared" si="28"/>
        <v>49</v>
      </c>
      <c r="N55" s="5">
        <f t="shared" si="28"/>
        <v>38</v>
      </c>
      <c r="O55" s="5">
        <f t="shared" si="28"/>
        <v>22</v>
      </c>
      <c r="P55" s="5">
        <f t="shared" si="28"/>
        <v>18</v>
      </c>
      <c r="Q55" s="5">
        <f t="shared" si="28"/>
        <v>30</v>
      </c>
      <c r="R55" s="5">
        <f t="shared" si="28"/>
        <v>18</v>
      </c>
      <c r="S55" s="5">
        <f t="shared" si="28"/>
        <v>450</v>
      </c>
    </row>
    <row r="56" spans="1:19" x14ac:dyDescent="0.3">
      <c r="A56" s="83"/>
      <c r="B56" s="82"/>
      <c r="C56" s="82"/>
      <c r="D56" s="82"/>
      <c r="E56" s="82"/>
      <c r="S56" s="5"/>
    </row>
    <row r="57" spans="1:19" x14ac:dyDescent="0.3">
      <c r="A57" s="11" t="s">
        <v>48</v>
      </c>
      <c r="B57" s="17" t="s">
        <v>30</v>
      </c>
      <c r="C57" s="86" t="s">
        <v>52</v>
      </c>
      <c r="D57" s="64"/>
      <c r="E57" s="6">
        <v>7</v>
      </c>
      <c r="F57" s="6">
        <v>13</v>
      </c>
      <c r="G57" s="6">
        <v>8</v>
      </c>
      <c r="H57" s="6">
        <v>7</v>
      </c>
      <c r="I57" s="6">
        <v>16</v>
      </c>
      <c r="J57" s="6">
        <v>22</v>
      </c>
      <c r="K57" s="6">
        <v>12</v>
      </c>
      <c r="L57" s="6">
        <v>10</v>
      </c>
      <c r="M57" s="6">
        <v>8</v>
      </c>
      <c r="N57" s="6">
        <v>28</v>
      </c>
      <c r="O57" s="6">
        <v>14</v>
      </c>
      <c r="P57" s="6">
        <v>9</v>
      </c>
      <c r="Q57" s="6">
        <v>9</v>
      </c>
      <c r="R57" s="6">
        <v>9</v>
      </c>
      <c r="S57" s="5">
        <f t="shared" ref="S57:S66" si="29">SUM(E57:R57)</f>
        <v>172</v>
      </c>
    </row>
    <row r="58" spans="1:19" x14ac:dyDescent="0.3">
      <c r="A58" s="11" t="s">
        <v>50</v>
      </c>
      <c r="B58" s="50"/>
      <c r="C58" s="24" t="s">
        <v>124</v>
      </c>
      <c r="D58" s="49"/>
      <c r="E58" s="6">
        <v>11</v>
      </c>
      <c r="F58" s="6">
        <v>20</v>
      </c>
      <c r="G58" s="6">
        <v>16</v>
      </c>
      <c r="H58" s="6">
        <v>14</v>
      </c>
      <c r="I58" s="6">
        <v>11</v>
      </c>
      <c r="J58" s="6">
        <v>18</v>
      </c>
      <c r="K58" s="6">
        <v>38</v>
      </c>
      <c r="L58" s="6">
        <v>13</v>
      </c>
      <c r="M58" s="6">
        <v>10</v>
      </c>
      <c r="N58" s="6">
        <v>6</v>
      </c>
      <c r="O58" s="6">
        <v>7</v>
      </c>
      <c r="P58" s="6">
        <v>10</v>
      </c>
      <c r="Q58" s="6">
        <v>7</v>
      </c>
      <c r="R58" s="6">
        <v>5</v>
      </c>
      <c r="S58" s="5">
        <f t="shared" si="29"/>
        <v>186</v>
      </c>
    </row>
    <row r="59" spans="1:19" x14ac:dyDescent="0.3">
      <c r="A59" s="7"/>
      <c r="B59" s="50"/>
      <c r="C59" s="24" t="s">
        <v>125</v>
      </c>
      <c r="D59" s="49"/>
      <c r="E59" s="6">
        <v>6</v>
      </c>
      <c r="F59" s="6">
        <v>6</v>
      </c>
      <c r="G59" s="6">
        <v>9</v>
      </c>
      <c r="H59" s="6">
        <v>16</v>
      </c>
      <c r="I59" s="6">
        <v>14</v>
      </c>
      <c r="J59" s="6">
        <v>15</v>
      </c>
      <c r="K59" s="6">
        <v>11</v>
      </c>
      <c r="L59" s="6">
        <v>15</v>
      </c>
      <c r="M59" s="6">
        <v>16</v>
      </c>
      <c r="N59" s="6">
        <v>13</v>
      </c>
      <c r="O59" s="6">
        <v>18</v>
      </c>
      <c r="P59" s="6">
        <v>11</v>
      </c>
      <c r="Q59" s="6">
        <v>12</v>
      </c>
      <c r="R59" s="6">
        <v>9</v>
      </c>
      <c r="S59" s="5">
        <f t="shared" si="29"/>
        <v>171</v>
      </c>
    </row>
    <row r="60" spans="1:19" x14ac:dyDescent="0.3">
      <c r="A60" s="7"/>
      <c r="B60" s="50"/>
      <c r="C60" s="24" t="s">
        <v>126</v>
      </c>
      <c r="D60" s="49"/>
      <c r="E60" s="6">
        <v>2</v>
      </c>
      <c r="F60" s="6">
        <v>5</v>
      </c>
      <c r="G60" s="6">
        <v>0</v>
      </c>
      <c r="H60" s="6">
        <v>5</v>
      </c>
      <c r="I60" s="6">
        <v>6</v>
      </c>
      <c r="J60" s="6">
        <v>1</v>
      </c>
      <c r="K60" s="6">
        <v>2</v>
      </c>
      <c r="L60" s="6">
        <v>3</v>
      </c>
      <c r="M60" s="6">
        <v>2</v>
      </c>
      <c r="N60" s="6">
        <v>0</v>
      </c>
      <c r="O60" s="6">
        <v>1</v>
      </c>
      <c r="P60" s="6">
        <v>3</v>
      </c>
      <c r="Q60" s="6">
        <v>1</v>
      </c>
      <c r="R60" s="6">
        <v>5</v>
      </c>
      <c r="S60" s="5">
        <f t="shared" si="29"/>
        <v>36</v>
      </c>
    </row>
    <row r="61" spans="1:19" x14ac:dyDescent="0.3">
      <c r="A61" s="7"/>
      <c r="B61" s="50"/>
      <c r="C61" s="24" t="s">
        <v>127</v>
      </c>
      <c r="D61" s="49"/>
      <c r="E61" s="6">
        <v>3</v>
      </c>
      <c r="F61" s="6">
        <v>2</v>
      </c>
      <c r="G61" s="6">
        <v>3</v>
      </c>
      <c r="H61" s="6">
        <v>29</v>
      </c>
      <c r="I61" s="6">
        <v>10</v>
      </c>
      <c r="J61" s="6">
        <v>10</v>
      </c>
      <c r="K61" s="6">
        <v>4</v>
      </c>
      <c r="L61" s="6">
        <v>10</v>
      </c>
      <c r="M61" s="6">
        <v>11</v>
      </c>
      <c r="N61" s="6">
        <v>0</v>
      </c>
      <c r="O61" s="6">
        <v>13</v>
      </c>
      <c r="P61" s="6">
        <v>4</v>
      </c>
      <c r="Q61" s="6">
        <v>9</v>
      </c>
      <c r="R61" s="6">
        <v>3</v>
      </c>
      <c r="S61" s="5">
        <f t="shared" si="29"/>
        <v>111</v>
      </c>
    </row>
    <row r="62" spans="1:19" x14ac:dyDescent="0.3">
      <c r="A62" s="7"/>
      <c r="B62" s="50"/>
      <c r="C62" s="24" t="s">
        <v>128</v>
      </c>
      <c r="D62" s="49"/>
      <c r="E62" s="6">
        <v>0</v>
      </c>
      <c r="F62" s="6">
        <v>1</v>
      </c>
      <c r="G62" s="6">
        <v>0</v>
      </c>
      <c r="H62" s="6">
        <v>2</v>
      </c>
      <c r="I62" s="6">
        <v>0</v>
      </c>
      <c r="J62" s="6">
        <v>3</v>
      </c>
      <c r="K62" s="6">
        <v>2</v>
      </c>
      <c r="L62" s="6">
        <v>3</v>
      </c>
      <c r="M62" s="6">
        <v>0</v>
      </c>
      <c r="N62" s="6">
        <v>2</v>
      </c>
      <c r="O62" s="6">
        <v>0</v>
      </c>
      <c r="P62" s="6">
        <v>0</v>
      </c>
      <c r="Q62" s="6">
        <v>0</v>
      </c>
      <c r="R62" s="6">
        <v>0</v>
      </c>
      <c r="S62" s="5">
        <f t="shared" si="29"/>
        <v>13</v>
      </c>
    </row>
    <row r="63" spans="1:19" ht="13.15" customHeight="1" x14ac:dyDescent="0.3">
      <c r="A63" s="7"/>
      <c r="B63" s="50"/>
      <c r="C63" s="24" t="s">
        <v>129</v>
      </c>
      <c r="D63" s="49"/>
      <c r="E63" s="6">
        <v>0</v>
      </c>
      <c r="F63" s="6">
        <v>1</v>
      </c>
      <c r="G63" s="6">
        <v>1</v>
      </c>
      <c r="H63" s="6">
        <v>0</v>
      </c>
      <c r="I63" s="6">
        <v>0</v>
      </c>
      <c r="J63" s="6">
        <v>0</v>
      </c>
      <c r="K63" s="6">
        <v>1</v>
      </c>
      <c r="L63" s="6">
        <v>0</v>
      </c>
      <c r="M63" s="6">
        <v>0</v>
      </c>
      <c r="N63" s="6">
        <v>0</v>
      </c>
      <c r="O63" s="6">
        <v>2</v>
      </c>
      <c r="P63" s="6">
        <v>1</v>
      </c>
      <c r="Q63" s="6">
        <v>0</v>
      </c>
      <c r="R63" s="6">
        <v>0</v>
      </c>
      <c r="S63" s="5">
        <f t="shared" si="29"/>
        <v>6</v>
      </c>
    </row>
    <row r="64" spans="1:19" x14ac:dyDescent="0.3">
      <c r="A64" s="7"/>
      <c r="B64" s="50"/>
      <c r="C64" s="24" t="s">
        <v>130</v>
      </c>
      <c r="D64" s="49"/>
      <c r="E64" s="6">
        <v>0</v>
      </c>
      <c r="F64" s="6">
        <v>0</v>
      </c>
      <c r="G64" s="6">
        <v>0</v>
      </c>
      <c r="H64" s="6">
        <v>0</v>
      </c>
      <c r="I64" s="6">
        <v>1</v>
      </c>
      <c r="J64" s="6">
        <v>0</v>
      </c>
      <c r="K64" s="6">
        <v>0</v>
      </c>
      <c r="L64" s="6">
        <v>0</v>
      </c>
      <c r="M64" s="6">
        <v>1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5">
        <f t="shared" si="29"/>
        <v>2</v>
      </c>
    </row>
    <row r="65" spans="1:19" x14ac:dyDescent="0.3">
      <c r="A65" s="7"/>
      <c r="B65" s="50"/>
      <c r="C65" s="24" t="s">
        <v>131</v>
      </c>
      <c r="D65" s="49"/>
      <c r="E65" s="6">
        <v>0</v>
      </c>
      <c r="F65" s="6">
        <v>0</v>
      </c>
      <c r="G65" s="6">
        <v>0</v>
      </c>
      <c r="H65" s="6">
        <v>1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1</v>
      </c>
      <c r="O65" s="6">
        <v>1</v>
      </c>
      <c r="P65" s="6">
        <v>0</v>
      </c>
      <c r="Q65" s="6">
        <v>0</v>
      </c>
      <c r="R65" s="6">
        <v>0</v>
      </c>
      <c r="S65" s="5">
        <f t="shared" si="29"/>
        <v>3</v>
      </c>
    </row>
    <row r="66" spans="1:19" x14ac:dyDescent="0.3">
      <c r="A66" s="7"/>
      <c r="B66" s="50"/>
      <c r="C66" s="24" t="s">
        <v>132</v>
      </c>
      <c r="D66" s="49"/>
      <c r="E66" s="6">
        <v>1</v>
      </c>
      <c r="F66" s="6">
        <v>0</v>
      </c>
      <c r="G66" s="6">
        <v>0</v>
      </c>
      <c r="H66" s="6">
        <v>2</v>
      </c>
      <c r="I66" s="6">
        <v>1</v>
      </c>
      <c r="J66" s="6">
        <v>0</v>
      </c>
      <c r="K66" s="6">
        <v>1</v>
      </c>
      <c r="L66" s="6">
        <v>0</v>
      </c>
      <c r="M66" s="6">
        <v>0</v>
      </c>
      <c r="N66" s="6">
        <v>0</v>
      </c>
      <c r="O66" s="6">
        <v>1</v>
      </c>
      <c r="P66" s="6">
        <v>0</v>
      </c>
      <c r="Q66" s="6">
        <v>0</v>
      </c>
      <c r="R66" s="6">
        <v>0</v>
      </c>
      <c r="S66" s="5">
        <f t="shared" si="29"/>
        <v>6</v>
      </c>
    </row>
    <row r="67" spans="1:19" x14ac:dyDescent="0.3">
      <c r="A67" s="6" t="s">
        <v>26</v>
      </c>
      <c r="B67" s="84" t="s">
        <v>51</v>
      </c>
      <c r="C67" s="63"/>
      <c r="D67" s="64"/>
      <c r="E67" s="5">
        <f t="shared" ref="E67:S67" si="30">SUM(E57:E66)</f>
        <v>30</v>
      </c>
      <c r="F67" s="5">
        <f t="shared" si="30"/>
        <v>48</v>
      </c>
      <c r="G67" s="5">
        <f t="shared" si="30"/>
        <v>37</v>
      </c>
      <c r="H67" s="5">
        <f t="shared" si="30"/>
        <v>76</v>
      </c>
      <c r="I67" s="5">
        <f t="shared" si="30"/>
        <v>59</v>
      </c>
      <c r="J67" s="5">
        <f t="shared" si="30"/>
        <v>69</v>
      </c>
      <c r="K67" s="5">
        <f t="shared" si="30"/>
        <v>71</v>
      </c>
      <c r="L67" s="5">
        <f t="shared" si="30"/>
        <v>54</v>
      </c>
      <c r="M67" s="5">
        <f t="shared" si="30"/>
        <v>48</v>
      </c>
      <c r="N67" s="5">
        <f t="shared" si="30"/>
        <v>50</v>
      </c>
      <c r="O67" s="5">
        <f t="shared" si="30"/>
        <v>57</v>
      </c>
      <c r="P67" s="5">
        <f t="shared" si="30"/>
        <v>38</v>
      </c>
      <c r="Q67" s="5">
        <f t="shared" si="30"/>
        <v>38</v>
      </c>
      <c r="R67" s="5">
        <f t="shared" si="30"/>
        <v>31</v>
      </c>
      <c r="S67" s="5">
        <f t="shared" si="30"/>
        <v>706</v>
      </c>
    </row>
    <row r="68" spans="1:19" x14ac:dyDescent="0.3">
      <c r="A68" s="83"/>
      <c r="B68" s="82"/>
      <c r="C68" s="82"/>
      <c r="D68" s="82"/>
      <c r="E68" s="82"/>
    </row>
    <row r="69" spans="1:19" x14ac:dyDescent="0.3">
      <c r="A69" s="11" t="s">
        <v>48</v>
      </c>
      <c r="B69" s="17" t="s">
        <v>32</v>
      </c>
      <c r="C69" s="86" t="s">
        <v>53</v>
      </c>
      <c r="D69" s="64"/>
      <c r="E69" s="6">
        <v>23</v>
      </c>
      <c r="F69" s="6">
        <v>16</v>
      </c>
      <c r="G69" s="6">
        <v>27</v>
      </c>
      <c r="H69" s="6">
        <v>13</v>
      </c>
      <c r="I69" s="6">
        <v>17</v>
      </c>
      <c r="J69" s="6">
        <v>13</v>
      </c>
      <c r="K69" s="6">
        <v>7</v>
      </c>
      <c r="L69" s="6">
        <v>7</v>
      </c>
      <c r="M69" s="6">
        <v>1</v>
      </c>
      <c r="N69" s="6">
        <v>14</v>
      </c>
      <c r="O69" s="6">
        <v>9</v>
      </c>
      <c r="P69" s="6">
        <v>11</v>
      </c>
      <c r="Q69" s="6">
        <v>8</v>
      </c>
      <c r="R69" s="6">
        <v>14</v>
      </c>
      <c r="S69" s="5">
        <f t="shared" ref="S69:S78" si="31">SUM(E69:R69)</f>
        <v>180</v>
      </c>
    </row>
    <row r="70" spans="1:19" x14ac:dyDescent="0.3">
      <c r="A70" s="11" t="s">
        <v>50</v>
      </c>
      <c r="B70" s="50"/>
      <c r="C70" s="24" t="s">
        <v>133</v>
      </c>
      <c r="D70" s="49"/>
      <c r="E70" s="6">
        <v>15</v>
      </c>
      <c r="F70" s="6">
        <v>6</v>
      </c>
      <c r="G70" s="6">
        <v>18</v>
      </c>
      <c r="H70" s="6">
        <v>4</v>
      </c>
      <c r="I70" s="6">
        <v>5</v>
      </c>
      <c r="J70" s="6">
        <v>8</v>
      </c>
      <c r="K70" s="6">
        <v>4</v>
      </c>
      <c r="L70" s="6">
        <v>1</v>
      </c>
      <c r="M70" s="6">
        <v>6</v>
      </c>
      <c r="N70" s="6">
        <v>6</v>
      </c>
      <c r="O70" s="6">
        <v>6</v>
      </c>
      <c r="P70" s="6">
        <v>2</v>
      </c>
      <c r="Q70" s="6">
        <v>8</v>
      </c>
      <c r="R70" s="6">
        <v>1</v>
      </c>
      <c r="S70" s="5">
        <f t="shared" si="31"/>
        <v>90</v>
      </c>
    </row>
    <row r="71" spans="1:19" x14ac:dyDescent="0.3">
      <c r="A71" s="7"/>
      <c r="B71" s="50"/>
      <c r="C71" s="24" t="s">
        <v>134</v>
      </c>
      <c r="D71" s="49"/>
      <c r="E71" s="6">
        <v>28</v>
      </c>
      <c r="F71" s="6">
        <v>21</v>
      </c>
      <c r="G71" s="6">
        <v>11</v>
      </c>
      <c r="H71" s="6">
        <v>14</v>
      </c>
      <c r="I71" s="6">
        <v>13</v>
      </c>
      <c r="J71" s="6">
        <v>15</v>
      </c>
      <c r="K71" s="6">
        <v>2</v>
      </c>
      <c r="L71" s="6">
        <v>4</v>
      </c>
      <c r="M71" s="6">
        <v>3</v>
      </c>
      <c r="N71" s="6">
        <v>3</v>
      </c>
      <c r="O71" s="6">
        <v>13</v>
      </c>
      <c r="P71" s="6">
        <v>7</v>
      </c>
      <c r="Q71" s="6">
        <v>11</v>
      </c>
      <c r="R71" s="6">
        <v>12</v>
      </c>
      <c r="S71" s="5">
        <f t="shared" si="31"/>
        <v>157</v>
      </c>
    </row>
    <row r="72" spans="1:19" x14ac:dyDescent="0.3">
      <c r="A72" s="7"/>
      <c r="B72" s="50"/>
      <c r="C72" s="24" t="s">
        <v>135</v>
      </c>
      <c r="D72" s="49"/>
      <c r="E72" s="6">
        <v>9</v>
      </c>
      <c r="F72" s="6">
        <v>8</v>
      </c>
      <c r="G72" s="6">
        <v>8</v>
      </c>
      <c r="H72" s="6">
        <v>12</v>
      </c>
      <c r="I72" s="6">
        <v>6</v>
      </c>
      <c r="J72" s="6">
        <v>3</v>
      </c>
      <c r="K72" s="6">
        <v>8</v>
      </c>
      <c r="L72" s="6">
        <v>7</v>
      </c>
      <c r="M72" s="6">
        <v>4</v>
      </c>
      <c r="N72" s="6">
        <v>2</v>
      </c>
      <c r="O72" s="6">
        <v>8</v>
      </c>
      <c r="P72" s="6">
        <v>5</v>
      </c>
      <c r="Q72" s="6">
        <v>9</v>
      </c>
      <c r="R72" s="6">
        <v>4</v>
      </c>
      <c r="S72" s="5">
        <f t="shared" si="31"/>
        <v>93</v>
      </c>
    </row>
    <row r="73" spans="1:19" x14ac:dyDescent="0.3">
      <c r="A73" s="7"/>
      <c r="B73" s="50"/>
      <c r="C73" s="24" t="s">
        <v>136</v>
      </c>
      <c r="D73" s="49"/>
      <c r="E73" s="6">
        <v>10</v>
      </c>
      <c r="F73" s="6">
        <v>3</v>
      </c>
      <c r="G73" s="6">
        <v>3</v>
      </c>
      <c r="H73" s="6">
        <v>10</v>
      </c>
      <c r="I73" s="6">
        <v>14</v>
      </c>
      <c r="J73" s="6">
        <v>5</v>
      </c>
      <c r="K73" s="6">
        <v>0</v>
      </c>
      <c r="L73" s="6">
        <v>0</v>
      </c>
      <c r="M73" s="6">
        <v>1</v>
      </c>
      <c r="N73" s="6">
        <v>0</v>
      </c>
      <c r="O73" s="6">
        <v>7</v>
      </c>
      <c r="P73" s="6">
        <v>14</v>
      </c>
      <c r="Q73" s="6">
        <v>1</v>
      </c>
      <c r="R73" s="6">
        <v>5</v>
      </c>
      <c r="S73" s="5">
        <f t="shared" si="31"/>
        <v>73</v>
      </c>
    </row>
    <row r="74" spans="1:19" ht="13.15" customHeight="1" x14ac:dyDescent="0.3">
      <c r="A74" s="7"/>
      <c r="B74" s="50"/>
      <c r="C74" s="24" t="s">
        <v>137</v>
      </c>
      <c r="D74" s="49"/>
      <c r="E74" s="6">
        <v>1</v>
      </c>
      <c r="F74" s="6">
        <v>1</v>
      </c>
      <c r="G74" s="6">
        <v>0</v>
      </c>
      <c r="H74" s="6">
        <v>1</v>
      </c>
      <c r="I74" s="6">
        <v>2</v>
      </c>
      <c r="J74" s="6">
        <v>1</v>
      </c>
      <c r="K74" s="6">
        <v>2</v>
      </c>
      <c r="L74" s="6">
        <v>2</v>
      </c>
      <c r="M74" s="6">
        <v>0</v>
      </c>
      <c r="N74" s="6">
        <v>0</v>
      </c>
      <c r="O74" s="6">
        <v>2</v>
      </c>
      <c r="P74" s="6">
        <v>1</v>
      </c>
      <c r="Q74" s="6">
        <v>3</v>
      </c>
      <c r="R74" s="6">
        <v>1</v>
      </c>
      <c r="S74" s="5">
        <f t="shared" si="31"/>
        <v>17</v>
      </c>
    </row>
    <row r="75" spans="1:19" x14ac:dyDescent="0.3">
      <c r="A75" s="7"/>
      <c r="B75" s="50"/>
      <c r="C75" s="24" t="s">
        <v>138</v>
      </c>
      <c r="D75" s="49"/>
      <c r="E75" s="6">
        <v>1</v>
      </c>
      <c r="F75" s="6">
        <v>1</v>
      </c>
      <c r="G75" s="6">
        <v>2</v>
      </c>
      <c r="H75" s="6">
        <v>2</v>
      </c>
      <c r="I75" s="6">
        <v>1</v>
      </c>
      <c r="J75" s="6">
        <v>1</v>
      </c>
      <c r="K75" s="6">
        <v>0</v>
      </c>
      <c r="L75" s="6">
        <v>0</v>
      </c>
      <c r="M75" s="6">
        <v>0</v>
      </c>
      <c r="N75" s="6">
        <v>2</v>
      </c>
      <c r="O75" s="6">
        <v>1</v>
      </c>
      <c r="P75" s="6">
        <v>0</v>
      </c>
      <c r="Q75" s="6">
        <v>0</v>
      </c>
      <c r="R75" s="6">
        <v>1</v>
      </c>
      <c r="S75" s="5">
        <f t="shared" si="31"/>
        <v>12</v>
      </c>
    </row>
    <row r="76" spans="1:19" x14ac:dyDescent="0.3">
      <c r="A76" s="7"/>
      <c r="B76" s="50"/>
      <c r="C76" s="24" t="s">
        <v>139</v>
      </c>
      <c r="D76" s="49"/>
      <c r="E76" s="6">
        <v>3</v>
      </c>
      <c r="F76" s="6">
        <v>1</v>
      </c>
      <c r="G76" s="6">
        <v>1</v>
      </c>
      <c r="H76" s="6">
        <v>3</v>
      </c>
      <c r="I76" s="6">
        <v>2</v>
      </c>
      <c r="J76" s="6">
        <v>1</v>
      </c>
      <c r="K76" s="6">
        <v>0</v>
      </c>
      <c r="L76" s="6">
        <v>1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5">
        <f t="shared" si="31"/>
        <v>12</v>
      </c>
    </row>
    <row r="77" spans="1:19" x14ac:dyDescent="0.3">
      <c r="A77" s="7"/>
      <c r="B77" s="50"/>
      <c r="C77" s="24" t="s">
        <v>140</v>
      </c>
      <c r="D77" s="49"/>
      <c r="E77" s="6">
        <v>2</v>
      </c>
      <c r="F77" s="6">
        <v>4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1</v>
      </c>
      <c r="O77" s="6">
        <v>0</v>
      </c>
      <c r="P77" s="6">
        <v>0</v>
      </c>
      <c r="Q77" s="6">
        <v>0</v>
      </c>
      <c r="R77" s="6">
        <v>0</v>
      </c>
      <c r="S77" s="5">
        <f t="shared" si="31"/>
        <v>7</v>
      </c>
    </row>
    <row r="78" spans="1:19" x14ac:dyDescent="0.3">
      <c r="A78" s="7"/>
      <c r="B78" s="50"/>
      <c r="C78" s="24" t="s">
        <v>141</v>
      </c>
      <c r="D78" s="49"/>
      <c r="E78" s="6">
        <v>1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1</v>
      </c>
      <c r="L78" s="6">
        <v>0</v>
      </c>
      <c r="M78" s="6">
        <v>1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5">
        <f t="shared" si="31"/>
        <v>3</v>
      </c>
    </row>
    <row r="79" spans="1:19" x14ac:dyDescent="0.3">
      <c r="A79" s="6" t="s">
        <v>26</v>
      </c>
      <c r="B79" s="84" t="s">
        <v>51</v>
      </c>
      <c r="C79" s="63"/>
      <c r="D79" s="64"/>
      <c r="E79" s="5">
        <f t="shared" ref="E79:S79" si="32">SUM(E69:E78)</f>
        <v>93</v>
      </c>
      <c r="F79" s="5">
        <f t="shared" si="32"/>
        <v>61</v>
      </c>
      <c r="G79" s="5">
        <f t="shared" si="32"/>
        <v>70</v>
      </c>
      <c r="H79" s="5">
        <f t="shared" si="32"/>
        <v>59</v>
      </c>
      <c r="I79" s="5">
        <f t="shared" si="32"/>
        <v>60</v>
      </c>
      <c r="J79" s="5">
        <f t="shared" si="32"/>
        <v>47</v>
      </c>
      <c r="K79" s="5">
        <f t="shared" si="32"/>
        <v>24</v>
      </c>
      <c r="L79" s="5">
        <f t="shared" si="32"/>
        <v>22</v>
      </c>
      <c r="M79" s="5">
        <f t="shared" si="32"/>
        <v>16</v>
      </c>
      <c r="N79" s="5">
        <f t="shared" si="32"/>
        <v>28</v>
      </c>
      <c r="O79" s="5">
        <f t="shared" si="32"/>
        <v>46</v>
      </c>
      <c r="P79" s="5">
        <f t="shared" si="32"/>
        <v>40</v>
      </c>
      <c r="Q79" s="5">
        <f t="shared" si="32"/>
        <v>40</v>
      </c>
      <c r="R79" s="5">
        <f t="shared" si="32"/>
        <v>38</v>
      </c>
      <c r="S79" s="5">
        <f t="shared" si="32"/>
        <v>644</v>
      </c>
    </row>
    <row r="80" spans="1:19" x14ac:dyDescent="0.3">
      <c r="A80" s="83"/>
      <c r="B80" s="82"/>
      <c r="C80" s="82"/>
      <c r="D80" s="82"/>
      <c r="E80" s="82"/>
    </row>
    <row r="81" spans="1:19" x14ac:dyDescent="0.3">
      <c r="A81" s="11" t="s">
        <v>48</v>
      </c>
      <c r="B81" s="17" t="s">
        <v>34</v>
      </c>
      <c r="C81" s="86" t="s">
        <v>54</v>
      </c>
      <c r="D81" s="64"/>
      <c r="E81" s="6">
        <v>5</v>
      </c>
      <c r="F81" s="6">
        <v>4</v>
      </c>
      <c r="G81" s="6">
        <v>5</v>
      </c>
      <c r="H81" s="6">
        <v>2</v>
      </c>
      <c r="I81" s="6">
        <v>5</v>
      </c>
      <c r="J81" s="6">
        <v>2</v>
      </c>
      <c r="K81" s="6">
        <v>2</v>
      </c>
      <c r="L81" s="6">
        <v>5</v>
      </c>
      <c r="M81" s="6">
        <v>2</v>
      </c>
      <c r="N81" s="6">
        <v>3</v>
      </c>
      <c r="O81" s="6">
        <v>5</v>
      </c>
      <c r="P81" s="6">
        <v>4</v>
      </c>
      <c r="Q81" s="6">
        <v>2</v>
      </c>
      <c r="R81" s="6">
        <v>2</v>
      </c>
      <c r="S81" s="5">
        <f t="shared" ref="S81:S90" si="33">SUM(E81:R81)</f>
        <v>48</v>
      </c>
    </row>
    <row r="82" spans="1:19" x14ac:dyDescent="0.3">
      <c r="A82" s="11" t="s">
        <v>50</v>
      </c>
      <c r="B82" s="50"/>
      <c r="C82" s="24" t="s">
        <v>142</v>
      </c>
      <c r="D82" s="49"/>
      <c r="E82" s="6">
        <v>12</v>
      </c>
      <c r="F82" s="6">
        <v>4</v>
      </c>
      <c r="G82" s="6">
        <v>14</v>
      </c>
      <c r="H82" s="6">
        <v>7</v>
      </c>
      <c r="I82" s="6">
        <v>2</v>
      </c>
      <c r="J82" s="6">
        <v>4</v>
      </c>
      <c r="K82" s="6">
        <v>2</v>
      </c>
      <c r="L82" s="6">
        <v>8</v>
      </c>
      <c r="M82" s="6">
        <v>7</v>
      </c>
      <c r="N82" s="6">
        <v>5</v>
      </c>
      <c r="O82" s="6">
        <v>0</v>
      </c>
      <c r="P82" s="6">
        <v>0</v>
      </c>
      <c r="Q82" s="6">
        <v>7</v>
      </c>
      <c r="R82" s="6">
        <v>1</v>
      </c>
      <c r="S82" s="5">
        <f t="shared" si="33"/>
        <v>73</v>
      </c>
    </row>
    <row r="83" spans="1:19" x14ac:dyDescent="0.3">
      <c r="A83" s="7"/>
      <c r="B83" s="50"/>
      <c r="C83" s="24" t="s">
        <v>143</v>
      </c>
      <c r="D83" s="49"/>
      <c r="E83" s="6">
        <v>4</v>
      </c>
      <c r="F83" s="6">
        <v>0</v>
      </c>
      <c r="G83" s="6">
        <v>4</v>
      </c>
      <c r="H83" s="6">
        <v>0</v>
      </c>
      <c r="I83" s="6">
        <v>1</v>
      </c>
      <c r="J83" s="6">
        <v>1</v>
      </c>
      <c r="K83" s="6">
        <v>0</v>
      </c>
      <c r="L83" s="6">
        <v>0</v>
      </c>
      <c r="M83" s="6">
        <v>0</v>
      </c>
      <c r="N83" s="6">
        <v>3</v>
      </c>
      <c r="O83" s="6">
        <v>1</v>
      </c>
      <c r="P83" s="6">
        <v>0</v>
      </c>
      <c r="Q83" s="6">
        <v>2</v>
      </c>
      <c r="R83" s="6">
        <v>2</v>
      </c>
      <c r="S83" s="5">
        <f t="shared" si="33"/>
        <v>18</v>
      </c>
    </row>
    <row r="84" spans="1:19" x14ac:dyDescent="0.3">
      <c r="A84" s="7"/>
      <c r="B84" s="50"/>
      <c r="C84" s="24" t="s">
        <v>144</v>
      </c>
      <c r="D84" s="49"/>
      <c r="E84" s="6">
        <v>1</v>
      </c>
      <c r="F84" s="6">
        <v>0</v>
      </c>
      <c r="G84" s="6">
        <v>2</v>
      </c>
      <c r="H84" s="6">
        <v>1</v>
      </c>
      <c r="I84" s="6">
        <v>1</v>
      </c>
      <c r="J84" s="6">
        <v>4</v>
      </c>
      <c r="K84" s="6">
        <v>0</v>
      </c>
      <c r="L84" s="6">
        <v>1</v>
      </c>
      <c r="M84" s="6">
        <v>0</v>
      </c>
      <c r="N84" s="6">
        <v>1</v>
      </c>
      <c r="O84" s="6">
        <v>0</v>
      </c>
      <c r="P84" s="6">
        <v>1</v>
      </c>
      <c r="Q84" s="6">
        <v>1</v>
      </c>
      <c r="R84" s="6">
        <v>0</v>
      </c>
      <c r="S84" s="5">
        <f t="shared" si="33"/>
        <v>13</v>
      </c>
    </row>
    <row r="85" spans="1:19" ht="13.15" customHeight="1" x14ac:dyDescent="0.3">
      <c r="A85" s="7"/>
      <c r="B85" s="50"/>
      <c r="C85" s="24" t="s">
        <v>145</v>
      </c>
      <c r="D85" s="49"/>
      <c r="E85" s="6">
        <v>1</v>
      </c>
      <c r="F85" s="6">
        <v>1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1</v>
      </c>
      <c r="M85" s="6">
        <v>0</v>
      </c>
      <c r="N85" s="6">
        <v>2</v>
      </c>
      <c r="O85" s="6">
        <v>1</v>
      </c>
      <c r="P85" s="6">
        <v>0</v>
      </c>
      <c r="Q85" s="6">
        <v>1</v>
      </c>
      <c r="R85" s="6">
        <v>0</v>
      </c>
      <c r="S85" s="5">
        <f t="shared" si="33"/>
        <v>7</v>
      </c>
    </row>
    <row r="86" spans="1:19" x14ac:dyDescent="0.3">
      <c r="A86" s="7"/>
      <c r="B86" s="50"/>
      <c r="C86" s="24" t="s">
        <v>146</v>
      </c>
      <c r="D86" s="49"/>
      <c r="E86" s="6">
        <v>0</v>
      </c>
      <c r="F86" s="6">
        <v>10</v>
      </c>
      <c r="G86" s="6">
        <v>7</v>
      </c>
      <c r="H86" s="6">
        <v>3</v>
      </c>
      <c r="I86" s="6">
        <v>2</v>
      </c>
      <c r="J86" s="6">
        <v>5</v>
      </c>
      <c r="K86" s="6">
        <v>10</v>
      </c>
      <c r="L86" s="6">
        <v>5</v>
      </c>
      <c r="M86" s="6">
        <v>12</v>
      </c>
      <c r="N86" s="6">
        <v>0</v>
      </c>
      <c r="O86" s="6">
        <v>18</v>
      </c>
      <c r="P86" s="6">
        <v>16</v>
      </c>
      <c r="Q86" s="6">
        <v>35</v>
      </c>
      <c r="R86" s="6">
        <v>32</v>
      </c>
      <c r="S86" s="5">
        <f t="shared" si="33"/>
        <v>155</v>
      </c>
    </row>
    <row r="87" spans="1:19" x14ac:dyDescent="0.3">
      <c r="A87" s="7"/>
      <c r="B87" s="50"/>
      <c r="C87" s="24" t="s">
        <v>147</v>
      </c>
      <c r="D87" s="49"/>
      <c r="E87" s="6">
        <v>0</v>
      </c>
      <c r="F87" s="6">
        <v>0</v>
      </c>
      <c r="G87" s="6">
        <v>1</v>
      </c>
      <c r="H87" s="6">
        <v>1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5">
        <f t="shared" si="33"/>
        <v>2</v>
      </c>
    </row>
    <row r="88" spans="1:19" x14ac:dyDescent="0.3">
      <c r="A88" s="7"/>
      <c r="B88" s="50"/>
      <c r="C88" s="24" t="s">
        <v>148</v>
      </c>
      <c r="D88" s="49"/>
      <c r="E88" s="6">
        <v>0</v>
      </c>
      <c r="F88" s="6">
        <v>0</v>
      </c>
      <c r="G88" s="6">
        <v>1</v>
      </c>
      <c r="H88" s="6">
        <v>1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1</v>
      </c>
      <c r="S88" s="5">
        <f t="shared" si="33"/>
        <v>3</v>
      </c>
    </row>
    <row r="89" spans="1:19" x14ac:dyDescent="0.3">
      <c r="A89" s="7"/>
      <c r="B89" s="50"/>
      <c r="C89" s="24" t="s">
        <v>149</v>
      </c>
      <c r="D89" s="49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1</v>
      </c>
      <c r="O89" s="6">
        <v>0</v>
      </c>
      <c r="P89" s="6">
        <v>0</v>
      </c>
      <c r="Q89" s="6">
        <v>0</v>
      </c>
      <c r="R89" s="6">
        <v>0</v>
      </c>
      <c r="S89" s="5">
        <f t="shared" si="33"/>
        <v>1</v>
      </c>
    </row>
    <row r="90" spans="1:19" x14ac:dyDescent="0.3">
      <c r="A90" s="7"/>
      <c r="B90" s="50"/>
      <c r="C90" s="24" t="s">
        <v>150</v>
      </c>
      <c r="D90" s="49"/>
      <c r="E90" s="6">
        <v>0</v>
      </c>
      <c r="F90" s="6">
        <v>0</v>
      </c>
      <c r="G90" s="6">
        <v>0</v>
      </c>
      <c r="H90" s="6">
        <v>0</v>
      </c>
      <c r="I90" s="6">
        <v>1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1</v>
      </c>
      <c r="S90" s="5">
        <f t="shared" si="33"/>
        <v>2</v>
      </c>
    </row>
    <row r="91" spans="1:19" x14ac:dyDescent="0.3">
      <c r="A91" s="6" t="s">
        <v>26</v>
      </c>
      <c r="B91" s="84" t="s">
        <v>51</v>
      </c>
      <c r="C91" s="63"/>
      <c r="D91" s="64"/>
      <c r="E91" s="5">
        <f t="shared" ref="E91:S91" si="34">SUM(E81:E90)</f>
        <v>23</v>
      </c>
      <c r="F91" s="5">
        <f t="shared" si="34"/>
        <v>19</v>
      </c>
      <c r="G91" s="5">
        <f t="shared" si="34"/>
        <v>34</v>
      </c>
      <c r="H91" s="5">
        <f t="shared" si="34"/>
        <v>15</v>
      </c>
      <c r="I91" s="5">
        <f t="shared" si="34"/>
        <v>12</v>
      </c>
      <c r="J91" s="5">
        <f t="shared" si="34"/>
        <v>16</v>
      </c>
      <c r="K91" s="5">
        <f t="shared" si="34"/>
        <v>14</v>
      </c>
      <c r="L91" s="5">
        <f t="shared" si="34"/>
        <v>20</v>
      </c>
      <c r="M91" s="5">
        <f t="shared" si="34"/>
        <v>21</v>
      </c>
      <c r="N91" s="5">
        <f t="shared" si="34"/>
        <v>15</v>
      </c>
      <c r="O91" s="5">
        <f t="shared" si="34"/>
        <v>25</v>
      </c>
      <c r="P91" s="5">
        <f t="shared" si="34"/>
        <v>21</v>
      </c>
      <c r="Q91" s="5">
        <f t="shared" si="34"/>
        <v>48</v>
      </c>
      <c r="R91" s="5">
        <f t="shared" si="34"/>
        <v>39</v>
      </c>
      <c r="S91" s="5">
        <f t="shared" si="34"/>
        <v>322</v>
      </c>
    </row>
    <row r="92" spans="1:19" x14ac:dyDescent="0.3">
      <c r="A92" s="83"/>
      <c r="B92" s="82"/>
      <c r="C92" s="82"/>
      <c r="D92" s="82"/>
      <c r="E92" s="82"/>
    </row>
    <row r="93" spans="1:19" x14ac:dyDescent="0.3">
      <c r="A93" s="11" t="s">
        <v>48</v>
      </c>
      <c r="B93" s="17" t="s">
        <v>55</v>
      </c>
      <c r="C93" s="86" t="s">
        <v>56</v>
      </c>
      <c r="D93" s="64"/>
      <c r="E93" s="6">
        <v>0</v>
      </c>
      <c r="F93" s="6">
        <v>3</v>
      </c>
      <c r="G93" s="6">
        <v>4</v>
      </c>
      <c r="H93" s="6">
        <v>1</v>
      </c>
      <c r="I93" s="6">
        <v>5</v>
      </c>
      <c r="J93" s="6">
        <v>1</v>
      </c>
      <c r="K93" s="6">
        <v>0</v>
      </c>
      <c r="L93" s="6">
        <v>1</v>
      </c>
      <c r="M93" s="6">
        <v>0</v>
      </c>
      <c r="N93" s="6">
        <v>2</v>
      </c>
      <c r="O93" s="6">
        <v>1</v>
      </c>
      <c r="P93" s="6">
        <v>0</v>
      </c>
      <c r="Q93" s="6">
        <v>0</v>
      </c>
      <c r="R93" s="6">
        <v>1</v>
      </c>
      <c r="S93" s="5">
        <f t="shared" ref="S93:S102" si="35">SUM(E93:R93)</f>
        <v>19</v>
      </c>
    </row>
    <row r="94" spans="1:19" x14ac:dyDescent="0.3">
      <c r="A94" s="11" t="s">
        <v>50</v>
      </c>
      <c r="B94" s="50"/>
      <c r="C94" s="24" t="s">
        <v>151</v>
      </c>
      <c r="D94" s="51"/>
      <c r="E94" s="6">
        <v>1</v>
      </c>
      <c r="F94" s="6">
        <v>5</v>
      </c>
      <c r="G94" s="6">
        <v>1</v>
      </c>
      <c r="H94" s="6">
        <v>0</v>
      </c>
      <c r="I94" s="6">
        <v>5</v>
      </c>
      <c r="J94" s="6">
        <v>0</v>
      </c>
      <c r="K94" s="6">
        <v>3</v>
      </c>
      <c r="L94" s="6">
        <v>3</v>
      </c>
      <c r="M94" s="6">
        <v>1</v>
      </c>
      <c r="N94" s="6">
        <v>0</v>
      </c>
      <c r="O94" s="6">
        <v>3</v>
      </c>
      <c r="P94" s="6">
        <v>1</v>
      </c>
      <c r="Q94" s="6">
        <v>2</v>
      </c>
      <c r="R94" s="6">
        <v>0</v>
      </c>
      <c r="S94" s="5">
        <f t="shared" si="35"/>
        <v>25</v>
      </c>
    </row>
    <row r="95" spans="1:19" x14ac:dyDescent="0.3">
      <c r="A95" s="7"/>
      <c r="B95" s="50"/>
      <c r="C95" s="24" t="s">
        <v>152</v>
      </c>
      <c r="D95" s="51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1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5">
        <f t="shared" si="35"/>
        <v>1</v>
      </c>
    </row>
    <row r="96" spans="1:19" ht="13.15" customHeight="1" x14ac:dyDescent="0.3">
      <c r="A96" s="7"/>
      <c r="B96" s="50"/>
      <c r="C96" s="24" t="s">
        <v>153</v>
      </c>
      <c r="D96" s="51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1</v>
      </c>
      <c r="S96" s="5">
        <f t="shared" si="35"/>
        <v>1</v>
      </c>
    </row>
    <row r="97" spans="1:19" x14ac:dyDescent="0.3">
      <c r="A97" s="7"/>
      <c r="B97" s="50"/>
      <c r="C97" s="24" t="s">
        <v>154</v>
      </c>
      <c r="D97" s="51"/>
      <c r="E97" s="6">
        <v>1</v>
      </c>
      <c r="F97" s="6">
        <v>0</v>
      </c>
      <c r="G97" s="6">
        <v>0</v>
      </c>
      <c r="H97" s="6">
        <v>1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2</v>
      </c>
      <c r="R97" s="6">
        <v>0</v>
      </c>
      <c r="S97" s="5">
        <f t="shared" si="35"/>
        <v>4</v>
      </c>
    </row>
    <row r="98" spans="1:19" x14ac:dyDescent="0.3">
      <c r="A98" s="7"/>
      <c r="B98" s="50"/>
      <c r="C98" s="24" t="s">
        <v>155</v>
      </c>
      <c r="D98" s="49"/>
      <c r="E98" s="6">
        <v>1</v>
      </c>
      <c r="F98" s="6">
        <v>1</v>
      </c>
      <c r="G98" s="6">
        <v>1</v>
      </c>
      <c r="H98" s="6">
        <v>0</v>
      </c>
      <c r="I98" s="6">
        <v>0</v>
      </c>
      <c r="J98" s="6">
        <v>1</v>
      </c>
      <c r="K98" s="6">
        <v>0</v>
      </c>
      <c r="L98" s="6">
        <v>0</v>
      </c>
      <c r="M98" s="6">
        <v>0</v>
      </c>
      <c r="N98" s="6">
        <v>2</v>
      </c>
      <c r="O98" s="6">
        <v>1</v>
      </c>
      <c r="P98" s="6">
        <v>1</v>
      </c>
      <c r="Q98" s="6">
        <v>0</v>
      </c>
      <c r="R98" s="6">
        <v>0</v>
      </c>
      <c r="S98" s="5">
        <f t="shared" si="35"/>
        <v>8</v>
      </c>
    </row>
    <row r="99" spans="1:19" x14ac:dyDescent="0.3">
      <c r="A99" s="7"/>
      <c r="B99" s="50"/>
      <c r="C99" s="24" t="s">
        <v>156</v>
      </c>
      <c r="D99" s="49"/>
      <c r="E99" s="6">
        <v>1</v>
      </c>
      <c r="F99" s="6">
        <v>1</v>
      </c>
      <c r="G99" s="6">
        <v>0</v>
      </c>
      <c r="H99" s="6">
        <v>0</v>
      </c>
      <c r="I99" s="6">
        <v>1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5">
        <f t="shared" si="35"/>
        <v>3</v>
      </c>
    </row>
    <row r="100" spans="1:19" x14ac:dyDescent="0.3">
      <c r="A100" s="7"/>
      <c r="B100" s="50"/>
      <c r="C100" s="24" t="s">
        <v>157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5">
        <f t="shared" si="35"/>
        <v>0</v>
      </c>
    </row>
    <row r="101" spans="1:19" x14ac:dyDescent="0.3">
      <c r="A101" s="7"/>
      <c r="B101" s="50"/>
      <c r="C101" s="24" t="s">
        <v>158</v>
      </c>
      <c r="D101" s="51"/>
      <c r="E101" s="6">
        <v>0</v>
      </c>
      <c r="F101" s="6">
        <v>0</v>
      </c>
      <c r="G101" s="6">
        <v>1</v>
      </c>
      <c r="H101" s="6">
        <v>0</v>
      </c>
      <c r="I101" s="6">
        <v>1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5">
        <f t="shared" si="35"/>
        <v>2</v>
      </c>
    </row>
    <row r="102" spans="1:19" x14ac:dyDescent="0.3">
      <c r="A102" s="7"/>
      <c r="B102" s="50"/>
      <c r="C102" s="24" t="s">
        <v>159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5">
        <f t="shared" si="35"/>
        <v>0</v>
      </c>
    </row>
    <row r="103" spans="1:19" x14ac:dyDescent="0.3">
      <c r="A103" s="6" t="s">
        <v>26</v>
      </c>
      <c r="B103" s="84" t="s">
        <v>51</v>
      </c>
      <c r="C103" s="63"/>
      <c r="D103" s="64"/>
      <c r="E103" s="5">
        <f t="shared" ref="E103:S103" si="36">SUM(E93:E102)</f>
        <v>4</v>
      </c>
      <c r="F103" s="5">
        <f t="shared" si="36"/>
        <v>10</v>
      </c>
      <c r="G103" s="5">
        <f t="shared" si="36"/>
        <v>7</v>
      </c>
      <c r="H103" s="5">
        <f t="shared" si="36"/>
        <v>2</v>
      </c>
      <c r="I103" s="5">
        <f t="shared" si="36"/>
        <v>12</v>
      </c>
      <c r="J103" s="5">
        <f t="shared" si="36"/>
        <v>2</v>
      </c>
      <c r="K103" s="5">
        <f t="shared" si="36"/>
        <v>4</v>
      </c>
      <c r="L103" s="5">
        <f t="shared" si="36"/>
        <v>4</v>
      </c>
      <c r="M103" s="5">
        <f t="shared" si="36"/>
        <v>1</v>
      </c>
      <c r="N103" s="5">
        <f t="shared" si="36"/>
        <v>4</v>
      </c>
      <c r="O103" s="5">
        <f t="shared" si="36"/>
        <v>5</v>
      </c>
      <c r="P103" s="5">
        <f t="shared" si="36"/>
        <v>2</v>
      </c>
      <c r="Q103" s="5">
        <f t="shared" si="36"/>
        <v>4</v>
      </c>
      <c r="R103" s="5">
        <f t="shared" si="36"/>
        <v>2</v>
      </c>
      <c r="S103" s="5">
        <f t="shared" si="36"/>
        <v>63</v>
      </c>
    </row>
    <row r="104" spans="1:19" x14ac:dyDescent="0.3">
      <c r="A104" s="83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</row>
    <row r="105" spans="1:19" x14ac:dyDescent="0.3">
      <c r="A105" s="11" t="s">
        <v>48</v>
      </c>
      <c r="B105" s="17" t="s">
        <v>57</v>
      </c>
      <c r="C105" s="86" t="s">
        <v>58</v>
      </c>
      <c r="D105" s="64"/>
      <c r="E105" s="6">
        <v>0</v>
      </c>
      <c r="F105" s="6">
        <v>0</v>
      </c>
      <c r="G105" s="6">
        <v>0</v>
      </c>
      <c r="H105" s="6">
        <v>1</v>
      </c>
      <c r="I105" s="6">
        <v>0</v>
      </c>
      <c r="J105" s="6">
        <v>1</v>
      </c>
      <c r="K105" s="6">
        <v>0</v>
      </c>
      <c r="L105" s="6">
        <v>0</v>
      </c>
      <c r="M105" s="6">
        <v>1</v>
      </c>
      <c r="N105" s="6">
        <v>1</v>
      </c>
      <c r="O105" s="6">
        <v>0</v>
      </c>
      <c r="P105" s="6">
        <v>0</v>
      </c>
      <c r="Q105" s="6">
        <v>0</v>
      </c>
      <c r="R105" s="6">
        <v>0</v>
      </c>
      <c r="S105" s="5">
        <f t="shared" ref="S105:S114" si="37">SUM(E105:R105)</f>
        <v>4</v>
      </c>
    </row>
    <row r="106" spans="1:19" x14ac:dyDescent="0.3">
      <c r="A106" s="11" t="s">
        <v>50</v>
      </c>
      <c r="B106" s="50"/>
      <c r="C106" s="24" t="s">
        <v>160</v>
      </c>
      <c r="D106" s="49"/>
      <c r="E106" s="6">
        <v>0</v>
      </c>
      <c r="F106" s="6">
        <v>1</v>
      </c>
      <c r="G106" s="6">
        <v>0</v>
      </c>
      <c r="H106" s="6">
        <v>0</v>
      </c>
      <c r="I106" s="6">
        <v>0</v>
      </c>
      <c r="J106" s="6">
        <v>0</v>
      </c>
      <c r="K106" s="6">
        <v>1</v>
      </c>
      <c r="L106" s="6">
        <v>0</v>
      </c>
      <c r="M106" s="6">
        <v>1</v>
      </c>
      <c r="N106" s="6">
        <v>0</v>
      </c>
      <c r="O106" s="6">
        <v>0</v>
      </c>
      <c r="P106" s="6">
        <v>0</v>
      </c>
      <c r="Q106" s="6">
        <v>0</v>
      </c>
      <c r="R106" s="6">
        <v>1</v>
      </c>
      <c r="S106" s="5">
        <f t="shared" si="37"/>
        <v>4</v>
      </c>
    </row>
    <row r="107" spans="1:19" ht="13.15" customHeight="1" x14ac:dyDescent="0.3">
      <c r="A107" s="7"/>
      <c r="B107" s="50"/>
      <c r="C107" s="24" t="s">
        <v>161</v>
      </c>
      <c r="D107" s="49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1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1</v>
      </c>
      <c r="S107" s="5">
        <f t="shared" si="37"/>
        <v>2</v>
      </c>
    </row>
    <row r="108" spans="1:19" x14ac:dyDescent="0.3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5">
        <f t="shared" si="37"/>
        <v>0</v>
      </c>
    </row>
    <row r="109" spans="1:19" x14ac:dyDescent="0.3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5">
        <f t="shared" si="37"/>
        <v>0</v>
      </c>
    </row>
    <row r="110" spans="1:19" x14ac:dyDescent="0.3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5">
        <f t="shared" si="37"/>
        <v>0</v>
      </c>
    </row>
    <row r="111" spans="1:19" x14ac:dyDescent="0.3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5">
        <f t="shared" si="37"/>
        <v>0</v>
      </c>
    </row>
    <row r="112" spans="1:19" x14ac:dyDescent="0.3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5">
        <f t="shared" si="37"/>
        <v>0</v>
      </c>
    </row>
    <row r="113" spans="1:19" x14ac:dyDescent="0.3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5">
        <f t="shared" si="37"/>
        <v>0</v>
      </c>
    </row>
    <row r="114" spans="1:19" x14ac:dyDescent="0.3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5">
        <f t="shared" si="37"/>
        <v>0</v>
      </c>
    </row>
    <row r="115" spans="1:19" ht="13.15" customHeight="1" x14ac:dyDescent="0.3">
      <c r="A115" s="6" t="s">
        <v>26</v>
      </c>
      <c r="B115" s="84" t="s">
        <v>51</v>
      </c>
      <c r="C115" s="87"/>
      <c r="D115" s="88"/>
      <c r="E115" s="5">
        <f t="shared" ref="E115:S115" si="38">SUM(E105:E114)</f>
        <v>0</v>
      </c>
      <c r="F115" s="5">
        <f t="shared" si="38"/>
        <v>1</v>
      </c>
      <c r="G115" s="5">
        <f t="shared" si="38"/>
        <v>0</v>
      </c>
      <c r="H115" s="5">
        <f t="shared" si="38"/>
        <v>1</v>
      </c>
      <c r="I115" s="5">
        <f t="shared" si="38"/>
        <v>0</v>
      </c>
      <c r="J115" s="5">
        <f t="shared" si="38"/>
        <v>1</v>
      </c>
      <c r="K115" s="5">
        <f t="shared" si="38"/>
        <v>2</v>
      </c>
      <c r="L115" s="5">
        <f t="shared" si="38"/>
        <v>0</v>
      </c>
      <c r="M115" s="5">
        <f t="shared" si="38"/>
        <v>2</v>
      </c>
      <c r="N115" s="5">
        <f t="shared" si="38"/>
        <v>1</v>
      </c>
      <c r="O115" s="5">
        <f t="shared" si="38"/>
        <v>0</v>
      </c>
      <c r="P115" s="5">
        <f t="shared" si="38"/>
        <v>0</v>
      </c>
      <c r="Q115" s="5">
        <f t="shared" si="38"/>
        <v>0</v>
      </c>
      <c r="R115" s="5">
        <f t="shared" si="38"/>
        <v>2</v>
      </c>
      <c r="S115" s="5">
        <f t="shared" si="38"/>
        <v>10</v>
      </c>
    </row>
    <row r="116" spans="1:19" x14ac:dyDescent="0.3">
      <c r="A116" s="62"/>
      <c r="B116" s="89"/>
      <c r="C116" s="89"/>
      <c r="D116" s="89"/>
      <c r="E116" s="90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5"/>
    </row>
    <row r="117" spans="1:19" x14ac:dyDescent="0.3">
      <c r="A117" s="11" t="s">
        <v>48</v>
      </c>
      <c r="B117" s="17" t="s">
        <v>59</v>
      </c>
      <c r="C117" s="86" t="s">
        <v>60</v>
      </c>
      <c r="D117" s="64"/>
      <c r="E117" s="6"/>
      <c r="F117" s="6"/>
      <c r="G117" s="6"/>
      <c r="H117" s="6"/>
      <c r="I117" s="6"/>
      <c r="J117" s="6"/>
      <c r="K117" s="6"/>
      <c r="L117" s="6">
        <v>1</v>
      </c>
      <c r="M117" s="6"/>
      <c r="N117" s="6">
        <v>1</v>
      </c>
      <c r="O117" s="6"/>
      <c r="P117" s="6"/>
      <c r="Q117" s="6"/>
      <c r="R117" s="6"/>
      <c r="S117" s="5">
        <f t="shared" ref="S117:S126" si="39">SUM(E117:R117)</f>
        <v>2</v>
      </c>
    </row>
    <row r="118" spans="1:19" x14ac:dyDescent="0.3">
      <c r="A118" s="11" t="s">
        <v>50</v>
      </c>
      <c r="B118" s="50"/>
      <c r="C118" s="24" t="s">
        <v>162</v>
      </c>
      <c r="D118" s="49"/>
      <c r="E118" s="6"/>
      <c r="F118" s="6"/>
      <c r="G118" s="6"/>
      <c r="H118" s="6"/>
      <c r="I118" s="6">
        <v>1</v>
      </c>
      <c r="J118" s="6"/>
      <c r="K118" s="6"/>
      <c r="L118" s="6"/>
      <c r="M118" s="6"/>
      <c r="N118" s="6"/>
      <c r="O118" s="6"/>
      <c r="P118" s="6"/>
      <c r="Q118" s="6"/>
      <c r="R118" s="6"/>
      <c r="S118" s="5">
        <f t="shared" si="39"/>
        <v>1</v>
      </c>
    </row>
    <row r="119" spans="1:19" x14ac:dyDescent="0.3">
      <c r="A119" s="7"/>
      <c r="B119" s="50"/>
      <c r="C119" s="24" t="s">
        <v>163</v>
      </c>
      <c r="D119" s="49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5">
        <f t="shared" si="39"/>
        <v>0</v>
      </c>
    </row>
    <row r="120" spans="1:19" x14ac:dyDescent="0.3">
      <c r="A120" s="7"/>
      <c r="B120" s="50"/>
      <c r="C120" s="24" t="s">
        <v>164</v>
      </c>
      <c r="D120" s="49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5">
        <f t="shared" si="39"/>
        <v>0</v>
      </c>
    </row>
    <row r="121" spans="1:19" x14ac:dyDescent="0.3">
      <c r="A121" s="7"/>
      <c r="B121" s="50"/>
      <c r="C121" s="24" t="s">
        <v>165</v>
      </c>
      <c r="D121" s="49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5">
        <f t="shared" si="39"/>
        <v>0</v>
      </c>
    </row>
    <row r="122" spans="1:19" x14ac:dyDescent="0.3">
      <c r="A122" s="7"/>
      <c r="B122" s="50"/>
      <c r="C122" s="24" t="s">
        <v>166</v>
      </c>
      <c r="D122" s="49"/>
      <c r="E122" s="6"/>
      <c r="F122" s="6"/>
      <c r="G122" s="6"/>
      <c r="H122" s="6"/>
      <c r="I122" s="6">
        <v>1</v>
      </c>
      <c r="J122" s="6"/>
      <c r="K122" s="6"/>
      <c r="L122" s="6"/>
      <c r="M122" s="6"/>
      <c r="N122" s="6"/>
      <c r="O122" s="6"/>
      <c r="P122" s="6"/>
      <c r="Q122" s="6"/>
      <c r="R122" s="6">
        <v>1</v>
      </c>
      <c r="S122" s="5">
        <f t="shared" si="39"/>
        <v>2</v>
      </c>
    </row>
    <row r="123" spans="1:19" x14ac:dyDescent="0.3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5">
        <f t="shared" si="39"/>
        <v>0</v>
      </c>
    </row>
    <row r="124" spans="1:19" x14ac:dyDescent="0.3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5">
        <f t="shared" si="39"/>
        <v>0</v>
      </c>
    </row>
    <row r="125" spans="1:19" x14ac:dyDescent="0.3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5">
        <f t="shared" si="39"/>
        <v>0</v>
      </c>
    </row>
    <row r="126" spans="1:19" x14ac:dyDescent="0.3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5">
        <f t="shared" si="39"/>
        <v>0</v>
      </c>
    </row>
    <row r="127" spans="1:19" x14ac:dyDescent="0.3">
      <c r="A127" s="6" t="s">
        <v>26</v>
      </c>
      <c r="B127" s="84" t="s">
        <v>51</v>
      </c>
      <c r="C127" s="87"/>
      <c r="D127" s="88"/>
      <c r="E127" s="5">
        <f t="shared" ref="E127:S127" si="40">SUM(E117:E126)</f>
        <v>0</v>
      </c>
      <c r="F127" s="5">
        <f t="shared" si="40"/>
        <v>0</v>
      </c>
      <c r="G127" s="5">
        <f t="shared" si="40"/>
        <v>0</v>
      </c>
      <c r="H127" s="5">
        <f t="shared" si="40"/>
        <v>0</v>
      </c>
      <c r="I127" s="5">
        <f t="shared" si="40"/>
        <v>2</v>
      </c>
      <c r="J127" s="5">
        <f t="shared" si="40"/>
        <v>0</v>
      </c>
      <c r="K127" s="5">
        <f t="shared" si="40"/>
        <v>0</v>
      </c>
      <c r="L127" s="5">
        <f t="shared" si="40"/>
        <v>1</v>
      </c>
      <c r="M127" s="5">
        <f t="shared" si="40"/>
        <v>0</v>
      </c>
      <c r="N127" s="5">
        <f t="shared" si="40"/>
        <v>1</v>
      </c>
      <c r="O127" s="5">
        <f t="shared" si="40"/>
        <v>0</v>
      </c>
      <c r="P127" s="5">
        <f t="shared" si="40"/>
        <v>0</v>
      </c>
      <c r="Q127" s="5">
        <f t="shared" si="40"/>
        <v>0</v>
      </c>
      <c r="R127" s="5">
        <f t="shared" si="40"/>
        <v>1</v>
      </c>
      <c r="S127" s="5">
        <f t="shared" si="40"/>
        <v>5</v>
      </c>
    </row>
    <row r="128" spans="1:19" x14ac:dyDescent="0.3">
      <c r="A128" s="62"/>
      <c r="B128" s="89"/>
      <c r="C128" s="89"/>
      <c r="D128" s="89"/>
      <c r="E128" s="90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</row>
    <row r="129" spans="1:19" x14ac:dyDescent="0.3">
      <c r="A129" s="11" t="s">
        <v>48</v>
      </c>
      <c r="B129" s="17" t="s">
        <v>61</v>
      </c>
      <c r="C129" s="86" t="s">
        <v>62</v>
      </c>
      <c r="D129" s="64"/>
      <c r="E129" s="6"/>
      <c r="F129" s="6">
        <v>1</v>
      </c>
      <c r="G129" s="6">
        <v>2</v>
      </c>
      <c r="H129" s="6"/>
      <c r="I129" s="6">
        <v>1</v>
      </c>
      <c r="J129" s="6"/>
      <c r="K129" s="6"/>
      <c r="L129" s="6"/>
      <c r="M129" s="6"/>
      <c r="N129" s="6"/>
      <c r="O129" s="6"/>
      <c r="P129" s="6"/>
      <c r="Q129" s="6"/>
      <c r="R129" s="6"/>
      <c r="S129" s="5">
        <f t="shared" ref="S129:S138" si="41">SUM(E129:R129)</f>
        <v>4</v>
      </c>
    </row>
    <row r="130" spans="1:19" ht="13.15" customHeight="1" x14ac:dyDescent="0.3">
      <c r="A130" s="11" t="s">
        <v>50</v>
      </c>
      <c r="B130" s="50"/>
      <c r="C130" s="24" t="s">
        <v>167</v>
      </c>
      <c r="D130" s="49"/>
      <c r="E130" s="6">
        <v>1</v>
      </c>
      <c r="F130" s="6"/>
      <c r="G130" s="6"/>
      <c r="H130" s="6"/>
      <c r="I130" s="6">
        <v>1</v>
      </c>
      <c r="J130" s="6"/>
      <c r="K130" s="6"/>
      <c r="L130" s="6">
        <v>5</v>
      </c>
      <c r="M130" s="6">
        <v>5</v>
      </c>
      <c r="N130" s="6">
        <v>2</v>
      </c>
      <c r="O130" s="6">
        <v>1</v>
      </c>
      <c r="P130" s="6"/>
      <c r="Q130" s="6">
        <v>1</v>
      </c>
      <c r="R130" s="6">
        <v>3</v>
      </c>
      <c r="S130" s="5">
        <f t="shared" si="41"/>
        <v>19</v>
      </c>
    </row>
    <row r="131" spans="1:19" x14ac:dyDescent="0.3">
      <c r="A131" s="7"/>
      <c r="B131" s="50"/>
      <c r="C131" s="24" t="s">
        <v>168</v>
      </c>
      <c r="D131" s="49"/>
      <c r="E131" s="6"/>
      <c r="F131" s="6"/>
      <c r="G131" s="6">
        <v>1</v>
      </c>
      <c r="H131" s="6">
        <v>1</v>
      </c>
      <c r="I131" s="6"/>
      <c r="J131" s="6"/>
      <c r="K131" s="6"/>
      <c r="L131" s="6"/>
      <c r="M131" s="6"/>
      <c r="N131" s="6"/>
      <c r="O131" s="6">
        <v>1</v>
      </c>
      <c r="P131" s="6"/>
      <c r="Q131" s="6"/>
      <c r="R131" s="6">
        <v>1</v>
      </c>
      <c r="S131" s="5">
        <f t="shared" si="41"/>
        <v>4</v>
      </c>
    </row>
    <row r="132" spans="1:19" x14ac:dyDescent="0.3">
      <c r="A132" s="7"/>
      <c r="B132" s="50"/>
      <c r="C132" s="24" t="s">
        <v>169</v>
      </c>
      <c r="D132" s="49"/>
      <c r="E132" s="6"/>
      <c r="F132" s="6"/>
      <c r="G132" s="6"/>
      <c r="H132" s="6"/>
      <c r="I132" s="6"/>
      <c r="J132" s="6"/>
      <c r="K132" s="6">
        <v>2</v>
      </c>
      <c r="L132" s="6"/>
      <c r="M132" s="6"/>
      <c r="N132" s="6"/>
      <c r="O132" s="6"/>
      <c r="P132" s="6"/>
      <c r="Q132" s="6"/>
      <c r="R132" s="6"/>
      <c r="S132" s="5">
        <f t="shared" si="41"/>
        <v>2</v>
      </c>
    </row>
    <row r="133" spans="1:19" x14ac:dyDescent="0.3">
      <c r="A133" s="7"/>
      <c r="B133" s="50"/>
      <c r="C133" s="24" t="s">
        <v>170</v>
      </c>
      <c r="D133" s="49"/>
      <c r="E133" s="6"/>
      <c r="F133" s="6"/>
      <c r="G133" s="6"/>
      <c r="H133" s="6">
        <v>1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5">
        <f t="shared" si="41"/>
        <v>1</v>
      </c>
    </row>
    <row r="134" spans="1:19" x14ac:dyDescent="0.3">
      <c r="A134" s="7"/>
      <c r="B134" s="50"/>
      <c r="C134" s="24" t="s">
        <v>171</v>
      </c>
      <c r="D134" s="49"/>
      <c r="E134" s="6"/>
      <c r="F134" s="6"/>
      <c r="G134" s="6"/>
      <c r="H134" s="6"/>
      <c r="I134" s="6">
        <v>1</v>
      </c>
      <c r="J134" s="6"/>
      <c r="K134" s="6"/>
      <c r="L134" s="6">
        <v>1</v>
      </c>
      <c r="M134" s="6">
        <v>1</v>
      </c>
      <c r="N134" s="6"/>
      <c r="O134" s="6"/>
      <c r="P134" s="6">
        <v>1</v>
      </c>
      <c r="Q134" s="6"/>
      <c r="R134" s="6"/>
      <c r="S134" s="5">
        <f t="shared" si="41"/>
        <v>4</v>
      </c>
    </row>
    <row r="135" spans="1:19" x14ac:dyDescent="0.3">
      <c r="A135" s="7"/>
      <c r="B135" s="50"/>
      <c r="C135" s="24" t="s">
        <v>172</v>
      </c>
      <c r="D135" s="49"/>
      <c r="E135" s="6"/>
      <c r="F135" s="6"/>
      <c r="G135" s="6"/>
      <c r="H135" s="6"/>
      <c r="I135" s="6"/>
      <c r="J135" s="6"/>
      <c r="K135" s="6"/>
      <c r="L135" s="6"/>
      <c r="M135" s="6"/>
      <c r="N135" s="6">
        <v>1</v>
      </c>
      <c r="O135" s="6"/>
      <c r="P135" s="6">
        <v>1</v>
      </c>
      <c r="Q135" s="6"/>
      <c r="R135" s="6"/>
      <c r="S135" s="5">
        <f t="shared" si="41"/>
        <v>2</v>
      </c>
    </row>
    <row r="136" spans="1:19" x14ac:dyDescent="0.3">
      <c r="A136" s="7"/>
      <c r="B136" s="50"/>
      <c r="C136" s="24" t="s">
        <v>173</v>
      </c>
      <c r="D136" s="49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5">
        <f t="shared" si="41"/>
        <v>0</v>
      </c>
    </row>
    <row r="137" spans="1:19" x14ac:dyDescent="0.3">
      <c r="A137" s="7"/>
      <c r="B137" s="50"/>
      <c r="C137" s="24" t="s">
        <v>174</v>
      </c>
      <c r="D137" s="49"/>
      <c r="E137" s="6"/>
      <c r="F137" s="6">
        <v>1</v>
      </c>
      <c r="G137" s="6"/>
      <c r="H137" s="6"/>
      <c r="I137" s="6"/>
      <c r="J137" s="6"/>
      <c r="K137" s="6"/>
      <c r="L137" s="6"/>
      <c r="M137" s="6"/>
      <c r="N137" s="6">
        <v>1</v>
      </c>
      <c r="O137" s="6"/>
      <c r="P137" s="6"/>
      <c r="Q137" s="6"/>
      <c r="R137" s="6"/>
      <c r="S137" s="5">
        <f t="shared" si="41"/>
        <v>2</v>
      </c>
    </row>
    <row r="138" spans="1:19" x14ac:dyDescent="0.3">
      <c r="A138" s="7"/>
      <c r="B138" s="50"/>
      <c r="C138" s="24" t="s">
        <v>175</v>
      </c>
      <c r="D138" s="49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5">
        <f t="shared" si="41"/>
        <v>0</v>
      </c>
    </row>
    <row r="139" spans="1:19" x14ac:dyDescent="0.3">
      <c r="A139" s="6" t="s">
        <v>26</v>
      </c>
      <c r="B139" s="84" t="s">
        <v>51</v>
      </c>
      <c r="C139" s="87"/>
      <c r="D139" s="88"/>
      <c r="E139" s="5">
        <f t="shared" ref="E139:S139" si="42">SUM(E129:E138)</f>
        <v>1</v>
      </c>
      <c r="F139" s="5">
        <f t="shared" si="42"/>
        <v>2</v>
      </c>
      <c r="G139" s="5">
        <f t="shared" si="42"/>
        <v>3</v>
      </c>
      <c r="H139" s="5">
        <f t="shared" si="42"/>
        <v>2</v>
      </c>
      <c r="I139" s="5">
        <f t="shared" si="42"/>
        <v>3</v>
      </c>
      <c r="J139" s="5">
        <f t="shared" si="42"/>
        <v>0</v>
      </c>
      <c r="K139" s="5">
        <f t="shared" si="42"/>
        <v>2</v>
      </c>
      <c r="L139" s="5">
        <f t="shared" si="42"/>
        <v>6</v>
      </c>
      <c r="M139" s="5">
        <f t="shared" si="42"/>
        <v>6</v>
      </c>
      <c r="N139" s="5">
        <f t="shared" si="42"/>
        <v>4</v>
      </c>
      <c r="O139" s="5">
        <f t="shared" si="42"/>
        <v>2</v>
      </c>
      <c r="P139" s="5">
        <f t="shared" si="42"/>
        <v>2</v>
      </c>
      <c r="Q139" s="5">
        <f t="shared" si="42"/>
        <v>1</v>
      </c>
      <c r="R139" s="5">
        <f t="shared" si="42"/>
        <v>4</v>
      </c>
      <c r="S139" s="5">
        <f t="shared" si="42"/>
        <v>38</v>
      </c>
    </row>
    <row r="140" spans="1:19" x14ac:dyDescent="0.3">
      <c r="A140" s="62"/>
      <c r="B140" s="89"/>
      <c r="C140" s="89"/>
      <c r="D140" s="89"/>
      <c r="E140" s="90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</row>
    <row r="141" spans="1:19" ht="13.15" customHeight="1" x14ac:dyDescent="0.3">
      <c r="A141" s="11" t="s">
        <v>48</v>
      </c>
      <c r="B141" s="17" t="s">
        <v>63</v>
      </c>
      <c r="C141" s="86" t="s">
        <v>64</v>
      </c>
      <c r="D141" s="64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5">
        <f t="shared" ref="S141:S150" si="43">SUM(E141:R141)</f>
        <v>0</v>
      </c>
    </row>
    <row r="142" spans="1:19" x14ac:dyDescent="0.3">
      <c r="A142" s="11" t="s">
        <v>50</v>
      </c>
      <c r="B142" s="50"/>
      <c r="C142" s="24" t="s">
        <v>176</v>
      </c>
      <c r="D142" s="49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5">
        <f t="shared" si="43"/>
        <v>0</v>
      </c>
    </row>
    <row r="143" spans="1:19" x14ac:dyDescent="0.3">
      <c r="A143" s="7"/>
      <c r="B143" s="50"/>
      <c r="C143" s="24" t="s">
        <v>177</v>
      </c>
      <c r="D143" s="49"/>
      <c r="E143" s="6"/>
      <c r="F143" s="6"/>
      <c r="G143" s="6"/>
      <c r="H143" s="6"/>
      <c r="I143" s="6"/>
      <c r="J143" s="6"/>
      <c r="K143" s="6"/>
      <c r="L143" s="6"/>
      <c r="M143" s="6"/>
      <c r="N143" s="6">
        <v>1</v>
      </c>
      <c r="O143" s="6"/>
      <c r="P143" s="6"/>
      <c r="Q143" s="6"/>
      <c r="R143" s="6"/>
      <c r="S143" s="5">
        <f t="shared" si="43"/>
        <v>1</v>
      </c>
    </row>
    <row r="144" spans="1:19" x14ac:dyDescent="0.3">
      <c r="A144" s="7"/>
      <c r="B144" s="50"/>
      <c r="C144" s="24" t="s">
        <v>178</v>
      </c>
      <c r="D144" s="49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5">
        <f t="shared" si="43"/>
        <v>0</v>
      </c>
    </row>
    <row r="145" spans="1:19" x14ac:dyDescent="0.3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5">
        <f t="shared" si="43"/>
        <v>0</v>
      </c>
    </row>
    <row r="146" spans="1:19" x14ac:dyDescent="0.3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5">
        <f t="shared" si="43"/>
        <v>0</v>
      </c>
    </row>
    <row r="147" spans="1:19" x14ac:dyDescent="0.3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5">
        <f t="shared" si="43"/>
        <v>0</v>
      </c>
    </row>
    <row r="148" spans="1:19" x14ac:dyDescent="0.3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5">
        <f t="shared" si="43"/>
        <v>0</v>
      </c>
    </row>
    <row r="149" spans="1:19" x14ac:dyDescent="0.3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5">
        <f t="shared" si="43"/>
        <v>0</v>
      </c>
    </row>
    <row r="150" spans="1:19" x14ac:dyDescent="0.3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5">
        <f t="shared" si="43"/>
        <v>0</v>
      </c>
    </row>
    <row r="151" spans="1:19" ht="13.15" customHeight="1" x14ac:dyDescent="0.3">
      <c r="A151" s="6" t="s">
        <v>26</v>
      </c>
      <c r="B151" s="84" t="s">
        <v>51</v>
      </c>
      <c r="C151" s="87"/>
      <c r="D151" s="88"/>
      <c r="E151" s="5">
        <f t="shared" ref="E151:S151" si="44">SUM(E141:E150)</f>
        <v>0</v>
      </c>
      <c r="F151" s="5">
        <f t="shared" si="44"/>
        <v>0</v>
      </c>
      <c r="G151" s="5">
        <f t="shared" si="44"/>
        <v>0</v>
      </c>
      <c r="H151" s="5">
        <f t="shared" si="44"/>
        <v>0</v>
      </c>
      <c r="I151" s="5">
        <f t="shared" si="44"/>
        <v>0</v>
      </c>
      <c r="J151" s="5">
        <f t="shared" si="44"/>
        <v>0</v>
      </c>
      <c r="K151" s="5">
        <f t="shared" si="44"/>
        <v>0</v>
      </c>
      <c r="L151" s="5">
        <f t="shared" si="44"/>
        <v>0</v>
      </c>
      <c r="M151" s="5">
        <f t="shared" si="44"/>
        <v>0</v>
      </c>
      <c r="N151" s="5">
        <f t="shared" si="44"/>
        <v>1</v>
      </c>
      <c r="O151" s="5">
        <f t="shared" si="44"/>
        <v>0</v>
      </c>
      <c r="P151" s="5">
        <f t="shared" si="44"/>
        <v>0</v>
      </c>
      <c r="Q151" s="5">
        <f t="shared" si="44"/>
        <v>0</v>
      </c>
      <c r="R151" s="5">
        <f t="shared" si="44"/>
        <v>0</v>
      </c>
      <c r="S151" s="5">
        <f t="shared" si="44"/>
        <v>1</v>
      </c>
    </row>
    <row r="152" spans="1:19" x14ac:dyDescent="0.3">
      <c r="A152" s="62"/>
      <c r="B152" s="89"/>
      <c r="C152" s="89"/>
      <c r="D152" s="89"/>
      <c r="E152" s="90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5"/>
    </row>
    <row r="153" spans="1:19" x14ac:dyDescent="0.3">
      <c r="A153" s="11" t="s">
        <v>48</v>
      </c>
      <c r="B153" s="44" t="s">
        <v>65</v>
      </c>
      <c r="C153" s="91" t="s">
        <v>66</v>
      </c>
      <c r="D153" s="78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>
        <v>1</v>
      </c>
      <c r="Q153" s="6"/>
      <c r="R153" s="6"/>
      <c r="S153" s="5">
        <f>SUM(E153:R153)</f>
        <v>1</v>
      </c>
    </row>
    <row r="154" spans="1:19" x14ac:dyDescent="0.3">
      <c r="A154" s="52" t="s">
        <v>50</v>
      </c>
      <c r="B154" s="50"/>
      <c r="C154" s="24" t="s">
        <v>179</v>
      </c>
      <c r="D154" s="49"/>
      <c r="E154" s="53"/>
      <c r="F154" s="6"/>
      <c r="G154" s="6"/>
      <c r="H154" s="6"/>
      <c r="I154" s="6"/>
      <c r="J154" s="6"/>
      <c r="K154" s="6">
        <v>1</v>
      </c>
      <c r="L154" s="6"/>
      <c r="M154" s="6"/>
      <c r="N154" s="6"/>
      <c r="O154" s="6">
        <v>1</v>
      </c>
      <c r="P154" s="6"/>
      <c r="Q154" s="6"/>
      <c r="R154" s="6"/>
      <c r="S154" s="5">
        <f t="shared" ref="S154:S162" si="45">SUM(E154:R154)</f>
        <v>2</v>
      </c>
    </row>
    <row r="155" spans="1:19" x14ac:dyDescent="0.3">
      <c r="A155" s="7"/>
      <c r="B155" s="50"/>
      <c r="C155" s="24" t="s">
        <v>180</v>
      </c>
      <c r="D155" s="49"/>
      <c r="E155" s="53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5">
        <f t="shared" si="45"/>
        <v>0</v>
      </c>
    </row>
    <row r="156" spans="1:19" x14ac:dyDescent="0.3">
      <c r="A156" s="7"/>
      <c r="B156" s="50"/>
      <c r="C156" s="24" t="s">
        <v>181</v>
      </c>
      <c r="D156" s="49"/>
      <c r="E156" s="53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>
        <v>1</v>
      </c>
      <c r="S156" s="5">
        <f t="shared" si="45"/>
        <v>1</v>
      </c>
    </row>
    <row r="157" spans="1:19" x14ac:dyDescent="0.3">
      <c r="A157" s="7"/>
      <c r="B157" s="50"/>
      <c r="C157" s="24" t="s">
        <v>182</v>
      </c>
      <c r="D157" s="49"/>
      <c r="E157" s="53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5">
        <f t="shared" si="45"/>
        <v>0</v>
      </c>
    </row>
    <row r="158" spans="1:19" x14ac:dyDescent="0.3">
      <c r="A158" s="7"/>
      <c r="B158" s="50"/>
      <c r="C158" s="24" t="s">
        <v>183</v>
      </c>
      <c r="D158" s="49"/>
      <c r="E158" s="53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5">
        <f t="shared" si="45"/>
        <v>0</v>
      </c>
    </row>
    <row r="159" spans="1:19" x14ac:dyDescent="0.3">
      <c r="A159" s="7"/>
      <c r="B159" s="50"/>
      <c r="C159" s="24" t="s">
        <v>184</v>
      </c>
      <c r="D159" s="49"/>
      <c r="E159" s="53"/>
      <c r="F159" s="6"/>
      <c r="G159" s="6"/>
      <c r="H159" s="6"/>
      <c r="I159" s="6"/>
      <c r="J159" s="6"/>
      <c r="K159" s="6"/>
      <c r="L159" s="6"/>
      <c r="M159" s="6">
        <v>1</v>
      </c>
      <c r="N159" s="6"/>
      <c r="O159" s="6"/>
      <c r="P159" s="6"/>
      <c r="Q159" s="6"/>
      <c r="R159" s="6"/>
      <c r="S159" s="5">
        <f t="shared" si="45"/>
        <v>1</v>
      </c>
    </row>
    <row r="160" spans="1:19" x14ac:dyDescent="0.3">
      <c r="A160" s="7"/>
      <c r="B160" s="50"/>
      <c r="C160" s="24" t="s">
        <v>185</v>
      </c>
      <c r="D160" s="49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5">
        <f t="shared" si="45"/>
        <v>0</v>
      </c>
    </row>
    <row r="161" spans="1:19" x14ac:dyDescent="0.3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5">
        <f t="shared" si="45"/>
        <v>0</v>
      </c>
    </row>
    <row r="162" spans="1:19" x14ac:dyDescent="0.3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5">
        <f t="shared" si="45"/>
        <v>0</v>
      </c>
    </row>
    <row r="163" spans="1:19" x14ac:dyDescent="0.3">
      <c r="A163" s="6" t="s">
        <v>26</v>
      </c>
      <c r="B163" s="92" t="s">
        <v>51</v>
      </c>
      <c r="C163" s="93"/>
      <c r="D163" s="94"/>
      <c r="E163" s="5">
        <f t="shared" ref="E163:S163" si="46">SUM(E153:E162)</f>
        <v>0</v>
      </c>
      <c r="F163" s="5">
        <f t="shared" si="46"/>
        <v>0</v>
      </c>
      <c r="G163" s="5">
        <f t="shared" si="46"/>
        <v>0</v>
      </c>
      <c r="H163" s="5">
        <f t="shared" si="46"/>
        <v>0</v>
      </c>
      <c r="I163" s="5">
        <f t="shared" si="46"/>
        <v>0</v>
      </c>
      <c r="J163" s="5">
        <f t="shared" si="46"/>
        <v>0</v>
      </c>
      <c r="K163" s="5">
        <f t="shared" si="46"/>
        <v>1</v>
      </c>
      <c r="L163" s="5">
        <f t="shared" si="46"/>
        <v>0</v>
      </c>
      <c r="M163" s="5">
        <f t="shared" si="46"/>
        <v>1</v>
      </c>
      <c r="N163" s="5">
        <f t="shared" si="46"/>
        <v>0</v>
      </c>
      <c r="O163" s="5">
        <f t="shared" si="46"/>
        <v>1</v>
      </c>
      <c r="P163" s="5">
        <f t="shared" si="46"/>
        <v>1</v>
      </c>
      <c r="Q163" s="5">
        <f t="shared" si="46"/>
        <v>0</v>
      </c>
      <c r="R163" s="5">
        <f t="shared" si="46"/>
        <v>1</v>
      </c>
      <c r="S163" s="5">
        <f t="shared" si="46"/>
        <v>5</v>
      </c>
    </row>
    <row r="164" spans="1:19" x14ac:dyDescent="0.3">
      <c r="A164" s="62"/>
      <c r="B164" s="89"/>
      <c r="C164" s="89"/>
      <c r="D164" s="89"/>
      <c r="E164" s="90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</row>
    <row r="165" spans="1:19" ht="13.15" customHeight="1" x14ac:dyDescent="0.3">
      <c r="A165" s="11" t="s">
        <v>48</v>
      </c>
      <c r="B165" s="17" t="s">
        <v>67</v>
      </c>
      <c r="C165" s="86" t="s">
        <v>68</v>
      </c>
      <c r="D165" s="64"/>
      <c r="E165" s="6">
        <v>0</v>
      </c>
      <c r="F165" s="6">
        <v>0</v>
      </c>
      <c r="G165" s="6">
        <v>1</v>
      </c>
      <c r="H165" s="6">
        <v>0</v>
      </c>
      <c r="I165" s="6">
        <v>0</v>
      </c>
      <c r="J165" s="6">
        <v>0</v>
      </c>
      <c r="K165" s="6">
        <v>0</v>
      </c>
      <c r="L165" s="6">
        <v>1</v>
      </c>
      <c r="M165" s="6">
        <v>0</v>
      </c>
      <c r="N165" s="6">
        <v>0</v>
      </c>
      <c r="O165" s="6">
        <v>0</v>
      </c>
      <c r="P165" s="6">
        <v>0</v>
      </c>
      <c r="Q165" s="6">
        <v>1</v>
      </c>
      <c r="R165" s="6">
        <v>2</v>
      </c>
      <c r="S165" s="5">
        <f t="shared" ref="S165:S174" si="47">SUM(E165:R165)</f>
        <v>5</v>
      </c>
    </row>
    <row r="166" spans="1:19" x14ac:dyDescent="0.3">
      <c r="A166" s="11" t="s">
        <v>50</v>
      </c>
      <c r="B166" s="50"/>
      <c r="C166" s="24" t="s">
        <v>186</v>
      </c>
      <c r="D166" s="49"/>
      <c r="E166" s="6">
        <v>0</v>
      </c>
      <c r="F166" s="6">
        <v>0</v>
      </c>
      <c r="G166" s="6">
        <v>0</v>
      </c>
      <c r="H166" s="6">
        <v>0</v>
      </c>
      <c r="I166" s="6">
        <v>1</v>
      </c>
      <c r="J166" s="6">
        <v>0</v>
      </c>
      <c r="K166" s="6">
        <v>0</v>
      </c>
      <c r="L166" s="6">
        <v>0</v>
      </c>
      <c r="M166" s="6">
        <v>0</v>
      </c>
      <c r="N166" s="6">
        <v>1</v>
      </c>
      <c r="O166" s="6">
        <v>0</v>
      </c>
      <c r="P166" s="6">
        <v>0</v>
      </c>
      <c r="Q166" s="6">
        <v>0</v>
      </c>
      <c r="R166" s="6">
        <v>0</v>
      </c>
      <c r="S166" s="5">
        <f t="shared" si="47"/>
        <v>2</v>
      </c>
    </row>
    <row r="167" spans="1:19" x14ac:dyDescent="0.3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5">
        <f t="shared" si="47"/>
        <v>0</v>
      </c>
    </row>
    <row r="168" spans="1:19" x14ac:dyDescent="0.3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5">
        <f t="shared" si="47"/>
        <v>0</v>
      </c>
    </row>
    <row r="169" spans="1:19" x14ac:dyDescent="0.3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5">
        <f t="shared" si="47"/>
        <v>0</v>
      </c>
    </row>
    <row r="170" spans="1:19" x14ac:dyDescent="0.3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5">
        <f t="shared" si="47"/>
        <v>0</v>
      </c>
    </row>
    <row r="171" spans="1:19" x14ac:dyDescent="0.3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5">
        <f t="shared" si="47"/>
        <v>0</v>
      </c>
    </row>
    <row r="172" spans="1:19" x14ac:dyDescent="0.3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5">
        <f t="shared" si="47"/>
        <v>0</v>
      </c>
    </row>
    <row r="173" spans="1:19" x14ac:dyDescent="0.3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5">
        <f t="shared" si="47"/>
        <v>0</v>
      </c>
    </row>
    <row r="174" spans="1:19" x14ac:dyDescent="0.3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5">
        <f t="shared" si="47"/>
        <v>0</v>
      </c>
    </row>
    <row r="175" spans="1:19" x14ac:dyDescent="0.3">
      <c r="A175" s="6" t="s">
        <v>26</v>
      </c>
      <c r="B175" s="84" t="s">
        <v>51</v>
      </c>
      <c r="C175" s="87"/>
      <c r="D175" s="88"/>
      <c r="E175" s="5">
        <f t="shared" ref="E175:S175" si="48">SUM(E165:E174)</f>
        <v>0</v>
      </c>
      <c r="F175" s="5">
        <f t="shared" si="48"/>
        <v>0</v>
      </c>
      <c r="G175" s="5">
        <f t="shared" si="48"/>
        <v>1</v>
      </c>
      <c r="H175" s="5">
        <f t="shared" si="48"/>
        <v>0</v>
      </c>
      <c r="I175" s="5">
        <f t="shared" si="48"/>
        <v>1</v>
      </c>
      <c r="J175" s="5">
        <f t="shared" si="48"/>
        <v>0</v>
      </c>
      <c r="K175" s="5">
        <f t="shared" si="48"/>
        <v>0</v>
      </c>
      <c r="L175" s="5">
        <f t="shared" si="48"/>
        <v>1</v>
      </c>
      <c r="M175" s="5">
        <f t="shared" si="48"/>
        <v>0</v>
      </c>
      <c r="N175" s="5">
        <f t="shared" si="48"/>
        <v>1</v>
      </c>
      <c r="O175" s="5">
        <f t="shared" si="48"/>
        <v>0</v>
      </c>
      <c r="P175" s="5">
        <f t="shared" si="48"/>
        <v>0</v>
      </c>
      <c r="Q175" s="5">
        <f t="shared" si="48"/>
        <v>1</v>
      </c>
      <c r="R175" s="5">
        <f t="shared" si="48"/>
        <v>2</v>
      </c>
      <c r="S175" s="5">
        <f t="shared" si="48"/>
        <v>7</v>
      </c>
    </row>
    <row r="176" spans="1:19" ht="13.15" customHeight="1" x14ac:dyDescent="0.3">
      <c r="A176" s="62"/>
      <c r="B176" s="89"/>
      <c r="C176" s="89"/>
      <c r="D176" s="89"/>
      <c r="E176" s="90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</row>
    <row r="177" spans="1:19" x14ac:dyDescent="0.3">
      <c r="A177" s="11" t="s">
        <v>48</v>
      </c>
      <c r="B177" s="17" t="s">
        <v>69</v>
      </c>
      <c r="C177" s="86" t="s">
        <v>70</v>
      </c>
      <c r="D177" s="64"/>
      <c r="E177" s="6">
        <v>1</v>
      </c>
      <c r="F177" s="6">
        <v>2</v>
      </c>
      <c r="G177" s="6">
        <v>0</v>
      </c>
      <c r="H177" s="6">
        <v>0</v>
      </c>
      <c r="I177" s="6">
        <v>1</v>
      </c>
      <c r="J177" s="6">
        <v>1</v>
      </c>
      <c r="K177" s="6">
        <v>0</v>
      </c>
      <c r="L177" s="6">
        <v>1</v>
      </c>
      <c r="M177" s="6">
        <v>0</v>
      </c>
      <c r="N177" s="6">
        <v>2</v>
      </c>
      <c r="O177" s="6">
        <v>2</v>
      </c>
      <c r="P177" s="6">
        <v>0</v>
      </c>
      <c r="Q177" s="6">
        <v>0</v>
      </c>
      <c r="R177" s="6">
        <v>1</v>
      </c>
      <c r="S177" s="5">
        <f t="shared" ref="S177:S186" si="49">SUM(E177:R177)</f>
        <v>11</v>
      </c>
    </row>
    <row r="178" spans="1:19" x14ac:dyDescent="0.3">
      <c r="A178" s="11" t="s">
        <v>50</v>
      </c>
      <c r="B178" s="50"/>
      <c r="C178" s="24" t="s">
        <v>187</v>
      </c>
      <c r="D178" s="49"/>
      <c r="E178" s="6">
        <v>1</v>
      </c>
      <c r="F178" s="6">
        <v>0</v>
      </c>
      <c r="G178" s="6">
        <v>0</v>
      </c>
      <c r="H178" s="6">
        <v>2</v>
      </c>
      <c r="I178" s="6">
        <v>0</v>
      </c>
      <c r="J178" s="6">
        <v>0</v>
      </c>
      <c r="K178" s="6">
        <v>0</v>
      </c>
      <c r="L178" s="6">
        <v>1</v>
      </c>
      <c r="M178" s="6">
        <v>0</v>
      </c>
      <c r="N178" s="6">
        <v>0</v>
      </c>
      <c r="O178" s="6">
        <v>0</v>
      </c>
      <c r="P178" s="6">
        <v>1</v>
      </c>
      <c r="Q178" s="6">
        <v>0</v>
      </c>
      <c r="R178" s="6">
        <v>1</v>
      </c>
      <c r="S178" s="5">
        <f t="shared" si="49"/>
        <v>6</v>
      </c>
    </row>
    <row r="179" spans="1:19" x14ac:dyDescent="0.3">
      <c r="A179" s="7"/>
      <c r="B179" s="50"/>
      <c r="C179" s="24" t="s">
        <v>188</v>
      </c>
      <c r="D179" s="49"/>
      <c r="E179" s="6">
        <v>0</v>
      </c>
      <c r="F179" s="6">
        <v>0</v>
      </c>
      <c r="G179" s="6">
        <v>0</v>
      </c>
      <c r="H179" s="6">
        <v>1</v>
      </c>
      <c r="I179" s="6">
        <v>0</v>
      </c>
      <c r="J179" s="6">
        <v>0</v>
      </c>
      <c r="K179" s="6">
        <v>0</v>
      </c>
      <c r="L179" s="6">
        <v>1</v>
      </c>
      <c r="M179" s="6">
        <v>0</v>
      </c>
      <c r="N179" s="6">
        <v>0</v>
      </c>
      <c r="O179" s="6">
        <v>0</v>
      </c>
      <c r="P179" s="6">
        <v>1</v>
      </c>
      <c r="Q179" s="6">
        <v>0</v>
      </c>
      <c r="R179" s="6">
        <v>0</v>
      </c>
      <c r="S179" s="5">
        <f t="shared" si="49"/>
        <v>3</v>
      </c>
    </row>
    <row r="180" spans="1:19" x14ac:dyDescent="0.3">
      <c r="A180" s="7"/>
      <c r="B180" s="50"/>
      <c r="C180" s="24" t="s">
        <v>189</v>
      </c>
      <c r="D180" s="49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6</v>
      </c>
      <c r="P180" s="6">
        <v>6</v>
      </c>
      <c r="Q180" s="6">
        <v>0</v>
      </c>
      <c r="R180" s="6">
        <v>1</v>
      </c>
      <c r="S180" s="5">
        <f t="shared" si="49"/>
        <v>13</v>
      </c>
    </row>
    <row r="181" spans="1:19" x14ac:dyDescent="0.3">
      <c r="A181" s="7"/>
      <c r="B181" s="50"/>
      <c r="C181" s="24" t="s">
        <v>190</v>
      </c>
      <c r="D181" s="49"/>
      <c r="E181" s="6">
        <v>0</v>
      </c>
      <c r="F181" s="6">
        <v>0</v>
      </c>
      <c r="G181" s="6">
        <v>0</v>
      </c>
      <c r="H181" s="6">
        <v>2</v>
      </c>
      <c r="I181" s="6">
        <v>0</v>
      </c>
      <c r="J181" s="6">
        <v>0</v>
      </c>
      <c r="K181" s="6">
        <v>0</v>
      </c>
      <c r="L181" s="6">
        <v>1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5">
        <f t="shared" si="49"/>
        <v>3</v>
      </c>
    </row>
    <row r="182" spans="1:19" x14ac:dyDescent="0.3">
      <c r="A182" s="7"/>
      <c r="B182" s="50"/>
      <c r="C182" s="24" t="s">
        <v>191</v>
      </c>
      <c r="D182" s="49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5">
        <f t="shared" si="49"/>
        <v>0</v>
      </c>
    </row>
    <row r="183" spans="1:19" x14ac:dyDescent="0.3">
      <c r="A183" s="7"/>
      <c r="B183" s="50"/>
      <c r="C183" s="24" t="s">
        <v>192</v>
      </c>
      <c r="D183" s="49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5">
        <f t="shared" si="49"/>
        <v>0</v>
      </c>
    </row>
    <row r="184" spans="1:19" x14ac:dyDescent="0.3">
      <c r="A184" s="7"/>
      <c r="B184" s="50"/>
      <c r="C184" s="24" t="s">
        <v>193</v>
      </c>
      <c r="D184" s="49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5">
        <f t="shared" si="49"/>
        <v>0</v>
      </c>
    </row>
    <row r="185" spans="1:19" x14ac:dyDescent="0.3">
      <c r="A185" s="7"/>
      <c r="B185" s="50"/>
      <c r="C185" s="24" t="s">
        <v>194</v>
      </c>
      <c r="D185" s="49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5">
        <f t="shared" si="49"/>
        <v>0</v>
      </c>
    </row>
    <row r="186" spans="1:19" x14ac:dyDescent="0.3">
      <c r="A186" s="7"/>
      <c r="B186" s="50"/>
      <c r="C186" s="24" t="s">
        <v>195</v>
      </c>
      <c r="D186" s="49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5">
        <f t="shared" si="49"/>
        <v>0</v>
      </c>
    </row>
    <row r="187" spans="1:19" ht="13.15" customHeight="1" x14ac:dyDescent="0.3">
      <c r="A187" s="6" t="s">
        <v>26</v>
      </c>
      <c r="B187" s="84" t="s">
        <v>51</v>
      </c>
      <c r="C187" s="87"/>
      <c r="D187" s="88"/>
      <c r="E187" s="5">
        <f t="shared" ref="E187:S187" si="50">SUM(E177:E186)</f>
        <v>2</v>
      </c>
      <c r="F187" s="5">
        <f t="shared" si="50"/>
        <v>2</v>
      </c>
      <c r="G187" s="5">
        <f t="shared" si="50"/>
        <v>0</v>
      </c>
      <c r="H187" s="5">
        <f t="shared" si="50"/>
        <v>5</v>
      </c>
      <c r="I187" s="5">
        <f t="shared" si="50"/>
        <v>1</v>
      </c>
      <c r="J187" s="5">
        <f t="shared" si="50"/>
        <v>1</v>
      </c>
      <c r="K187" s="5">
        <f t="shared" si="50"/>
        <v>0</v>
      </c>
      <c r="L187" s="5">
        <f t="shared" si="50"/>
        <v>4</v>
      </c>
      <c r="M187" s="5">
        <f t="shared" si="50"/>
        <v>0</v>
      </c>
      <c r="N187" s="5">
        <f t="shared" si="50"/>
        <v>2</v>
      </c>
      <c r="O187" s="5">
        <f t="shared" si="50"/>
        <v>8</v>
      </c>
      <c r="P187" s="5">
        <f t="shared" si="50"/>
        <v>8</v>
      </c>
      <c r="Q187" s="5">
        <f t="shared" si="50"/>
        <v>0</v>
      </c>
      <c r="R187" s="5">
        <f t="shared" si="50"/>
        <v>3</v>
      </c>
      <c r="S187" s="5">
        <f t="shared" si="50"/>
        <v>36</v>
      </c>
    </row>
    <row r="188" spans="1:19" x14ac:dyDescent="0.3">
      <c r="A188" s="62"/>
      <c r="B188" s="89"/>
      <c r="C188" s="89"/>
      <c r="D188" s="89"/>
      <c r="E188" s="90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5"/>
    </row>
    <row r="189" spans="1:19" x14ac:dyDescent="0.3">
      <c r="A189" s="11" t="s">
        <v>48</v>
      </c>
      <c r="B189" s="17" t="s">
        <v>71</v>
      </c>
      <c r="C189" s="86" t="s">
        <v>72</v>
      </c>
      <c r="D189" s="64"/>
      <c r="E189" s="6">
        <v>0</v>
      </c>
      <c r="F189" s="6">
        <v>1</v>
      </c>
      <c r="G189" s="6">
        <v>0</v>
      </c>
      <c r="H189" s="6">
        <v>0</v>
      </c>
      <c r="I189" s="6">
        <v>0</v>
      </c>
      <c r="J189" s="6">
        <v>0</v>
      </c>
      <c r="K189" s="6">
        <v>1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5">
        <f t="shared" ref="S189:S198" si="51">SUM(E189:R189)</f>
        <v>2</v>
      </c>
    </row>
    <row r="190" spans="1:19" x14ac:dyDescent="0.3">
      <c r="A190" s="11" t="s">
        <v>50</v>
      </c>
      <c r="B190" s="50"/>
      <c r="C190" s="24" t="s">
        <v>196</v>
      </c>
      <c r="D190" s="49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1</v>
      </c>
      <c r="L190" s="6">
        <v>1</v>
      </c>
      <c r="M190" s="6">
        <v>0</v>
      </c>
      <c r="N190" s="6">
        <v>0</v>
      </c>
      <c r="O190" s="6">
        <v>0</v>
      </c>
      <c r="P190" s="6">
        <v>1</v>
      </c>
      <c r="Q190" s="6">
        <v>0</v>
      </c>
      <c r="R190" s="6">
        <v>0</v>
      </c>
      <c r="S190" s="5">
        <f t="shared" si="51"/>
        <v>3</v>
      </c>
    </row>
    <row r="191" spans="1:19" x14ac:dyDescent="0.3">
      <c r="A191" s="7"/>
      <c r="B191" s="50"/>
      <c r="C191" s="24" t="s">
        <v>197</v>
      </c>
      <c r="D191" s="49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1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5">
        <f t="shared" si="51"/>
        <v>1</v>
      </c>
    </row>
    <row r="192" spans="1:19" x14ac:dyDescent="0.3">
      <c r="A192" s="7"/>
      <c r="B192" s="50"/>
      <c r="C192" s="24" t="s">
        <v>198</v>
      </c>
      <c r="D192" s="49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5">
        <f t="shared" si="51"/>
        <v>0</v>
      </c>
    </row>
    <row r="193" spans="1:19" x14ac:dyDescent="0.3">
      <c r="A193" s="7"/>
      <c r="B193" s="50"/>
      <c r="C193" s="24" t="s">
        <v>199</v>
      </c>
      <c r="D193" s="49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1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5">
        <f t="shared" si="51"/>
        <v>1</v>
      </c>
    </row>
    <row r="194" spans="1:19" x14ac:dyDescent="0.3">
      <c r="A194" s="7"/>
      <c r="B194" s="50"/>
      <c r="C194" s="24" t="s">
        <v>200</v>
      </c>
      <c r="D194" s="49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5">
        <f t="shared" si="51"/>
        <v>0</v>
      </c>
    </row>
    <row r="195" spans="1:19" x14ac:dyDescent="0.3">
      <c r="A195" s="7"/>
      <c r="B195" s="50"/>
      <c r="C195" s="24" t="s">
        <v>201</v>
      </c>
      <c r="D195" s="49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5">
        <f t="shared" si="51"/>
        <v>0</v>
      </c>
    </row>
    <row r="196" spans="1:19" ht="13.15" customHeight="1" x14ac:dyDescent="0.3">
      <c r="A196" s="7"/>
      <c r="B196" s="50"/>
      <c r="C196" s="24" t="s">
        <v>202</v>
      </c>
      <c r="D196" s="49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5">
        <f t="shared" si="51"/>
        <v>0</v>
      </c>
    </row>
    <row r="197" spans="1:19" ht="13.15" customHeight="1" x14ac:dyDescent="0.3">
      <c r="A197" s="7"/>
      <c r="B197" s="50"/>
      <c r="C197" s="24" t="s">
        <v>203</v>
      </c>
      <c r="D197" s="49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5">
        <f t="shared" si="51"/>
        <v>0</v>
      </c>
    </row>
    <row r="198" spans="1:19" ht="13.15" customHeight="1" x14ac:dyDescent="0.3">
      <c r="A198" s="7"/>
      <c r="B198" s="50"/>
      <c r="C198" s="24" t="s">
        <v>204</v>
      </c>
      <c r="D198" s="49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5">
        <f t="shared" si="51"/>
        <v>0</v>
      </c>
    </row>
    <row r="199" spans="1:19" x14ac:dyDescent="0.3">
      <c r="A199" s="6" t="s">
        <v>26</v>
      </c>
      <c r="B199" s="84" t="s">
        <v>51</v>
      </c>
      <c r="C199" s="87"/>
      <c r="D199" s="88"/>
      <c r="E199" s="5">
        <f>SUM(E189:E198)</f>
        <v>0</v>
      </c>
      <c r="F199" s="5">
        <f t="shared" ref="F199:R199" si="52">SUM(F189:F198)</f>
        <v>1</v>
      </c>
      <c r="G199" s="5">
        <f t="shared" si="52"/>
        <v>0</v>
      </c>
      <c r="H199" s="5">
        <f t="shared" si="52"/>
        <v>0</v>
      </c>
      <c r="I199" s="5">
        <f t="shared" si="52"/>
        <v>0</v>
      </c>
      <c r="J199" s="5">
        <f t="shared" si="52"/>
        <v>1</v>
      </c>
      <c r="K199" s="5">
        <f t="shared" si="52"/>
        <v>2</v>
      </c>
      <c r="L199" s="5">
        <f t="shared" si="52"/>
        <v>1</v>
      </c>
      <c r="M199" s="5">
        <f t="shared" si="52"/>
        <v>1</v>
      </c>
      <c r="N199" s="5">
        <f t="shared" si="52"/>
        <v>0</v>
      </c>
      <c r="O199" s="5">
        <f t="shared" si="52"/>
        <v>0</v>
      </c>
      <c r="P199" s="5">
        <f t="shared" si="52"/>
        <v>1</v>
      </c>
      <c r="Q199" s="5">
        <f t="shared" si="52"/>
        <v>0</v>
      </c>
      <c r="R199" s="5">
        <f t="shared" si="52"/>
        <v>0</v>
      </c>
      <c r="S199" s="5">
        <f t="shared" ref="S199" si="53">SUM(S189:S198)</f>
        <v>7</v>
      </c>
    </row>
    <row r="200" spans="1:19" x14ac:dyDescent="0.3">
      <c r="A200" s="62"/>
      <c r="B200" s="89"/>
      <c r="C200" s="89"/>
      <c r="D200" s="89"/>
      <c r="E200" s="90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</row>
    <row r="201" spans="1:19" x14ac:dyDescent="0.3">
      <c r="A201" s="11" t="s">
        <v>48</v>
      </c>
      <c r="B201" s="17" t="s">
        <v>73</v>
      </c>
      <c r="C201" s="86" t="s">
        <v>74</v>
      </c>
      <c r="D201" s="64"/>
      <c r="E201" s="6">
        <v>1</v>
      </c>
      <c r="F201" s="6">
        <v>0</v>
      </c>
      <c r="G201" s="6">
        <v>2</v>
      </c>
      <c r="H201" s="6">
        <v>3</v>
      </c>
      <c r="I201" s="6">
        <v>1</v>
      </c>
      <c r="J201" s="6">
        <v>0</v>
      </c>
      <c r="K201" s="6">
        <v>3</v>
      </c>
      <c r="L201" s="6">
        <v>6</v>
      </c>
      <c r="M201" s="6">
        <v>0</v>
      </c>
      <c r="N201" s="6">
        <v>0</v>
      </c>
      <c r="O201" s="6">
        <v>0</v>
      </c>
      <c r="P201" s="6">
        <v>0</v>
      </c>
      <c r="Q201" s="6">
        <v>6</v>
      </c>
      <c r="R201" s="6">
        <v>6</v>
      </c>
      <c r="S201" s="5">
        <f t="shared" ref="S201:S210" si="54">SUM(E201:R201)</f>
        <v>28</v>
      </c>
    </row>
    <row r="202" spans="1:19" x14ac:dyDescent="0.3">
      <c r="A202" s="11" t="s">
        <v>50</v>
      </c>
      <c r="B202" s="50"/>
      <c r="C202" s="24" t="s">
        <v>205</v>
      </c>
      <c r="D202" s="49"/>
      <c r="E202" s="6">
        <v>2</v>
      </c>
      <c r="F202" s="6">
        <v>0</v>
      </c>
      <c r="G202" s="6">
        <v>4</v>
      </c>
      <c r="H202" s="6">
        <v>8</v>
      </c>
      <c r="I202" s="6">
        <v>4</v>
      </c>
      <c r="J202" s="6">
        <v>5</v>
      </c>
      <c r="K202" s="6">
        <v>8</v>
      </c>
      <c r="L202" s="6">
        <v>6</v>
      </c>
      <c r="M202" s="6">
        <v>4</v>
      </c>
      <c r="N202" s="6">
        <v>4</v>
      </c>
      <c r="O202" s="6">
        <v>4</v>
      </c>
      <c r="P202" s="6">
        <v>2</v>
      </c>
      <c r="Q202" s="6">
        <v>4</v>
      </c>
      <c r="R202" s="6">
        <v>6</v>
      </c>
      <c r="S202" s="5">
        <f t="shared" si="54"/>
        <v>61</v>
      </c>
    </row>
    <row r="203" spans="1:19" x14ac:dyDescent="0.3">
      <c r="A203" s="7"/>
      <c r="B203" s="50"/>
      <c r="C203" s="24" t="s">
        <v>206</v>
      </c>
      <c r="D203" s="49"/>
      <c r="E203" s="6">
        <v>1</v>
      </c>
      <c r="F203" s="6">
        <v>0</v>
      </c>
      <c r="G203" s="6">
        <v>3</v>
      </c>
      <c r="H203" s="6">
        <v>4</v>
      </c>
      <c r="I203" s="6">
        <v>2</v>
      </c>
      <c r="J203" s="6">
        <v>3</v>
      </c>
      <c r="K203" s="6">
        <v>0</v>
      </c>
      <c r="L203" s="6">
        <v>2</v>
      </c>
      <c r="M203" s="6">
        <v>1</v>
      </c>
      <c r="N203" s="6">
        <v>1</v>
      </c>
      <c r="O203" s="6">
        <v>0</v>
      </c>
      <c r="P203" s="6">
        <v>0</v>
      </c>
      <c r="Q203" s="6">
        <v>1</v>
      </c>
      <c r="R203" s="6">
        <v>0</v>
      </c>
      <c r="S203" s="5">
        <f t="shared" si="54"/>
        <v>18</v>
      </c>
    </row>
    <row r="204" spans="1:19" x14ac:dyDescent="0.3">
      <c r="A204" s="7"/>
      <c r="B204" s="50"/>
      <c r="C204" s="24" t="s">
        <v>207</v>
      </c>
      <c r="D204" s="49"/>
      <c r="E204" s="6">
        <v>0</v>
      </c>
      <c r="F204" s="6">
        <v>1</v>
      </c>
      <c r="G204" s="6">
        <v>0</v>
      </c>
      <c r="H204" s="6">
        <v>1</v>
      </c>
      <c r="I204" s="6">
        <v>0</v>
      </c>
      <c r="J204" s="6">
        <v>1</v>
      </c>
      <c r="K204" s="6">
        <v>0</v>
      </c>
      <c r="L204" s="6">
        <v>1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1</v>
      </c>
      <c r="S204" s="5">
        <f t="shared" si="54"/>
        <v>5</v>
      </c>
    </row>
    <row r="205" spans="1:19" x14ac:dyDescent="0.3">
      <c r="A205" s="7"/>
      <c r="B205" s="50"/>
      <c r="C205" s="24" t="s">
        <v>208</v>
      </c>
      <c r="D205" s="49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5">
        <f t="shared" si="54"/>
        <v>0</v>
      </c>
    </row>
    <row r="206" spans="1:19" x14ac:dyDescent="0.3">
      <c r="A206" s="7"/>
      <c r="B206" s="50"/>
      <c r="C206" s="24" t="s">
        <v>209</v>
      </c>
      <c r="D206" s="49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5">
        <f t="shared" si="54"/>
        <v>0</v>
      </c>
    </row>
    <row r="207" spans="1:19" ht="13.15" customHeight="1" x14ac:dyDescent="0.3">
      <c r="A207" s="7"/>
      <c r="B207" s="50"/>
      <c r="C207" s="24" t="s">
        <v>210</v>
      </c>
      <c r="D207" s="49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1</v>
      </c>
      <c r="S207" s="5">
        <f t="shared" si="54"/>
        <v>1</v>
      </c>
    </row>
    <row r="208" spans="1:19" x14ac:dyDescent="0.3">
      <c r="A208" s="7"/>
      <c r="B208" s="50"/>
      <c r="C208" s="24" t="s">
        <v>211</v>
      </c>
      <c r="D208" s="49"/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1</v>
      </c>
      <c r="L208" s="6">
        <v>1</v>
      </c>
      <c r="M208" s="6">
        <v>0</v>
      </c>
      <c r="N208" s="6">
        <v>0</v>
      </c>
      <c r="O208" s="6">
        <v>2</v>
      </c>
      <c r="P208" s="6">
        <v>0</v>
      </c>
      <c r="Q208" s="6">
        <v>0</v>
      </c>
      <c r="R208" s="6">
        <v>0</v>
      </c>
      <c r="S208" s="5">
        <f t="shared" si="54"/>
        <v>4</v>
      </c>
    </row>
    <row r="209" spans="1:19" x14ac:dyDescent="0.3">
      <c r="A209" s="7"/>
      <c r="B209" s="50"/>
      <c r="C209" s="24" t="s">
        <v>212</v>
      </c>
      <c r="D209" s="49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5">
        <f t="shared" si="54"/>
        <v>0</v>
      </c>
    </row>
    <row r="210" spans="1:19" x14ac:dyDescent="0.3">
      <c r="A210" s="7"/>
      <c r="B210" s="50"/>
      <c r="C210" s="24" t="s">
        <v>213</v>
      </c>
      <c r="D210" s="49"/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1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5">
        <f t="shared" si="54"/>
        <v>1</v>
      </c>
    </row>
    <row r="211" spans="1:19" x14ac:dyDescent="0.3">
      <c r="A211" s="6" t="s">
        <v>26</v>
      </c>
      <c r="B211" s="84" t="s">
        <v>51</v>
      </c>
      <c r="C211" s="87"/>
      <c r="D211" s="88"/>
      <c r="E211" s="5">
        <f t="shared" ref="E211:S211" si="55">SUM(E201:E210)</f>
        <v>4</v>
      </c>
      <c r="F211" s="5">
        <f t="shared" si="55"/>
        <v>1</v>
      </c>
      <c r="G211" s="5">
        <f t="shared" si="55"/>
        <v>9</v>
      </c>
      <c r="H211" s="5">
        <f t="shared" si="55"/>
        <v>16</v>
      </c>
      <c r="I211" s="5">
        <f t="shared" si="55"/>
        <v>7</v>
      </c>
      <c r="J211" s="5">
        <f t="shared" si="55"/>
        <v>9</v>
      </c>
      <c r="K211" s="5">
        <f t="shared" si="55"/>
        <v>12</v>
      </c>
      <c r="L211" s="5">
        <f t="shared" si="55"/>
        <v>17</v>
      </c>
      <c r="M211" s="5">
        <f t="shared" si="55"/>
        <v>5</v>
      </c>
      <c r="N211" s="5">
        <f t="shared" si="55"/>
        <v>5</v>
      </c>
      <c r="O211" s="5">
        <f t="shared" si="55"/>
        <v>6</v>
      </c>
      <c r="P211" s="5">
        <f t="shared" si="55"/>
        <v>2</v>
      </c>
      <c r="Q211" s="5">
        <f t="shared" si="55"/>
        <v>11</v>
      </c>
      <c r="R211" s="5">
        <f t="shared" si="55"/>
        <v>14</v>
      </c>
      <c r="S211" s="5">
        <f t="shared" si="55"/>
        <v>118</v>
      </c>
    </row>
    <row r="212" spans="1:19" x14ac:dyDescent="0.3">
      <c r="A212" s="62"/>
      <c r="B212" s="89"/>
      <c r="C212" s="89"/>
      <c r="D212" s="89"/>
      <c r="E212" s="90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</row>
    <row r="213" spans="1:19" x14ac:dyDescent="0.3">
      <c r="A213" s="11" t="s">
        <v>48</v>
      </c>
      <c r="B213" s="17" t="s">
        <v>75</v>
      </c>
      <c r="C213" s="86" t="s">
        <v>76</v>
      </c>
      <c r="D213" s="64"/>
      <c r="E213" s="6">
        <v>1</v>
      </c>
      <c r="F213" s="6">
        <v>3</v>
      </c>
      <c r="G213" s="6">
        <v>1</v>
      </c>
      <c r="H213" s="6">
        <v>1</v>
      </c>
      <c r="I213" s="6">
        <v>0</v>
      </c>
      <c r="J213" s="6">
        <v>0</v>
      </c>
      <c r="K213" s="6">
        <v>0</v>
      </c>
      <c r="L213" s="6">
        <v>0</v>
      </c>
      <c r="M213" s="6">
        <v>2</v>
      </c>
      <c r="N213" s="6">
        <v>0</v>
      </c>
      <c r="O213" s="6">
        <v>3</v>
      </c>
      <c r="P213" s="6">
        <v>1</v>
      </c>
      <c r="Q213" s="6">
        <v>0</v>
      </c>
      <c r="R213" s="6">
        <v>2</v>
      </c>
      <c r="S213" s="5">
        <f t="shared" ref="S213:S222" si="56">SUM(E213:R213)</f>
        <v>14</v>
      </c>
    </row>
    <row r="214" spans="1:19" x14ac:dyDescent="0.3">
      <c r="A214" s="11" t="s">
        <v>50</v>
      </c>
      <c r="B214" s="50"/>
      <c r="C214" s="24" t="s">
        <v>214</v>
      </c>
      <c r="D214" s="49"/>
      <c r="E214" s="6">
        <v>1</v>
      </c>
      <c r="F214" s="6">
        <v>0</v>
      </c>
      <c r="G214" s="6">
        <v>0</v>
      </c>
      <c r="H214" s="6">
        <v>1</v>
      </c>
      <c r="I214" s="6">
        <v>1</v>
      </c>
      <c r="J214" s="6">
        <v>1</v>
      </c>
      <c r="K214" s="6">
        <v>3</v>
      </c>
      <c r="L214" s="6">
        <v>0</v>
      </c>
      <c r="M214" s="6">
        <v>1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5">
        <f t="shared" si="56"/>
        <v>8</v>
      </c>
    </row>
    <row r="215" spans="1:19" x14ac:dyDescent="0.3">
      <c r="A215" s="7"/>
      <c r="B215" s="50"/>
      <c r="C215" s="24" t="s">
        <v>215</v>
      </c>
      <c r="D215" s="49"/>
      <c r="E215" s="6">
        <v>1</v>
      </c>
      <c r="F215" s="6">
        <v>2</v>
      </c>
      <c r="G215" s="6">
        <v>0</v>
      </c>
      <c r="H215" s="6">
        <v>3</v>
      </c>
      <c r="I215" s="6">
        <v>0</v>
      </c>
      <c r="J215" s="6">
        <v>1</v>
      </c>
      <c r="K215" s="6">
        <v>0</v>
      </c>
      <c r="L215" s="6">
        <v>2</v>
      </c>
      <c r="M215" s="6">
        <v>2</v>
      </c>
      <c r="N215" s="6">
        <v>0</v>
      </c>
      <c r="O215" s="6">
        <v>2</v>
      </c>
      <c r="P215" s="6">
        <v>1</v>
      </c>
      <c r="Q215" s="6">
        <v>2</v>
      </c>
      <c r="R215" s="6">
        <v>0</v>
      </c>
      <c r="S215" s="5">
        <f t="shared" si="56"/>
        <v>16</v>
      </c>
    </row>
    <row r="216" spans="1:19" x14ac:dyDescent="0.3">
      <c r="A216" s="7"/>
      <c r="B216" s="50"/>
      <c r="C216" s="24" t="s">
        <v>216</v>
      </c>
      <c r="D216" s="49"/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1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5">
        <f t="shared" si="56"/>
        <v>1</v>
      </c>
    </row>
    <row r="217" spans="1:19" x14ac:dyDescent="0.3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5">
        <f t="shared" si="56"/>
        <v>0</v>
      </c>
    </row>
    <row r="218" spans="1:19" ht="13.15" customHeight="1" x14ac:dyDescent="0.3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5">
        <f t="shared" si="56"/>
        <v>0</v>
      </c>
    </row>
    <row r="219" spans="1:19" x14ac:dyDescent="0.3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5">
        <f t="shared" si="56"/>
        <v>0</v>
      </c>
    </row>
    <row r="220" spans="1:19" x14ac:dyDescent="0.3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5">
        <f t="shared" si="56"/>
        <v>0</v>
      </c>
    </row>
    <row r="221" spans="1:19" x14ac:dyDescent="0.3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5">
        <f t="shared" si="56"/>
        <v>0</v>
      </c>
    </row>
    <row r="222" spans="1:19" x14ac:dyDescent="0.3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5">
        <f t="shared" si="56"/>
        <v>0</v>
      </c>
    </row>
    <row r="223" spans="1:19" x14ac:dyDescent="0.3">
      <c r="A223" s="6" t="s">
        <v>26</v>
      </c>
      <c r="B223" s="84" t="s">
        <v>51</v>
      </c>
      <c r="C223" s="87"/>
      <c r="D223" s="88"/>
      <c r="E223" s="5">
        <f t="shared" ref="E223:S223" si="57">SUM(E213:E222)</f>
        <v>3</v>
      </c>
      <c r="F223" s="5">
        <f t="shared" si="57"/>
        <v>5</v>
      </c>
      <c r="G223" s="5">
        <f t="shared" si="57"/>
        <v>1</v>
      </c>
      <c r="H223" s="5">
        <f t="shared" si="57"/>
        <v>5</v>
      </c>
      <c r="I223" s="5">
        <f t="shared" si="57"/>
        <v>1</v>
      </c>
      <c r="J223" s="5">
        <f t="shared" si="57"/>
        <v>2</v>
      </c>
      <c r="K223" s="5">
        <f t="shared" si="57"/>
        <v>3</v>
      </c>
      <c r="L223" s="5">
        <f t="shared" si="57"/>
        <v>2</v>
      </c>
      <c r="M223" s="5">
        <f t="shared" si="57"/>
        <v>6</v>
      </c>
      <c r="N223" s="5">
        <f t="shared" si="57"/>
        <v>0</v>
      </c>
      <c r="O223" s="5">
        <f t="shared" si="57"/>
        <v>5</v>
      </c>
      <c r="P223" s="5">
        <f t="shared" si="57"/>
        <v>2</v>
      </c>
      <c r="Q223" s="5">
        <f t="shared" si="57"/>
        <v>2</v>
      </c>
      <c r="R223" s="5">
        <f t="shared" si="57"/>
        <v>2</v>
      </c>
      <c r="S223" s="5">
        <f t="shared" si="57"/>
        <v>39</v>
      </c>
    </row>
    <row r="224" spans="1:19" x14ac:dyDescent="0.3">
      <c r="A224" s="62"/>
      <c r="B224" s="89"/>
      <c r="C224" s="89"/>
      <c r="D224" s="89"/>
      <c r="E224" s="90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</row>
    <row r="225" spans="1:19" x14ac:dyDescent="0.3">
      <c r="A225" s="11" t="s">
        <v>48</v>
      </c>
      <c r="B225" s="17" t="s">
        <v>77</v>
      </c>
      <c r="C225" s="86" t="s">
        <v>78</v>
      </c>
      <c r="D225" s="64"/>
      <c r="E225" s="6">
        <v>0</v>
      </c>
      <c r="F225" s="6">
        <v>0</v>
      </c>
      <c r="G225" s="6">
        <v>0</v>
      </c>
      <c r="H225" s="6">
        <v>0</v>
      </c>
      <c r="I225" s="6">
        <v>1</v>
      </c>
      <c r="J225" s="6">
        <v>0</v>
      </c>
      <c r="K225" s="6">
        <v>0</v>
      </c>
      <c r="L225" s="6">
        <v>1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5">
        <f t="shared" ref="S225:S234" si="58">SUM(E225:R225)</f>
        <v>2</v>
      </c>
    </row>
    <row r="226" spans="1:19" x14ac:dyDescent="0.3">
      <c r="A226" s="11" t="s">
        <v>50</v>
      </c>
      <c r="B226" s="50"/>
      <c r="C226" s="24" t="s">
        <v>217</v>
      </c>
      <c r="D226" s="49"/>
      <c r="E226" s="6">
        <v>0</v>
      </c>
      <c r="F226" s="6">
        <v>0</v>
      </c>
      <c r="G226" s="6">
        <v>0</v>
      </c>
      <c r="H226" s="6">
        <v>3</v>
      </c>
      <c r="I226" s="6">
        <v>0</v>
      </c>
      <c r="J226" s="6">
        <v>0</v>
      </c>
      <c r="K226" s="6">
        <v>0</v>
      </c>
      <c r="L226" s="6">
        <v>2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5">
        <f t="shared" si="58"/>
        <v>5</v>
      </c>
    </row>
    <row r="227" spans="1:19" x14ac:dyDescent="0.3">
      <c r="A227" s="7"/>
      <c r="B227" s="50"/>
      <c r="C227" s="24" t="s">
        <v>218</v>
      </c>
      <c r="D227" s="49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5">
        <f t="shared" si="58"/>
        <v>0</v>
      </c>
    </row>
    <row r="228" spans="1:19" x14ac:dyDescent="0.3">
      <c r="A228" s="7"/>
      <c r="B228" s="50"/>
      <c r="C228" s="24" t="s">
        <v>219</v>
      </c>
      <c r="D228" s="49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5">
        <f t="shared" si="58"/>
        <v>0</v>
      </c>
    </row>
    <row r="229" spans="1:19" ht="13.15" customHeight="1" x14ac:dyDescent="0.3">
      <c r="A229" s="7"/>
      <c r="B229" s="50"/>
      <c r="C229" s="24" t="s">
        <v>220</v>
      </c>
      <c r="D229" s="49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5">
        <f t="shared" si="58"/>
        <v>0</v>
      </c>
    </row>
    <row r="230" spans="1:19" x14ac:dyDescent="0.3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5">
        <f t="shared" si="58"/>
        <v>0</v>
      </c>
    </row>
    <row r="231" spans="1:19" x14ac:dyDescent="0.3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5">
        <f t="shared" si="58"/>
        <v>0</v>
      </c>
    </row>
    <row r="232" spans="1:19" x14ac:dyDescent="0.3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5">
        <f t="shared" si="58"/>
        <v>0</v>
      </c>
    </row>
    <row r="233" spans="1:19" x14ac:dyDescent="0.3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5">
        <f t="shared" si="58"/>
        <v>0</v>
      </c>
    </row>
    <row r="234" spans="1:19" x14ac:dyDescent="0.3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5">
        <f t="shared" si="58"/>
        <v>0</v>
      </c>
    </row>
    <row r="235" spans="1:19" x14ac:dyDescent="0.3">
      <c r="A235" s="6" t="s">
        <v>26</v>
      </c>
      <c r="B235" s="84" t="s">
        <v>51</v>
      </c>
      <c r="C235" s="87"/>
      <c r="D235" s="88"/>
      <c r="E235" s="5">
        <f t="shared" ref="E235:S235" si="59">SUM(E225:E234)</f>
        <v>0</v>
      </c>
      <c r="F235" s="5">
        <f t="shared" si="59"/>
        <v>0</v>
      </c>
      <c r="G235" s="5">
        <f t="shared" si="59"/>
        <v>0</v>
      </c>
      <c r="H235" s="5">
        <f t="shared" si="59"/>
        <v>3</v>
      </c>
      <c r="I235" s="5">
        <f t="shared" si="59"/>
        <v>1</v>
      </c>
      <c r="J235" s="5">
        <f t="shared" si="59"/>
        <v>0</v>
      </c>
      <c r="K235" s="5">
        <f t="shared" si="59"/>
        <v>0</v>
      </c>
      <c r="L235" s="5">
        <f t="shared" si="59"/>
        <v>3</v>
      </c>
      <c r="M235" s="5">
        <f t="shared" si="59"/>
        <v>0</v>
      </c>
      <c r="N235" s="5">
        <f t="shared" si="59"/>
        <v>0</v>
      </c>
      <c r="O235" s="5">
        <f t="shared" si="59"/>
        <v>0</v>
      </c>
      <c r="P235" s="5">
        <f t="shared" si="59"/>
        <v>0</v>
      </c>
      <c r="Q235" s="5">
        <f t="shared" si="59"/>
        <v>0</v>
      </c>
      <c r="R235" s="5">
        <f t="shared" si="59"/>
        <v>0</v>
      </c>
      <c r="S235" s="5">
        <f t="shared" si="59"/>
        <v>7</v>
      </c>
    </row>
    <row r="236" spans="1:19" x14ac:dyDescent="0.3">
      <c r="A236" s="62"/>
      <c r="B236" s="89"/>
      <c r="C236" s="89"/>
      <c r="D236" s="89"/>
      <c r="E236" s="90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</row>
    <row r="237" spans="1:19" x14ac:dyDescent="0.3">
      <c r="A237" s="11" t="s">
        <v>48</v>
      </c>
      <c r="B237" s="17" t="s">
        <v>79</v>
      </c>
      <c r="C237" s="86" t="s">
        <v>80</v>
      </c>
      <c r="D237" s="64"/>
      <c r="E237" s="6">
        <v>1</v>
      </c>
      <c r="F237" s="6">
        <v>0</v>
      </c>
      <c r="G237" s="6">
        <v>0</v>
      </c>
      <c r="H237" s="6">
        <v>3</v>
      </c>
      <c r="I237" s="6">
        <v>3</v>
      </c>
      <c r="J237" s="6">
        <v>1</v>
      </c>
      <c r="K237" s="6">
        <v>0</v>
      </c>
      <c r="L237" s="6">
        <v>0</v>
      </c>
      <c r="M237" s="6">
        <v>2</v>
      </c>
      <c r="N237" s="6">
        <v>0</v>
      </c>
      <c r="O237" s="6">
        <v>2</v>
      </c>
      <c r="P237" s="6">
        <v>0</v>
      </c>
      <c r="Q237" s="6">
        <v>0</v>
      </c>
      <c r="R237" s="6">
        <v>0</v>
      </c>
      <c r="S237" s="5">
        <f t="shared" ref="S237:S246" si="60">SUM(E237:R237)</f>
        <v>12</v>
      </c>
    </row>
    <row r="238" spans="1:19" x14ac:dyDescent="0.3">
      <c r="A238" s="11" t="s">
        <v>50</v>
      </c>
      <c r="B238" s="50"/>
      <c r="C238" s="24" t="s">
        <v>221</v>
      </c>
      <c r="D238" s="49"/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4</v>
      </c>
      <c r="K238" s="6">
        <v>0</v>
      </c>
      <c r="L238" s="6">
        <v>1</v>
      </c>
      <c r="M238" s="6">
        <v>2</v>
      </c>
      <c r="N238" s="6">
        <v>0</v>
      </c>
      <c r="O238" s="6">
        <v>1</v>
      </c>
      <c r="P238" s="6">
        <v>1</v>
      </c>
      <c r="Q238" s="6">
        <v>0</v>
      </c>
      <c r="R238" s="6">
        <v>0</v>
      </c>
      <c r="S238" s="5">
        <f t="shared" si="60"/>
        <v>9</v>
      </c>
    </row>
    <row r="239" spans="1:19" x14ac:dyDescent="0.3">
      <c r="A239" s="7"/>
      <c r="B239" s="50"/>
      <c r="C239" s="24" t="s">
        <v>222</v>
      </c>
      <c r="D239" s="49"/>
      <c r="E239" s="6">
        <v>0</v>
      </c>
      <c r="F239" s="6">
        <v>0</v>
      </c>
      <c r="G239" s="6">
        <v>0</v>
      </c>
      <c r="H239" s="6">
        <v>1</v>
      </c>
      <c r="I239" s="6">
        <v>1</v>
      </c>
      <c r="J239" s="6">
        <v>3</v>
      </c>
      <c r="K239" s="6">
        <v>0</v>
      </c>
      <c r="L239" s="6">
        <v>0</v>
      </c>
      <c r="M239" s="6">
        <v>1</v>
      </c>
      <c r="N239" s="6">
        <v>1</v>
      </c>
      <c r="O239" s="6">
        <v>0</v>
      </c>
      <c r="P239" s="6">
        <v>0</v>
      </c>
      <c r="Q239" s="6">
        <v>0</v>
      </c>
      <c r="R239" s="6">
        <v>0</v>
      </c>
      <c r="S239" s="5">
        <f t="shared" si="60"/>
        <v>7</v>
      </c>
    </row>
    <row r="240" spans="1:19" ht="13.15" customHeight="1" x14ac:dyDescent="0.3">
      <c r="A240" s="7"/>
      <c r="B240" s="50"/>
      <c r="C240" s="24" t="s">
        <v>223</v>
      </c>
      <c r="D240" s="49"/>
      <c r="E240" s="6">
        <v>0</v>
      </c>
      <c r="F240" s="6">
        <v>0</v>
      </c>
      <c r="G240" s="6">
        <v>0</v>
      </c>
      <c r="H240" s="6">
        <v>1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5">
        <f t="shared" si="60"/>
        <v>1</v>
      </c>
    </row>
    <row r="241" spans="1:19" x14ac:dyDescent="0.3">
      <c r="A241" s="7"/>
      <c r="B241" s="50"/>
      <c r="C241" s="24" t="s">
        <v>224</v>
      </c>
      <c r="D241" s="49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1</v>
      </c>
      <c r="Q241" s="6">
        <v>0</v>
      </c>
      <c r="R241" s="6">
        <v>0</v>
      </c>
      <c r="S241" s="5">
        <f t="shared" si="60"/>
        <v>1</v>
      </c>
    </row>
    <row r="242" spans="1:19" ht="12.75" customHeight="1" x14ac:dyDescent="0.3">
      <c r="A242" s="7"/>
      <c r="B242" s="50"/>
      <c r="C242" s="24" t="s">
        <v>225</v>
      </c>
      <c r="D242" s="49"/>
      <c r="E242" s="6">
        <v>0</v>
      </c>
      <c r="F242" s="6">
        <v>0</v>
      </c>
      <c r="G242" s="6">
        <v>0</v>
      </c>
      <c r="H242" s="6">
        <v>0</v>
      </c>
      <c r="I242" s="6">
        <v>1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1</v>
      </c>
      <c r="Q242" s="6">
        <v>0</v>
      </c>
      <c r="R242" s="6">
        <v>0</v>
      </c>
      <c r="S242" s="5">
        <f t="shared" si="60"/>
        <v>2</v>
      </c>
    </row>
    <row r="243" spans="1:19" x14ac:dyDescent="0.3">
      <c r="A243" s="7"/>
      <c r="B243" s="50"/>
      <c r="C243" s="24" t="s">
        <v>226</v>
      </c>
      <c r="D243" s="49"/>
      <c r="E243" s="6">
        <v>0</v>
      </c>
      <c r="F243" s="6">
        <v>0</v>
      </c>
      <c r="G243" s="6">
        <v>1</v>
      </c>
      <c r="H243" s="6">
        <v>0</v>
      </c>
      <c r="I243" s="6">
        <v>0</v>
      </c>
      <c r="J243" s="6">
        <v>0</v>
      </c>
      <c r="K243" s="6">
        <v>0</v>
      </c>
      <c r="L243" s="6">
        <v>1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5">
        <f t="shared" si="60"/>
        <v>2</v>
      </c>
    </row>
    <row r="244" spans="1:19" x14ac:dyDescent="0.3">
      <c r="A244" s="7"/>
      <c r="B244" s="50"/>
      <c r="C244" s="24" t="s">
        <v>227</v>
      </c>
      <c r="D244" s="49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5">
        <f t="shared" si="60"/>
        <v>0</v>
      </c>
    </row>
    <row r="245" spans="1:19" x14ac:dyDescent="0.3">
      <c r="A245" s="7"/>
      <c r="B245" s="50"/>
      <c r="C245" s="24" t="s">
        <v>228</v>
      </c>
      <c r="D245" s="49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1</v>
      </c>
      <c r="P245" s="6">
        <v>0</v>
      </c>
      <c r="Q245" s="6">
        <v>0</v>
      </c>
      <c r="R245" s="6">
        <v>0</v>
      </c>
      <c r="S245" s="5">
        <f t="shared" si="60"/>
        <v>1</v>
      </c>
    </row>
    <row r="246" spans="1:19" x14ac:dyDescent="0.3">
      <c r="A246" s="7"/>
      <c r="B246" s="50"/>
      <c r="C246" s="24" t="s">
        <v>229</v>
      </c>
      <c r="D246" s="49"/>
      <c r="E246" s="6">
        <v>0</v>
      </c>
      <c r="F246" s="6">
        <v>0</v>
      </c>
      <c r="G246" s="6">
        <v>0</v>
      </c>
      <c r="H246" s="6">
        <v>0</v>
      </c>
      <c r="I246" s="6">
        <v>1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5">
        <f t="shared" si="60"/>
        <v>1</v>
      </c>
    </row>
    <row r="247" spans="1:19" ht="12.75" customHeight="1" x14ac:dyDescent="0.3">
      <c r="A247" s="6" t="s">
        <v>26</v>
      </c>
      <c r="B247" s="84" t="s">
        <v>51</v>
      </c>
      <c r="C247" s="87"/>
      <c r="D247" s="88"/>
      <c r="E247" s="5">
        <f t="shared" ref="E247:S247" si="61">SUM(E237:E246)</f>
        <v>1</v>
      </c>
      <c r="F247" s="5">
        <f t="shared" si="61"/>
        <v>0</v>
      </c>
      <c r="G247" s="5">
        <f t="shared" si="61"/>
        <v>1</v>
      </c>
      <c r="H247" s="5">
        <f t="shared" si="61"/>
        <v>5</v>
      </c>
      <c r="I247" s="5">
        <f t="shared" si="61"/>
        <v>6</v>
      </c>
      <c r="J247" s="5">
        <f t="shared" si="61"/>
        <v>8</v>
      </c>
      <c r="K247" s="5">
        <f t="shared" si="61"/>
        <v>0</v>
      </c>
      <c r="L247" s="5">
        <f t="shared" si="61"/>
        <v>2</v>
      </c>
      <c r="M247" s="5">
        <f t="shared" si="61"/>
        <v>5</v>
      </c>
      <c r="N247" s="5">
        <f t="shared" si="61"/>
        <v>1</v>
      </c>
      <c r="O247" s="5">
        <f t="shared" si="61"/>
        <v>4</v>
      </c>
      <c r="P247" s="5">
        <f t="shared" si="61"/>
        <v>3</v>
      </c>
      <c r="Q247" s="5">
        <f t="shared" si="61"/>
        <v>0</v>
      </c>
      <c r="R247" s="5">
        <f t="shared" si="61"/>
        <v>0</v>
      </c>
      <c r="S247" s="5">
        <f t="shared" si="61"/>
        <v>36</v>
      </c>
    </row>
    <row r="248" spans="1:19" x14ac:dyDescent="0.3">
      <c r="A248" s="62"/>
      <c r="B248" s="89"/>
      <c r="C248" s="89"/>
      <c r="D248" s="89"/>
      <c r="E248" s="90"/>
    </row>
    <row r="249" spans="1:19" x14ac:dyDescent="0.3">
      <c r="A249" s="11" t="s">
        <v>48</v>
      </c>
      <c r="B249" s="17" t="s">
        <v>81</v>
      </c>
      <c r="C249" s="86" t="s">
        <v>82</v>
      </c>
      <c r="D249" s="64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1</v>
      </c>
      <c r="L249" s="6">
        <v>0</v>
      </c>
      <c r="M249" s="6">
        <v>1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5">
        <f t="shared" ref="S249:S258" si="62">SUM(E249:R249)</f>
        <v>2</v>
      </c>
    </row>
    <row r="250" spans="1:19" x14ac:dyDescent="0.3">
      <c r="A250" s="11" t="s">
        <v>50</v>
      </c>
      <c r="B250" s="50"/>
      <c r="C250" s="24" t="s">
        <v>230</v>
      </c>
      <c r="D250" s="49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1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5">
        <f t="shared" si="62"/>
        <v>1</v>
      </c>
    </row>
    <row r="251" spans="1:19" x14ac:dyDescent="0.3">
      <c r="A251" s="7"/>
      <c r="B251" s="50"/>
      <c r="C251" s="24" t="s">
        <v>231</v>
      </c>
      <c r="D251" s="49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5">
        <f t="shared" si="62"/>
        <v>0</v>
      </c>
    </row>
    <row r="252" spans="1:19" x14ac:dyDescent="0.3">
      <c r="A252" s="7"/>
      <c r="B252" s="50"/>
      <c r="C252" s="24" t="s">
        <v>232</v>
      </c>
      <c r="D252" s="49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5">
        <f t="shared" si="62"/>
        <v>0</v>
      </c>
    </row>
    <row r="253" spans="1:19" x14ac:dyDescent="0.3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5">
        <f t="shared" si="62"/>
        <v>0</v>
      </c>
    </row>
    <row r="254" spans="1:19" x14ac:dyDescent="0.3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5">
        <f t="shared" si="62"/>
        <v>0</v>
      </c>
    </row>
    <row r="255" spans="1:19" x14ac:dyDescent="0.3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5">
        <f t="shared" si="62"/>
        <v>0</v>
      </c>
    </row>
    <row r="256" spans="1:19" x14ac:dyDescent="0.3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5">
        <f t="shared" si="62"/>
        <v>0</v>
      </c>
    </row>
    <row r="257" spans="1:19" x14ac:dyDescent="0.3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5">
        <f t="shared" si="62"/>
        <v>0</v>
      </c>
    </row>
    <row r="258" spans="1:19" x14ac:dyDescent="0.3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5">
        <f t="shared" si="62"/>
        <v>0</v>
      </c>
    </row>
    <row r="259" spans="1:19" x14ac:dyDescent="0.3">
      <c r="A259" s="6" t="s">
        <v>26</v>
      </c>
      <c r="B259" s="84" t="s">
        <v>51</v>
      </c>
      <c r="C259" s="87"/>
      <c r="D259" s="88"/>
      <c r="E259" s="5">
        <f t="shared" ref="E259:S259" si="63">SUM(E249:E258)</f>
        <v>0</v>
      </c>
      <c r="F259" s="5">
        <f t="shared" si="63"/>
        <v>0</v>
      </c>
      <c r="G259" s="5">
        <f t="shared" si="63"/>
        <v>0</v>
      </c>
      <c r="H259" s="5">
        <f t="shared" si="63"/>
        <v>0</v>
      </c>
      <c r="I259" s="5">
        <f t="shared" si="63"/>
        <v>0</v>
      </c>
      <c r="J259" s="5">
        <f t="shared" si="63"/>
        <v>1</v>
      </c>
      <c r="K259" s="5">
        <f t="shared" si="63"/>
        <v>1</v>
      </c>
      <c r="L259" s="5">
        <f t="shared" si="63"/>
        <v>0</v>
      </c>
      <c r="M259" s="5">
        <f t="shared" si="63"/>
        <v>1</v>
      </c>
      <c r="N259" s="5">
        <f t="shared" si="63"/>
        <v>0</v>
      </c>
      <c r="O259" s="5">
        <f t="shared" si="63"/>
        <v>0</v>
      </c>
      <c r="P259" s="5">
        <f t="shared" si="63"/>
        <v>0</v>
      </c>
      <c r="Q259" s="5">
        <f t="shared" si="63"/>
        <v>0</v>
      </c>
      <c r="R259" s="5">
        <f t="shared" si="63"/>
        <v>0</v>
      </c>
      <c r="S259" s="5">
        <f t="shared" si="63"/>
        <v>3</v>
      </c>
    </row>
    <row r="261" spans="1:19" x14ac:dyDescent="0.3">
      <c r="A261" s="16" t="s">
        <v>83</v>
      </c>
      <c r="B261" s="65" t="s">
        <v>84</v>
      </c>
      <c r="C261" s="97"/>
      <c r="D261" s="98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 spans="1:19" x14ac:dyDescent="0.3">
      <c r="A262" s="16"/>
      <c r="B262" s="19" t="s">
        <v>85</v>
      </c>
      <c r="C262" s="95" t="s">
        <v>86</v>
      </c>
      <c r="D262" s="96"/>
      <c r="E262" s="6">
        <f>E55+E67+E79+E91+E103+E115+E127+E139+E151+E163+E175+E187+E199+E211+E223+E235+E247+E259</f>
        <v>184</v>
      </c>
      <c r="F262" s="6">
        <f t="shared" ref="F262:K262" si="64">F55+F67+F79+F91+F103+F115+F127+F139+F151+F163+F175+F187+F199+F211+F223+F235+F247+F259</f>
        <v>207</v>
      </c>
      <c r="G262" s="6">
        <f t="shared" si="64"/>
        <v>188</v>
      </c>
      <c r="H262" s="6">
        <f t="shared" si="64"/>
        <v>199</v>
      </c>
      <c r="I262" s="6">
        <f t="shared" si="64"/>
        <v>185</v>
      </c>
      <c r="J262" s="6">
        <f t="shared" si="64"/>
        <v>207</v>
      </c>
      <c r="K262" s="6">
        <f t="shared" si="64"/>
        <v>187</v>
      </c>
      <c r="L262" s="6">
        <f t="shared" ref="L262:R262" si="65">L55+L67+L79+L91+L103+L115+L127+L139+L151+L163+L175+L187+L199+L211+L223+L235+L247+L259</f>
        <v>176</v>
      </c>
      <c r="M262" s="6">
        <f t="shared" si="65"/>
        <v>162</v>
      </c>
      <c r="N262" s="6">
        <f t="shared" si="65"/>
        <v>151</v>
      </c>
      <c r="O262" s="6">
        <f t="shared" si="65"/>
        <v>181</v>
      </c>
      <c r="P262" s="6">
        <f t="shared" ref="P262:Q262" si="66">P55+P67+P79+P91+P103+P115+P127+P139+P151+P163+P175+P187+P199+P211+P223+P235+P247+P259</f>
        <v>138</v>
      </c>
      <c r="Q262" s="6">
        <f t="shared" si="66"/>
        <v>175</v>
      </c>
      <c r="R262" s="6">
        <f t="shared" si="65"/>
        <v>157</v>
      </c>
      <c r="S262" s="5">
        <f>SUM(E262:R262)</f>
        <v>2497</v>
      </c>
    </row>
    <row r="263" spans="1:19" x14ac:dyDescent="0.3">
      <c r="A263" s="13"/>
      <c r="B263" s="19" t="s">
        <v>87</v>
      </c>
      <c r="C263" s="95" t="s">
        <v>88</v>
      </c>
      <c r="D263" s="96"/>
      <c r="E263" s="6">
        <v>35</v>
      </c>
      <c r="F263" s="6">
        <v>11</v>
      </c>
      <c r="G263" s="6">
        <v>29</v>
      </c>
      <c r="H263" s="6">
        <v>30</v>
      </c>
      <c r="I263" s="6">
        <v>34</v>
      </c>
      <c r="J263" s="6">
        <v>17</v>
      </c>
      <c r="K263" s="6">
        <v>46</v>
      </c>
      <c r="L263" s="6">
        <v>33</v>
      </c>
      <c r="M263" s="6">
        <v>25</v>
      </c>
      <c r="N263" s="6">
        <v>32</v>
      </c>
      <c r="O263" s="6">
        <v>25</v>
      </c>
      <c r="P263" s="6">
        <v>22</v>
      </c>
      <c r="Q263" s="6">
        <v>29</v>
      </c>
      <c r="R263" s="6">
        <v>37</v>
      </c>
      <c r="S263" s="5">
        <f>SUM(E263:R263)</f>
        <v>405</v>
      </c>
    </row>
    <row r="264" spans="1:19" x14ac:dyDescent="0.3">
      <c r="A264" s="14"/>
      <c r="B264" s="19" t="s">
        <v>89</v>
      </c>
      <c r="C264" s="95" t="s">
        <v>90</v>
      </c>
      <c r="D264" s="96"/>
      <c r="E264" s="5">
        <f>SUM(E262:E263)</f>
        <v>219</v>
      </c>
      <c r="F264" s="5">
        <f t="shared" ref="F264:K264" si="67">SUM(F262:F263)</f>
        <v>218</v>
      </c>
      <c r="G264" s="5">
        <f t="shared" si="67"/>
        <v>217</v>
      </c>
      <c r="H264" s="5">
        <f t="shared" si="67"/>
        <v>229</v>
      </c>
      <c r="I264" s="5">
        <f t="shared" si="67"/>
        <v>219</v>
      </c>
      <c r="J264" s="5">
        <f t="shared" si="67"/>
        <v>224</v>
      </c>
      <c r="K264" s="5">
        <f t="shared" si="67"/>
        <v>233</v>
      </c>
      <c r="L264" s="5">
        <f t="shared" ref="L264:R264" si="68">SUM(L262:L263)</f>
        <v>209</v>
      </c>
      <c r="M264" s="5">
        <f t="shared" si="68"/>
        <v>187</v>
      </c>
      <c r="N264" s="5">
        <f t="shared" si="68"/>
        <v>183</v>
      </c>
      <c r="O264" s="5">
        <f t="shared" si="68"/>
        <v>206</v>
      </c>
      <c r="P264" s="5">
        <f t="shared" ref="P264:Q264" si="69">SUM(P262:P263)</f>
        <v>160</v>
      </c>
      <c r="Q264" s="5">
        <f t="shared" si="69"/>
        <v>204</v>
      </c>
      <c r="R264" s="5">
        <f t="shared" si="68"/>
        <v>194</v>
      </c>
      <c r="S264" s="5">
        <f>SUM(E264:R264)</f>
        <v>2902</v>
      </c>
    </row>
  </sheetData>
  <mergeCells count="86"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63:D263"/>
    <mergeCell ref="C264:D264"/>
    <mergeCell ref="B247:D247"/>
    <mergeCell ref="A248:E248"/>
    <mergeCell ref="C249:D249"/>
    <mergeCell ref="B259:D259"/>
    <mergeCell ref="B261:D261"/>
    <mergeCell ref="C262:D262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E37:O37"/>
    <mergeCell ref="B38:D38"/>
    <mergeCell ref="A42:D42"/>
    <mergeCell ref="E42:O42"/>
    <mergeCell ref="B43:D43"/>
    <mergeCell ref="B39:C41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</mergeCells>
  <phoneticPr fontId="9" type="noConversion"/>
  <conditionalFormatting sqref="E14:R15">
    <cfRule type="containsBlanks" dxfId="280" priority="21">
      <formula>LEN(TRIM(E14))=0</formula>
    </cfRule>
  </conditionalFormatting>
  <conditionalFormatting sqref="E19:R20">
    <cfRule type="containsBlanks" dxfId="279" priority="24">
      <formula>LEN(TRIM(E19))=0</formula>
    </cfRule>
  </conditionalFormatting>
  <conditionalFormatting sqref="E22:R23 E25:R26 E33:R33 E35:R35 E39:R40">
    <cfRule type="containsBlanks" dxfId="278" priority="25">
      <formula>LEN(TRIM(E22))=0</formula>
    </cfRule>
  </conditionalFormatting>
  <conditionalFormatting sqref="E30:R30">
    <cfRule type="expression" dxfId="277" priority="26">
      <formula>E30&lt;&gt;E47</formula>
    </cfRule>
    <cfRule type="expression" dxfId="276" priority="27">
      <formula>E30&lt;&gt;E34</formula>
    </cfRule>
  </conditionalFormatting>
  <conditionalFormatting sqref="E34:R34">
    <cfRule type="expression" dxfId="275" priority="22">
      <formula>E30&lt;&gt;E34</formula>
    </cfRule>
    <cfRule type="expression" dxfId="274" priority="23">
      <formula>E30=E34</formula>
    </cfRule>
    <cfRule type="expression" dxfId="273" priority="28">
      <formula>E34&lt;&gt;E30</formula>
    </cfRule>
    <cfRule type="expression" dxfId="272" priority="30">
      <formula>E34&lt;&gt;E64</formula>
    </cfRule>
  </conditionalFormatting>
  <conditionalFormatting sqref="E45:R54">
    <cfRule type="containsBlanks" dxfId="271" priority="20">
      <formula>LEN(TRIM(E45))=0</formula>
    </cfRule>
  </conditionalFormatting>
  <conditionalFormatting sqref="E57:R66">
    <cfRule type="containsBlanks" dxfId="270" priority="19">
      <formula>LEN(TRIM(E57))=0</formula>
    </cfRule>
  </conditionalFormatting>
  <conditionalFormatting sqref="E69:R78">
    <cfRule type="containsBlanks" dxfId="269" priority="18">
      <formula>LEN(TRIM(E69))=0</formula>
    </cfRule>
  </conditionalFormatting>
  <conditionalFormatting sqref="E81:R90">
    <cfRule type="containsBlanks" dxfId="268" priority="17">
      <formula>LEN(TRIM(E81))=0</formula>
    </cfRule>
  </conditionalFormatting>
  <conditionalFormatting sqref="E93:R102">
    <cfRule type="containsBlanks" dxfId="267" priority="16">
      <formula>LEN(TRIM(E93))=0</formula>
    </cfRule>
  </conditionalFormatting>
  <conditionalFormatting sqref="E105:R114">
    <cfRule type="containsBlanks" dxfId="266" priority="15">
      <formula>LEN(TRIM(E105))=0</formula>
    </cfRule>
  </conditionalFormatting>
  <conditionalFormatting sqref="E117:R126">
    <cfRule type="containsBlanks" dxfId="265" priority="1">
      <formula>LEN(TRIM(E117))=0</formula>
    </cfRule>
  </conditionalFormatting>
  <conditionalFormatting sqref="E129:R138">
    <cfRule type="containsBlanks" dxfId="264" priority="14">
      <formula>LEN(TRIM(E129))=0</formula>
    </cfRule>
  </conditionalFormatting>
  <conditionalFormatting sqref="E141:R150">
    <cfRule type="containsBlanks" dxfId="263" priority="13">
      <formula>LEN(TRIM(E141))=0</formula>
    </cfRule>
  </conditionalFormatting>
  <conditionalFormatting sqref="E153:R162">
    <cfRule type="containsBlanks" dxfId="262" priority="3">
      <formula>LEN(TRIM(E153))=0</formula>
    </cfRule>
  </conditionalFormatting>
  <conditionalFormatting sqref="E165:R174">
    <cfRule type="containsBlanks" dxfId="261" priority="12">
      <formula>LEN(TRIM(E165))=0</formula>
    </cfRule>
  </conditionalFormatting>
  <conditionalFormatting sqref="E177:R186">
    <cfRule type="containsBlanks" dxfId="260" priority="11">
      <formula>LEN(TRIM(E177))=0</formula>
    </cfRule>
  </conditionalFormatting>
  <conditionalFormatting sqref="E189:R198">
    <cfRule type="containsBlanks" dxfId="259" priority="10">
      <formula>LEN(TRIM(E189))=0</formula>
    </cfRule>
  </conditionalFormatting>
  <conditionalFormatting sqref="E201:R210">
    <cfRule type="containsBlanks" dxfId="258" priority="9">
      <formula>LEN(TRIM(E201))=0</formula>
    </cfRule>
  </conditionalFormatting>
  <conditionalFormatting sqref="E213:R222">
    <cfRule type="containsBlanks" dxfId="257" priority="8">
      <formula>LEN(TRIM(E213))=0</formula>
    </cfRule>
  </conditionalFormatting>
  <conditionalFormatting sqref="E225:R234">
    <cfRule type="containsBlanks" dxfId="256" priority="7">
      <formula>LEN(TRIM(E225))=0</formula>
    </cfRule>
  </conditionalFormatting>
  <conditionalFormatting sqref="E237:R246">
    <cfRule type="containsBlanks" dxfId="255" priority="6">
      <formula>LEN(TRIM(E237))=0</formula>
    </cfRule>
  </conditionalFormatting>
  <conditionalFormatting sqref="E249:R258">
    <cfRule type="containsBlanks" dxfId="254" priority="4">
      <formula>LEN(TRIM(E249))=0</formula>
    </cfRule>
  </conditionalFormatting>
  <conditionalFormatting sqref="E262:R263">
    <cfRule type="containsBlanks" dxfId="253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B125-44C6-45E0-9BD0-378297BA2350}">
  <sheetPr>
    <tabColor rgb="FF00B050"/>
  </sheetPr>
  <dimension ref="A2:T264"/>
  <sheetViews>
    <sheetView topLeftCell="C1" zoomScale="85" zoomScaleNormal="85" workbookViewId="0">
      <selection activeCell="J20" sqref="J20"/>
    </sheetView>
  </sheetViews>
  <sheetFormatPr defaultRowHeight="13" x14ac:dyDescent="0.3"/>
  <cols>
    <col min="3" max="3" width="67.09765625" bestFit="1" customWidth="1"/>
    <col min="4" max="4" width="5.8984375" bestFit="1" customWidth="1"/>
    <col min="20" max="20" width="13.296875" customWidth="1"/>
  </cols>
  <sheetData>
    <row r="2" spans="1:20" x14ac:dyDescent="0.3">
      <c r="C2" s="43" t="s">
        <v>98</v>
      </c>
      <c r="D2" s="43" t="s">
        <v>104</v>
      </c>
    </row>
    <row r="3" spans="1:20" x14ac:dyDescent="0.3">
      <c r="C3" s="43" t="s">
        <v>99</v>
      </c>
      <c r="D3" s="43" t="s">
        <v>100</v>
      </c>
    </row>
    <row r="4" spans="1:20" x14ac:dyDescent="0.3">
      <c r="C4" s="43" t="s">
        <v>101</v>
      </c>
      <c r="D4" s="43" t="s">
        <v>102</v>
      </c>
    </row>
    <row r="5" spans="1:20" x14ac:dyDescent="0.3">
      <c r="C5" s="43"/>
      <c r="D5" s="43"/>
    </row>
    <row r="6" spans="1:20" x14ac:dyDescent="0.3">
      <c r="C6" s="43"/>
      <c r="D6" s="43"/>
    </row>
    <row r="7" spans="1:20" x14ac:dyDescent="0.3">
      <c r="C7" s="43"/>
      <c r="D7" s="43"/>
    </row>
    <row r="8" spans="1:20" x14ac:dyDescent="0.3">
      <c r="C8" s="43"/>
      <c r="D8" s="43"/>
    </row>
    <row r="9" spans="1:20" x14ac:dyDescent="0.3">
      <c r="C9" s="43" t="s">
        <v>103</v>
      </c>
      <c r="D9" s="43" t="s">
        <v>107</v>
      </c>
    </row>
    <row r="11" spans="1:20" x14ac:dyDescent="0.3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20" x14ac:dyDescent="0.3">
      <c r="A12" s="5" t="s">
        <v>0</v>
      </c>
      <c r="B12" s="65" t="s">
        <v>1</v>
      </c>
      <c r="C12" s="63"/>
      <c r="D12" s="64"/>
      <c r="E12" s="99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1" t="s">
        <v>97</v>
      </c>
    </row>
    <row r="13" spans="1:20" x14ac:dyDescent="0.3">
      <c r="A13" s="6" t="s">
        <v>2</v>
      </c>
      <c r="B13" s="76" t="s">
        <v>3</v>
      </c>
      <c r="C13" s="63"/>
      <c r="D13" s="6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102"/>
    </row>
    <row r="14" spans="1:20" x14ac:dyDescent="0.3">
      <c r="A14" s="7"/>
      <c r="B14" s="77" t="s">
        <v>22</v>
      </c>
      <c r="C14" s="78"/>
      <c r="D14" s="6" t="s">
        <v>23</v>
      </c>
      <c r="E14" s="6">
        <v>135</v>
      </c>
      <c r="F14" s="6">
        <v>130</v>
      </c>
      <c r="G14" s="6">
        <v>131</v>
      </c>
      <c r="H14" s="6">
        <v>142</v>
      </c>
      <c r="I14" s="6">
        <v>130</v>
      </c>
      <c r="J14" s="6">
        <v>128</v>
      </c>
      <c r="K14" s="6">
        <v>127</v>
      </c>
      <c r="L14" s="6">
        <v>118</v>
      </c>
      <c r="M14" s="6">
        <v>126</v>
      </c>
      <c r="N14" s="6">
        <v>132</v>
      </c>
      <c r="O14" s="6">
        <v>97</v>
      </c>
      <c r="P14" s="6">
        <v>102</v>
      </c>
      <c r="Q14" s="6">
        <v>121</v>
      </c>
      <c r="R14" s="6">
        <v>118</v>
      </c>
      <c r="S14" s="6">
        <v>124</v>
      </c>
      <c r="T14" s="5">
        <f>SUM(E14:S14)</f>
        <v>1861</v>
      </c>
    </row>
    <row r="15" spans="1:20" x14ac:dyDescent="0.3">
      <c r="A15" s="7"/>
      <c r="B15" s="79"/>
      <c r="C15" s="67"/>
      <c r="D15" s="6" t="s">
        <v>24</v>
      </c>
      <c r="E15" s="6">
        <v>136</v>
      </c>
      <c r="F15" s="6">
        <v>128</v>
      </c>
      <c r="G15" s="6">
        <v>126</v>
      </c>
      <c r="H15" s="6">
        <v>128</v>
      </c>
      <c r="I15" s="6">
        <v>129</v>
      </c>
      <c r="J15" s="6">
        <v>134</v>
      </c>
      <c r="K15" s="6">
        <v>121</v>
      </c>
      <c r="L15" s="6">
        <v>131</v>
      </c>
      <c r="M15" s="6">
        <v>129</v>
      </c>
      <c r="N15" s="6">
        <v>152</v>
      </c>
      <c r="O15" s="6">
        <v>107</v>
      </c>
      <c r="P15" s="6">
        <v>111</v>
      </c>
      <c r="Q15" s="6">
        <v>124</v>
      </c>
      <c r="R15" s="6">
        <v>125</v>
      </c>
      <c r="S15" s="6">
        <v>117</v>
      </c>
      <c r="T15" s="5">
        <f>SUM(E15:S15)</f>
        <v>1898</v>
      </c>
    </row>
    <row r="16" spans="1:20" x14ac:dyDescent="0.3">
      <c r="A16" s="8"/>
      <c r="B16" s="75"/>
      <c r="C16" s="68"/>
      <c r="D16" s="5" t="s">
        <v>25</v>
      </c>
      <c r="E16" s="5">
        <f t="shared" ref="E16:O16" si="0">SUM(E14:E15)</f>
        <v>271</v>
      </c>
      <c r="F16" s="5">
        <f t="shared" si="0"/>
        <v>258</v>
      </c>
      <c r="G16" s="5">
        <f t="shared" si="0"/>
        <v>257</v>
      </c>
      <c r="H16" s="5">
        <f t="shared" si="0"/>
        <v>270</v>
      </c>
      <c r="I16" s="5">
        <f t="shared" si="0"/>
        <v>259</v>
      </c>
      <c r="J16" s="5">
        <f t="shared" si="0"/>
        <v>262</v>
      </c>
      <c r="K16" s="5">
        <f t="shared" si="0"/>
        <v>248</v>
      </c>
      <c r="L16" s="5">
        <f t="shared" si="0"/>
        <v>249</v>
      </c>
      <c r="M16" s="5">
        <f t="shared" si="0"/>
        <v>255</v>
      </c>
      <c r="N16" s="5">
        <f t="shared" si="0"/>
        <v>284</v>
      </c>
      <c r="O16" s="5">
        <f t="shared" si="0"/>
        <v>204</v>
      </c>
      <c r="P16" s="5">
        <f t="shared" ref="P16:S16" si="1">SUM(P14:P15)</f>
        <v>213</v>
      </c>
      <c r="Q16" s="5">
        <f t="shared" si="1"/>
        <v>245</v>
      </c>
      <c r="R16" s="5">
        <f t="shared" si="1"/>
        <v>243</v>
      </c>
      <c r="S16" s="5">
        <f t="shared" si="1"/>
        <v>241</v>
      </c>
      <c r="T16" s="5">
        <f>SUM(E16:S16)</f>
        <v>3759</v>
      </c>
    </row>
    <row r="17" spans="1:20" x14ac:dyDescent="0.3">
      <c r="A17" s="62"/>
      <c r="B17" s="63"/>
      <c r="C17" s="63"/>
      <c r="D17" s="64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28"/>
    </row>
    <row r="18" spans="1:20" x14ac:dyDescent="0.3">
      <c r="A18" s="11" t="s">
        <v>26</v>
      </c>
      <c r="B18" s="76" t="s">
        <v>27</v>
      </c>
      <c r="C18" s="63"/>
      <c r="D18" s="64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28"/>
    </row>
    <row r="19" spans="1:20" x14ac:dyDescent="0.3">
      <c r="A19" s="11"/>
      <c r="B19" s="66" t="s">
        <v>28</v>
      </c>
      <c r="C19" s="69" t="s">
        <v>29</v>
      </c>
      <c r="D19" s="6" t="s">
        <v>23</v>
      </c>
      <c r="E19" s="6">
        <v>92</v>
      </c>
      <c r="F19" s="6">
        <v>99</v>
      </c>
      <c r="G19" s="6">
        <v>93</v>
      </c>
      <c r="H19" s="6">
        <v>104</v>
      </c>
      <c r="I19" s="6">
        <v>99</v>
      </c>
      <c r="J19" s="6">
        <v>101</v>
      </c>
      <c r="K19" s="6">
        <v>98</v>
      </c>
      <c r="L19" s="6">
        <v>92</v>
      </c>
      <c r="M19" s="6">
        <v>82</v>
      </c>
      <c r="N19" s="6">
        <v>87</v>
      </c>
      <c r="O19" s="6">
        <v>64</v>
      </c>
      <c r="P19" s="6">
        <v>71</v>
      </c>
      <c r="Q19" s="6">
        <v>91</v>
      </c>
      <c r="R19" s="6">
        <v>90</v>
      </c>
      <c r="S19" s="6">
        <v>104</v>
      </c>
      <c r="T19" s="5">
        <f t="shared" ref="T19:T30" si="2">SUM(E19:S19)</f>
        <v>1367</v>
      </c>
    </row>
    <row r="20" spans="1:20" x14ac:dyDescent="0.3">
      <c r="A20" s="12"/>
      <c r="B20" s="67"/>
      <c r="C20" s="70"/>
      <c r="D20" s="6" t="s">
        <v>24</v>
      </c>
      <c r="E20" s="6">
        <v>110</v>
      </c>
      <c r="F20" s="6">
        <v>102</v>
      </c>
      <c r="G20" s="6">
        <v>97</v>
      </c>
      <c r="H20" s="6">
        <v>104</v>
      </c>
      <c r="I20" s="6">
        <v>108</v>
      </c>
      <c r="J20" s="6">
        <v>111</v>
      </c>
      <c r="K20" s="6">
        <v>96</v>
      </c>
      <c r="L20" s="6">
        <v>108</v>
      </c>
      <c r="M20" s="6">
        <v>89</v>
      </c>
      <c r="N20" s="6">
        <v>109</v>
      </c>
      <c r="O20" s="6">
        <v>89</v>
      </c>
      <c r="P20" s="6">
        <v>84</v>
      </c>
      <c r="Q20" s="6">
        <v>108</v>
      </c>
      <c r="R20" s="6">
        <v>104</v>
      </c>
      <c r="S20" s="6">
        <v>98</v>
      </c>
      <c r="T20" s="5">
        <f t="shared" si="2"/>
        <v>1517</v>
      </c>
    </row>
    <row r="21" spans="1:20" x14ac:dyDescent="0.3">
      <c r="A21" s="13"/>
      <c r="B21" s="68"/>
      <c r="C21" s="71"/>
      <c r="D21" s="5" t="s">
        <v>25</v>
      </c>
      <c r="E21" s="5">
        <f t="shared" ref="E21:O21" si="3">SUM(E19:E20)</f>
        <v>202</v>
      </c>
      <c r="F21" s="5">
        <f t="shared" si="3"/>
        <v>201</v>
      </c>
      <c r="G21" s="5">
        <f t="shared" si="3"/>
        <v>190</v>
      </c>
      <c r="H21" s="5">
        <f t="shared" si="3"/>
        <v>208</v>
      </c>
      <c r="I21" s="5">
        <f t="shared" si="3"/>
        <v>207</v>
      </c>
      <c r="J21" s="5">
        <f t="shared" si="3"/>
        <v>212</v>
      </c>
      <c r="K21" s="5">
        <f t="shared" si="3"/>
        <v>194</v>
      </c>
      <c r="L21" s="5">
        <f t="shared" si="3"/>
        <v>200</v>
      </c>
      <c r="M21" s="5">
        <f t="shared" si="3"/>
        <v>171</v>
      </c>
      <c r="N21" s="5">
        <f t="shared" si="3"/>
        <v>196</v>
      </c>
      <c r="O21" s="5">
        <f t="shared" si="3"/>
        <v>153</v>
      </c>
      <c r="P21" s="5">
        <f t="shared" ref="P21:S21" si="4">SUM(P19:P20)</f>
        <v>155</v>
      </c>
      <c r="Q21" s="5">
        <f t="shared" si="4"/>
        <v>199</v>
      </c>
      <c r="R21" s="5">
        <f t="shared" si="4"/>
        <v>194</v>
      </c>
      <c r="S21" s="5">
        <f t="shared" si="4"/>
        <v>202</v>
      </c>
      <c r="T21" s="5">
        <f t="shared" si="2"/>
        <v>2884</v>
      </c>
    </row>
    <row r="22" spans="1:20" x14ac:dyDescent="0.3">
      <c r="A22" s="12"/>
      <c r="B22" s="66" t="s">
        <v>30</v>
      </c>
      <c r="C22" s="69" t="s">
        <v>31</v>
      </c>
      <c r="D22" s="6" t="s">
        <v>23</v>
      </c>
      <c r="E22" s="6">
        <v>0</v>
      </c>
      <c r="F22" s="6">
        <v>0</v>
      </c>
      <c r="G22" s="6">
        <v>1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2</v>
      </c>
      <c r="P22" s="6">
        <v>0</v>
      </c>
      <c r="Q22" s="6">
        <v>1</v>
      </c>
      <c r="R22" s="6">
        <v>1</v>
      </c>
      <c r="S22" s="6">
        <v>2</v>
      </c>
      <c r="T22" s="5">
        <f t="shared" si="2"/>
        <v>7</v>
      </c>
    </row>
    <row r="23" spans="1:20" x14ac:dyDescent="0.3">
      <c r="A23" s="12"/>
      <c r="B23" s="67"/>
      <c r="C23" s="70"/>
      <c r="D23" s="6" t="s">
        <v>24</v>
      </c>
      <c r="E23" s="6">
        <v>1</v>
      </c>
      <c r="F23" s="6">
        <v>0</v>
      </c>
      <c r="G23" s="6">
        <v>0</v>
      </c>
      <c r="H23" s="6">
        <v>1</v>
      </c>
      <c r="I23" s="6">
        <v>0</v>
      </c>
      <c r="J23" s="6">
        <v>0</v>
      </c>
      <c r="K23" s="6">
        <v>0</v>
      </c>
      <c r="L23" s="6">
        <v>2</v>
      </c>
      <c r="M23" s="6">
        <v>1</v>
      </c>
      <c r="N23" s="6">
        <v>0</v>
      </c>
      <c r="O23" s="6">
        <v>0</v>
      </c>
      <c r="P23" s="6">
        <v>1</v>
      </c>
      <c r="Q23" s="6">
        <v>1</v>
      </c>
      <c r="R23" s="6">
        <v>1</v>
      </c>
      <c r="S23" s="6">
        <v>2</v>
      </c>
      <c r="T23" s="5">
        <f t="shared" si="2"/>
        <v>10</v>
      </c>
    </row>
    <row r="24" spans="1:20" x14ac:dyDescent="0.3">
      <c r="A24" s="13"/>
      <c r="B24" s="68"/>
      <c r="C24" s="71"/>
      <c r="D24" s="5" t="s">
        <v>25</v>
      </c>
      <c r="E24" s="5">
        <f t="shared" ref="E24:O24" si="5">SUM(E22:E23)</f>
        <v>1</v>
      </c>
      <c r="F24" s="5">
        <f t="shared" si="5"/>
        <v>0</v>
      </c>
      <c r="G24" s="5">
        <f t="shared" si="5"/>
        <v>1</v>
      </c>
      <c r="H24" s="5">
        <f t="shared" si="5"/>
        <v>1</v>
      </c>
      <c r="I24" s="5">
        <f t="shared" si="5"/>
        <v>0</v>
      </c>
      <c r="J24" s="5">
        <f t="shared" si="5"/>
        <v>0</v>
      </c>
      <c r="K24" s="5">
        <f t="shared" si="5"/>
        <v>0</v>
      </c>
      <c r="L24" s="5">
        <f t="shared" si="5"/>
        <v>2</v>
      </c>
      <c r="M24" s="5">
        <f t="shared" si="5"/>
        <v>1</v>
      </c>
      <c r="N24" s="5">
        <f t="shared" si="5"/>
        <v>0</v>
      </c>
      <c r="O24" s="5">
        <f t="shared" si="5"/>
        <v>2</v>
      </c>
      <c r="P24" s="5">
        <f t="shared" ref="P24:S24" si="6">SUM(P22:P23)</f>
        <v>1</v>
      </c>
      <c r="Q24" s="5">
        <f t="shared" si="6"/>
        <v>2</v>
      </c>
      <c r="R24" s="5">
        <f t="shared" si="6"/>
        <v>2</v>
      </c>
      <c r="S24" s="5">
        <f t="shared" si="6"/>
        <v>4</v>
      </c>
      <c r="T24" s="5">
        <f t="shared" si="2"/>
        <v>17</v>
      </c>
    </row>
    <row r="25" spans="1:20" x14ac:dyDescent="0.3">
      <c r="A25" s="12"/>
      <c r="B25" s="66" t="s">
        <v>32</v>
      </c>
      <c r="C25" s="69" t="s">
        <v>33</v>
      </c>
      <c r="D25" s="6" t="s">
        <v>23</v>
      </c>
      <c r="E25" s="6">
        <v>1</v>
      </c>
      <c r="F25" s="6">
        <v>0</v>
      </c>
      <c r="G25" s="6">
        <v>0</v>
      </c>
      <c r="H25" s="6">
        <v>0</v>
      </c>
      <c r="I25" s="6">
        <v>1</v>
      </c>
      <c r="J25" s="6">
        <v>0</v>
      </c>
      <c r="K25" s="6">
        <v>0</v>
      </c>
      <c r="L25" s="6">
        <v>0</v>
      </c>
      <c r="M25" s="6">
        <v>1</v>
      </c>
      <c r="N25" s="6">
        <v>2</v>
      </c>
      <c r="O25" s="6">
        <v>2</v>
      </c>
      <c r="P25" s="6">
        <v>0</v>
      </c>
      <c r="Q25" s="6">
        <v>1</v>
      </c>
      <c r="R25" s="6">
        <v>1</v>
      </c>
      <c r="S25" s="6">
        <v>0</v>
      </c>
      <c r="T25" s="5">
        <f t="shared" si="2"/>
        <v>9</v>
      </c>
    </row>
    <row r="26" spans="1:20" x14ac:dyDescent="0.3">
      <c r="A26" s="12"/>
      <c r="B26" s="67"/>
      <c r="C26" s="70"/>
      <c r="D26" s="6" t="s">
        <v>24</v>
      </c>
      <c r="E26" s="6">
        <v>2</v>
      </c>
      <c r="F26" s="6">
        <v>0</v>
      </c>
      <c r="G26" s="6">
        <v>0</v>
      </c>
      <c r="H26" s="6">
        <v>0</v>
      </c>
      <c r="I26" s="6">
        <v>1</v>
      </c>
      <c r="J26" s="6">
        <v>0</v>
      </c>
      <c r="K26" s="6">
        <v>2</v>
      </c>
      <c r="L26" s="6">
        <v>1</v>
      </c>
      <c r="M26" s="6">
        <v>0</v>
      </c>
      <c r="N26" s="6">
        <v>1</v>
      </c>
      <c r="O26" s="6">
        <v>1</v>
      </c>
      <c r="P26" s="6">
        <v>1</v>
      </c>
      <c r="Q26" s="6">
        <v>0</v>
      </c>
      <c r="R26" s="6">
        <v>0</v>
      </c>
      <c r="S26" s="6">
        <v>0</v>
      </c>
      <c r="T26" s="5">
        <f t="shared" si="2"/>
        <v>9</v>
      </c>
    </row>
    <row r="27" spans="1:20" x14ac:dyDescent="0.3">
      <c r="A27" s="13"/>
      <c r="B27" s="68"/>
      <c r="C27" s="71"/>
      <c r="D27" s="5" t="s">
        <v>25</v>
      </c>
      <c r="E27" s="5">
        <f t="shared" ref="E27:O27" si="7">SUM(E25:E26)</f>
        <v>3</v>
      </c>
      <c r="F27" s="5">
        <f t="shared" si="7"/>
        <v>0</v>
      </c>
      <c r="G27" s="5">
        <f t="shared" si="7"/>
        <v>0</v>
      </c>
      <c r="H27" s="5">
        <f t="shared" si="7"/>
        <v>0</v>
      </c>
      <c r="I27" s="5">
        <f t="shared" si="7"/>
        <v>2</v>
      </c>
      <c r="J27" s="5">
        <f t="shared" si="7"/>
        <v>0</v>
      </c>
      <c r="K27" s="5">
        <f t="shared" si="7"/>
        <v>2</v>
      </c>
      <c r="L27" s="5">
        <f t="shared" si="7"/>
        <v>1</v>
      </c>
      <c r="M27" s="5">
        <f t="shared" si="7"/>
        <v>1</v>
      </c>
      <c r="N27" s="5">
        <f t="shared" si="7"/>
        <v>3</v>
      </c>
      <c r="O27" s="5">
        <f t="shared" si="7"/>
        <v>3</v>
      </c>
      <c r="P27" s="5">
        <f t="shared" ref="P27:S27" si="8">SUM(P25:P26)</f>
        <v>1</v>
      </c>
      <c r="Q27" s="5">
        <f t="shared" si="8"/>
        <v>1</v>
      </c>
      <c r="R27" s="5">
        <f t="shared" si="8"/>
        <v>1</v>
      </c>
      <c r="S27" s="5">
        <f t="shared" si="8"/>
        <v>0</v>
      </c>
      <c r="T27" s="5">
        <f t="shared" si="2"/>
        <v>18</v>
      </c>
    </row>
    <row r="28" spans="1:20" x14ac:dyDescent="0.3">
      <c r="A28" s="13"/>
      <c r="B28" s="72" t="s">
        <v>34</v>
      </c>
      <c r="C28" s="73" t="s">
        <v>35</v>
      </c>
      <c r="D28" s="5" t="s">
        <v>23</v>
      </c>
      <c r="E28" s="5">
        <f>SUM(E19,E22,E25)</f>
        <v>93</v>
      </c>
      <c r="F28" s="5">
        <f t="shared" ref="F28:O29" si="9">SUM(F19,F22,F25)</f>
        <v>99</v>
      </c>
      <c r="G28" s="5">
        <f t="shared" si="9"/>
        <v>94</v>
      </c>
      <c r="H28" s="5">
        <f t="shared" si="9"/>
        <v>104</v>
      </c>
      <c r="I28" s="5">
        <f t="shared" si="9"/>
        <v>100</v>
      </c>
      <c r="J28" s="5">
        <f t="shared" si="9"/>
        <v>101</v>
      </c>
      <c r="K28" s="5">
        <f t="shared" si="9"/>
        <v>98</v>
      </c>
      <c r="L28" s="5">
        <f t="shared" si="9"/>
        <v>92</v>
      </c>
      <c r="M28" s="5">
        <f t="shared" si="9"/>
        <v>83</v>
      </c>
      <c r="N28" s="5">
        <f t="shared" si="9"/>
        <v>89</v>
      </c>
      <c r="O28" s="5">
        <f t="shared" si="9"/>
        <v>68</v>
      </c>
      <c r="P28" s="5">
        <f t="shared" ref="P28:S28" si="10">SUM(P19,P22,P25)</f>
        <v>71</v>
      </c>
      <c r="Q28" s="5">
        <f t="shared" si="10"/>
        <v>93</v>
      </c>
      <c r="R28" s="5">
        <f t="shared" si="10"/>
        <v>92</v>
      </c>
      <c r="S28" s="5">
        <f t="shared" si="10"/>
        <v>106</v>
      </c>
      <c r="T28" s="5">
        <f t="shared" si="2"/>
        <v>1383</v>
      </c>
    </row>
    <row r="29" spans="1:20" x14ac:dyDescent="0.3">
      <c r="A29" s="13"/>
      <c r="B29" s="67"/>
      <c r="C29" s="70"/>
      <c r="D29" s="5" t="s">
        <v>24</v>
      </c>
      <c r="E29" s="5">
        <f>SUM(E20,E23,E26)</f>
        <v>113</v>
      </c>
      <c r="F29" s="5">
        <f t="shared" si="9"/>
        <v>102</v>
      </c>
      <c r="G29" s="5">
        <f t="shared" si="9"/>
        <v>97</v>
      </c>
      <c r="H29" s="5">
        <f t="shared" si="9"/>
        <v>105</v>
      </c>
      <c r="I29" s="5">
        <f t="shared" si="9"/>
        <v>109</v>
      </c>
      <c r="J29" s="5">
        <f t="shared" si="9"/>
        <v>111</v>
      </c>
      <c r="K29" s="5">
        <f t="shared" si="9"/>
        <v>98</v>
      </c>
      <c r="L29" s="5">
        <f t="shared" si="9"/>
        <v>111</v>
      </c>
      <c r="M29" s="5">
        <f t="shared" si="9"/>
        <v>90</v>
      </c>
      <c r="N29" s="5">
        <f t="shared" si="9"/>
        <v>110</v>
      </c>
      <c r="O29" s="5">
        <f t="shared" si="9"/>
        <v>90</v>
      </c>
      <c r="P29" s="5">
        <f t="shared" ref="P29:S29" si="11">SUM(P20,P23,P26)</f>
        <v>86</v>
      </c>
      <c r="Q29" s="5">
        <f t="shared" si="11"/>
        <v>109</v>
      </c>
      <c r="R29" s="5">
        <f t="shared" si="11"/>
        <v>105</v>
      </c>
      <c r="S29" s="5">
        <f t="shared" si="11"/>
        <v>100</v>
      </c>
      <c r="T29" s="5">
        <f t="shared" si="2"/>
        <v>1536</v>
      </c>
    </row>
    <row r="30" spans="1:20" x14ac:dyDescent="0.3">
      <c r="A30" s="13"/>
      <c r="B30" s="68"/>
      <c r="C30" s="71"/>
      <c r="D30" s="5" t="s">
        <v>25</v>
      </c>
      <c r="E30" s="5">
        <f t="shared" ref="E30:O30" si="12">SUM(E28:E29)</f>
        <v>206</v>
      </c>
      <c r="F30" s="5">
        <f t="shared" si="12"/>
        <v>201</v>
      </c>
      <c r="G30" s="5">
        <f t="shared" si="12"/>
        <v>191</v>
      </c>
      <c r="H30" s="5">
        <f t="shared" si="12"/>
        <v>209</v>
      </c>
      <c r="I30" s="5">
        <f t="shared" si="12"/>
        <v>209</v>
      </c>
      <c r="J30" s="5">
        <f t="shared" si="12"/>
        <v>212</v>
      </c>
      <c r="K30" s="5">
        <f t="shared" si="12"/>
        <v>196</v>
      </c>
      <c r="L30" s="5">
        <f t="shared" si="12"/>
        <v>203</v>
      </c>
      <c r="M30" s="5">
        <f t="shared" si="12"/>
        <v>173</v>
      </c>
      <c r="N30" s="5">
        <f t="shared" si="12"/>
        <v>199</v>
      </c>
      <c r="O30" s="5">
        <f t="shared" si="12"/>
        <v>158</v>
      </c>
      <c r="P30" s="5">
        <f t="shared" ref="P30:S30" si="13">SUM(P28:P29)</f>
        <v>157</v>
      </c>
      <c r="Q30" s="5">
        <f t="shared" si="13"/>
        <v>202</v>
      </c>
      <c r="R30" s="5">
        <f t="shared" si="13"/>
        <v>197</v>
      </c>
      <c r="S30" s="5">
        <f t="shared" si="13"/>
        <v>206</v>
      </c>
      <c r="T30" s="5">
        <f t="shared" si="2"/>
        <v>2919</v>
      </c>
    </row>
    <row r="31" spans="1:20" x14ac:dyDescent="0.3">
      <c r="A31" s="62"/>
      <c r="B31" s="63"/>
      <c r="C31" s="63"/>
      <c r="D31" s="64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28"/>
    </row>
    <row r="32" spans="1:20" x14ac:dyDescent="0.3">
      <c r="A32" s="14" t="s">
        <v>36</v>
      </c>
      <c r="B32" s="65" t="s">
        <v>37</v>
      </c>
      <c r="C32" s="63"/>
      <c r="D32" s="64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28"/>
    </row>
    <row r="33" spans="1:20" x14ac:dyDescent="0.3">
      <c r="A33" s="6">
        <v>1</v>
      </c>
      <c r="B33" s="76" t="s">
        <v>38</v>
      </c>
      <c r="C33" s="63"/>
      <c r="D33" s="64"/>
      <c r="E33" s="6">
        <v>275</v>
      </c>
      <c r="F33" s="6">
        <v>261</v>
      </c>
      <c r="G33" s="6">
        <v>260</v>
      </c>
      <c r="H33" s="6">
        <v>273</v>
      </c>
      <c r="I33" s="6">
        <v>255</v>
      </c>
      <c r="J33" s="6">
        <v>265</v>
      </c>
      <c r="K33" s="6">
        <v>250</v>
      </c>
      <c r="L33" s="6">
        <v>251</v>
      </c>
      <c r="M33" s="6">
        <v>257</v>
      </c>
      <c r="N33" s="6">
        <v>287</v>
      </c>
      <c r="O33" s="6">
        <v>206</v>
      </c>
      <c r="P33" s="6">
        <v>216</v>
      </c>
      <c r="Q33" s="6">
        <v>247</v>
      </c>
      <c r="R33" s="6">
        <v>246</v>
      </c>
      <c r="S33" s="6">
        <v>243</v>
      </c>
      <c r="T33" s="5">
        <f>SUM(E33:S33)</f>
        <v>3792</v>
      </c>
    </row>
    <row r="34" spans="1:20" x14ac:dyDescent="0.3">
      <c r="A34" s="6">
        <v>2</v>
      </c>
      <c r="B34" s="76" t="s">
        <v>39</v>
      </c>
      <c r="C34" s="63"/>
      <c r="D34" s="64"/>
      <c r="E34" s="5">
        <v>206</v>
      </c>
      <c r="F34" s="5">
        <v>201</v>
      </c>
      <c r="G34" s="5">
        <v>191</v>
      </c>
      <c r="H34" s="5">
        <v>209</v>
      </c>
      <c r="I34" s="5">
        <v>209</v>
      </c>
      <c r="J34" s="5">
        <v>212</v>
      </c>
      <c r="K34" s="5">
        <v>196</v>
      </c>
      <c r="L34" s="5">
        <v>203</v>
      </c>
      <c r="M34" s="5">
        <v>173</v>
      </c>
      <c r="N34" s="5">
        <v>199</v>
      </c>
      <c r="O34" s="5">
        <v>158</v>
      </c>
      <c r="P34" s="5">
        <v>157</v>
      </c>
      <c r="Q34" s="5">
        <v>202</v>
      </c>
      <c r="R34" s="5">
        <v>197</v>
      </c>
      <c r="S34" s="5">
        <v>206</v>
      </c>
      <c r="T34" s="5">
        <f>SUM(E34:S34)</f>
        <v>2919</v>
      </c>
    </row>
    <row r="35" spans="1:20" x14ac:dyDescent="0.3">
      <c r="A35" s="6">
        <v>3</v>
      </c>
      <c r="B35" s="76" t="s">
        <v>40</v>
      </c>
      <c r="C35" s="63"/>
      <c r="D35" s="64"/>
      <c r="E35" s="6">
        <v>4</v>
      </c>
      <c r="F35" s="6">
        <v>0</v>
      </c>
      <c r="G35" s="6">
        <v>1</v>
      </c>
      <c r="H35" s="6">
        <v>0</v>
      </c>
      <c r="I35" s="6">
        <v>0</v>
      </c>
      <c r="J35" s="6">
        <v>1</v>
      </c>
      <c r="K35" s="6">
        <v>0</v>
      </c>
      <c r="L35" s="6">
        <v>0</v>
      </c>
      <c r="M35" s="6">
        <v>0</v>
      </c>
      <c r="N35" s="6">
        <v>1</v>
      </c>
      <c r="O35" s="6">
        <v>0</v>
      </c>
      <c r="P35" s="6">
        <v>1</v>
      </c>
      <c r="Q35" s="6">
        <v>0</v>
      </c>
      <c r="R35" s="6">
        <v>1</v>
      </c>
      <c r="S35" s="6">
        <v>0</v>
      </c>
      <c r="T35" s="5">
        <f>SUM(E35:S35)</f>
        <v>9</v>
      </c>
    </row>
    <row r="36" spans="1:20" x14ac:dyDescent="0.3">
      <c r="A36" s="6">
        <v>4</v>
      </c>
      <c r="B36" s="76" t="s">
        <v>41</v>
      </c>
      <c r="C36" s="63"/>
      <c r="D36" s="64"/>
      <c r="E36" s="5">
        <f t="shared" ref="E36:O36" si="14">E33-(E34+E35)</f>
        <v>65</v>
      </c>
      <c r="F36" s="5">
        <f t="shared" si="14"/>
        <v>60</v>
      </c>
      <c r="G36" s="5">
        <f t="shared" si="14"/>
        <v>68</v>
      </c>
      <c r="H36" s="5">
        <f t="shared" si="14"/>
        <v>64</v>
      </c>
      <c r="I36" s="5">
        <f t="shared" si="14"/>
        <v>46</v>
      </c>
      <c r="J36" s="5">
        <f t="shared" si="14"/>
        <v>52</v>
      </c>
      <c r="K36" s="5">
        <f t="shared" si="14"/>
        <v>54</v>
      </c>
      <c r="L36" s="5">
        <f t="shared" si="14"/>
        <v>48</v>
      </c>
      <c r="M36" s="5">
        <f t="shared" si="14"/>
        <v>84</v>
      </c>
      <c r="N36" s="5">
        <f t="shared" si="14"/>
        <v>87</v>
      </c>
      <c r="O36" s="5">
        <f t="shared" si="14"/>
        <v>48</v>
      </c>
      <c r="P36" s="5">
        <f t="shared" ref="P36:S36" si="15">P33-(P34+P35)</f>
        <v>58</v>
      </c>
      <c r="Q36" s="5">
        <f t="shared" si="15"/>
        <v>45</v>
      </c>
      <c r="R36" s="5">
        <f t="shared" si="15"/>
        <v>48</v>
      </c>
      <c r="S36" s="5">
        <f t="shared" si="15"/>
        <v>37</v>
      </c>
      <c r="T36" s="5">
        <f>SUM(E36:S36)</f>
        <v>864</v>
      </c>
    </row>
    <row r="37" spans="1:20" x14ac:dyDescent="0.3">
      <c r="A37" s="62"/>
      <c r="B37" s="63"/>
      <c r="C37" s="63"/>
      <c r="D37" s="63"/>
      <c r="E37" s="62"/>
      <c r="F37" s="103"/>
      <c r="G37" s="103"/>
      <c r="H37" s="103"/>
      <c r="I37" s="104"/>
      <c r="J37" s="6"/>
      <c r="K37" s="6"/>
      <c r="L37" s="6"/>
      <c r="M37" s="6"/>
      <c r="N37" s="10"/>
      <c r="O37" s="26"/>
      <c r="P37" s="26"/>
      <c r="Q37" s="26"/>
      <c r="R37" s="26"/>
      <c r="S37" s="26"/>
      <c r="T37" s="28"/>
    </row>
    <row r="38" spans="1:20" x14ac:dyDescent="0.3">
      <c r="A38" s="16" t="s">
        <v>42</v>
      </c>
      <c r="B38" s="65" t="s">
        <v>43</v>
      </c>
      <c r="C38" s="63"/>
      <c r="D38" s="64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28"/>
    </row>
    <row r="39" spans="1:20" x14ac:dyDescent="0.3">
      <c r="A39" s="11"/>
      <c r="B39" s="80" t="s">
        <v>44</v>
      </c>
      <c r="C39" s="78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>
        <v>1</v>
      </c>
      <c r="Q39" s="6"/>
      <c r="R39" s="6"/>
      <c r="S39" s="6">
        <v>1</v>
      </c>
      <c r="T39" s="5">
        <f>SUM(E39:S39)</f>
        <v>2</v>
      </c>
    </row>
    <row r="40" spans="1:20" x14ac:dyDescent="0.3">
      <c r="A40" s="12"/>
      <c r="B40" s="81"/>
      <c r="C40" s="67"/>
      <c r="D40" s="6" t="s">
        <v>24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>
        <v>1</v>
      </c>
      <c r="Q40" s="6">
        <v>1</v>
      </c>
      <c r="R40" s="6"/>
      <c r="S40" s="6"/>
      <c r="T40" s="5">
        <f>SUM(E40:S40)</f>
        <v>2</v>
      </c>
    </row>
    <row r="41" spans="1:20" x14ac:dyDescent="0.3">
      <c r="A41" s="14"/>
      <c r="B41" s="82"/>
      <c r="C41" s="68"/>
      <c r="D41" s="5" t="s">
        <v>25</v>
      </c>
      <c r="E41" s="5">
        <f t="shared" ref="E41:O41" si="16">SUM(E39:E40)</f>
        <v>0</v>
      </c>
      <c r="F41" s="5">
        <f t="shared" si="16"/>
        <v>0</v>
      </c>
      <c r="G41" s="5">
        <f t="shared" si="16"/>
        <v>0</v>
      </c>
      <c r="H41" s="5">
        <f t="shared" si="16"/>
        <v>0</v>
      </c>
      <c r="I41" s="5">
        <f t="shared" si="16"/>
        <v>0</v>
      </c>
      <c r="J41" s="5">
        <f t="shared" si="16"/>
        <v>0</v>
      </c>
      <c r="K41" s="5">
        <f t="shared" si="16"/>
        <v>0</v>
      </c>
      <c r="L41" s="5">
        <f t="shared" si="16"/>
        <v>0</v>
      </c>
      <c r="M41" s="5">
        <f t="shared" si="16"/>
        <v>0</v>
      </c>
      <c r="N41" s="5">
        <f t="shared" si="16"/>
        <v>0</v>
      </c>
      <c r="O41" s="5">
        <f t="shared" si="16"/>
        <v>0</v>
      </c>
      <c r="P41" s="5">
        <f t="shared" ref="P41:S41" si="17">SUM(P39:P40)</f>
        <v>2</v>
      </c>
      <c r="Q41" s="5">
        <f t="shared" si="17"/>
        <v>1</v>
      </c>
      <c r="R41" s="5">
        <f t="shared" si="17"/>
        <v>0</v>
      </c>
      <c r="S41" s="5">
        <f t="shared" si="17"/>
        <v>1</v>
      </c>
      <c r="T41" s="5">
        <f>SUM(E41:S41)</f>
        <v>4</v>
      </c>
    </row>
    <row r="42" spans="1:20" x14ac:dyDescent="0.3">
      <c r="A42" s="83"/>
      <c r="B42" s="82"/>
      <c r="C42" s="82"/>
      <c r="D42" s="68"/>
      <c r="E42" s="62"/>
      <c r="F42" s="63"/>
      <c r="G42" s="63"/>
      <c r="H42" s="63"/>
      <c r="I42" s="64"/>
      <c r="J42" s="6"/>
      <c r="K42" s="6"/>
      <c r="L42" s="6"/>
      <c r="M42" s="6"/>
      <c r="N42" s="10"/>
      <c r="O42" s="6"/>
      <c r="P42" s="10"/>
      <c r="Q42" s="6"/>
      <c r="R42" s="10"/>
      <c r="S42" s="6"/>
      <c r="T42" s="5"/>
    </row>
    <row r="43" spans="1:20" ht="13.15" customHeight="1" x14ac:dyDescent="0.3">
      <c r="A43" s="16" t="s">
        <v>45</v>
      </c>
      <c r="B43" s="65" t="s">
        <v>46</v>
      </c>
      <c r="C43" s="63"/>
      <c r="D43" s="6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5"/>
    </row>
    <row r="44" spans="1:20" ht="13.15" customHeight="1" x14ac:dyDescent="0.3">
      <c r="A44" s="80" t="s">
        <v>47</v>
      </c>
      <c r="B44" s="85"/>
      <c r="C44" s="85"/>
      <c r="D44" s="78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5"/>
    </row>
    <row r="45" spans="1:20" x14ac:dyDescent="0.3">
      <c r="A45" s="11" t="s">
        <v>48</v>
      </c>
      <c r="B45" s="17" t="s">
        <v>28</v>
      </c>
      <c r="C45" s="86" t="s">
        <v>49</v>
      </c>
      <c r="D45" s="64"/>
      <c r="E45" s="6">
        <v>14</v>
      </c>
      <c r="F45" s="6">
        <v>4</v>
      </c>
      <c r="G45" s="6">
        <v>7</v>
      </c>
      <c r="H45" s="6">
        <v>3</v>
      </c>
      <c r="I45" s="6">
        <v>7</v>
      </c>
      <c r="J45" s="6">
        <v>7</v>
      </c>
      <c r="K45" s="6">
        <v>8</v>
      </c>
      <c r="L45" s="6">
        <v>11</v>
      </c>
      <c r="M45" s="6">
        <v>6</v>
      </c>
      <c r="N45" s="6">
        <v>4</v>
      </c>
      <c r="O45" s="6">
        <v>9</v>
      </c>
      <c r="P45" s="6">
        <v>15</v>
      </c>
      <c r="Q45" s="6">
        <v>3</v>
      </c>
      <c r="R45" s="6">
        <v>9</v>
      </c>
      <c r="S45" s="6">
        <v>7</v>
      </c>
      <c r="T45" s="5">
        <f t="shared" ref="T45:T54" si="18">SUM(E45:S45)</f>
        <v>114</v>
      </c>
    </row>
    <row r="46" spans="1:20" x14ac:dyDescent="0.3">
      <c r="A46" s="11" t="s">
        <v>50</v>
      </c>
      <c r="B46" s="50"/>
      <c r="C46" s="24" t="s">
        <v>115</v>
      </c>
      <c r="D46" s="49"/>
      <c r="E46" s="6">
        <v>2</v>
      </c>
      <c r="F46" s="6">
        <v>4</v>
      </c>
      <c r="G46" s="6">
        <v>8</v>
      </c>
      <c r="H46" s="6">
        <v>5</v>
      </c>
      <c r="I46" s="6">
        <v>9</v>
      </c>
      <c r="J46" s="6">
        <v>17</v>
      </c>
      <c r="K46" s="6">
        <v>8</v>
      </c>
      <c r="L46" s="6">
        <v>8</v>
      </c>
      <c r="M46" s="6">
        <v>4</v>
      </c>
      <c r="N46" s="6">
        <v>9</v>
      </c>
      <c r="O46" s="6">
        <v>7</v>
      </c>
      <c r="P46" s="6">
        <v>17</v>
      </c>
      <c r="Q46" s="6">
        <v>14</v>
      </c>
      <c r="R46" s="6">
        <v>37</v>
      </c>
      <c r="S46" s="6">
        <v>16</v>
      </c>
      <c r="T46" s="5">
        <f t="shared" si="18"/>
        <v>165</v>
      </c>
    </row>
    <row r="47" spans="1:20" x14ac:dyDescent="0.3">
      <c r="A47" s="7"/>
      <c r="B47" s="50"/>
      <c r="C47" s="24" t="s">
        <v>116</v>
      </c>
      <c r="D47" s="49"/>
      <c r="E47" s="6">
        <v>0</v>
      </c>
      <c r="F47" s="6">
        <v>1</v>
      </c>
      <c r="G47" s="6">
        <v>2</v>
      </c>
      <c r="H47" s="6">
        <v>1</v>
      </c>
      <c r="I47" s="6">
        <v>2</v>
      </c>
      <c r="J47" s="6">
        <v>4</v>
      </c>
      <c r="K47" s="6">
        <v>1</v>
      </c>
      <c r="L47" s="6">
        <v>1</v>
      </c>
      <c r="M47" s="6">
        <v>1</v>
      </c>
      <c r="N47" s="6">
        <v>1</v>
      </c>
      <c r="O47" s="6">
        <v>1</v>
      </c>
      <c r="P47" s="6">
        <v>1</v>
      </c>
      <c r="Q47" s="6">
        <v>4</v>
      </c>
      <c r="R47" s="6">
        <v>1</v>
      </c>
      <c r="S47" s="6">
        <v>3</v>
      </c>
      <c r="T47" s="5">
        <f t="shared" si="18"/>
        <v>24</v>
      </c>
    </row>
    <row r="48" spans="1:20" x14ac:dyDescent="0.3">
      <c r="A48" s="7"/>
      <c r="B48" s="50"/>
      <c r="C48" s="24" t="s">
        <v>117</v>
      </c>
      <c r="D48" s="49"/>
      <c r="E48" s="6">
        <v>5</v>
      </c>
      <c r="F48" s="6">
        <v>0</v>
      </c>
      <c r="G48" s="6">
        <v>0</v>
      </c>
      <c r="H48" s="6">
        <v>1</v>
      </c>
      <c r="I48" s="6">
        <v>2</v>
      </c>
      <c r="J48" s="6">
        <v>1</v>
      </c>
      <c r="K48" s="6">
        <v>2</v>
      </c>
      <c r="L48" s="6">
        <v>1</v>
      </c>
      <c r="M48" s="6">
        <v>0</v>
      </c>
      <c r="N48" s="6">
        <v>0</v>
      </c>
      <c r="O48" s="6">
        <v>1</v>
      </c>
      <c r="P48" s="6">
        <v>2</v>
      </c>
      <c r="Q48" s="6">
        <v>1</v>
      </c>
      <c r="R48" s="6">
        <v>0</v>
      </c>
      <c r="S48" s="6">
        <v>1</v>
      </c>
      <c r="T48" s="5">
        <f t="shared" si="18"/>
        <v>17</v>
      </c>
    </row>
    <row r="49" spans="1:20" x14ac:dyDescent="0.3">
      <c r="A49" s="7"/>
      <c r="B49" s="50"/>
      <c r="C49" s="24" t="s">
        <v>118</v>
      </c>
      <c r="D49" s="49"/>
      <c r="E49" s="6">
        <v>0</v>
      </c>
      <c r="F49" s="6">
        <v>4</v>
      </c>
      <c r="G49" s="6">
        <v>0</v>
      </c>
      <c r="H49" s="6">
        <v>1</v>
      </c>
      <c r="I49" s="6">
        <v>0</v>
      </c>
      <c r="J49" s="6">
        <v>2</v>
      </c>
      <c r="K49" s="6">
        <v>1</v>
      </c>
      <c r="L49" s="6">
        <v>0</v>
      </c>
      <c r="M49" s="6">
        <v>0</v>
      </c>
      <c r="N49" s="6">
        <v>1</v>
      </c>
      <c r="O49" s="6">
        <v>4</v>
      </c>
      <c r="P49" s="6">
        <v>1</v>
      </c>
      <c r="Q49" s="6">
        <v>5</v>
      </c>
      <c r="R49" s="6">
        <v>7</v>
      </c>
      <c r="S49" s="6">
        <v>4</v>
      </c>
      <c r="T49" s="5">
        <f t="shared" si="18"/>
        <v>30</v>
      </c>
    </row>
    <row r="50" spans="1:20" x14ac:dyDescent="0.3">
      <c r="A50" s="7"/>
      <c r="B50" s="50"/>
      <c r="C50" s="24" t="s">
        <v>119</v>
      </c>
      <c r="D50" s="49"/>
      <c r="E50" s="6">
        <v>1</v>
      </c>
      <c r="F50" s="6">
        <v>1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1</v>
      </c>
      <c r="O50" s="6">
        <v>1</v>
      </c>
      <c r="P50" s="6">
        <v>0</v>
      </c>
      <c r="Q50" s="6">
        <v>0</v>
      </c>
      <c r="R50" s="6">
        <v>0</v>
      </c>
      <c r="S50" s="6">
        <v>0</v>
      </c>
      <c r="T50" s="5">
        <f t="shared" si="18"/>
        <v>4</v>
      </c>
    </row>
    <row r="51" spans="1:20" x14ac:dyDescent="0.3">
      <c r="A51" s="7"/>
      <c r="B51" s="50"/>
      <c r="C51" s="24" t="s">
        <v>120</v>
      </c>
      <c r="D51" s="49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1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1</v>
      </c>
      <c r="S51" s="6">
        <v>1</v>
      </c>
      <c r="T51" s="5">
        <f t="shared" si="18"/>
        <v>3</v>
      </c>
    </row>
    <row r="52" spans="1:20" ht="13.15" customHeight="1" x14ac:dyDescent="0.3">
      <c r="A52" s="7"/>
      <c r="B52" s="50"/>
      <c r="C52" s="24" t="s">
        <v>121</v>
      </c>
      <c r="D52" s="49"/>
      <c r="E52" s="6">
        <v>0</v>
      </c>
      <c r="F52" s="6">
        <v>0</v>
      </c>
      <c r="G52" s="6">
        <v>1</v>
      </c>
      <c r="H52" s="6">
        <v>0</v>
      </c>
      <c r="I52" s="6">
        <v>0</v>
      </c>
      <c r="J52" s="6">
        <v>0</v>
      </c>
      <c r="K52" s="6">
        <v>0</v>
      </c>
      <c r="L52" s="6">
        <v>2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5">
        <f t="shared" si="18"/>
        <v>3</v>
      </c>
    </row>
    <row r="53" spans="1:20" ht="13.15" customHeight="1" x14ac:dyDescent="0.3">
      <c r="A53" s="7"/>
      <c r="B53" s="50"/>
      <c r="C53" s="24" t="s">
        <v>122</v>
      </c>
      <c r="D53" s="51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2</v>
      </c>
      <c r="K53" s="6">
        <v>1</v>
      </c>
      <c r="L53" s="6">
        <v>0</v>
      </c>
      <c r="M53" s="6">
        <v>0</v>
      </c>
      <c r="N53" s="6">
        <v>0</v>
      </c>
      <c r="O53" s="6">
        <v>1</v>
      </c>
      <c r="P53" s="6">
        <v>0</v>
      </c>
      <c r="Q53" s="6">
        <v>0</v>
      </c>
      <c r="R53" s="6">
        <v>0</v>
      </c>
      <c r="S53" s="6">
        <v>0</v>
      </c>
      <c r="T53" s="5">
        <f t="shared" si="18"/>
        <v>4</v>
      </c>
    </row>
    <row r="54" spans="1:20" ht="13.15" customHeight="1" x14ac:dyDescent="0.3">
      <c r="A54" s="7"/>
      <c r="B54" s="50"/>
      <c r="C54" s="24" t="s">
        <v>123</v>
      </c>
      <c r="D54" s="49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1</v>
      </c>
      <c r="T54" s="5">
        <f t="shared" si="18"/>
        <v>1</v>
      </c>
    </row>
    <row r="55" spans="1:20" x14ac:dyDescent="0.3">
      <c r="A55" s="6" t="s">
        <v>26</v>
      </c>
      <c r="B55" s="84" t="s">
        <v>51</v>
      </c>
      <c r="C55" s="63"/>
      <c r="D55" s="64"/>
      <c r="E55" s="5">
        <f>SUM(E45:E54)</f>
        <v>22</v>
      </c>
      <c r="F55" s="5">
        <f t="shared" ref="F55:T55" si="19">SUM(F45:F54)</f>
        <v>14</v>
      </c>
      <c r="G55" s="5">
        <f t="shared" si="19"/>
        <v>18</v>
      </c>
      <c r="H55" s="5">
        <f t="shared" si="19"/>
        <v>11</v>
      </c>
      <c r="I55" s="5">
        <f t="shared" si="19"/>
        <v>20</v>
      </c>
      <c r="J55" s="5">
        <f t="shared" si="19"/>
        <v>34</v>
      </c>
      <c r="K55" s="5">
        <f t="shared" si="19"/>
        <v>21</v>
      </c>
      <c r="L55" s="5">
        <f t="shared" si="19"/>
        <v>23</v>
      </c>
      <c r="M55" s="5">
        <f t="shared" si="19"/>
        <v>11</v>
      </c>
      <c r="N55" s="5">
        <f t="shared" si="19"/>
        <v>16</v>
      </c>
      <c r="O55" s="5">
        <f t="shared" si="19"/>
        <v>24</v>
      </c>
      <c r="P55" s="5">
        <f t="shared" si="19"/>
        <v>36</v>
      </c>
      <c r="Q55" s="5">
        <f t="shared" si="19"/>
        <v>27</v>
      </c>
      <c r="R55" s="5">
        <f t="shared" si="19"/>
        <v>55</v>
      </c>
      <c r="S55" s="5">
        <f t="shared" si="19"/>
        <v>33</v>
      </c>
      <c r="T55" s="5">
        <f t="shared" si="19"/>
        <v>365</v>
      </c>
    </row>
    <row r="56" spans="1:20" x14ac:dyDescent="0.3">
      <c r="A56" s="83"/>
      <c r="B56" s="82"/>
      <c r="C56" s="82"/>
      <c r="D56" s="82"/>
      <c r="E56" s="82"/>
      <c r="T56" s="5"/>
    </row>
    <row r="57" spans="1:20" x14ac:dyDescent="0.3">
      <c r="A57" s="11" t="s">
        <v>48</v>
      </c>
      <c r="B57" s="17" t="s">
        <v>30</v>
      </c>
      <c r="C57" s="86" t="s">
        <v>52</v>
      </c>
      <c r="D57" s="64"/>
      <c r="E57" s="6">
        <v>24</v>
      </c>
      <c r="F57" s="6">
        <v>15</v>
      </c>
      <c r="G57" s="6">
        <v>13</v>
      </c>
      <c r="H57" s="6">
        <v>23</v>
      </c>
      <c r="I57" s="6">
        <v>19</v>
      </c>
      <c r="J57" s="6">
        <v>12</v>
      </c>
      <c r="K57" s="6">
        <v>11</v>
      </c>
      <c r="L57" s="6">
        <v>11</v>
      </c>
      <c r="M57" s="6">
        <v>9</v>
      </c>
      <c r="N57" s="6">
        <v>5</v>
      </c>
      <c r="O57" s="6">
        <v>12</v>
      </c>
      <c r="P57" s="6">
        <v>6</v>
      </c>
      <c r="Q57" s="6">
        <v>21</v>
      </c>
      <c r="R57" s="6">
        <v>8</v>
      </c>
      <c r="S57" s="6">
        <v>10</v>
      </c>
      <c r="T57" s="5">
        <f t="shared" ref="T57:T66" si="20">SUM(E57:S57)</f>
        <v>199</v>
      </c>
    </row>
    <row r="58" spans="1:20" x14ac:dyDescent="0.3">
      <c r="A58" s="11" t="s">
        <v>50</v>
      </c>
      <c r="B58" s="50"/>
      <c r="C58" s="24" t="s">
        <v>124</v>
      </c>
      <c r="D58" s="49"/>
      <c r="E58" s="6">
        <v>11</v>
      </c>
      <c r="F58" s="6">
        <v>13</v>
      </c>
      <c r="G58" s="6">
        <v>14</v>
      </c>
      <c r="H58" s="6">
        <v>13</v>
      </c>
      <c r="I58" s="6">
        <v>15</v>
      </c>
      <c r="J58" s="6">
        <v>24</v>
      </c>
      <c r="K58" s="6">
        <v>7</v>
      </c>
      <c r="L58" s="6">
        <v>26</v>
      </c>
      <c r="M58" s="6">
        <v>15</v>
      </c>
      <c r="N58" s="6">
        <v>31</v>
      </c>
      <c r="O58" s="6">
        <v>9</v>
      </c>
      <c r="P58" s="6">
        <v>7</v>
      </c>
      <c r="Q58" s="6">
        <v>14</v>
      </c>
      <c r="R58" s="6">
        <v>10</v>
      </c>
      <c r="S58" s="6">
        <v>8</v>
      </c>
      <c r="T58" s="5">
        <f t="shared" si="20"/>
        <v>217</v>
      </c>
    </row>
    <row r="59" spans="1:20" x14ac:dyDescent="0.3">
      <c r="A59" s="7"/>
      <c r="B59" s="50"/>
      <c r="C59" s="24" t="s">
        <v>125</v>
      </c>
      <c r="D59" s="49"/>
      <c r="E59" s="6">
        <v>64</v>
      </c>
      <c r="F59" s="6">
        <v>63</v>
      </c>
      <c r="G59" s="6">
        <v>56</v>
      </c>
      <c r="H59" s="6">
        <v>82</v>
      </c>
      <c r="I59" s="6">
        <v>64</v>
      </c>
      <c r="J59" s="6">
        <v>60</v>
      </c>
      <c r="K59" s="6">
        <v>54</v>
      </c>
      <c r="L59" s="6">
        <v>36</v>
      </c>
      <c r="M59" s="6">
        <v>37</v>
      </c>
      <c r="N59" s="6">
        <v>44</v>
      </c>
      <c r="O59" s="6">
        <v>12</v>
      </c>
      <c r="P59" s="6">
        <v>4</v>
      </c>
      <c r="Q59" s="6">
        <v>14</v>
      </c>
      <c r="R59" s="6">
        <v>11</v>
      </c>
      <c r="S59" s="6">
        <v>9</v>
      </c>
      <c r="T59" s="5">
        <f t="shared" si="20"/>
        <v>610</v>
      </c>
    </row>
    <row r="60" spans="1:20" x14ac:dyDescent="0.3">
      <c r="A60" s="7"/>
      <c r="B60" s="50"/>
      <c r="C60" s="24" t="s">
        <v>126</v>
      </c>
      <c r="D60" s="49"/>
      <c r="E60" s="6">
        <v>1</v>
      </c>
      <c r="F60" s="6">
        <v>0</v>
      </c>
      <c r="G60" s="6">
        <v>1</v>
      </c>
      <c r="H60" s="6">
        <v>1</v>
      </c>
      <c r="I60" s="6">
        <v>4</v>
      </c>
      <c r="J60" s="6">
        <v>1</v>
      </c>
      <c r="K60" s="6">
        <v>3</v>
      </c>
      <c r="L60" s="6">
        <v>2</v>
      </c>
      <c r="M60" s="6">
        <v>0</v>
      </c>
      <c r="N60" s="6">
        <v>4</v>
      </c>
      <c r="O60" s="6">
        <v>3</v>
      </c>
      <c r="P60" s="6">
        <v>0</v>
      </c>
      <c r="Q60" s="6">
        <v>1</v>
      </c>
      <c r="R60" s="6">
        <v>2</v>
      </c>
      <c r="S60" s="6">
        <v>5</v>
      </c>
      <c r="T60" s="5">
        <f t="shared" si="20"/>
        <v>28</v>
      </c>
    </row>
    <row r="61" spans="1:20" x14ac:dyDescent="0.3">
      <c r="A61" s="7"/>
      <c r="B61" s="50"/>
      <c r="C61" s="24" t="s">
        <v>127</v>
      </c>
      <c r="D61" s="49"/>
      <c r="E61" s="6">
        <v>1</v>
      </c>
      <c r="F61" s="6">
        <v>0</v>
      </c>
      <c r="G61" s="6">
        <v>0</v>
      </c>
      <c r="H61" s="6">
        <v>8</v>
      </c>
      <c r="I61" s="6">
        <v>5</v>
      </c>
      <c r="J61" s="6">
        <v>6</v>
      </c>
      <c r="K61" s="6">
        <v>11</v>
      </c>
      <c r="L61" s="6">
        <v>4</v>
      </c>
      <c r="M61" s="6">
        <v>14</v>
      </c>
      <c r="N61" s="6">
        <v>28</v>
      </c>
      <c r="O61" s="6">
        <v>1</v>
      </c>
      <c r="P61" s="6">
        <v>1</v>
      </c>
      <c r="Q61" s="6">
        <v>2</v>
      </c>
      <c r="R61" s="6">
        <v>18</v>
      </c>
      <c r="S61" s="6">
        <v>1</v>
      </c>
      <c r="T61" s="5">
        <f t="shared" si="20"/>
        <v>100</v>
      </c>
    </row>
    <row r="62" spans="1:20" x14ac:dyDescent="0.3">
      <c r="A62" s="7"/>
      <c r="B62" s="50"/>
      <c r="C62" s="24" t="s">
        <v>128</v>
      </c>
      <c r="D62" s="49"/>
      <c r="E62" s="6">
        <v>1</v>
      </c>
      <c r="F62" s="6">
        <v>2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1</v>
      </c>
      <c r="N62" s="6">
        <v>1</v>
      </c>
      <c r="O62" s="6">
        <v>0</v>
      </c>
      <c r="P62" s="6">
        <v>0</v>
      </c>
      <c r="Q62" s="6">
        <v>0</v>
      </c>
      <c r="R62" s="6">
        <v>0</v>
      </c>
      <c r="S62" s="6">
        <v>1</v>
      </c>
      <c r="T62" s="5">
        <f t="shared" si="20"/>
        <v>6</v>
      </c>
    </row>
    <row r="63" spans="1:20" ht="13.15" customHeight="1" x14ac:dyDescent="0.3">
      <c r="A63" s="7"/>
      <c r="B63" s="50"/>
      <c r="C63" s="24" t="s">
        <v>129</v>
      </c>
      <c r="D63" s="49"/>
      <c r="E63" s="6">
        <v>0</v>
      </c>
      <c r="F63" s="6">
        <v>1</v>
      </c>
      <c r="G63" s="6">
        <v>0</v>
      </c>
      <c r="H63" s="6">
        <v>1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1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5">
        <f t="shared" si="20"/>
        <v>3</v>
      </c>
    </row>
    <row r="64" spans="1:20" x14ac:dyDescent="0.3">
      <c r="A64" s="7"/>
      <c r="B64" s="50"/>
      <c r="C64" s="24" t="s">
        <v>130</v>
      </c>
      <c r="D64" s="49"/>
      <c r="E64" s="6">
        <v>0</v>
      </c>
      <c r="F64" s="6">
        <v>1</v>
      </c>
      <c r="G64" s="6">
        <v>0</v>
      </c>
      <c r="H64" s="6">
        <v>0</v>
      </c>
      <c r="I64" s="6">
        <v>1</v>
      </c>
      <c r="J64" s="6">
        <v>1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1</v>
      </c>
      <c r="R64" s="6">
        <v>0</v>
      </c>
      <c r="S64" s="6">
        <v>1</v>
      </c>
      <c r="T64" s="5">
        <f t="shared" si="20"/>
        <v>5</v>
      </c>
    </row>
    <row r="65" spans="1:20" x14ac:dyDescent="0.3">
      <c r="A65" s="7"/>
      <c r="B65" s="50"/>
      <c r="C65" s="24" t="s">
        <v>131</v>
      </c>
      <c r="D65" s="49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1</v>
      </c>
      <c r="K65" s="6">
        <v>2</v>
      </c>
      <c r="L65" s="6">
        <v>1</v>
      </c>
      <c r="M65" s="6">
        <v>0</v>
      </c>
      <c r="N65" s="6">
        <v>1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5">
        <f t="shared" si="20"/>
        <v>5</v>
      </c>
    </row>
    <row r="66" spans="1:20" x14ac:dyDescent="0.3">
      <c r="A66" s="7"/>
      <c r="B66" s="50"/>
      <c r="C66" s="24" t="s">
        <v>132</v>
      </c>
      <c r="D66" s="49"/>
      <c r="E66" s="6">
        <v>1</v>
      </c>
      <c r="F66" s="6">
        <v>1</v>
      </c>
      <c r="G66" s="6">
        <v>0</v>
      </c>
      <c r="H66" s="6">
        <v>0</v>
      </c>
      <c r="I66" s="6">
        <v>1</v>
      </c>
      <c r="J66" s="6">
        <v>0</v>
      </c>
      <c r="K66" s="6">
        <v>0</v>
      </c>
      <c r="L66" s="6">
        <v>0</v>
      </c>
      <c r="M66" s="6">
        <v>0</v>
      </c>
      <c r="N66" s="6">
        <v>1</v>
      </c>
      <c r="O66" s="6">
        <v>0</v>
      </c>
      <c r="P66" s="6">
        <v>0</v>
      </c>
      <c r="Q66" s="6">
        <v>1</v>
      </c>
      <c r="R66" s="6">
        <v>0</v>
      </c>
      <c r="S66" s="6">
        <v>0</v>
      </c>
      <c r="T66" s="5">
        <f t="shared" si="20"/>
        <v>5</v>
      </c>
    </row>
    <row r="67" spans="1:20" x14ac:dyDescent="0.3">
      <c r="A67" s="6" t="s">
        <v>26</v>
      </c>
      <c r="B67" s="84" t="s">
        <v>51</v>
      </c>
      <c r="C67" s="63"/>
      <c r="D67" s="64"/>
      <c r="E67" s="5">
        <f t="shared" ref="E67:T67" si="21">SUM(E57:E66)</f>
        <v>103</v>
      </c>
      <c r="F67" s="5">
        <f t="shared" si="21"/>
        <v>96</v>
      </c>
      <c r="G67" s="5">
        <f t="shared" si="21"/>
        <v>84</v>
      </c>
      <c r="H67" s="5">
        <f t="shared" si="21"/>
        <v>128</v>
      </c>
      <c r="I67" s="5">
        <f t="shared" si="21"/>
        <v>109</v>
      </c>
      <c r="J67" s="5">
        <f t="shared" si="21"/>
        <v>105</v>
      </c>
      <c r="K67" s="5">
        <f t="shared" si="21"/>
        <v>88</v>
      </c>
      <c r="L67" s="5">
        <f t="shared" si="21"/>
        <v>80</v>
      </c>
      <c r="M67" s="5">
        <f t="shared" si="21"/>
        <v>76</v>
      </c>
      <c r="N67" s="5">
        <f t="shared" si="21"/>
        <v>116</v>
      </c>
      <c r="O67" s="5">
        <f t="shared" si="21"/>
        <v>37</v>
      </c>
      <c r="P67" s="5">
        <f t="shared" si="21"/>
        <v>18</v>
      </c>
      <c r="Q67" s="5">
        <f t="shared" si="21"/>
        <v>54</v>
      </c>
      <c r="R67" s="5">
        <f t="shared" si="21"/>
        <v>49</v>
      </c>
      <c r="S67" s="5">
        <f t="shared" si="21"/>
        <v>35</v>
      </c>
      <c r="T67" s="5">
        <f t="shared" si="21"/>
        <v>1178</v>
      </c>
    </row>
    <row r="68" spans="1:20" x14ac:dyDescent="0.3">
      <c r="A68" s="83"/>
      <c r="B68" s="82"/>
      <c r="C68" s="82"/>
      <c r="D68" s="82"/>
      <c r="E68" s="82"/>
    </row>
    <row r="69" spans="1:20" x14ac:dyDescent="0.3">
      <c r="A69" s="11" t="s">
        <v>48</v>
      </c>
      <c r="B69" s="17" t="s">
        <v>32</v>
      </c>
      <c r="C69" s="86" t="s">
        <v>53</v>
      </c>
      <c r="D69" s="64"/>
      <c r="E69" s="6">
        <v>6</v>
      </c>
      <c r="F69" s="6">
        <v>8</v>
      </c>
      <c r="G69" s="6">
        <v>0</v>
      </c>
      <c r="H69" s="6">
        <v>4</v>
      </c>
      <c r="I69" s="6">
        <v>5</v>
      </c>
      <c r="J69" s="6">
        <v>2</v>
      </c>
      <c r="K69" s="6">
        <v>2</v>
      </c>
      <c r="L69" s="6">
        <v>3</v>
      </c>
      <c r="M69" s="6">
        <v>2</v>
      </c>
      <c r="N69" s="6">
        <v>1</v>
      </c>
      <c r="O69" s="6">
        <v>4</v>
      </c>
      <c r="P69" s="6">
        <v>4</v>
      </c>
      <c r="Q69" s="6">
        <v>3</v>
      </c>
      <c r="R69" s="6">
        <v>8</v>
      </c>
      <c r="S69" s="6">
        <v>9</v>
      </c>
      <c r="T69" s="5">
        <f t="shared" ref="T69:T78" si="22">SUM(E69:S69)</f>
        <v>61</v>
      </c>
    </row>
    <row r="70" spans="1:20" x14ac:dyDescent="0.3">
      <c r="A70" s="11" t="s">
        <v>50</v>
      </c>
      <c r="B70" s="50"/>
      <c r="C70" s="24" t="s">
        <v>133</v>
      </c>
      <c r="D70" s="49"/>
      <c r="E70" s="6">
        <v>6</v>
      </c>
      <c r="F70" s="6">
        <v>3</v>
      </c>
      <c r="G70" s="6">
        <v>10</v>
      </c>
      <c r="H70" s="6">
        <v>3</v>
      </c>
      <c r="I70" s="6">
        <v>3</v>
      </c>
      <c r="J70" s="6">
        <v>1</v>
      </c>
      <c r="K70" s="6">
        <v>1</v>
      </c>
      <c r="L70" s="6">
        <v>2</v>
      </c>
      <c r="M70" s="6">
        <v>6</v>
      </c>
      <c r="N70" s="6">
        <v>1</v>
      </c>
      <c r="O70" s="6">
        <v>0</v>
      </c>
      <c r="P70" s="6">
        <v>5</v>
      </c>
      <c r="Q70" s="6">
        <v>3</v>
      </c>
      <c r="R70" s="6">
        <v>5</v>
      </c>
      <c r="S70" s="6">
        <v>7</v>
      </c>
      <c r="T70" s="5">
        <f t="shared" si="22"/>
        <v>56</v>
      </c>
    </row>
    <row r="71" spans="1:20" x14ac:dyDescent="0.3">
      <c r="A71" s="7"/>
      <c r="B71" s="50"/>
      <c r="C71" s="24" t="s">
        <v>134</v>
      </c>
      <c r="D71" s="49"/>
      <c r="E71" s="6">
        <v>6</v>
      </c>
      <c r="F71" s="6">
        <v>5</v>
      </c>
      <c r="G71" s="6">
        <v>8</v>
      </c>
      <c r="H71" s="6">
        <v>6</v>
      </c>
      <c r="I71" s="6">
        <v>8</v>
      </c>
      <c r="J71" s="6">
        <v>4</v>
      </c>
      <c r="K71" s="6">
        <v>3</v>
      </c>
      <c r="L71" s="6">
        <v>2</v>
      </c>
      <c r="M71" s="6">
        <v>1</v>
      </c>
      <c r="N71" s="6">
        <v>4</v>
      </c>
      <c r="O71" s="6">
        <v>1</v>
      </c>
      <c r="P71" s="6">
        <v>3</v>
      </c>
      <c r="Q71" s="6">
        <v>5</v>
      </c>
      <c r="R71" s="6">
        <v>5</v>
      </c>
      <c r="S71" s="6">
        <v>9</v>
      </c>
      <c r="T71" s="5">
        <f t="shared" si="22"/>
        <v>70</v>
      </c>
    </row>
    <row r="72" spans="1:20" x14ac:dyDescent="0.3">
      <c r="A72" s="7"/>
      <c r="B72" s="50"/>
      <c r="C72" s="24" t="s">
        <v>135</v>
      </c>
      <c r="D72" s="49"/>
      <c r="E72" s="6">
        <v>3</v>
      </c>
      <c r="F72" s="6">
        <v>2</v>
      </c>
      <c r="G72" s="6">
        <v>3</v>
      </c>
      <c r="H72" s="6">
        <v>0</v>
      </c>
      <c r="I72" s="6">
        <v>3</v>
      </c>
      <c r="J72" s="6">
        <v>3</v>
      </c>
      <c r="K72" s="6">
        <v>2</v>
      </c>
      <c r="L72" s="6">
        <v>2</v>
      </c>
      <c r="M72" s="6">
        <v>0</v>
      </c>
      <c r="N72" s="6">
        <v>1</v>
      </c>
      <c r="O72" s="6">
        <v>1</v>
      </c>
      <c r="P72" s="6">
        <v>1</v>
      </c>
      <c r="Q72" s="6">
        <v>1</v>
      </c>
      <c r="R72" s="6">
        <v>1</v>
      </c>
      <c r="S72" s="6">
        <v>4</v>
      </c>
      <c r="T72" s="5">
        <f t="shared" si="22"/>
        <v>27</v>
      </c>
    </row>
    <row r="73" spans="1:20" x14ac:dyDescent="0.3">
      <c r="A73" s="7"/>
      <c r="B73" s="50"/>
      <c r="C73" s="24" t="s">
        <v>136</v>
      </c>
      <c r="D73" s="49"/>
      <c r="E73" s="6">
        <v>3</v>
      </c>
      <c r="F73" s="6">
        <v>1</v>
      </c>
      <c r="G73" s="6">
        <v>11</v>
      </c>
      <c r="H73" s="6">
        <v>5</v>
      </c>
      <c r="I73" s="6">
        <v>6</v>
      </c>
      <c r="J73" s="6">
        <v>4</v>
      </c>
      <c r="K73" s="6">
        <v>8</v>
      </c>
      <c r="L73" s="6">
        <v>10</v>
      </c>
      <c r="M73" s="6">
        <v>11</v>
      </c>
      <c r="N73" s="6">
        <v>3</v>
      </c>
      <c r="O73" s="6">
        <v>0</v>
      </c>
      <c r="P73" s="6">
        <v>0</v>
      </c>
      <c r="Q73" s="6">
        <v>5</v>
      </c>
      <c r="R73" s="6">
        <v>2</v>
      </c>
      <c r="S73" s="6">
        <v>4</v>
      </c>
      <c r="T73" s="5">
        <f t="shared" si="22"/>
        <v>73</v>
      </c>
    </row>
    <row r="74" spans="1:20" ht="13.15" customHeight="1" x14ac:dyDescent="0.3">
      <c r="A74" s="7"/>
      <c r="B74" s="50"/>
      <c r="C74" s="24" t="s">
        <v>137</v>
      </c>
      <c r="D74" s="49"/>
      <c r="E74" s="6">
        <v>0</v>
      </c>
      <c r="F74" s="6">
        <v>0</v>
      </c>
      <c r="G74" s="6">
        <v>2</v>
      </c>
      <c r="H74" s="6">
        <v>0</v>
      </c>
      <c r="I74" s="6">
        <v>0</v>
      </c>
      <c r="J74" s="6">
        <v>3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2</v>
      </c>
      <c r="R74" s="6">
        <v>0</v>
      </c>
      <c r="S74" s="6">
        <v>1</v>
      </c>
      <c r="T74" s="5">
        <f t="shared" si="22"/>
        <v>8</v>
      </c>
    </row>
    <row r="75" spans="1:20" x14ac:dyDescent="0.3">
      <c r="A75" s="7"/>
      <c r="B75" s="50"/>
      <c r="C75" s="24" t="s">
        <v>138</v>
      </c>
      <c r="D75" s="49"/>
      <c r="E75" s="6">
        <v>0</v>
      </c>
      <c r="F75" s="6">
        <v>0</v>
      </c>
      <c r="G75" s="6">
        <v>1</v>
      </c>
      <c r="H75" s="6">
        <v>0</v>
      </c>
      <c r="I75" s="6">
        <v>2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2</v>
      </c>
      <c r="R75" s="6">
        <v>0</v>
      </c>
      <c r="S75" s="6">
        <v>0</v>
      </c>
      <c r="T75" s="5">
        <f t="shared" si="22"/>
        <v>5</v>
      </c>
    </row>
    <row r="76" spans="1:20" x14ac:dyDescent="0.3">
      <c r="A76" s="7"/>
      <c r="B76" s="50"/>
      <c r="C76" s="24" t="s">
        <v>139</v>
      </c>
      <c r="D76" s="49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5">
        <f t="shared" si="22"/>
        <v>0</v>
      </c>
    </row>
    <row r="77" spans="1:20" x14ac:dyDescent="0.3">
      <c r="A77" s="7"/>
      <c r="B77" s="50"/>
      <c r="C77" s="24" t="s">
        <v>140</v>
      </c>
      <c r="D77" s="49"/>
      <c r="E77" s="6">
        <v>1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1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5">
        <f t="shared" si="22"/>
        <v>2</v>
      </c>
    </row>
    <row r="78" spans="1:20" x14ac:dyDescent="0.3">
      <c r="A78" s="7"/>
      <c r="B78" s="50"/>
      <c r="C78" s="24" t="s">
        <v>141</v>
      </c>
      <c r="D78" s="49"/>
      <c r="E78" s="6">
        <v>0</v>
      </c>
      <c r="F78" s="6">
        <v>0</v>
      </c>
      <c r="G78" s="6">
        <v>0</v>
      </c>
      <c r="H78" s="6">
        <v>1</v>
      </c>
      <c r="I78" s="6">
        <v>0</v>
      </c>
      <c r="J78" s="6">
        <v>0</v>
      </c>
      <c r="K78" s="6">
        <v>0</v>
      </c>
      <c r="L78" s="6">
        <v>0</v>
      </c>
      <c r="M78" s="6">
        <v>1</v>
      </c>
      <c r="N78" s="6">
        <v>0</v>
      </c>
      <c r="O78" s="6">
        <v>1</v>
      </c>
      <c r="P78" s="6">
        <v>0</v>
      </c>
      <c r="Q78" s="6">
        <v>0</v>
      </c>
      <c r="R78" s="6">
        <v>1</v>
      </c>
      <c r="S78" s="6">
        <v>0</v>
      </c>
      <c r="T78" s="5">
        <f t="shared" si="22"/>
        <v>4</v>
      </c>
    </row>
    <row r="79" spans="1:20" x14ac:dyDescent="0.3">
      <c r="A79" s="6" t="s">
        <v>26</v>
      </c>
      <c r="B79" s="84" t="s">
        <v>51</v>
      </c>
      <c r="C79" s="63"/>
      <c r="D79" s="64"/>
      <c r="E79" s="5">
        <f t="shared" ref="E79:T79" si="23">SUM(E69:E78)</f>
        <v>25</v>
      </c>
      <c r="F79" s="5">
        <f t="shared" si="23"/>
        <v>19</v>
      </c>
      <c r="G79" s="5">
        <f t="shared" si="23"/>
        <v>35</v>
      </c>
      <c r="H79" s="5">
        <f t="shared" si="23"/>
        <v>19</v>
      </c>
      <c r="I79" s="5">
        <f t="shared" si="23"/>
        <v>27</v>
      </c>
      <c r="J79" s="5">
        <f t="shared" si="23"/>
        <v>17</v>
      </c>
      <c r="K79" s="5">
        <f t="shared" si="23"/>
        <v>16</v>
      </c>
      <c r="L79" s="5">
        <f t="shared" si="23"/>
        <v>19</v>
      </c>
      <c r="M79" s="5">
        <f t="shared" si="23"/>
        <v>22</v>
      </c>
      <c r="N79" s="5">
        <f t="shared" si="23"/>
        <v>10</v>
      </c>
      <c r="O79" s="5">
        <f t="shared" si="23"/>
        <v>7</v>
      </c>
      <c r="P79" s="5">
        <f t="shared" si="23"/>
        <v>13</v>
      </c>
      <c r="Q79" s="5">
        <f t="shared" si="23"/>
        <v>21</v>
      </c>
      <c r="R79" s="5">
        <f t="shared" si="23"/>
        <v>22</v>
      </c>
      <c r="S79" s="5">
        <f t="shared" si="23"/>
        <v>34</v>
      </c>
      <c r="T79" s="5">
        <f t="shared" si="23"/>
        <v>306</v>
      </c>
    </row>
    <row r="80" spans="1:20" x14ac:dyDescent="0.3">
      <c r="A80" s="83"/>
      <c r="B80" s="82"/>
      <c r="C80" s="82"/>
      <c r="D80" s="82"/>
      <c r="E80" s="82"/>
    </row>
    <row r="81" spans="1:20" x14ac:dyDescent="0.3">
      <c r="A81" s="11" t="s">
        <v>48</v>
      </c>
      <c r="B81" s="17" t="s">
        <v>34</v>
      </c>
      <c r="C81" s="86" t="s">
        <v>54</v>
      </c>
      <c r="D81" s="64"/>
      <c r="E81" s="6">
        <v>1</v>
      </c>
      <c r="F81" s="6">
        <v>0</v>
      </c>
      <c r="G81" s="6">
        <v>1</v>
      </c>
      <c r="H81" s="6">
        <v>2</v>
      </c>
      <c r="I81" s="6">
        <v>3</v>
      </c>
      <c r="J81" s="6">
        <v>0</v>
      </c>
      <c r="K81" s="6">
        <v>3</v>
      </c>
      <c r="L81" s="6">
        <v>1</v>
      </c>
      <c r="M81" s="6">
        <v>1</v>
      </c>
      <c r="N81" s="6">
        <v>2</v>
      </c>
      <c r="O81" s="6">
        <v>3</v>
      </c>
      <c r="P81" s="6">
        <v>2</v>
      </c>
      <c r="Q81" s="6">
        <v>2</v>
      </c>
      <c r="R81" s="6">
        <v>0</v>
      </c>
      <c r="S81" s="6">
        <v>2</v>
      </c>
      <c r="T81" s="5">
        <f t="shared" ref="T81:T90" si="24">SUM(E81:S81)</f>
        <v>23</v>
      </c>
    </row>
    <row r="82" spans="1:20" x14ac:dyDescent="0.3">
      <c r="A82" s="11" t="s">
        <v>50</v>
      </c>
      <c r="B82" s="50"/>
      <c r="C82" s="24" t="s">
        <v>142</v>
      </c>
      <c r="D82" s="49"/>
      <c r="E82" s="6">
        <v>5</v>
      </c>
      <c r="F82" s="6">
        <v>4</v>
      </c>
      <c r="G82" s="6">
        <v>2</v>
      </c>
      <c r="H82" s="6">
        <v>5</v>
      </c>
      <c r="I82" s="6">
        <v>2</v>
      </c>
      <c r="J82" s="6">
        <v>2</v>
      </c>
      <c r="K82" s="6">
        <v>3</v>
      </c>
      <c r="L82" s="6">
        <v>3</v>
      </c>
      <c r="M82" s="6">
        <v>3</v>
      </c>
      <c r="N82" s="6">
        <v>5</v>
      </c>
      <c r="O82" s="6">
        <v>2</v>
      </c>
      <c r="P82" s="6">
        <v>2</v>
      </c>
      <c r="Q82" s="6">
        <v>7</v>
      </c>
      <c r="R82" s="6">
        <v>4</v>
      </c>
      <c r="S82" s="6">
        <v>3</v>
      </c>
      <c r="T82" s="5">
        <f t="shared" si="24"/>
        <v>52</v>
      </c>
    </row>
    <row r="83" spans="1:20" x14ac:dyDescent="0.3">
      <c r="A83" s="7"/>
      <c r="B83" s="50"/>
      <c r="C83" s="24" t="s">
        <v>143</v>
      </c>
      <c r="D83" s="49"/>
      <c r="E83" s="6">
        <v>1</v>
      </c>
      <c r="F83" s="6">
        <v>0</v>
      </c>
      <c r="G83" s="6">
        <v>0</v>
      </c>
      <c r="H83" s="6">
        <v>1</v>
      </c>
      <c r="I83" s="6">
        <v>0</v>
      </c>
      <c r="J83" s="6">
        <v>0</v>
      </c>
      <c r="K83" s="6">
        <v>1</v>
      </c>
      <c r="L83" s="6">
        <v>0</v>
      </c>
      <c r="M83" s="6">
        <v>1</v>
      </c>
      <c r="N83" s="6">
        <v>1</v>
      </c>
      <c r="O83" s="6">
        <v>0</v>
      </c>
      <c r="P83" s="6">
        <v>1</v>
      </c>
      <c r="Q83" s="6">
        <v>0</v>
      </c>
      <c r="R83" s="6">
        <v>0</v>
      </c>
      <c r="S83" s="6">
        <v>2</v>
      </c>
      <c r="T83" s="5">
        <f t="shared" si="24"/>
        <v>8</v>
      </c>
    </row>
    <row r="84" spans="1:20" x14ac:dyDescent="0.3">
      <c r="A84" s="7"/>
      <c r="B84" s="50"/>
      <c r="C84" s="24" t="s">
        <v>144</v>
      </c>
      <c r="D84" s="49"/>
      <c r="E84" s="6">
        <v>0</v>
      </c>
      <c r="F84" s="6">
        <v>0</v>
      </c>
      <c r="G84" s="6">
        <v>0</v>
      </c>
      <c r="H84" s="6">
        <v>0</v>
      </c>
      <c r="I84" s="6">
        <v>1</v>
      </c>
      <c r="J84" s="6">
        <v>1</v>
      </c>
      <c r="K84" s="6">
        <v>0</v>
      </c>
      <c r="L84" s="6">
        <v>1</v>
      </c>
      <c r="M84" s="6">
        <v>0</v>
      </c>
      <c r="N84" s="6">
        <v>3</v>
      </c>
      <c r="O84" s="6">
        <v>1</v>
      </c>
      <c r="P84" s="6">
        <v>0</v>
      </c>
      <c r="Q84" s="6">
        <v>0</v>
      </c>
      <c r="R84" s="6">
        <v>1</v>
      </c>
      <c r="S84" s="6">
        <v>0</v>
      </c>
      <c r="T84" s="5">
        <f t="shared" si="24"/>
        <v>8</v>
      </c>
    </row>
    <row r="85" spans="1:20" ht="13.15" customHeight="1" x14ac:dyDescent="0.3">
      <c r="A85" s="7"/>
      <c r="B85" s="50"/>
      <c r="C85" s="24" t="s">
        <v>145</v>
      </c>
      <c r="D85" s="49"/>
      <c r="E85" s="6">
        <v>0</v>
      </c>
      <c r="F85" s="6">
        <v>1</v>
      </c>
      <c r="G85" s="6">
        <v>1</v>
      </c>
      <c r="H85" s="6">
        <v>0</v>
      </c>
      <c r="I85" s="6">
        <v>2</v>
      </c>
      <c r="J85" s="6">
        <v>3</v>
      </c>
      <c r="K85" s="6">
        <v>3</v>
      </c>
      <c r="L85" s="6">
        <v>0</v>
      </c>
      <c r="M85" s="6">
        <v>1</v>
      </c>
      <c r="N85" s="6">
        <v>0</v>
      </c>
      <c r="O85" s="6">
        <v>0</v>
      </c>
      <c r="P85" s="6">
        <v>1</v>
      </c>
      <c r="Q85" s="6">
        <v>1</v>
      </c>
      <c r="R85" s="6">
        <v>0</v>
      </c>
      <c r="S85" s="6">
        <v>0</v>
      </c>
      <c r="T85" s="5">
        <f t="shared" si="24"/>
        <v>13</v>
      </c>
    </row>
    <row r="86" spans="1:20" x14ac:dyDescent="0.3">
      <c r="A86" s="7"/>
      <c r="B86" s="50"/>
      <c r="C86" s="24" t="s">
        <v>146</v>
      </c>
      <c r="D86" s="49"/>
      <c r="E86" s="6">
        <v>2</v>
      </c>
      <c r="F86" s="6">
        <v>0</v>
      </c>
      <c r="G86" s="6">
        <v>1</v>
      </c>
      <c r="H86" s="6">
        <v>1</v>
      </c>
      <c r="I86" s="6">
        <v>1</v>
      </c>
      <c r="J86" s="6">
        <v>0</v>
      </c>
      <c r="K86" s="6">
        <v>0</v>
      </c>
      <c r="L86" s="6">
        <v>2</v>
      </c>
      <c r="M86" s="6">
        <v>2</v>
      </c>
      <c r="N86" s="6">
        <v>4</v>
      </c>
      <c r="O86" s="6">
        <v>0</v>
      </c>
      <c r="P86" s="6">
        <v>0</v>
      </c>
      <c r="Q86" s="6">
        <v>7</v>
      </c>
      <c r="R86" s="6">
        <v>6</v>
      </c>
      <c r="S86" s="6">
        <v>22</v>
      </c>
      <c r="T86" s="5">
        <f t="shared" si="24"/>
        <v>48</v>
      </c>
    </row>
    <row r="87" spans="1:20" x14ac:dyDescent="0.3">
      <c r="A87" s="7"/>
      <c r="B87" s="50"/>
      <c r="C87" s="24" t="s">
        <v>147</v>
      </c>
      <c r="D87" s="49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1</v>
      </c>
      <c r="T87" s="5">
        <f t="shared" si="24"/>
        <v>1</v>
      </c>
    </row>
    <row r="88" spans="1:20" x14ac:dyDescent="0.3">
      <c r="A88" s="7"/>
      <c r="B88" s="50"/>
      <c r="C88" s="24" t="s">
        <v>148</v>
      </c>
      <c r="D88" s="49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5">
        <f t="shared" si="24"/>
        <v>0</v>
      </c>
    </row>
    <row r="89" spans="1:20" x14ac:dyDescent="0.3">
      <c r="A89" s="7"/>
      <c r="B89" s="50"/>
      <c r="C89" s="24" t="s">
        <v>149</v>
      </c>
      <c r="D89" s="49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1</v>
      </c>
      <c r="T89" s="5">
        <f t="shared" si="24"/>
        <v>1</v>
      </c>
    </row>
    <row r="90" spans="1:20" x14ac:dyDescent="0.3">
      <c r="A90" s="7"/>
      <c r="B90" s="50"/>
      <c r="C90" s="24" t="s">
        <v>150</v>
      </c>
      <c r="D90" s="49"/>
      <c r="E90" s="6">
        <v>0</v>
      </c>
      <c r="F90" s="6">
        <v>1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5">
        <f t="shared" si="24"/>
        <v>1</v>
      </c>
    </row>
    <row r="91" spans="1:20" x14ac:dyDescent="0.3">
      <c r="A91" s="6" t="s">
        <v>26</v>
      </c>
      <c r="B91" s="84" t="s">
        <v>51</v>
      </c>
      <c r="C91" s="63"/>
      <c r="D91" s="64"/>
      <c r="E91" s="5">
        <f t="shared" ref="E91:T91" si="25">SUM(E81:E90)</f>
        <v>9</v>
      </c>
      <c r="F91" s="5">
        <f t="shared" si="25"/>
        <v>6</v>
      </c>
      <c r="G91" s="5">
        <f t="shared" si="25"/>
        <v>5</v>
      </c>
      <c r="H91" s="5">
        <f t="shared" si="25"/>
        <v>9</v>
      </c>
      <c r="I91" s="5">
        <f t="shared" si="25"/>
        <v>9</v>
      </c>
      <c r="J91" s="5">
        <f t="shared" si="25"/>
        <v>6</v>
      </c>
      <c r="K91" s="5">
        <f t="shared" si="25"/>
        <v>10</v>
      </c>
      <c r="L91" s="5">
        <f t="shared" si="25"/>
        <v>7</v>
      </c>
      <c r="M91" s="5">
        <f t="shared" si="25"/>
        <v>8</v>
      </c>
      <c r="N91" s="5">
        <f t="shared" si="25"/>
        <v>15</v>
      </c>
      <c r="O91" s="5">
        <f t="shared" si="25"/>
        <v>6</v>
      </c>
      <c r="P91" s="5">
        <f t="shared" si="25"/>
        <v>6</v>
      </c>
      <c r="Q91" s="5">
        <f t="shared" si="25"/>
        <v>17</v>
      </c>
      <c r="R91" s="5">
        <f t="shared" si="25"/>
        <v>11</v>
      </c>
      <c r="S91" s="5">
        <f t="shared" si="25"/>
        <v>31</v>
      </c>
      <c r="T91" s="5">
        <f t="shared" si="25"/>
        <v>155</v>
      </c>
    </row>
    <row r="92" spans="1:20" x14ac:dyDescent="0.3">
      <c r="A92" s="83"/>
      <c r="B92" s="82"/>
      <c r="C92" s="82"/>
      <c r="D92" s="82"/>
      <c r="E92" s="82"/>
    </row>
    <row r="93" spans="1:20" x14ac:dyDescent="0.3">
      <c r="A93" s="11" t="s">
        <v>48</v>
      </c>
      <c r="B93" s="17" t="s">
        <v>55</v>
      </c>
      <c r="C93" s="86" t="s">
        <v>56</v>
      </c>
      <c r="D93" s="64"/>
      <c r="E93" s="6">
        <v>0</v>
      </c>
      <c r="F93" s="6">
        <v>1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2</v>
      </c>
      <c r="N93" s="6">
        <v>1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5">
        <f t="shared" ref="T93:T102" si="26">SUM(E93:S93)</f>
        <v>4</v>
      </c>
    </row>
    <row r="94" spans="1:20" x14ac:dyDescent="0.3">
      <c r="A94" s="11" t="s">
        <v>50</v>
      </c>
      <c r="B94" s="50"/>
      <c r="C94" s="24" t="s">
        <v>151</v>
      </c>
      <c r="D94" s="51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1</v>
      </c>
      <c r="K94" s="6">
        <v>0</v>
      </c>
      <c r="L94" s="6">
        <v>2</v>
      </c>
      <c r="M94" s="6">
        <v>0</v>
      </c>
      <c r="N94" s="6">
        <v>0</v>
      </c>
      <c r="O94" s="6">
        <v>0</v>
      </c>
      <c r="P94" s="6">
        <v>1</v>
      </c>
      <c r="Q94" s="6">
        <v>0</v>
      </c>
      <c r="R94" s="6">
        <v>0</v>
      </c>
      <c r="S94" s="6">
        <v>0</v>
      </c>
      <c r="T94" s="5">
        <f t="shared" si="26"/>
        <v>4</v>
      </c>
    </row>
    <row r="95" spans="1:20" x14ac:dyDescent="0.3">
      <c r="A95" s="7"/>
      <c r="B95" s="50"/>
      <c r="C95" s="24" t="s">
        <v>152</v>
      </c>
      <c r="D95" s="51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1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5">
        <f t="shared" si="26"/>
        <v>1</v>
      </c>
    </row>
    <row r="96" spans="1:20" ht="13.15" customHeight="1" x14ac:dyDescent="0.3">
      <c r="A96" s="7"/>
      <c r="B96" s="50"/>
      <c r="C96" s="24" t="s">
        <v>153</v>
      </c>
      <c r="D96" s="51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1</v>
      </c>
      <c r="R96" s="6">
        <v>0</v>
      </c>
      <c r="S96" s="6">
        <v>1</v>
      </c>
      <c r="T96" s="5">
        <f t="shared" si="26"/>
        <v>2</v>
      </c>
    </row>
    <row r="97" spans="1:20" x14ac:dyDescent="0.3">
      <c r="A97" s="7"/>
      <c r="B97" s="50"/>
      <c r="C97" s="24" t="s">
        <v>154</v>
      </c>
      <c r="D97" s="51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1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5">
        <f t="shared" si="26"/>
        <v>1</v>
      </c>
    </row>
    <row r="98" spans="1:20" x14ac:dyDescent="0.3">
      <c r="A98" s="7"/>
      <c r="B98" s="50"/>
      <c r="C98" s="24" t="s">
        <v>155</v>
      </c>
      <c r="D98" s="49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1</v>
      </c>
      <c r="L98" s="6">
        <v>0</v>
      </c>
      <c r="M98" s="6">
        <v>0</v>
      </c>
      <c r="N98" s="6">
        <v>0</v>
      </c>
      <c r="O98" s="6">
        <v>2</v>
      </c>
      <c r="P98" s="6">
        <v>0</v>
      </c>
      <c r="Q98" s="6">
        <v>0</v>
      </c>
      <c r="R98" s="6">
        <v>0</v>
      </c>
      <c r="S98" s="6">
        <v>0</v>
      </c>
      <c r="T98" s="5">
        <f t="shared" si="26"/>
        <v>3</v>
      </c>
    </row>
    <row r="99" spans="1:20" x14ac:dyDescent="0.3">
      <c r="A99" s="7"/>
      <c r="B99" s="50"/>
      <c r="C99" s="24" t="s">
        <v>156</v>
      </c>
      <c r="D99" s="49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1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5">
        <f t="shared" si="26"/>
        <v>1</v>
      </c>
    </row>
    <row r="100" spans="1:20" x14ac:dyDescent="0.3">
      <c r="A100" s="7"/>
      <c r="B100" s="50"/>
      <c r="C100" s="24" t="s">
        <v>157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1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5">
        <f t="shared" si="26"/>
        <v>1</v>
      </c>
    </row>
    <row r="101" spans="1:20" x14ac:dyDescent="0.3">
      <c r="A101" s="7"/>
      <c r="B101" s="50"/>
      <c r="C101" s="24" t="s">
        <v>158</v>
      </c>
      <c r="D101" s="51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1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5">
        <f t="shared" si="26"/>
        <v>1</v>
      </c>
    </row>
    <row r="102" spans="1:20" x14ac:dyDescent="0.3">
      <c r="A102" s="7"/>
      <c r="B102" s="50"/>
      <c r="C102" s="24" t="s">
        <v>159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5">
        <f t="shared" si="26"/>
        <v>0</v>
      </c>
    </row>
    <row r="103" spans="1:20" x14ac:dyDescent="0.3">
      <c r="A103" s="6" t="s">
        <v>26</v>
      </c>
      <c r="B103" s="84" t="s">
        <v>51</v>
      </c>
      <c r="C103" s="63"/>
      <c r="D103" s="64"/>
      <c r="E103" s="5">
        <f t="shared" ref="E103:T103" si="27">SUM(E93:E102)</f>
        <v>0</v>
      </c>
      <c r="F103" s="5">
        <f t="shared" si="27"/>
        <v>1</v>
      </c>
      <c r="G103" s="5">
        <f t="shared" si="27"/>
        <v>0</v>
      </c>
      <c r="H103" s="5">
        <f t="shared" si="27"/>
        <v>0</v>
      </c>
      <c r="I103" s="5">
        <f t="shared" si="27"/>
        <v>0</v>
      </c>
      <c r="J103" s="5">
        <f t="shared" si="27"/>
        <v>2</v>
      </c>
      <c r="K103" s="5">
        <f t="shared" si="27"/>
        <v>1</v>
      </c>
      <c r="L103" s="5">
        <f t="shared" si="27"/>
        <v>5</v>
      </c>
      <c r="M103" s="5">
        <f t="shared" si="27"/>
        <v>3</v>
      </c>
      <c r="N103" s="5">
        <f t="shared" si="27"/>
        <v>1</v>
      </c>
      <c r="O103" s="5">
        <f t="shared" si="27"/>
        <v>2</v>
      </c>
      <c r="P103" s="5">
        <f t="shared" si="27"/>
        <v>1</v>
      </c>
      <c r="Q103" s="5">
        <f t="shared" si="27"/>
        <v>1</v>
      </c>
      <c r="R103" s="5">
        <f t="shared" si="27"/>
        <v>0</v>
      </c>
      <c r="S103" s="5">
        <f t="shared" si="27"/>
        <v>1</v>
      </c>
      <c r="T103" s="5">
        <f t="shared" si="27"/>
        <v>18</v>
      </c>
    </row>
    <row r="104" spans="1:20" x14ac:dyDescent="0.3">
      <c r="A104" s="83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</row>
    <row r="105" spans="1:20" x14ac:dyDescent="0.3">
      <c r="A105" s="11" t="s">
        <v>48</v>
      </c>
      <c r="B105" s="17" t="s">
        <v>57</v>
      </c>
      <c r="C105" s="86" t="s">
        <v>58</v>
      </c>
      <c r="D105" s="64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1</v>
      </c>
      <c r="L105" s="6">
        <v>1</v>
      </c>
      <c r="M105" s="6">
        <v>1</v>
      </c>
      <c r="N105" s="6">
        <v>0</v>
      </c>
      <c r="O105" s="6">
        <v>1</v>
      </c>
      <c r="P105" s="6">
        <v>0</v>
      </c>
      <c r="Q105" s="6">
        <v>1</v>
      </c>
      <c r="R105" s="6">
        <v>1</v>
      </c>
      <c r="S105" s="6">
        <v>0</v>
      </c>
      <c r="T105" s="5">
        <f t="shared" ref="T105:T114" si="28">SUM(E105:S105)</f>
        <v>6</v>
      </c>
    </row>
    <row r="106" spans="1:20" x14ac:dyDescent="0.3">
      <c r="A106" s="11" t="s">
        <v>50</v>
      </c>
      <c r="B106" s="50"/>
      <c r="C106" s="24" t="s">
        <v>160</v>
      </c>
      <c r="D106" s="49"/>
      <c r="E106" s="6">
        <v>0</v>
      </c>
      <c r="F106" s="6">
        <v>1</v>
      </c>
      <c r="G106" s="6">
        <v>0</v>
      </c>
      <c r="H106" s="6">
        <v>0</v>
      </c>
      <c r="I106" s="6">
        <v>0</v>
      </c>
      <c r="J106" s="6">
        <v>1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5">
        <f t="shared" si="28"/>
        <v>2</v>
      </c>
    </row>
    <row r="107" spans="1:20" ht="13.15" customHeight="1" x14ac:dyDescent="0.3">
      <c r="A107" s="7"/>
      <c r="B107" s="50"/>
      <c r="C107" s="24" t="s">
        <v>161</v>
      </c>
      <c r="D107" s="49"/>
      <c r="E107" s="6">
        <v>0</v>
      </c>
      <c r="F107" s="6">
        <v>0</v>
      </c>
      <c r="G107" s="6">
        <v>0</v>
      </c>
      <c r="H107" s="6">
        <v>1</v>
      </c>
      <c r="I107" s="6">
        <v>1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1</v>
      </c>
      <c r="R107" s="6">
        <v>0</v>
      </c>
      <c r="S107" s="6">
        <v>0</v>
      </c>
      <c r="T107" s="5">
        <f t="shared" si="28"/>
        <v>3</v>
      </c>
    </row>
    <row r="108" spans="1:20" x14ac:dyDescent="0.3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5">
        <f t="shared" si="28"/>
        <v>0</v>
      </c>
    </row>
    <row r="109" spans="1:20" x14ac:dyDescent="0.3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5">
        <f t="shared" si="28"/>
        <v>0</v>
      </c>
    </row>
    <row r="110" spans="1:20" x14ac:dyDescent="0.3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5">
        <f t="shared" si="28"/>
        <v>0</v>
      </c>
    </row>
    <row r="111" spans="1:20" x14ac:dyDescent="0.3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5">
        <f t="shared" si="28"/>
        <v>0</v>
      </c>
    </row>
    <row r="112" spans="1:20" x14ac:dyDescent="0.3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5">
        <f t="shared" si="28"/>
        <v>0</v>
      </c>
    </row>
    <row r="113" spans="1:20" x14ac:dyDescent="0.3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5">
        <f t="shared" si="28"/>
        <v>0</v>
      </c>
    </row>
    <row r="114" spans="1:20" x14ac:dyDescent="0.3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5">
        <f t="shared" si="28"/>
        <v>0</v>
      </c>
    </row>
    <row r="115" spans="1:20" ht="13.15" customHeight="1" x14ac:dyDescent="0.3">
      <c r="A115" s="6" t="s">
        <v>26</v>
      </c>
      <c r="B115" s="84" t="s">
        <v>51</v>
      </c>
      <c r="C115" s="87"/>
      <c r="D115" s="88"/>
      <c r="E115" s="5">
        <f t="shared" ref="E115:T115" si="29">SUM(E105:E114)</f>
        <v>0</v>
      </c>
      <c r="F115" s="5">
        <f t="shared" si="29"/>
        <v>1</v>
      </c>
      <c r="G115" s="5">
        <f t="shared" si="29"/>
        <v>0</v>
      </c>
      <c r="H115" s="5">
        <f t="shared" si="29"/>
        <v>1</v>
      </c>
      <c r="I115" s="5">
        <f t="shared" si="29"/>
        <v>1</v>
      </c>
      <c r="J115" s="5">
        <f t="shared" si="29"/>
        <v>1</v>
      </c>
      <c r="K115" s="5">
        <f t="shared" si="29"/>
        <v>1</v>
      </c>
      <c r="L115" s="5">
        <f t="shared" si="29"/>
        <v>1</v>
      </c>
      <c r="M115" s="5">
        <f t="shared" si="29"/>
        <v>1</v>
      </c>
      <c r="N115" s="5">
        <f t="shared" si="29"/>
        <v>0</v>
      </c>
      <c r="O115" s="5">
        <f t="shared" si="29"/>
        <v>1</v>
      </c>
      <c r="P115" s="5">
        <f t="shared" si="29"/>
        <v>0</v>
      </c>
      <c r="Q115" s="5">
        <f t="shared" si="29"/>
        <v>2</v>
      </c>
      <c r="R115" s="5">
        <f t="shared" si="29"/>
        <v>1</v>
      </c>
      <c r="S115" s="5">
        <f t="shared" si="29"/>
        <v>0</v>
      </c>
      <c r="T115" s="5">
        <f t="shared" si="29"/>
        <v>11</v>
      </c>
    </row>
    <row r="116" spans="1:20" x14ac:dyDescent="0.3">
      <c r="A116" s="62"/>
      <c r="B116" s="89"/>
      <c r="C116" s="89"/>
      <c r="D116" s="89"/>
      <c r="E116" s="90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5"/>
    </row>
    <row r="117" spans="1:20" x14ac:dyDescent="0.3">
      <c r="A117" s="11" t="s">
        <v>48</v>
      </c>
      <c r="B117" s="17" t="s">
        <v>59</v>
      </c>
      <c r="C117" s="86" t="s">
        <v>60</v>
      </c>
      <c r="D117" s="64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1</v>
      </c>
      <c r="L117" s="6">
        <v>0</v>
      </c>
      <c r="M117" s="6">
        <v>0</v>
      </c>
      <c r="N117" s="6">
        <v>0</v>
      </c>
      <c r="O117" s="6">
        <v>0</v>
      </c>
      <c r="P117" s="6">
        <v>1</v>
      </c>
      <c r="Q117" s="6">
        <v>0</v>
      </c>
      <c r="R117" s="6">
        <v>0</v>
      </c>
      <c r="S117" s="6">
        <v>0</v>
      </c>
      <c r="T117" s="5">
        <f t="shared" ref="T117:T126" si="30">SUM(E117:S117)</f>
        <v>2</v>
      </c>
    </row>
    <row r="118" spans="1:20" x14ac:dyDescent="0.3">
      <c r="A118" s="11" t="s">
        <v>50</v>
      </c>
      <c r="B118" s="50"/>
      <c r="C118" s="24" t="s">
        <v>162</v>
      </c>
      <c r="D118" s="49"/>
      <c r="E118" s="6">
        <v>0</v>
      </c>
      <c r="F118" s="6">
        <v>1</v>
      </c>
      <c r="G118" s="6">
        <v>0</v>
      </c>
      <c r="H118" s="6">
        <v>0</v>
      </c>
      <c r="I118" s="6">
        <v>2</v>
      </c>
      <c r="J118" s="6">
        <v>1</v>
      </c>
      <c r="K118" s="6">
        <v>0</v>
      </c>
      <c r="L118" s="6">
        <v>1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5">
        <f t="shared" si="30"/>
        <v>5</v>
      </c>
    </row>
    <row r="119" spans="1:20" x14ac:dyDescent="0.3">
      <c r="A119" s="7"/>
      <c r="B119" s="50"/>
      <c r="C119" s="24" t="s">
        <v>163</v>
      </c>
      <c r="D119" s="49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5">
        <f t="shared" si="30"/>
        <v>0</v>
      </c>
    </row>
    <row r="120" spans="1:20" x14ac:dyDescent="0.3">
      <c r="A120" s="7"/>
      <c r="B120" s="50"/>
      <c r="C120" s="24" t="s">
        <v>164</v>
      </c>
      <c r="D120" s="49"/>
      <c r="E120" s="6">
        <v>0</v>
      </c>
      <c r="F120" s="6">
        <v>0</v>
      </c>
      <c r="G120" s="6">
        <v>1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5">
        <f t="shared" si="30"/>
        <v>1</v>
      </c>
    </row>
    <row r="121" spans="1:20" x14ac:dyDescent="0.3">
      <c r="A121" s="7"/>
      <c r="B121" s="50"/>
      <c r="C121" s="24" t="s">
        <v>165</v>
      </c>
      <c r="D121" s="49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5">
        <f t="shared" si="30"/>
        <v>0</v>
      </c>
    </row>
    <row r="122" spans="1:20" x14ac:dyDescent="0.3">
      <c r="A122" s="7"/>
      <c r="B122" s="50"/>
      <c r="C122" s="24" t="s">
        <v>166</v>
      </c>
      <c r="D122" s="49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5">
        <f t="shared" si="30"/>
        <v>0</v>
      </c>
    </row>
    <row r="123" spans="1:20" x14ac:dyDescent="0.3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5">
        <f t="shared" si="30"/>
        <v>0</v>
      </c>
    </row>
    <row r="124" spans="1:20" x14ac:dyDescent="0.3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5">
        <f t="shared" si="30"/>
        <v>0</v>
      </c>
    </row>
    <row r="125" spans="1:20" x14ac:dyDescent="0.3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5">
        <f t="shared" si="30"/>
        <v>0</v>
      </c>
    </row>
    <row r="126" spans="1:20" x14ac:dyDescent="0.3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5">
        <f t="shared" si="30"/>
        <v>0</v>
      </c>
    </row>
    <row r="127" spans="1:20" x14ac:dyDescent="0.3">
      <c r="A127" s="6" t="s">
        <v>26</v>
      </c>
      <c r="B127" s="84" t="s">
        <v>51</v>
      </c>
      <c r="C127" s="87"/>
      <c r="D127" s="88"/>
      <c r="E127" s="5">
        <f t="shared" ref="E127:T127" si="31">SUM(E117:E126)</f>
        <v>0</v>
      </c>
      <c r="F127" s="5">
        <f t="shared" si="31"/>
        <v>1</v>
      </c>
      <c r="G127" s="5">
        <f t="shared" si="31"/>
        <v>1</v>
      </c>
      <c r="H127" s="5">
        <f t="shared" si="31"/>
        <v>0</v>
      </c>
      <c r="I127" s="5">
        <f t="shared" si="31"/>
        <v>2</v>
      </c>
      <c r="J127" s="5">
        <f t="shared" si="31"/>
        <v>1</v>
      </c>
      <c r="K127" s="5">
        <f t="shared" si="31"/>
        <v>1</v>
      </c>
      <c r="L127" s="5">
        <f t="shared" si="31"/>
        <v>1</v>
      </c>
      <c r="M127" s="5">
        <f t="shared" si="31"/>
        <v>0</v>
      </c>
      <c r="N127" s="5">
        <f t="shared" si="31"/>
        <v>0</v>
      </c>
      <c r="O127" s="5">
        <f t="shared" si="31"/>
        <v>0</v>
      </c>
      <c r="P127" s="5">
        <f t="shared" si="31"/>
        <v>1</v>
      </c>
      <c r="Q127" s="5">
        <f t="shared" si="31"/>
        <v>0</v>
      </c>
      <c r="R127" s="5">
        <f t="shared" si="31"/>
        <v>0</v>
      </c>
      <c r="S127" s="5">
        <f t="shared" si="31"/>
        <v>0</v>
      </c>
      <c r="T127" s="5">
        <f t="shared" si="31"/>
        <v>8</v>
      </c>
    </row>
    <row r="128" spans="1:20" x14ac:dyDescent="0.3">
      <c r="A128" s="62"/>
      <c r="B128" s="89"/>
      <c r="C128" s="89"/>
      <c r="D128" s="89"/>
      <c r="E128" s="90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</row>
    <row r="129" spans="1:20" x14ac:dyDescent="0.3">
      <c r="A129" s="11" t="s">
        <v>48</v>
      </c>
      <c r="B129" s="17" t="s">
        <v>61</v>
      </c>
      <c r="C129" s="86" t="s">
        <v>62</v>
      </c>
      <c r="D129" s="64"/>
      <c r="E129" s="6">
        <v>1</v>
      </c>
      <c r="F129" s="6">
        <v>1</v>
      </c>
      <c r="G129" s="6">
        <v>1</v>
      </c>
      <c r="H129" s="6">
        <v>1</v>
      </c>
      <c r="I129" s="6">
        <v>0</v>
      </c>
      <c r="J129" s="6">
        <v>4</v>
      </c>
      <c r="K129" s="6">
        <v>1</v>
      </c>
      <c r="L129" s="6">
        <v>0</v>
      </c>
      <c r="M129" s="6">
        <v>0</v>
      </c>
      <c r="N129" s="6">
        <v>1</v>
      </c>
      <c r="O129" s="6">
        <v>0</v>
      </c>
      <c r="P129" s="6">
        <v>3</v>
      </c>
      <c r="Q129" s="6">
        <v>0</v>
      </c>
      <c r="R129" s="6">
        <v>0</v>
      </c>
      <c r="S129" s="6">
        <v>0</v>
      </c>
      <c r="T129" s="5">
        <f t="shared" ref="T129:T138" si="32">SUM(E129:S129)</f>
        <v>13</v>
      </c>
    </row>
    <row r="130" spans="1:20" ht="13.15" customHeight="1" x14ac:dyDescent="0.3">
      <c r="A130" s="11" t="s">
        <v>50</v>
      </c>
      <c r="B130" s="50"/>
      <c r="C130" s="24" t="s">
        <v>167</v>
      </c>
      <c r="D130" s="49"/>
      <c r="E130" s="6">
        <v>1</v>
      </c>
      <c r="F130" s="6">
        <v>1</v>
      </c>
      <c r="G130" s="6">
        <v>2</v>
      </c>
      <c r="H130" s="6">
        <v>1</v>
      </c>
      <c r="I130" s="6">
        <v>1</v>
      </c>
      <c r="J130" s="6">
        <v>0</v>
      </c>
      <c r="K130" s="6">
        <v>1</v>
      </c>
      <c r="L130" s="6">
        <v>0</v>
      </c>
      <c r="M130" s="6">
        <v>0</v>
      </c>
      <c r="N130" s="6">
        <v>2</v>
      </c>
      <c r="O130" s="6">
        <v>1</v>
      </c>
      <c r="P130" s="6">
        <v>2</v>
      </c>
      <c r="Q130" s="6">
        <v>1</v>
      </c>
      <c r="R130" s="6">
        <v>0</v>
      </c>
      <c r="S130" s="6">
        <v>0</v>
      </c>
      <c r="T130" s="5">
        <f t="shared" si="32"/>
        <v>13</v>
      </c>
    </row>
    <row r="131" spans="1:20" x14ac:dyDescent="0.3">
      <c r="A131" s="7"/>
      <c r="B131" s="50"/>
      <c r="C131" s="24" t="s">
        <v>168</v>
      </c>
      <c r="D131" s="49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5</v>
      </c>
      <c r="R131" s="6">
        <v>3</v>
      </c>
      <c r="S131" s="6">
        <v>6</v>
      </c>
      <c r="T131" s="5">
        <f t="shared" si="32"/>
        <v>14</v>
      </c>
    </row>
    <row r="132" spans="1:20" x14ac:dyDescent="0.3">
      <c r="A132" s="7"/>
      <c r="B132" s="50"/>
      <c r="C132" s="24" t="s">
        <v>169</v>
      </c>
      <c r="D132" s="49"/>
      <c r="E132" s="6">
        <v>0</v>
      </c>
      <c r="F132" s="6">
        <v>0</v>
      </c>
      <c r="G132" s="6">
        <v>1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5">
        <f t="shared" si="32"/>
        <v>1</v>
      </c>
    </row>
    <row r="133" spans="1:20" x14ac:dyDescent="0.3">
      <c r="A133" s="7"/>
      <c r="B133" s="50"/>
      <c r="C133" s="24" t="s">
        <v>170</v>
      </c>
      <c r="D133" s="49"/>
      <c r="E133" s="6">
        <v>1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5">
        <f t="shared" si="32"/>
        <v>1</v>
      </c>
    </row>
    <row r="134" spans="1:20" x14ac:dyDescent="0.3">
      <c r="A134" s="7"/>
      <c r="B134" s="50"/>
      <c r="C134" s="24" t="s">
        <v>171</v>
      </c>
      <c r="D134" s="49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2</v>
      </c>
      <c r="O134" s="6">
        <v>0</v>
      </c>
      <c r="P134" s="6">
        <v>0</v>
      </c>
      <c r="Q134" s="6">
        <v>1</v>
      </c>
      <c r="R134" s="6">
        <v>0</v>
      </c>
      <c r="S134" s="6">
        <v>0</v>
      </c>
      <c r="T134" s="5">
        <f t="shared" si="32"/>
        <v>3</v>
      </c>
    </row>
    <row r="135" spans="1:20" x14ac:dyDescent="0.3">
      <c r="A135" s="7"/>
      <c r="B135" s="50"/>
      <c r="C135" s="24" t="s">
        <v>172</v>
      </c>
      <c r="D135" s="49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5">
        <f t="shared" si="32"/>
        <v>0</v>
      </c>
    </row>
    <row r="136" spans="1:20" x14ac:dyDescent="0.3">
      <c r="A136" s="7"/>
      <c r="B136" s="50"/>
      <c r="C136" s="24" t="s">
        <v>173</v>
      </c>
      <c r="D136" s="49"/>
      <c r="E136" s="6">
        <v>0</v>
      </c>
      <c r="F136" s="6"/>
      <c r="G136" s="6">
        <v>0</v>
      </c>
      <c r="H136" s="6">
        <v>0</v>
      </c>
      <c r="I136" s="6">
        <v>0</v>
      </c>
      <c r="J136" s="6">
        <v>0</v>
      </c>
      <c r="K136" s="6"/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5">
        <f t="shared" si="32"/>
        <v>0</v>
      </c>
    </row>
    <row r="137" spans="1:20" x14ac:dyDescent="0.3">
      <c r="A137" s="7"/>
      <c r="B137" s="50"/>
      <c r="C137" s="24" t="s">
        <v>174</v>
      </c>
      <c r="D137" s="49"/>
      <c r="E137" s="6"/>
      <c r="F137" s="6">
        <v>1</v>
      </c>
      <c r="G137" s="6">
        <v>0</v>
      </c>
      <c r="H137" s="6">
        <v>0</v>
      </c>
      <c r="I137" s="6">
        <v>0</v>
      </c>
      <c r="J137" s="6">
        <v>0</v>
      </c>
      <c r="K137" s="6">
        <v>1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5">
        <f t="shared" si="32"/>
        <v>2</v>
      </c>
    </row>
    <row r="138" spans="1:20" x14ac:dyDescent="0.3">
      <c r="A138" s="7"/>
      <c r="B138" s="50"/>
      <c r="C138" s="24" t="s">
        <v>175</v>
      </c>
      <c r="D138" s="49"/>
      <c r="E138" s="6">
        <v>1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5">
        <f t="shared" si="32"/>
        <v>1</v>
      </c>
    </row>
    <row r="139" spans="1:20" x14ac:dyDescent="0.3">
      <c r="A139" s="6" t="s">
        <v>26</v>
      </c>
      <c r="B139" s="84" t="s">
        <v>51</v>
      </c>
      <c r="C139" s="87"/>
      <c r="D139" s="88"/>
      <c r="E139" s="5">
        <f t="shared" ref="E139:T139" si="33">SUM(E129:E138)</f>
        <v>4</v>
      </c>
      <c r="F139" s="5">
        <f t="shared" si="33"/>
        <v>3</v>
      </c>
      <c r="G139" s="5">
        <f t="shared" si="33"/>
        <v>4</v>
      </c>
      <c r="H139" s="5">
        <f t="shared" si="33"/>
        <v>2</v>
      </c>
      <c r="I139" s="5">
        <f t="shared" si="33"/>
        <v>1</v>
      </c>
      <c r="J139" s="5">
        <f t="shared" si="33"/>
        <v>4</v>
      </c>
      <c r="K139" s="5">
        <f t="shared" si="33"/>
        <v>3</v>
      </c>
      <c r="L139" s="5">
        <f t="shared" si="33"/>
        <v>0</v>
      </c>
      <c r="M139" s="5">
        <f t="shared" si="33"/>
        <v>0</v>
      </c>
      <c r="N139" s="5">
        <f t="shared" si="33"/>
        <v>5</v>
      </c>
      <c r="O139" s="5">
        <f t="shared" si="33"/>
        <v>1</v>
      </c>
      <c r="P139" s="5">
        <f t="shared" si="33"/>
        <v>5</v>
      </c>
      <c r="Q139" s="5">
        <f t="shared" si="33"/>
        <v>7</v>
      </c>
      <c r="R139" s="5">
        <f t="shared" si="33"/>
        <v>3</v>
      </c>
      <c r="S139" s="5">
        <f t="shared" si="33"/>
        <v>6</v>
      </c>
      <c r="T139" s="5">
        <f t="shared" si="33"/>
        <v>48</v>
      </c>
    </row>
    <row r="140" spans="1:20" x14ac:dyDescent="0.3">
      <c r="A140" s="62"/>
      <c r="B140" s="89"/>
      <c r="C140" s="89"/>
      <c r="D140" s="89"/>
      <c r="E140" s="90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</row>
    <row r="141" spans="1:20" ht="13.15" customHeight="1" x14ac:dyDescent="0.3">
      <c r="A141" s="11" t="s">
        <v>48</v>
      </c>
      <c r="B141" s="17" t="s">
        <v>63</v>
      </c>
      <c r="C141" s="86" t="s">
        <v>64</v>
      </c>
      <c r="D141" s="64"/>
      <c r="E141" s="6"/>
      <c r="F141" s="6">
        <v>1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5">
        <f t="shared" ref="T141:T150" si="34">SUM(E141:S141)</f>
        <v>1</v>
      </c>
    </row>
    <row r="142" spans="1:20" x14ac:dyDescent="0.3">
      <c r="A142" s="11" t="s">
        <v>50</v>
      </c>
      <c r="B142" s="50"/>
      <c r="C142" s="24" t="s">
        <v>176</v>
      </c>
      <c r="D142" s="49"/>
      <c r="E142" s="6"/>
      <c r="F142" s="6"/>
      <c r="G142" s="6"/>
      <c r="H142" s="6"/>
      <c r="I142" s="6"/>
      <c r="J142" s="6">
        <v>1</v>
      </c>
      <c r="K142" s="6"/>
      <c r="L142" s="6"/>
      <c r="M142" s="6">
        <v>1</v>
      </c>
      <c r="N142" s="6"/>
      <c r="O142" s="6"/>
      <c r="P142" s="6"/>
      <c r="Q142" s="6"/>
      <c r="R142" s="6"/>
      <c r="S142" s="6"/>
      <c r="T142" s="5">
        <f t="shared" si="34"/>
        <v>2</v>
      </c>
    </row>
    <row r="143" spans="1:20" x14ac:dyDescent="0.3">
      <c r="A143" s="7"/>
      <c r="B143" s="50"/>
      <c r="C143" s="24" t="s">
        <v>177</v>
      </c>
      <c r="D143" s="49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5">
        <f t="shared" si="34"/>
        <v>0</v>
      </c>
    </row>
    <row r="144" spans="1:20" x14ac:dyDescent="0.3">
      <c r="A144" s="7"/>
      <c r="B144" s="50"/>
      <c r="C144" s="24" t="s">
        <v>178</v>
      </c>
      <c r="D144" s="49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5">
        <f t="shared" si="34"/>
        <v>0</v>
      </c>
    </row>
    <row r="145" spans="1:20" x14ac:dyDescent="0.3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5">
        <f t="shared" si="34"/>
        <v>0</v>
      </c>
    </row>
    <row r="146" spans="1:20" x14ac:dyDescent="0.3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5">
        <f t="shared" si="34"/>
        <v>0</v>
      </c>
    </row>
    <row r="147" spans="1:20" x14ac:dyDescent="0.3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5">
        <f t="shared" si="34"/>
        <v>0</v>
      </c>
    </row>
    <row r="148" spans="1:20" x14ac:dyDescent="0.3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5">
        <f t="shared" si="34"/>
        <v>0</v>
      </c>
    </row>
    <row r="149" spans="1:20" x14ac:dyDescent="0.3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5">
        <f t="shared" si="34"/>
        <v>0</v>
      </c>
    </row>
    <row r="150" spans="1:20" x14ac:dyDescent="0.3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5">
        <f t="shared" si="34"/>
        <v>0</v>
      </c>
    </row>
    <row r="151" spans="1:20" ht="13.15" customHeight="1" x14ac:dyDescent="0.3">
      <c r="A151" s="6" t="s">
        <v>26</v>
      </c>
      <c r="B151" s="84" t="s">
        <v>51</v>
      </c>
      <c r="C151" s="87"/>
      <c r="D151" s="88"/>
      <c r="E151" s="5">
        <f t="shared" ref="E151:T151" si="35">SUM(E141:E150)</f>
        <v>0</v>
      </c>
      <c r="F151" s="5">
        <f t="shared" si="35"/>
        <v>1</v>
      </c>
      <c r="G151" s="5">
        <f t="shared" si="35"/>
        <v>0</v>
      </c>
      <c r="H151" s="5">
        <f t="shared" si="35"/>
        <v>0</v>
      </c>
      <c r="I151" s="5">
        <f t="shared" si="35"/>
        <v>0</v>
      </c>
      <c r="J151" s="5">
        <f t="shared" si="35"/>
        <v>1</v>
      </c>
      <c r="K151" s="5">
        <f t="shared" si="35"/>
        <v>0</v>
      </c>
      <c r="L151" s="5">
        <f t="shared" si="35"/>
        <v>0</v>
      </c>
      <c r="M151" s="5">
        <f t="shared" si="35"/>
        <v>1</v>
      </c>
      <c r="N151" s="5">
        <f t="shared" si="35"/>
        <v>0</v>
      </c>
      <c r="O151" s="5">
        <f t="shared" si="35"/>
        <v>0</v>
      </c>
      <c r="P151" s="5">
        <f t="shared" si="35"/>
        <v>0</v>
      </c>
      <c r="Q151" s="5">
        <f t="shared" si="35"/>
        <v>0</v>
      </c>
      <c r="R151" s="5">
        <f t="shared" si="35"/>
        <v>0</v>
      </c>
      <c r="S151" s="5">
        <f t="shared" si="35"/>
        <v>0</v>
      </c>
      <c r="T151" s="5">
        <f t="shared" si="35"/>
        <v>3</v>
      </c>
    </row>
    <row r="152" spans="1:20" x14ac:dyDescent="0.3">
      <c r="A152" s="62"/>
      <c r="B152" s="89"/>
      <c r="C152" s="89"/>
      <c r="D152" s="89"/>
      <c r="E152" s="90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5"/>
    </row>
    <row r="153" spans="1:20" x14ac:dyDescent="0.3">
      <c r="A153" s="11" t="s">
        <v>48</v>
      </c>
      <c r="B153" s="44" t="s">
        <v>65</v>
      </c>
      <c r="C153" s="91" t="s">
        <v>66</v>
      </c>
      <c r="D153" s="78"/>
      <c r="E153" s="6"/>
      <c r="F153" s="6"/>
      <c r="G153" s="6"/>
      <c r="H153" s="6"/>
      <c r="I153" s="6"/>
      <c r="J153" s="6"/>
      <c r="K153" s="6"/>
      <c r="L153" s="6"/>
      <c r="M153" s="6"/>
      <c r="N153" s="6">
        <v>1</v>
      </c>
      <c r="O153" s="6"/>
      <c r="P153" s="6">
        <v>1</v>
      </c>
      <c r="Q153" s="6"/>
      <c r="R153" s="6"/>
      <c r="S153" s="6"/>
      <c r="T153" s="5">
        <f>SUM(E153:S153)</f>
        <v>2</v>
      </c>
    </row>
    <row r="154" spans="1:20" x14ac:dyDescent="0.3">
      <c r="A154" s="52" t="s">
        <v>50</v>
      </c>
      <c r="B154" s="50"/>
      <c r="C154" s="24" t="s">
        <v>179</v>
      </c>
      <c r="D154" s="49"/>
      <c r="E154" s="53"/>
      <c r="F154" s="6"/>
      <c r="G154" s="6"/>
      <c r="H154" s="6"/>
      <c r="I154" s="6"/>
      <c r="J154" s="6"/>
      <c r="K154" s="6">
        <v>1</v>
      </c>
      <c r="L154" s="6"/>
      <c r="M154" s="6"/>
      <c r="N154" s="6">
        <v>1</v>
      </c>
      <c r="O154" s="6"/>
      <c r="P154" s="6"/>
      <c r="Q154" s="6"/>
      <c r="R154" s="6"/>
      <c r="S154" s="6"/>
      <c r="T154" s="5">
        <f t="shared" ref="T154:T162" si="36">SUM(E154:S154)</f>
        <v>2</v>
      </c>
    </row>
    <row r="155" spans="1:20" x14ac:dyDescent="0.3">
      <c r="A155" s="7"/>
      <c r="B155" s="50"/>
      <c r="C155" s="24" t="s">
        <v>180</v>
      </c>
      <c r="D155" s="49"/>
      <c r="E155" s="53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5">
        <f t="shared" si="36"/>
        <v>0</v>
      </c>
    </row>
    <row r="156" spans="1:20" x14ac:dyDescent="0.3">
      <c r="A156" s="7"/>
      <c r="B156" s="50"/>
      <c r="C156" s="24" t="s">
        <v>181</v>
      </c>
      <c r="D156" s="49"/>
      <c r="E156" s="53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5">
        <f t="shared" si="36"/>
        <v>0</v>
      </c>
    </row>
    <row r="157" spans="1:20" x14ac:dyDescent="0.3">
      <c r="A157" s="7"/>
      <c r="B157" s="50"/>
      <c r="C157" s="24" t="s">
        <v>182</v>
      </c>
      <c r="D157" s="49"/>
      <c r="E157" s="53"/>
      <c r="F157" s="6"/>
      <c r="G157" s="6"/>
      <c r="H157" s="6"/>
      <c r="I157" s="6"/>
      <c r="J157" s="6"/>
      <c r="K157" s="6"/>
      <c r="L157" s="6"/>
      <c r="M157" s="6"/>
      <c r="N157" s="6">
        <v>1</v>
      </c>
      <c r="O157" s="6"/>
      <c r="P157" s="6"/>
      <c r="Q157" s="6"/>
      <c r="R157" s="6"/>
      <c r="S157" s="6"/>
      <c r="T157" s="5">
        <f t="shared" si="36"/>
        <v>1</v>
      </c>
    </row>
    <row r="158" spans="1:20" x14ac:dyDescent="0.3">
      <c r="A158" s="7"/>
      <c r="B158" s="50"/>
      <c r="C158" s="24" t="s">
        <v>183</v>
      </c>
      <c r="D158" s="49"/>
      <c r="E158" s="53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5">
        <f t="shared" si="36"/>
        <v>0</v>
      </c>
    </row>
    <row r="159" spans="1:20" x14ac:dyDescent="0.3">
      <c r="A159" s="7"/>
      <c r="B159" s="50"/>
      <c r="C159" s="24" t="s">
        <v>184</v>
      </c>
      <c r="D159" s="49"/>
      <c r="E159" s="53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5">
        <f t="shared" si="36"/>
        <v>0</v>
      </c>
    </row>
    <row r="160" spans="1:20" x14ac:dyDescent="0.3">
      <c r="A160" s="7"/>
      <c r="B160" s="50"/>
      <c r="C160" s="24" t="s">
        <v>185</v>
      </c>
      <c r="D160" s="49"/>
      <c r="E160" s="53"/>
      <c r="F160" s="6"/>
      <c r="G160" s="6"/>
      <c r="H160" s="6"/>
      <c r="I160" s="6"/>
      <c r="J160" s="6"/>
      <c r="K160" s="6"/>
      <c r="L160" s="6"/>
      <c r="M160" s="6"/>
      <c r="N160" s="6">
        <v>1</v>
      </c>
      <c r="O160" s="6"/>
      <c r="P160" s="6"/>
      <c r="Q160" s="6"/>
      <c r="R160" s="6"/>
      <c r="S160" s="6"/>
      <c r="T160" s="5">
        <f t="shared" si="36"/>
        <v>1</v>
      </c>
    </row>
    <row r="161" spans="1:20" x14ac:dyDescent="0.3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5">
        <f t="shared" si="36"/>
        <v>0</v>
      </c>
    </row>
    <row r="162" spans="1:20" x14ac:dyDescent="0.3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5">
        <f t="shared" si="36"/>
        <v>0</v>
      </c>
    </row>
    <row r="163" spans="1:20" x14ac:dyDescent="0.3">
      <c r="A163" s="6" t="s">
        <v>26</v>
      </c>
      <c r="B163" s="92" t="s">
        <v>51</v>
      </c>
      <c r="C163" s="93"/>
      <c r="D163" s="94"/>
      <c r="E163" s="5">
        <f t="shared" ref="E163:T163" si="37">SUM(E153:E162)</f>
        <v>0</v>
      </c>
      <c r="F163" s="5">
        <f t="shared" si="37"/>
        <v>0</v>
      </c>
      <c r="G163" s="5">
        <f t="shared" si="37"/>
        <v>0</v>
      </c>
      <c r="H163" s="5">
        <f t="shared" si="37"/>
        <v>0</v>
      </c>
      <c r="I163" s="5">
        <f t="shared" si="37"/>
        <v>0</v>
      </c>
      <c r="J163" s="5">
        <f t="shared" si="37"/>
        <v>0</v>
      </c>
      <c r="K163" s="5">
        <f t="shared" si="37"/>
        <v>1</v>
      </c>
      <c r="L163" s="5">
        <f t="shared" si="37"/>
        <v>0</v>
      </c>
      <c r="M163" s="5">
        <f t="shared" si="37"/>
        <v>0</v>
      </c>
      <c r="N163" s="5">
        <f t="shared" si="37"/>
        <v>4</v>
      </c>
      <c r="O163" s="5">
        <f t="shared" si="37"/>
        <v>0</v>
      </c>
      <c r="P163" s="5">
        <f t="shared" si="37"/>
        <v>1</v>
      </c>
      <c r="Q163" s="5">
        <f t="shared" si="37"/>
        <v>0</v>
      </c>
      <c r="R163" s="5">
        <f t="shared" si="37"/>
        <v>0</v>
      </c>
      <c r="S163" s="5">
        <f t="shared" si="37"/>
        <v>0</v>
      </c>
      <c r="T163" s="5">
        <f t="shared" si="37"/>
        <v>6</v>
      </c>
    </row>
    <row r="164" spans="1:20" x14ac:dyDescent="0.3">
      <c r="A164" s="62"/>
      <c r="B164" s="89"/>
      <c r="C164" s="89"/>
      <c r="D164" s="89"/>
      <c r="E164" s="90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</row>
    <row r="165" spans="1:20" ht="13.15" customHeight="1" x14ac:dyDescent="0.3">
      <c r="A165" s="11" t="s">
        <v>48</v>
      </c>
      <c r="B165" s="17" t="s">
        <v>67</v>
      </c>
      <c r="C165" s="86" t="s">
        <v>68</v>
      </c>
      <c r="D165" s="64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5">
        <f t="shared" ref="T165:T174" si="38">SUM(E165:S165)</f>
        <v>0</v>
      </c>
    </row>
    <row r="166" spans="1:20" x14ac:dyDescent="0.3">
      <c r="A166" s="11" t="s">
        <v>50</v>
      </c>
      <c r="B166" s="50"/>
      <c r="C166" s="24" t="s">
        <v>186</v>
      </c>
      <c r="D166" s="49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5">
        <f t="shared" si="38"/>
        <v>0</v>
      </c>
    </row>
    <row r="167" spans="1:20" x14ac:dyDescent="0.3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5">
        <f t="shared" si="38"/>
        <v>0</v>
      </c>
    </row>
    <row r="168" spans="1:20" x14ac:dyDescent="0.3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5">
        <f t="shared" si="38"/>
        <v>0</v>
      </c>
    </row>
    <row r="169" spans="1:20" x14ac:dyDescent="0.3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5">
        <f t="shared" si="38"/>
        <v>0</v>
      </c>
    </row>
    <row r="170" spans="1:20" x14ac:dyDescent="0.3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5">
        <f t="shared" si="38"/>
        <v>0</v>
      </c>
    </row>
    <row r="171" spans="1:20" x14ac:dyDescent="0.3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5">
        <f t="shared" si="38"/>
        <v>0</v>
      </c>
    </row>
    <row r="172" spans="1:20" x14ac:dyDescent="0.3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5">
        <f t="shared" si="38"/>
        <v>0</v>
      </c>
    </row>
    <row r="173" spans="1:20" x14ac:dyDescent="0.3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5">
        <f t="shared" si="38"/>
        <v>0</v>
      </c>
    </row>
    <row r="174" spans="1:20" x14ac:dyDescent="0.3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5">
        <f t="shared" si="38"/>
        <v>0</v>
      </c>
    </row>
    <row r="175" spans="1:20" x14ac:dyDescent="0.3">
      <c r="A175" s="6" t="s">
        <v>26</v>
      </c>
      <c r="B175" s="84" t="s">
        <v>51</v>
      </c>
      <c r="C175" s="87"/>
      <c r="D175" s="88"/>
      <c r="E175" s="5">
        <f t="shared" ref="E175:T175" si="39">SUM(E165:E174)</f>
        <v>0</v>
      </c>
      <c r="F175" s="5">
        <f t="shared" si="39"/>
        <v>0</v>
      </c>
      <c r="G175" s="5">
        <f t="shared" si="39"/>
        <v>0</v>
      </c>
      <c r="H175" s="5">
        <f t="shared" si="39"/>
        <v>0</v>
      </c>
      <c r="I175" s="5">
        <f t="shared" si="39"/>
        <v>0</v>
      </c>
      <c r="J175" s="5">
        <f t="shared" si="39"/>
        <v>0</v>
      </c>
      <c r="K175" s="5">
        <f t="shared" si="39"/>
        <v>0</v>
      </c>
      <c r="L175" s="5">
        <f t="shared" si="39"/>
        <v>0</v>
      </c>
      <c r="M175" s="5">
        <f t="shared" si="39"/>
        <v>0</v>
      </c>
      <c r="N175" s="5">
        <f t="shared" si="39"/>
        <v>0</v>
      </c>
      <c r="O175" s="5">
        <f t="shared" si="39"/>
        <v>0</v>
      </c>
      <c r="P175" s="5">
        <f t="shared" si="39"/>
        <v>0</v>
      </c>
      <c r="Q175" s="5">
        <f t="shared" si="39"/>
        <v>0</v>
      </c>
      <c r="R175" s="5">
        <f t="shared" si="39"/>
        <v>0</v>
      </c>
      <c r="S175" s="5">
        <f t="shared" si="39"/>
        <v>0</v>
      </c>
      <c r="T175" s="5">
        <f t="shared" si="39"/>
        <v>0</v>
      </c>
    </row>
    <row r="176" spans="1:20" ht="13.15" customHeight="1" x14ac:dyDescent="0.3">
      <c r="A176" s="62"/>
      <c r="B176" s="89"/>
      <c r="C176" s="89"/>
      <c r="D176" s="89"/>
      <c r="E176" s="90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1:20" x14ac:dyDescent="0.3">
      <c r="A177" s="11" t="s">
        <v>48</v>
      </c>
      <c r="B177" s="17" t="s">
        <v>69</v>
      </c>
      <c r="C177" s="86" t="s">
        <v>70</v>
      </c>
      <c r="D177" s="64"/>
      <c r="E177" s="6">
        <v>1</v>
      </c>
      <c r="F177" s="6"/>
      <c r="G177" s="6"/>
      <c r="H177" s="6"/>
      <c r="I177" s="6"/>
      <c r="J177" s="6"/>
      <c r="K177" s="6">
        <v>1</v>
      </c>
      <c r="L177" s="6"/>
      <c r="M177" s="6"/>
      <c r="N177" s="6"/>
      <c r="O177" s="6"/>
      <c r="P177" s="6"/>
      <c r="Q177" s="6"/>
      <c r="R177" s="6"/>
      <c r="S177" s="6"/>
      <c r="T177" s="5">
        <f t="shared" ref="T177:T186" si="40">SUM(E177:S177)</f>
        <v>2</v>
      </c>
    </row>
    <row r="178" spans="1:20" x14ac:dyDescent="0.3">
      <c r="A178" s="11" t="s">
        <v>50</v>
      </c>
      <c r="B178" s="50"/>
      <c r="C178" s="24" t="s">
        <v>187</v>
      </c>
      <c r="D178" s="49"/>
      <c r="E178" s="6">
        <v>1</v>
      </c>
      <c r="F178" s="6"/>
      <c r="G178" s="6"/>
      <c r="H178" s="6"/>
      <c r="I178" s="6"/>
      <c r="J178" s="6"/>
      <c r="K178" s="6"/>
      <c r="L178" s="6"/>
      <c r="M178" s="6"/>
      <c r="N178" s="6"/>
      <c r="O178" s="6">
        <v>1</v>
      </c>
      <c r="P178" s="6"/>
      <c r="Q178" s="6"/>
      <c r="R178" s="6"/>
      <c r="S178" s="6"/>
      <c r="T178" s="5">
        <f t="shared" si="40"/>
        <v>2</v>
      </c>
    </row>
    <row r="179" spans="1:20" x14ac:dyDescent="0.3">
      <c r="A179" s="7"/>
      <c r="B179" s="50"/>
      <c r="C179" s="24" t="s">
        <v>188</v>
      </c>
      <c r="D179" s="49"/>
      <c r="E179" s="6">
        <v>1</v>
      </c>
      <c r="F179" s="6"/>
      <c r="G179" s="6"/>
      <c r="H179" s="6"/>
      <c r="I179" s="6"/>
      <c r="J179" s="6">
        <v>1</v>
      </c>
      <c r="K179" s="6"/>
      <c r="L179" s="6">
        <v>1</v>
      </c>
      <c r="M179" s="6"/>
      <c r="N179" s="6"/>
      <c r="O179" s="6"/>
      <c r="P179" s="6"/>
      <c r="Q179" s="6"/>
      <c r="R179" s="6"/>
      <c r="S179" s="6"/>
      <c r="T179" s="5">
        <f t="shared" si="40"/>
        <v>3</v>
      </c>
    </row>
    <row r="180" spans="1:20" x14ac:dyDescent="0.3">
      <c r="A180" s="7"/>
      <c r="B180" s="50"/>
      <c r="C180" s="24" t="s">
        <v>189</v>
      </c>
      <c r="D180" s="49"/>
      <c r="E180" s="6"/>
      <c r="F180" s="6"/>
      <c r="G180" s="6"/>
      <c r="H180" s="6"/>
      <c r="I180" s="6"/>
      <c r="J180" s="6">
        <v>1</v>
      </c>
      <c r="K180" s="6"/>
      <c r="L180" s="6">
        <v>2</v>
      </c>
      <c r="M180" s="6"/>
      <c r="N180" s="6"/>
      <c r="O180" s="6"/>
      <c r="P180" s="6"/>
      <c r="Q180" s="6"/>
      <c r="R180" s="6">
        <v>1</v>
      </c>
      <c r="S180" s="6"/>
      <c r="T180" s="5">
        <f t="shared" si="40"/>
        <v>4</v>
      </c>
    </row>
    <row r="181" spans="1:20" x14ac:dyDescent="0.3">
      <c r="A181" s="7"/>
      <c r="B181" s="50"/>
      <c r="C181" s="24" t="s">
        <v>190</v>
      </c>
      <c r="D181" s="49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5">
        <f t="shared" si="40"/>
        <v>0</v>
      </c>
    </row>
    <row r="182" spans="1:20" x14ac:dyDescent="0.3">
      <c r="A182" s="7"/>
      <c r="B182" s="50"/>
      <c r="C182" s="24" t="s">
        <v>191</v>
      </c>
      <c r="D182" s="49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5">
        <f t="shared" si="40"/>
        <v>0</v>
      </c>
    </row>
    <row r="183" spans="1:20" x14ac:dyDescent="0.3">
      <c r="A183" s="7"/>
      <c r="B183" s="50"/>
      <c r="C183" s="24" t="s">
        <v>192</v>
      </c>
      <c r="D183" s="49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5">
        <f t="shared" si="40"/>
        <v>0</v>
      </c>
    </row>
    <row r="184" spans="1:20" x14ac:dyDescent="0.3">
      <c r="A184" s="7"/>
      <c r="B184" s="50"/>
      <c r="C184" s="24" t="s">
        <v>193</v>
      </c>
      <c r="D184" s="49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5">
        <f t="shared" si="40"/>
        <v>0</v>
      </c>
    </row>
    <row r="185" spans="1:20" x14ac:dyDescent="0.3">
      <c r="A185" s="7"/>
      <c r="B185" s="50"/>
      <c r="C185" s="24" t="s">
        <v>194</v>
      </c>
      <c r="D185" s="49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>
        <v>1</v>
      </c>
      <c r="R185" s="6"/>
      <c r="S185" s="6"/>
      <c r="T185" s="5">
        <f t="shared" si="40"/>
        <v>1</v>
      </c>
    </row>
    <row r="186" spans="1:20" x14ac:dyDescent="0.3">
      <c r="A186" s="7"/>
      <c r="B186" s="50"/>
      <c r="C186" s="24" t="s">
        <v>195</v>
      </c>
      <c r="D186" s="49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5">
        <f t="shared" si="40"/>
        <v>0</v>
      </c>
    </row>
    <row r="187" spans="1:20" ht="13.15" customHeight="1" x14ac:dyDescent="0.3">
      <c r="A187" s="6" t="s">
        <v>26</v>
      </c>
      <c r="B187" s="84" t="s">
        <v>51</v>
      </c>
      <c r="C187" s="87"/>
      <c r="D187" s="88"/>
      <c r="E187" s="5">
        <f t="shared" ref="E187:T187" si="41">SUM(E177:E186)</f>
        <v>3</v>
      </c>
      <c r="F187" s="5">
        <f t="shared" si="41"/>
        <v>0</v>
      </c>
      <c r="G187" s="5">
        <f t="shared" si="41"/>
        <v>0</v>
      </c>
      <c r="H187" s="5">
        <f t="shared" si="41"/>
        <v>0</v>
      </c>
      <c r="I187" s="5">
        <f t="shared" si="41"/>
        <v>0</v>
      </c>
      <c r="J187" s="5">
        <f t="shared" si="41"/>
        <v>2</v>
      </c>
      <c r="K187" s="5">
        <f t="shared" si="41"/>
        <v>1</v>
      </c>
      <c r="L187" s="5">
        <f t="shared" si="41"/>
        <v>3</v>
      </c>
      <c r="M187" s="5">
        <f t="shared" si="41"/>
        <v>0</v>
      </c>
      <c r="N187" s="5">
        <f t="shared" si="41"/>
        <v>0</v>
      </c>
      <c r="O187" s="5">
        <f t="shared" si="41"/>
        <v>1</v>
      </c>
      <c r="P187" s="5">
        <f t="shared" si="41"/>
        <v>0</v>
      </c>
      <c r="Q187" s="5">
        <f t="shared" si="41"/>
        <v>1</v>
      </c>
      <c r="R187" s="5">
        <f t="shared" si="41"/>
        <v>1</v>
      </c>
      <c r="S187" s="5">
        <f t="shared" si="41"/>
        <v>0</v>
      </c>
      <c r="T187" s="5">
        <f t="shared" si="41"/>
        <v>12</v>
      </c>
    </row>
    <row r="188" spans="1:20" x14ac:dyDescent="0.3">
      <c r="A188" s="62"/>
      <c r="B188" s="89"/>
      <c r="C188" s="89"/>
      <c r="D188" s="89"/>
      <c r="E188" s="90"/>
      <c r="F188" s="18"/>
      <c r="G188" s="18"/>
      <c r="H188" s="18"/>
      <c r="I188" s="18"/>
      <c r="J188" s="18"/>
      <c r="K188" s="18"/>
      <c r="L188" s="18"/>
      <c r="M188" s="18"/>
      <c r="N188" s="18"/>
      <c r="T188" s="5"/>
    </row>
    <row r="189" spans="1:20" x14ac:dyDescent="0.3">
      <c r="A189" s="11" t="s">
        <v>48</v>
      </c>
      <c r="B189" s="17" t="s">
        <v>71</v>
      </c>
      <c r="C189" s="86" t="s">
        <v>72</v>
      </c>
      <c r="D189" s="64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5">
        <f t="shared" ref="T189:T198" si="42">SUM(E189:S189)</f>
        <v>0</v>
      </c>
    </row>
    <row r="190" spans="1:20" x14ac:dyDescent="0.3">
      <c r="A190" s="11" t="s">
        <v>50</v>
      </c>
      <c r="B190" s="50"/>
      <c r="C190" s="24" t="s">
        <v>196</v>
      </c>
      <c r="D190" s="49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5">
        <f t="shared" si="42"/>
        <v>0</v>
      </c>
    </row>
    <row r="191" spans="1:20" x14ac:dyDescent="0.3">
      <c r="A191" s="7"/>
      <c r="B191" s="50"/>
      <c r="C191" s="24" t="s">
        <v>197</v>
      </c>
      <c r="D191" s="49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>
        <v>1</v>
      </c>
      <c r="T191" s="5">
        <f t="shared" si="42"/>
        <v>1</v>
      </c>
    </row>
    <row r="192" spans="1:20" x14ac:dyDescent="0.3">
      <c r="A192" s="7"/>
      <c r="B192" s="50"/>
      <c r="C192" s="24" t="s">
        <v>198</v>
      </c>
      <c r="D192" s="49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5">
        <f t="shared" si="42"/>
        <v>0</v>
      </c>
    </row>
    <row r="193" spans="1:20" x14ac:dyDescent="0.3">
      <c r="A193" s="7"/>
      <c r="B193" s="50"/>
      <c r="C193" s="24" t="s">
        <v>199</v>
      </c>
      <c r="D193" s="49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5">
        <f t="shared" si="42"/>
        <v>0</v>
      </c>
    </row>
    <row r="194" spans="1:20" x14ac:dyDescent="0.3">
      <c r="A194" s="7"/>
      <c r="B194" s="50"/>
      <c r="C194" s="24" t="s">
        <v>200</v>
      </c>
      <c r="D194" s="49"/>
      <c r="E194" s="6"/>
      <c r="F194" s="6"/>
      <c r="G194" s="6"/>
      <c r="H194" s="6"/>
      <c r="I194" s="6"/>
      <c r="J194" s="6"/>
      <c r="K194" s="6"/>
      <c r="L194" s="6"/>
      <c r="M194" s="6">
        <v>1</v>
      </c>
      <c r="N194" s="6"/>
      <c r="O194" s="6"/>
      <c r="P194" s="6"/>
      <c r="Q194" s="6"/>
      <c r="R194" s="6"/>
      <c r="S194" s="6"/>
      <c r="T194" s="5">
        <f t="shared" si="42"/>
        <v>1</v>
      </c>
    </row>
    <row r="195" spans="1:20" x14ac:dyDescent="0.3">
      <c r="A195" s="7"/>
      <c r="B195" s="50"/>
      <c r="C195" s="24" t="s">
        <v>201</v>
      </c>
      <c r="D195" s="49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5">
        <f t="shared" si="42"/>
        <v>0</v>
      </c>
    </row>
    <row r="196" spans="1:20" ht="13.15" customHeight="1" x14ac:dyDescent="0.3">
      <c r="A196" s="7"/>
      <c r="B196" s="50"/>
      <c r="C196" s="24" t="s">
        <v>202</v>
      </c>
      <c r="D196" s="49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5">
        <f t="shared" si="42"/>
        <v>0</v>
      </c>
    </row>
    <row r="197" spans="1:20" ht="13.15" customHeight="1" x14ac:dyDescent="0.3">
      <c r="A197" s="7"/>
      <c r="B197" s="50"/>
      <c r="C197" s="24" t="s">
        <v>203</v>
      </c>
      <c r="D197" s="49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5">
        <f t="shared" si="42"/>
        <v>0</v>
      </c>
    </row>
    <row r="198" spans="1:20" ht="13.15" customHeight="1" x14ac:dyDescent="0.3">
      <c r="A198" s="7"/>
      <c r="B198" s="50"/>
      <c r="C198" s="24" t="s">
        <v>204</v>
      </c>
      <c r="D198" s="49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5">
        <f t="shared" si="42"/>
        <v>0</v>
      </c>
    </row>
    <row r="199" spans="1:20" x14ac:dyDescent="0.3">
      <c r="A199" s="6" t="s">
        <v>26</v>
      </c>
      <c r="B199" s="84" t="s">
        <v>51</v>
      </c>
      <c r="C199" s="87"/>
      <c r="D199" s="88"/>
      <c r="E199" s="5">
        <f t="shared" ref="E199:T199" si="43">SUM(E189:E198)</f>
        <v>0</v>
      </c>
      <c r="F199" s="5">
        <f t="shared" si="43"/>
        <v>0</v>
      </c>
      <c r="G199" s="5">
        <f t="shared" si="43"/>
        <v>0</v>
      </c>
      <c r="H199" s="5">
        <f t="shared" si="43"/>
        <v>0</v>
      </c>
      <c r="I199" s="5">
        <f t="shared" si="43"/>
        <v>0</v>
      </c>
      <c r="J199" s="5">
        <f t="shared" si="43"/>
        <v>0</v>
      </c>
      <c r="K199" s="5">
        <f t="shared" si="43"/>
        <v>0</v>
      </c>
      <c r="L199" s="5">
        <f t="shared" si="43"/>
        <v>0</v>
      </c>
      <c r="M199" s="5">
        <f t="shared" si="43"/>
        <v>1</v>
      </c>
      <c r="N199" s="5">
        <f t="shared" si="43"/>
        <v>0</v>
      </c>
      <c r="O199" s="5">
        <f t="shared" si="43"/>
        <v>0</v>
      </c>
      <c r="P199" s="5">
        <f t="shared" si="43"/>
        <v>0</v>
      </c>
      <c r="Q199" s="5">
        <f t="shared" si="43"/>
        <v>0</v>
      </c>
      <c r="R199" s="5">
        <f t="shared" si="43"/>
        <v>0</v>
      </c>
      <c r="S199" s="5">
        <f t="shared" si="43"/>
        <v>1</v>
      </c>
      <c r="T199" s="5">
        <f t="shared" si="43"/>
        <v>2</v>
      </c>
    </row>
    <row r="200" spans="1:20" x14ac:dyDescent="0.3">
      <c r="A200" s="62"/>
      <c r="B200" s="89"/>
      <c r="C200" s="89"/>
      <c r="D200" s="89"/>
      <c r="E200" s="90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</row>
    <row r="201" spans="1:20" x14ac:dyDescent="0.3">
      <c r="A201" s="11" t="s">
        <v>48</v>
      </c>
      <c r="B201" s="17" t="s">
        <v>73</v>
      </c>
      <c r="C201" s="86" t="s">
        <v>74</v>
      </c>
      <c r="D201" s="64"/>
      <c r="E201" s="6">
        <v>2</v>
      </c>
      <c r="F201" s="6">
        <v>4</v>
      </c>
      <c r="G201" s="6">
        <v>2</v>
      </c>
      <c r="H201" s="6">
        <v>7</v>
      </c>
      <c r="I201" s="6">
        <v>4</v>
      </c>
      <c r="J201" s="6">
        <v>0</v>
      </c>
      <c r="K201" s="6">
        <v>8</v>
      </c>
      <c r="L201" s="6">
        <v>2</v>
      </c>
      <c r="M201" s="6">
        <v>2</v>
      </c>
      <c r="N201" s="6">
        <v>2</v>
      </c>
      <c r="O201" s="6">
        <v>7</v>
      </c>
      <c r="P201" s="6">
        <v>19</v>
      </c>
      <c r="Q201" s="6">
        <v>6</v>
      </c>
      <c r="R201" s="6">
        <v>5</v>
      </c>
      <c r="S201" s="6">
        <v>9</v>
      </c>
      <c r="T201" s="5">
        <f t="shared" ref="T201:T210" si="44">SUM(E201:S201)</f>
        <v>79</v>
      </c>
    </row>
    <row r="202" spans="1:20" x14ac:dyDescent="0.3">
      <c r="A202" s="11" t="s">
        <v>50</v>
      </c>
      <c r="B202" s="50"/>
      <c r="C202" s="24" t="s">
        <v>205</v>
      </c>
      <c r="D202" s="49"/>
      <c r="E202" s="6">
        <v>2</v>
      </c>
      <c r="F202" s="6">
        <v>4</v>
      </c>
      <c r="G202" s="6">
        <v>0</v>
      </c>
      <c r="H202" s="6">
        <v>9</v>
      </c>
      <c r="I202" s="6">
        <v>2</v>
      </c>
      <c r="J202" s="6">
        <v>4</v>
      </c>
      <c r="K202" s="6">
        <v>8</v>
      </c>
      <c r="L202" s="6">
        <v>5</v>
      </c>
      <c r="M202" s="6">
        <v>3</v>
      </c>
      <c r="N202" s="6">
        <v>6</v>
      </c>
      <c r="O202" s="6">
        <v>5</v>
      </c>
      <c r="P202" s="6">
        <v>19</v>
      </c>
      <c r="Q202" s="6">
        <v>8</v>
      </c>
      <c r="R202" s="6">
        <v>3</v>
      </c>
      <c r="S202" s="6">
        <v>12</v>
      </c>
      <c r="T202" s="5">
        <f t="shared" si="44"/>
        <v>90</v>
      </c>
    </row>
    <row r="203" spans="1:20" x14ac:dyDescent="0.3">
      <c r="A203" s="7"/>
      <c r="B203" s="50"/>
      <c r="C203" s="24" t="s">
        <v>206</v>
      </c>
      <c r="D203" s="49"/>
      <c r="E203" s="6">
        <v>0</v>
      </c>
      <c r="F203" s="6">
        <v>1</v>
      </c>
      <c r="G203" s="6">
        <v>0</v>
      </c>
      <c r="H203" s="6">
        <v>0</v>
      </c>
      <c r="I203" s="6">
        <v>1</v>
      </c>
      <c r="J203" s="6">
        <v>2</v>
      </c>
      <c r="K203" s="6">
        <v>1</v>
      </c>
      <c r="L203" s="6">
        <v>0</v>
      </c>
      <c r="M203" s="6">
        <v>0</v>
      </c>
      <c r="N203" s="6">
        <v>2</v>
      </c>
      <c r="O203" s="6">
        <v>0</v>
      </c>
      <c r="P203" s="6">
        <v>1</v>
      </c>
      <c r="Q203" s="6">
        <v>4</v>
      </c>
      <c r="R203" s="6">
        <v>1</v>
      </c>
      <c r="S203" s="6">
        <v>4</v>
      </c>
      <c r="T203" s="5">
        <f t="shared" si="44"/>
        <v>17</v>
      </c>
    </row>
    <row r="204" spans="1:20" x14ac:dyDescent="0.3">
      <c r="A204" s="7"/>
      <c r="B204" s="50"/>
      <c r="C204" s="24" t="s">
        <v>207</v>
      </c>
      <c r="D204" s="49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1</v>
      </c>
      <c r="L204" s="6">
        <v>0</v>
      </c>
      <c r="M204" s="6">
        <v>1</v>
      </c>
      <c r="N204" s="6">
        <v>0</v>
      </c>
      <c r="O204" s="6">
        <v>0</v>
      </c>
      <c r="P204" s="6">
        <v>0</v>
      </c>
      <c r="Q204" s="6">
        <v>1</v>
      </c>
      <c r="R204" s="6">
        <v>0</v>
      </c>
      <c r="S204" s="6">
        <v>0</v>
      </c>
      <c r="T204" s="5">
        <f t="shared" si="44"/>
        <v>3</v>
      </c>
    </row>
    <row r="205" spans="1:20" x14ac:dyDescent="0.3">
      <c r="A205" s="7"/>
      <c r="B205" s="50"/>
      <c r="C205" s="24" t="s">
        <v>208</v>
      </c>
      <c r="D205" s="49"/>
      <c r="E205" s="6">
        <v>0</v>
      </c>
      <c r="F205" s="6">
        <v>1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5">
        <f t="shared" si="44"/>
        <v>1</v>
      </c>
    </row>
    <row r="206" spans="1:20" x14ac:dyDescent="0.3">
      <c r="A206" s="7"/>
      <c r="B206" s="50"/>
      <c r="C206" s="24" t="s">
        <v>209</v>
      </c>
      <c r="D206" s="49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5">
        <f t="shared" si="44"/>
        <v>0</v>
      </c>
    </row>
    <row r="207" spans="1:20" ht="13.15" customHeight="1" x14ac:dyDescent="0.3">
      <c r="A207" s="7"/>
      <c r="B207" s="50"/>
      <c r="C207" s="24" t="s">
        <v>210</v>
      </c>
      <c r="D207" s="49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5">
        <f t="shared" si="44"/>
        <v>0</v>
      </c>
    </row>
    <row r="208" spans="1:20" x14ac:dyDescent="0.3">
      <c r="A208" s="7"/>
      <c r="B208" s="50"/>
      <c r="C208" s="24" t="s">
        <v>211</v>
      </c>
      <c r="D208" s="49"/>
      <c r="E208" s="6">
        <v>0</v>
      </c>
      <c r="F208" s="6">
        <v>0</v>
      </c>
      <c r="G208" s="6">
        <v>1</v>
      </c>
      <c r="H208" s="6">
        <v>1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1</v>
      </c>
      <c r="Q208" s="6">
        <v>1</v>
      </c>
      <c r="R208" s="6">
        <v>0</v>
      </c>
      <c r="S208" s="6">
        <v>0</v>
      </c>
      <c r="T208" s="5">
        <f t="shared" si="44"/>
        <v>4</v>
      </c>
    </row>
    <row r="209" spans="1:20" x14ac:dyDescent="0.3">
      <c r="A209" s="7"/>
      <c r="B209" s="50"/>
      <c r="C209" s="24" t="s">
        <v>212</v>
      </c>
      <c r="D209" s="49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5">
        <f t="shared" si="44"/>
        <v>0</v>
      </c>
    </row>
    <row r="210" spans="1:20" x14ac:dyDescent="0.3">
      <c r="A210" s="7"/>
      <c r="B210" s="50"/>
      <c r="C210" s="24" t="s">
        <v>213</v>
      </c>
      <c r="D210" s="49"/>
      <c r="E210" s="6">
        <v>0</v>
      </c>
      <c r="F210" s="6">
        <v>0</v>
      </c>
      <c r="G210" s="6">
        <v>0</v>
      </c>
      <c r="H210" s="6">
        <v>0</v>
      </c>
      <c r="I210" s="6">
        <v>1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5">
        <f t="shared" si="44"/>
        <v>1</v>
      </c>
    </row>
    <row r="211" spans="1:20" x14ac:dyDescent="0.3">
      <c r="A211" s="6" t="s">
        <v>26</v>
      </c>
      <c r="B211" s="84" t="s">
        <v>51</v>
      </c>
      <c r="C211" s="87"/>
      <c r="D211" s="88"/>
      <c r="E211" s="5">
        <f t="shared" ref="E211:T211" si="45">SUM(E201:E210)</f>
        <v>4</v>
      </c>
      <c r="F211" s="5">
        <f t="shared" si="45"/>
        <v>10</v>
      </c>
      <c r="G211" s="5">
        <f t="shared" si="45"/>
        <v>3</v>
      </c>
      <c r="H211" s="5">
        <f t="shared" si="45"/>
        <v>17</v>
      </c>
      <c r="I211" s="5">
        <f t="shared" si="45"/>
        <v>8</v>
      </c>
      <c r="J211" s="5">
        <f t="shared" si="45"/>
        <v>6</v>
      </c>
      <c r="K211" s="5">
        <f t="shared" si="45"/>
        <v>18</v>
      </c>
      <c r="L211" s="5">
        <f t="shared" si="45"/>
        <v>7</v>
      </c>
      <c r="M211" s="5">
        <f t="shared" si="45"/>
        <v>6</v>
      </c>
      <c r="N211" s="5">
        <f t="shared" si="45"/>
        <v>10</v>
      </c>
      <c r="O211" s="5">
        <f t="shared" si="45"/>
        <v>12</v>
      </c>
      <c r="P211" s="5">
        <f t="shared" si="45"/>
        <v>40</v>
      </c>
      <c r="Q211" s="5">
        <f t="shared" si="45"/>
        <v>20</v>
      </c>
      <c r="R211" s="5">
        <f t="shared" si="45"/>
        <v>9</v>
      </c>
      <c r="S211" s="5">
        <f t="shared" si="45"/>
        <v>25</v>
      </c>
      <c r="T211" s="5">
        <f t="shared" si="45"/>
        <v>195</v>
      </c>
    </row>
    <row r="212" spans="1:20" x14ac:dyDescent="0.3">
      <c r="A212" s="62"/>
      <c r="B212" s="89"/>
      <c r="C212" s="89"/>
      <c r="D212" s="89"/>
      <c r="E212" s="90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</row>
    <row r="213" spans="1:20" x14ac:dyDescent="0.3">
      <c r="A213" s="11" t="s">
        <v>48</v>
      </c>
      <c r="B213" s="17" t="s">
        <v>75</v>
      </c>
      <c r="C213" s="86" t="s">
        <v>76</v>
      </c>
      <c r="D213" s="64"/>
      <c r="E213" s="6">
        <v>0</v>
      </c>
      <c r="F213" s="6">
        <v>0</v>
      </c>
      <c r="G213" s="6">
        <v>1</v>
      </c>
      <c r="H213" s="6">
        <v>3</v>
      </c>
      <c r="I213" s="6">
        <v>0</v>
      </c>
      <c r="J213" s="6">
        <v>1</v>
      </c>
      <c r="K213" s="6">
        <v>0</v>
      </c>
      <c r="L213" s="6">
        <v>0</v>
      </c>
      <c r="M213" s="6">
        <v>0</v>
      </c>
      <c r="N213" s="6">
        <v>1</v>
      </c>
      <c r="O213" s="6">
        <v>0</v>
      </c>
      <c r="P213" s="6">
        <v>0</v>
      </c>
      <c r="Q213" s="6">
        <v>1</v>
      </c>
      <c r="R213" s="6">
        <v>3</v>
      </c>
      <c r="S213" s="6">
        <v>1</v>
      </c>
      <c r="T213" s="5">
        <f t="shared" ref="T213:T222" si="46">SUM(E213:S213)</f>
        <v>11</v>
      </c>
    </row>
    <row r="214" spans="1:20" x14ac:dyDescent="0.3">
      <c r="A214" s="11" t="s">
        <v>50</v>
      </c>
      <c r="B214" s="50"/>
      <c r="C214" s="24" t="s">
        <v>214</v>
      </c>
      <c r="D214" s="49"/>
      <c r="E214" s="6">
        <v>0</v>
      </c>
      <c r="F214" s="6">
        <v>1</v>
      </c>
      <c r="G214" s="6">
        <v>1</v>
      </c>
      <c r="H214" s="6">
        <v>1</v>
      </c>
      <c r="I214" s="6">
        <v>0</v>
      </c>
      <c r="J214" s="6">
        <v>1</v>
      </c>
      <c r="K214" s="6">
        <v>1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2</v>
      </c>
      <c r="R214" s="6">
        <v>0</v>
      </c>
      <c r="S214" s="6">
        <v>0</v>
      </c>
      <c r="T214" s="5">
        <f t="shared" si="46"/>
        <v>7</v>
      </c>
    </row>
    <row r="215" spans="1:20" x14ac:dyDescent="0.3">
      <c r="A215" s="7"/>
      <c r="B215" s="50"/>
      <c r="C215" s="24" t="s">
        <v>215</v>
      </c>
      <c r="D215" s="49"/>
      <c r="E215" s="6">
        <v>1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1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1</v>
      </c>
      <c r="R215" s="6">
        <v>1</v>
      </c>
      <c r="S215" s="6">
        <v>1</v>
      </c>
      <c r="T215" s="5">
        <f t="shared" si="46"/>
        <v>5</v>
      </c>
    </row>
    <row r="216" spans="1:20" x14ac:dyDescent="0.3">
      <c r="A216" s="7"/>
      <c r="B216" s="50"/>
      <c r="C216" s="24" t="s">
        <v>216</v>
      </c>
      <c r="D216" s="49"/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1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1</v>
      </c>
      <c r="R216" s="6">
        <v>0</v>
      </c>
      <c r="S216" s="6">
        <v>0</v>
      </c>
      <c r="T216" s="5">
        <f t="shared" si="46"/>
        <v>2</v>
      </c>
    </row>
    <row r="217" spans="1:20" x14ac:dyDescent="0.3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5">
        <f t="shared" si="46"/>
        <v>0</v>
      </c>
    </row>
    <row r="218" spans="1:20" ht="13.15" customHeight="1" x14ac:dyDescent="0.3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5">
        <f t="shared" si="46"/>
        <v>0</v>
      </c>
    </row>
    <row r="219" spans="1:20" x14ac:dyDescent="0.3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5">
        <f t="shared" si="46"/>
        <v>0</v>
      </c>
    </row>
    <row r="220" spans="1:20" x14ac:dyDescent="0.3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5">
        <f t="shared" si="46"/>
        <v>0</v>
      </c>
    </row>
    <row r="221" spans="1:20" x14ac:dyDescent="0.3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5">
        <f t="shared" si="46"/>
        <v>0</v>
      </c>
    </row>
    <row r="222" spans="1:20" x14ac:dyDescent="0.3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5">
        <f t="shared" si="46"/>
        <v>0</v>
      </c>
    </row>
    <row r="223" spans="1:20" x14ac:dyDescent="0.3">
      <c r="A223" s="6" t="s">
        <v>26</v>
      </c>
      <c r="B223" s="84" t="s">
        <v>51</v>
      </c>
      <c r="C223" s="87"/>
      <c r="D223" s="88"/>
      <c r="E223" s="5">
        <f t="shared" ref="E223:T223" si="47">SUM(E213:E222)</f>
        <v>1</v>
      </c>
      <c r="F223" s="5">
        <f t="shared" si="47"/>
        <v>1</v>
      </c>
      <c r="G223" s="5">
        <f t="shared" si="47"/>
        <v>2</v>
      </c>
      <c r="H223" s="5">
        <f t="shared" si="47"/>
        <v>4</v>
      </c>
      <c r="I223" s="5">
        <f t="shared" si="47"/>
        <v>0</v>
      </c>
      <c r="J223" s="5">
        <f t="shared" si="47"/>
        <v>2</v>
      </c>
      <c r="K223" s="5">
        <f t="shared" si="47"/>
        <v>3</v>
      </c>
      <c r="L223" s="5">
        <f t="shared" si="47"/>
        <v>0</v>
      </c>
      <c r="M223" s="5">
        <f t="shared" si="47"/>
        <v>0</v>
      </c>
      <c r="N223" s="5">
        <f t="shared" si="47"/>
        <v>1</v>
      </c>
      <c r="O223" s="5">
        <f t="shared" si="47"/>
        <v>0</v>
      </c>
      <c r="P223" s="5">
        <f t="shared" si="47"/>
        <v>0</v>
      </c>
      <c r="Q223" s="5">
        <f t="shared" si="47"/>
        <v>5</v>
      </c>
      <c r="R223" s="5">
        <f t="shared" si="47"/>
        <v>4</v>
      </c>
      <c r="S223" s="5">
        <f t="shared" si="47"/>
        <v>2</v>
      </c>
      <c r="T223" s="5">
        <f t="shared" si="47"/>
        <v>25</v>
      </c>
    </row>
    <row r="224" spans="1:20" x14ac:dyDescent="0.3">
      <c r="A224" s="62"/>
      <c r="B224" s="89"/>
      <c r="C224" s="89"/>
      <c r="D224" s="89"/>
      <c r="E224" s="90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</row>
    <row r="225" spans="1:20" x14ac:dyDescent="0.3">
      <c r="A225" s="11" t="s">
        <v>48</v>
      </c>
      <c r="B225" s="17" t="s">
        <v>77</v>
      </c>
      <c r="C225" s="86" t="s">
        <v>78</v>
      </c>
      <c r="D225" s="64"/>
      <c r="E225" s="6">
        <v>0</v>
      </c>
      <c r="F225" s="6">
        <v>0</v>
      </c>
      <c r="G225" s="6">
        <v>1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1</v>
      </c>
      <c r="P225" s="6">
        <v>0</v>
      </c>
      <c r="Q225" s="6">
        <v>0</v>
      </c>
      <c r="R225" s="6">
        <v>0</v>
      </c>
      <c r="S225" s="6">
        <v>0</v>
      </c>
      <c r="T225" s="5">
        <f t="shared" ref="T225:T234" si="48">SUM(E225:S225)</f>
        <v>2</v>
      </c>
    </row>
    <row r="226" spans="1:20" x14ac:dyDescent="0.3">
      <c r="A226" s="11" t="s">
        <v>50</v>
      </c>
      <c r="B226" s="50"/>
      <c r="C226" s="24" t="s">
        <v>217</v>
      </c>
      <c r="D226" s="49"/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4</v>
      </c>
      <c r="P226" s="6">
        <v>0</v>
      </c>
      <c r="Q226" s="6">
        <v>0</v>
      </c>
      <c r="R226" s="6">
        <v>0</v>
      </c>
      <c r="S226" s="6">
        <v>0</v>
      </c>
      <c r="T226" s="5">
        <f t="shared" si="48"/>
        <v>4</v>
      </c>
    </row>
    <row r="227" spans="1:20" x14ac:dyDescent="0.3">
      <c r="A227" s="7"/>
      <c r="B227" s="50"/>
      <c r="C227" s="24" t="s">
        <v>218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5">
        <f t="shared" si="48"/>
        <v>0</v>
      </c>
    </row>
    <row r="228" spans="1:20" x14ac:dyDescent="0.3">
      <c r="A228" s="7"/>
      <c r="B228" s="50"/>
      <c r="C228" s="24" t="s">
        <v>219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5">
        <f t="shared" si="48"/>
        <v>0</v>
      </c>
    </row>
    <row r="229" spans="1:20" ht="13.15" customHeight="1" x14ac:dyDescent="0.3">
      <c r="A229" s="7"/>
      <c r="B229" s="50"/>
      <c r="C229" s="24" t="s">
        <v>220</v>
      </c>
      <c r="D229" s="49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5">
        <f t="shared" si="48"/>
        <v>0</v>
      </c>
    </row>
    <row r="230" spans="1:20" x14ac:dyDescent="0.3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5">
        <f t="shared" si="48"/>
        <v>0</v>
      </c>
    </row>
    <row r="231" spans="1:20" x14ac:dyDescent="0.3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5">
        <f t="shared" si="48"/>
        <v>0</v>
      </c>
    </row>
    <row r="232" spans="1:20" x14ac:dyDescent="0.3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5">
        <f t="shared" si="48"/>
        <v>0</v>
      </c>
    </row>
    <row r="233" spans="1:20" x14ac:dyDescent="0.3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5">
        <f t="shared" si="48"/>
        <v>0</v>
      </c>
    </row>
    <row r="234" spans="1:20" x14ac:dyDescent="0.3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5">
        <f t="shared" si="48"/>
        <v>0</v>
      </c>
    </row>
    <row r="235" spans="1:20" x14ac:dyDescent="0.3">
      <c r="A235" s="6" t="s">
        <v>26</v>
      </c>
      <c r="B235" s="84" t="s">
        <v>51</v>
      </c>
      <c r="C235" s="87"/>
      <c r="D235" s="88"/>
      <c r="E235" s="5">
        <f t="shared" ref="E235:T235" si="49">SUM(E225:E234)</f>
        <v>0</v>
      </c>
      <c r="F235" s="5">
        <f t="shared" si="49"/>
        <v>0</v>
      </c>
      <c r="G235" s="5">
        <f t="shared" si="49"/>
        <v>1</v>
      </c>
      <c r="H235" s="5">
        <f t="shared" si="49"/>
        <v>0</v>
      </c>
      <c r="I235" s="5">
        <f t="shared" si="49"/>
        <v>0</v>
      </c>
      <c r="J235" s="5">
        <f t="shared" si="49"/>
        <v>0</v>
      </c>
      <c r="K235" s="5">
        <f t="shared" si="49"/>
        <v>0</v>
      </c>
      <c r="L235" s="5">
        <f t="shared" si="49"/>
        <v>0</v>
      </c>
      <c r="M235" s="5">
        <f t="shared" si="49"/>
        <v>0</v>
      </c>
      <c r="N235" s="5">
        <f t="shared" si="49"/>
        <v>0</v>
      </c>
      <c r="O235" s="5">
        <f t="shared" si="49"/>
        <v>5</v>
      </c>
      <c r="P235" s="5">
        <f t="shared" si="49"/>
        <v>0</v>
      </c>
      <c r="Q235" s="5">
        <f t="shared" si="49"/>
        <v>0</v>
      </c>
      <c r="R235" s="5">
        <f t="shared" si="49"/>
        <v>0</v>
      </c>
      <c r="S235" s="5">
        <f t="shared" si="49"/>
        <v>0</v>
      </c>
      <c r="T235" s="5">
        <f t="shared" si="49"/>
        <v>6</v>
      </c>
    </row>
    <row r="236" spans="1:20" x14ac:dyDescent="0.3">
      <c r="A236" s="62"/>
      <c r="B236" s="89"/>
      <c r="C236" s="89"/>
      <c r="D236" s="89"/>
      <c r="E236" s="90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</row>
    <row r="237" spans="1:20" x14ac:dyDescent="0.3">
      <c r="A237" s="11" t="s">
        <v>48</v>
      </c>
      <c r="B237" s="17" t="s">
        <v>79</v>
      </c>
      <c r="C237" s="86" t="s">
        <v>80</v>
      </c>
      <c r="D237" s="64"/>
      <c r="E237" s="6">
        <v>2</v>
      </c>
      <c r="F237" s="6">
        <v>1</v>
      </c>
      <c r="G237" s="6">
        <v>0</v>
      </c>
      <c r="H237" s="6">
        <v>1</v>
      </c>
      <c r="I237" s="6">
        <v>1</v>
      </c>
      <c r="J237" s="6">
        <v>2</v>
      </c>
      <c r="K237" s="6">
        <v>2</v>
      </c>
      <c r="L237" s="6">
        <v>0</v>
      </c>
      <c r="M237" s="6">
        <v>4</v>
      </c>
      <c r="N237" s="6">
        <v>1</v>
      </c>
      <c r="O237" s="6">
        <v>4</v>
      </c>
      <c r="P237" s="6">
        <v>6</v>
      </c>
      <c r="Q237" s="6">
        <v>2</v>
      </c>
      <c r="R237" s="6">
        <v>0</v>
      </c>
      <c r="S237" s="6">
        <v>1</v>
      </c>
      <c r="T237" s="5">
        <f t="shared" ref="T237:T246" si="50">SUM(E237:S237)</f>
        <v>27</v>
      </c>
    </row>
    <row r="238" spans="1:20" x14ac:dyDescent="0.3">
      <c r="A238" s="11" t="s">
        <v>50</v>
      </c>
      <c r="B238" s="50"/>
      <c r="C238" s="24" t="s">
        <v>221</v>
      </c>
      <c r="D238" s="49"/>
      <c r="E238" s="6">
        <v>2</v>
      </c>
      <c r="F238" s="6">
        <v>2</v>
      </c>
      <c r="G238" s="6">
        <v>1</v>
      </c>
      <c r="H238" s="6">
        <v>1</v>
      </c>
      <c r="I238" s="6">
        <v>0</v>
      </c>
      <c r="J238" s="6">
        <v>1</v>
      </c>
      <c r="K238" s="6">
        <v>1</v>
      </c>
      <c r="L238" s="6">
        <v>0</v>
      </c>
      <c r="M238" s="6">
        <v>2</v>
      </c>
      <c r="N238" s="6">
        <v>2</v>
      </c>
      <c r="O238" s="6">
        <v>6</v>
      </c>
      <c r="P238" s="6">
        <v>4</v>
      </c>
      <c r="Q238" s="6">
        <v>2</v>
      </c>
      <c r="R238" s="6">
        <v>0</v>
      </c>
      <c r="S238" s="6">
        <v>3</v>
      </c>
      <c r="T238" s="5">
        <f t="shared" si="50"/>
        <v>27</v>
      </c>
    </row>
    <row r="239" spans="1:20" x14ac:dyDescent="0.3">
      <c r="A239" s="7"/>
      <c r="B239" s="50"/>
      <c r="C239" s="24" t="s">
        <v>222</v>
      </c>
      <c r="D239" s="49"/>
      <c r="E239" s="6">
        <v>2</v>
      </c>
      <c r="F239" s="6">
        <v>2</v>
      </c>
      <c r="G239" s="6">
        <v>2</v>
      </c>
      <c r="H239" s="6">
        <v>0</v>
      </c>
      <c r="I239" s="6">
        <v>1</v>
      </c>
      <c r="J239" s="6">
        <v>0</v>
      </c>
      <c r="K239" s="6">
        <v>1</v>
      </c>
      <c r="L239" s="6">
        <v>0</v>
      </c>
      <c r="M239" s="6">
        <v>10</v>
      </c>
      <c r="N239" s="6">
        <v>1</v>
      </c>
      <c r="O239" s="6">
        <v>2</v>
      </c>
      <c r="P239" s="6">
        <v>1</v>
      </c>
      <c r="Q239" s="6">
        <v>1</v>
      </c>
      <c r="R239" s="6">
        <v>1</v>
      </c>
      <c r="S239" s="6">
        <v>3</v>
      </c>
      <c r="T239" s="5">
        <f t="shared" si="50"/>
        <v>27</v>
      </c>
    </row>
    <row r="240" spans="1:20" ht="13.15" customHeight="1" x14ac:dyDescent="0.3">
      <c r="A240" s="7"/>
      <c r="B240" s="50"/>
      <c r="C240" s="24" t="s">
        <v>223</v>
      </c>
      <c r="D240" s="49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1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1</v>
      </c>
      <c r="T240" s="5">
        <f t="shared" si="50"/>
        <v>2</v>
      </c>
    </row>
    <row r="241" spans="1:20" x14ac:dyDescent="0.3">
      <c r="A241" s="7"/>
      <c r="B241" s="50"/>
      <c r="C241" s="24" t="s">
        <v>224</v>
      </c>
      <c r="D241" s="49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1</v>
      </c>
      <c r="K241" s="6">
        <v>0</v>
      </c>
      <c r="L241" s="6">
        <v>0</v>
      </c>
      <c r="M241" s="6">
        <v>1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5">
        <f t="shared" si="50"/>
        <v>2</v>
      </c>
    </row>
    <row r="242" spans="1:20" ht="12.75" customHeight="1" x14ac:dyDescent="0.3">
      <c r="A242" s="7"/>
      <c r="B242" s="50"/>
      <c r="C242" s="24" t="s">
        <v>225</v>
      </c>
      <c r="D242" s="49"/>
      <c r="E242" s="6">
        <v>1</v>
      </c>
      <c r="F242" s="6">
        <v>0</v>
      </c>
      <c r="G242" s="6">
        <v>5</v>
      </c>
      <c r="H242" s="6">
        <v>0</v>
      </c>
      <c r="I242" s="6">
        <v>0</v>
      </c>
      <c r="J242" s="6">
        <v>1</v>
      </c>
      <c r="K242" s="6">
        <v>1</v>
      </c>
      <c r="L242" s="6">
        <v>0</v>
      </c>
      <c r="M242" s="6">
        <v>5</v>
      </c>
      <c r="N242" s="6">
        <v>2</v>
      </c>
      <c r="O242" s="6">
        <v>1</v>
      </c>
      <c r="P242" s="6">
        <v>1</v>
      </c>
      <c r="Q242" s="6">
        <v>0</v>
      </c>
      <c r="R242" s="6">
        <v>1</v>
      </c>
      <c r="S242" s="6">
        <v>2</v>
      </c>
      <c r="T242" s="5">
        <f t="shared" si="50"/>
        <v>20</v>
      </c>
    </row>
    <row r="243" spans="1:20" x14ac:dyDescent="0.3">
      <c r="A243" s="7"/>
      <c r="B243" s="50"/>
      <c r="C243" s="24" t="s">
        <v>226</v>
      </c>
      <c r="D243" s="49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1</v>
      </c>
      <c r="R243" s="6">
        <v>0</v>
      </c>
      <c r="S243" s="6">
        <v>0</v>
      </c>
      <c r="T243" s="5">
        <f t="shared" si="50"/>
        <v>1</v>
      </c>
    </row>
    <row r="244" spans="1:20" x14ac:dyDescent="0.3">
      <c r="A244" s="7"/>
      <c r="B244" s="50"/>
      <c r="C244" s="24" t="s">
        <v>227</v>
      </c>
      <c r="D244" s="49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1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1</v>
      </c>
      <c r="T244" s="5">
        <f t="shared" si="50"/>
        <v>2</v>
      </c>
    </row>
    <row r="245" spans="1:20" x14ac:dyDescent="0.3">
      <c r="A245" s="7"/>
      <c r="B245" s="50"/>
      <c r="C245" s="24" t="s">
        <v>228</v>
      </c>
      <c r="D245" s="49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5">
        <f t="shared" si="50"/>
        <v>0</v>
      </c>
    </row>
    <row r="246" spans="1:20" x14ac:dyDescent="0.3">
      <c r="A246" s="7"/>
      <c r="B246" s="50"/>
      <c r="C246" s="24" t="s">
        <v>229</v>
      </c>
      <c r="D246" s="49"/>
      <c r="E246" s="6">
        <v>0</v>
      </c>
      <c r="F246" s="6">
        <v>0</v>
      </c>
      <c r="G246" s="6">
        <v>1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5">
        <f t="shared" si="50"/>
        <v>1</v>
      </c>
    </row>
    <row r="247" spans="1:20" ht="12.75" customHeight="1" x14ac:dyDescent="0.3">
      <c r="A247" s="6" t="s">
        <v>26</v>
      </c>
      <c r="B247" s="84" t="s">
        <v>51</v>
      </c>
      <c r="C247" s="87"/>
      <c r="D247" s="88"/>
      <c r="E247" s="5">
        <f t="shared" ref="E247:T247" si="51">SUM(E237:E246)</f>
        <v>7</v>
      </c>
      <c r="F247" s="5">
        <f t="shared" si="51"/>
        <v>5</v>
      </c>
      <c r="G247" s="5">
        <f t="shared" si="51"/>
        <v>9</v>
      </c>
      <c r="H247" s="5">
        <f t="shared" si="51"/>
        <v>2</v>
      </c>
      <c r="I247" s="5">
        <f t="shared" si="51"/>
        <v>2</v>
      </c>
      <c r="J247" s="5">
        <f t="shared" si="51"/>
        <v>6</v>
      </c>
      <c r="K247" s="5">
        <f t="shared" si="51"/>
        <v>5</v>
      </c>
      <c r="L247" s="5">
        <f t="shared" si="51"/>
        <v>0</v>
      </c>
      <c r="M247" s="5">
        <f t="shared" si="51"/>
        <v>23</v>
      </c>
      <c r="N247" s="5">
        <f t="shared" si="51"/>
        <v>6</v>
      </c>
      <c r="O247" s="5">
        <f t="shared" si="51"/>
        <v>13</v>
      </c>
      <c r="P247" s="5">
        <f t="shared" si="51"/>
        <v>12</v>
      </c>
      <c r="Q247" s="5">
        <f t="shared" si="51"/>
        <v>6</v>
      </c>
      <c r="R247" s="5">
        <f t="shared" si="51"/>
        <v>2</v>
      </c>
      <c r="S247" s="5">
        <f t="shared" si="51"/>
        <v>11</v>
      </c>
      <c r="T247" s="5">
        <f t="shared" si="51"/>
        <v>109</v>
      </c>
    </row>
    <row r="248" spans="1:20" x14ac:dyDescent="0.3">
      <c r="A248" s="62"/>
      <c r="B248" s="89"/>
      <c r="C248" s="89"/>
      <c r="D248" s="89"/>
      <c r="E248" s="90"/>
    </row>
    <row r="249" spans="1:20" x14ac:dyDescent="0.3">
      <c r="A249" s="11" t="s">
        <v>48</v>
      </c>
      <c r="B249" s="17" t="s">
        <v>81</v>
      </c>
      <c r="C249" s="86" t="s">
        <v>82</v>
      </c>
      <c r="D249" s="64"/>
      <c r="E249" s="6">
        <v>0</v>
      </c>
      <c r="F249" s="6">
        <v>0</v>
      </c>
      <c r="G249" s="6">
        <v>1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5">
        <f t="shared" ref="T249:T258" si="52">SUM(E249:S249)</f>
        <v>1</v>
      </c>
    </row>
    <row r="250" spans="1:20" x14ac:dyDescent="0.3">
      <c r="A250" s="11" t="s">
        <v>50</v>
      </c>
      <c r="B250" s="50"/>
      <c r="C250" s="24" t="s">
        <v>230</v>
      </c>
      <c r="D250" s="49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1</v>
      </c>
      <c r="N250" s="6">
        <v>2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5">
        <f t="shared" si="52"/>
        <v>3</v>
      </c>
    </row>
    <row r="251" spans="1:20" x14ac:dyDescent="0.3">
      <c r="A251" s="7"/>
      <c r="B251" s="50"/>
      <c r="C251" s="24" t="s">
        <v>231</v>
      </c>
      <c r="D251" s="49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5">
        <f t="shared" si="52"/>
        <v>0</v>
      </c>
    </row>
    <row r="252" spans="1:20" x14ac:dyDescent="0.3">
      <c r="A252" s="7"/>
      <c r="B252" s="50"/>
      <c r="C252" s="24" t="s">
        <v>232</v>
      </c>
      <c r="D252" s="49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5">
        <f t="shared" si="52"/>
        <v>0</v>
      </c>
    </row>
    <row r="253" spans="1:20" x14ac:dyDescent="0.3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5">
        <f t="shared" si="52"/>
        <v>0</v>
      </c>
    </row>
    <row r="254" spans="1:20" x14ac:dyDescent="0.3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5">
        <f t="shared" si="52"/>
        <v>0</v>
      </c>
    </row>
    <row r="255" spans="1:20" x14ac:dyDescent="0.3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5">
        <f t="shared" si="52"/>
        <v>0</v>
      </c>
    </row>
    <row r="256" spans="1:20" x14ac:dyDescent="0.3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5">
        <f t="shared" si="52"/>
        <v>0</v>
      </c>
    </row>
    <row r="257" spans="1:20" x14ac:dyDescent="0.3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5">
        <f t="shared" si="52"/>
        <v>0</v>
      </c>
    </row>
    <row r="258" spans="1:20" x14ac:dyDescent="0.3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5">
        <f t="shared" si="52"/>
        <v>0</v>
      </c>
    </row>
    <row r="259" spans="1:20" x14ac:dyDescent="0.3">
      <c r="A259" s="6" t="s">
        <v>26</v>
      </c>
      <c r="B259" s="84" t="s">
        <v>51</v>
      </c>
      <c r="C259" s="87"/>
      <c r="D259" s="88"/>
      <c r="E259" s="5">
        <f t="shared" ref="E259:T259" si="53">SUM(E249:E258)</f>
        <v>0</v>
      </c>
      <c r="F259" s="5">
        <f t="shared" si="53"/>
        <v>0</v>
      </c>
      <c r="G259" s="5">
        <f t="shared" si="53"/>
        <v>1</v>
      </c>
      <c r="H259" s="5">
        <f t="shared" si="53"/>
        <v>0</v>
      </c>
      <c r="I259" s="5">
        <f t="shared" si="53"/>
        <v>0</v>
      </c>
      <c r="J259" s="5">
        <f t="shared" si="53"/>
        <v>0</v>
      </c>
      <c r="K259" s="5">
        <f t="shared" si="53"/>
        <v>0</v>
      </c>
      <c r="L259" s="5">
        <f t="shared" si="53"/>
        <v>0</v>
      </c>
      <c r="M259" s="5">
        <f t="shared" si="53"/>
        <v>1</v>
      </c>
      <c r="N259" s="5">
        <f t="shared" si="53"/>
        <v>2</v>
      </c>
      <c r="O259" s="5">
        <f t="shared" si="53"/>
        <v>0</v>
      </c>
      <c r="P259" s="5">
        <f t="shared" si="53"/>
        <v>0</v>
      </c>
      <c r="Q259" s="5">
        <f t="shared" si="53"/>
        <v>0</v>
      </c>
      <c r="R259" s="5">
        <f t="shared" si="53"/>
        <v>0</v>
      </c>
      <c r="S259" s="5">
        <f t="shared" si="53"/>
        <v>0</v>
      </c>
      <c r="T259" s="5">
        <f t="shared" si="53"/>
        <v>4</v>
      </c>
    </row>
    <row r="261" spans="1:20" x14ac:dyDescent="0.3">
      <c r="A261" s="16" t="s">
        <v>83</v>
      </c>
      <c r="B261" s="65" t="s">
        <v>84</v>
      </c>
      <c r="C261" s="97"/>
      <c r="D261" s="98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15"/>
      <c r="T261" s="5"/>
    </row>
    <row r="262" spans="1:20" x14ac:dyDescent="0.3">
      <c r="A262" s="16"/>
      <c r="B262" s="19" t="s">
        <v>85</v>
      </c>
      <c r="C262" s="95" t="s">
        <v>86</v>
      </c>
      <c r="D262" s="96"/>
      <c r="E262" s="6">
        <f>E55+E67+E79+E91+E103+E115+E127+E139+E151+E163+E175+E187+E199+E211+E223+E235+E247+E259</f>
        <v>178</v>
      </c>
      <c r="F262" s="6">
        <f t="shared" ref="F262:O262" si="54">F55+F67+F79+F91+F103+F115+F127+F139+F151+F163+F175+F187+F199+F211+F223+F235+F247+F259</f>
        <v>158</v>
      </c>
      <c r="G262" s="6">
        <f t="shared" si="54"/>
        <v>163</v>
      </c>
      <c r="H262" s="6">
        <f t="shared" si="54"/>
        <v>193</v>
      </c>
      <c r="I262" s="6">
        <f t="shared" si="54"/>
        <v>179</v>
      </c>
      <c r="J262" s="6">
        <f t="shared" si="54"/>
        <v>187</v>
      </c>
      <c r="K262" s="6">
        <f t="shared" si="54"/>
        <v>169</v>
      </c>
      <c r="L262" s="6">
        <f t="shared" si="54"/>
        <v>146</v>
      </c>
      <c r="M262" s="6">
        <f t="shared" si="54"/>
        <v>153</v>
      </c>
      <c r="N262" s="6">
        <f t="shared" si="54"/>
        <v>186</v>
      </c>
      <c r="O262" s="6">
        <f t="shared" si="54"/>
        <v>109</v>
      </c>
      <c r="P262" s="6">
        <f t="shared" ref="P262:S262" si="55">P55+P67+P79+P91+P103+P115+P127+P139+P151+P163+P175+P187+P199+P211+P223+P235+P247+P259</f>
        <v>133</v>
      </c>
      <c r="Q262" s="6">
        <f t="shared" si="55"/>
        <v>161</v>
      </c>
      <c r="R262" s="6">
        <f t="shared" si="55"/>
        <v>157</v>
      </c>
      <c r="S262" s="6">
        <f t="shared" si="55"/>
        <v>179</v>
      </c>
      <c r="T262" s="5">
        <f>SUM(E262:S262)</f>
        <v>2451</v>
      </c>
    </row>
    <row r="263" spans="1:20" x14ac:dyDescent="0.3">
      <c r="A263" s="13"/>
      <c r="B263" s="19" t="s">
        <v>87</v>
      </c>
      <c r="C263" s="95" t="s">
        <v>88</v>
      </c>
      <c r="D263" s="96"/>
      <c r="E263" s="6">
        <v>28</v>
      </c>
      <c r="F263" s="6">
        <v>43</v>
      </c>
      <c r="G263" s="6">
        <v>28</v>
      </c>
      <c r="H263" s="6">
        <v>16</v>
      </c>
      <c r="I263" s="6">
        <v>30</v>
      </c>
      <c r="J263" s="6">
        <v>25</v>
      </c>
      <c r="K263" s="6">
        <v>27</v>
      </c>
      <c r="L263" s="6">
        <v>57</v>
      </c>
      <c r="M263" s="6">
        <v>20</v>
      </c>
      <c r="N263" s="6">
        <v>13</v>
      </c>
      <c r="O263" s="6">
        <v>49</v>
      </c>
      <c r="P263" s="6">
        <v>24</v>
      </c>
      <c r="Q263" s="6">
        <v>41</v>
      </c>
      <c r="R263" s="6">
        <v>40</v>
      </c>
      <c r="S263" s="6">
        <v>27</v>
      </c>
      <c r="T263" s="5">
        <f>SUM(E263:S263)</f>
        <v>468</v>
      </c>
    </row>
    <row r="264" spans="1:20" x14ac:dyDescent="0.3">
      <c r="A264" s="14"/>
      <c r="B264" s="19" t="s">
        <v>89</v>
      </c>
      <c r="C264" s="95" t="s">
        <v>90</v>
      </c>
      <c r="D264" s="96"/>
      <c r="E264" s="5">
        <f>SUM(E262:E263)</f>
        <v>206</v>
      </c>
      <c r="F264" s="5">
        <f t="shared" ref="F264:O264" si="56">SUM(F262:F263)</f>
        <v>201</v>
      </c>
      <c r="G264" s="5">
        <f t="shared" si="56"/>
        <v>191</v>
      </c>
      <c r="H264" s="5">
        <f t="shared" si="56"/>
        <v>209</v>
      </c>
      <c r="I264" s="5">
        <f t="shared" si="56"/>
        <v>209</v>
      </c>
      <c r="J264" s="5">
        <f t="shared" si="56"/>
        <v>212</v>
      </c>
      <c r="K264" s="5">
        <f t="shared" si="56"/>
        <v>196</v>
      </c>
      <c r="L264" s="5">
        <f t="shared" si="56"/>
        <v>203</v>
      </c>
      <c r="M264" s="5">
        <f t="shared" si="56"/>
        <v>173</v>
      </c>
      <c r="N264" s="5">
        <f t="shared" si="56"/>
        <v>199</v>
      </c>
      <c r="O264" s="5">
        <f t="shared" si="56"/>
        <v>158</v>
      </c>
      <c r="P264" s="5">
        <f t="shared" ref="P264:S264" si="57">SUM(P262:P263)</f>
        <v>157</v>
      </c>
      <c r="Q264" s="5">
        <f t="shared" si="57"/>
        <v>202</v>
      </c>
      <c r="R264" s="5">
        <f t="shared" si="57"/>
        <v>197</v>
      </c>
      <c r="S264" s="5">
        <f t="shared" si="57"/>
        <v>206</v>
      </c>
      <c r="T264" s="5">
        <f>SUM(E264:S264)</f>
        <v>2919</v>
      </c>
    </row>
  </sheetData>
  <mergeCells count="86"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63:D263"/>
    <mergeCell ref="C264:D264"/>
    <mergeCell ref="B247:D247"/>
    <mergeCell ref="A248:E248"/>
    <mergeCell ref="C249:D249"/>
    <mergeCell ref="B259:D259"/>
    <mergeCell ref="B261:D261"/>
    <mergeCell ref="C262:D262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E37:I37"/>
    <mergeCell ref="B38:D38"/>
    <mergeCell ref="A42:D42"/>
    <mergeCell ref="E42:I42"/>
    <mergeCell ref="B43:D43"/>
    <mergeCell ref="B39:C41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</mergeCells>
  <phoneticPr fontId="9" type="noConversion"/>
  <conditionalFormatting sqref="E14:S15">
    <cfRule type="containsBlanks" dxfId="252" priority="23">
      <formula>LEN(TRIM(E14))=0</formula>
    </cfRule>
  </conditionalFormatting>
  <conditionalFormatting sqref="E19:S20">
    <cfRule type="containsBlanks" dxfId="251" priority="26">
      <formula>LEN(TRIM(E19))=0</formula>
    </cfRule>
  </conditionalFormatting>
  <conditionalFormatting sqref="E22:S23 E25:S26 E33:S33 E35:S35 E39:S40">
    <cfRule type="containsBlanks" dxfId="250" priority="27">
      <formula>LEN(TRIM(E22))=0</formula>
    </cfRule>
  </conditionalFormatting>
  <conditionalFormatting sqref="E30:S30">
    <cfRule type="expression" dxfId="249" priority="28">
      <formula>E30&lt;&gt;E47</formula>
    </cfRule>
    <cfRule type="expression" dxfId="248" priority="29">
      <formula>E30&lt;&gt;E34</formula>
    </cfRule>
  </conditionalFormatting>
  <conditionalFormatting sqref="E34:S34">
    <cfRule type="expression" dxfId="247" priority="24">
      <formula>E30&lt;&gt;E34</formula>
    </cfRule>
    <cfRule type="expression" dxfId="246" priority="25">
      <formula>E30=E34</formula>
    </cfRule>
    <cfRule type="expression" dxfId="245" priority="30">
      <formula>E34&lt;&gt;E30</formula>
    </cfRule>
    <cfRule type="expression" dxfId="244" priority="32">
      <formula>E34&lt;&gt;E64</formula>
    </cfRule>
  </conditionalFormatting>
  <conditionalFormatting sqref="E45:S54">
    <cfRule type="containsBlanks" dxfId="243" priority="22">
      <formula>LEN(TRIM(E45))=0</formula>
    </cfRule>
  </conditionalFormatting>
  <conditionalFormatting sqref="E57:S66">
    <cfRule type="containsBlanks" dxfId="242" priority="21">
      <formula>LEN(TRIM(E57))=0</formula>
    </cfRule>
  </conditionalFormatting>
  <conditionalFormatting sqref="E69:S78">
    <cfRule type="containsBlanks" dxfId="241" priority="20">
      <formula>LEN(TRIM(E69))=0</formula>
    </cfRule>
  </conditionalFormatting>
  <conditionalFormatting sqref="E81:S90">
    <cfRule type="containsBlanks" dxfId="240" priority="19">
      <formula>LEN(TRIM(E81))=0</formula>
    </cfRule>
  </conditionalFormatting>
  <conditionalFormatting sqref="E93:S102">
    <cfRule type="containsBlanks" dxfId="239" priority="18">
      <formula>LEN(TRIM(E93))=0</formula>
    </cfRule>
  </conditionalFormatting>
  <conditionalFormatting sqref="E105:S114">
    <cfRule type="containsBlanks" dxfId="238" priority="17">
      <formula>LEN(TRIM(E105))=0</formula>
    </cfRule>
  </conditionalFormatting>
  <conditionalFormatting sqref="E117:S126">
    <cfRule type="containsBlanks" dxfId="237" priority="3">
      <formula>LEN(TRIM(E117))=0</formula>
    </cfRule>
  </conditionalFormatting>
  <conditionalFormatting sqref="E129:S138">
    <cfRule type="containsBlanks" dxfId="236" priority="16">
      <formula>LEN(TRIM(E129))=0</formula>
    </cfRule>
  </conditionalFormatting>
  <conditionalFormatting sqref="E141:S150">
    <cfRule type="containsBlanks" dxfId="235" priority="15">
      <formula>LEN(TRIM(E141))=0</formula>
    </cfRule>
  </conditionalFormatting>
  <conditionalFormatting sqref="E153:S162">
    <cfRule type="containsBlanks" dxfId="234" priority="5">
      <formula>LEN(TRIM(E153))=0</formula>
    </cfRule>
  </conditionalFormatting>
  <conditionalFormatting sqref="E165:S174">
    <cfRule type="containsBlanks" dxfId="233" priority="14">
      <formula>LEN(TRIM(E165))=0</formula>
    </cfRule>
  </conditionalFormatting>
  <conditionalFormatting sqref="E186:S186 S177:S185">
    <cfRule type="containsBlanks" dxfId="232" priority="13">
      <formula>LEN(TRIM(E177))=0</formula>
    </cfRule>
  </conditionalFormatting>
  <conditionalFormatting sqref="E189:S198">
    <cfRule type="containsBlanks" dxfId="231" priority="12">
      <formula>LEN(TRIM(E189))=0</formula>
    </cfRule>
  </conditionalFormatting>
  <conditionalFormatting sqref="E201:S210">
    <cfRule type="containsBlanks" dxfId="230" priority="11">
      <formula>LEN(TRIM(E201))=0</formula>
    </cfRule>
  </conditionalFormatting>
  <conditionalFormatting sqref="E213:S222">
    <cfRule type="containsBlanks" dxfId="229" priority="10">
      <formula>LEN(TRIM(E213))=0</formula>
    </cfRule>
  </conditionalFormatting>
  <conditionalFormatting sqref="E225:S234">
    <cfRule type="containsBlanks" dxfId="228" priority="9">
      <formula>LEN(TRIM(E225))=0</formula>
    </cfRule>
  </conditionalFormatting>
  <conditionalFormatting sqref="E237:S246">
    <cfRule type="containsBlanks" dxfId="227" priority="8">
      <formula>LEN(TRIM(E237))=0</formula>
    </cfRule>
  </conditionalFormatting>
  <conditionalFormatting sqref="E249:S258">
    <cfRule type="containsBlanks" dxfId="226" priority="6">
      <formula>LEN(TRIM(E249))=0</formula>
    </cfRule>
  </conditionalFormatting>
  <conditionalFormatting sqref="E262:S263">
    <cfRule type="containsBlanks" dxfId="225" priority="4">
      <formula>LEN(TRIM(E262))=0</formula>
    </cfRule>
  </conditionalFormatting>
  <conditionalFormatting sqref="E177:R185">
    <cfRule type="containsBlanks" dxfId="0" priority="1">
      <formula>LEN(TRIM(E177))=0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4FAF-A591-4A91-A3ED-69D48DD14997}">
  <sheetPr>
    <tabColor rgb="FF00B050"/>
  </sheetPr>
  <dimension ref="A2:N264"/>
  <sheetViews>
    <sheetView zoomScale="70" zoomScaleNormal="70" workbookViewId="0">
      <selection activeCell="K8" sqref="K8"/>
    </sheetView>
  </sheetViews>
  <sheetFormatPr defaultRowHeight="13" x14ac:dyDescent="0.3"/>
  <cols>
    <col min="3" max="3" width="67.09765625" bestFit="1" customWidth="1"/>
    <col min="4" max="4" width="5.8984375" bestFit="1" customWidth="1"/>
    <col min="14" max="14" width="13.296875" customWidth="1"/>
  </cols>
  <sheetData>
    <row r="2" spans="1:14" x14ac:dyDescent="0.3">
      <c r="C2" s="43" t="s">
        <v>98</v>
      </c>
      <c r="D2" s="43" t="s">
        <v>104</v>
      </c>
    </row>
    <row r="3" spans="1:14" x14ac:dyDescent="0.3">
      <c r="C3" s="43" t="s">
        <v>99</v>
      </c>
      <c r="D3" s="43" t="s">
        <v>100</v>
      </c>
    </row>
    <row r="4" spans="1:14" x14ac:dyDescent="0.3">
      <c r="C4" s="43" t="s">
        <v>101</v>
      </c>
      <c r="D4" s="43" t="s">
        <v>102</v>
      </c>
    </row>
    <row r="5" spans="1:14" x14ac:dyDescent="0.3">
      <c r="C5" s="43"/>
      <c r="D5" s="43"/>
    </row>
    <row r="6" spans="1:14" x14ac:dyDescent="0.3">
      <c r="C6" s="43"/>
      <c r="D6" s="43"/>
    </row>
    <row r="7" spans="1:14" x14ac:dyDescent="0.3">
      <c r="C7" s="43"/>
      <c r="D7" s="43"/>
    </row>
    <row r="8" spans="1:14" x14ac:dyDescent="0.3">
      <c r="C8" s="43"/>
      <c r="D8" s="43"/>
    </row>
    <row r="9" spans="1:14" x14ac:dyDescent="0.3">
      <c r="C9" s="43" t="s">
        <v>103</v>
      </c>
      <c r="D9" s="43" t="s">
        <v>108</v>
      </c>
    </row>
    <row r="11" spans="1:14" x14ac:dyDescent="0.3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</row>
    <row r="12" spans="1:14" x14ac:dyDescent="0.3">
      <c r="A12" s="5" t="s">
        <v>0</v>
      </c>
      <c r="B12" s="65" t="s">
        <v>1</v>
      </c>
      <c r="C12" s="63"/>
      <c r="D12" s="64"/>
      <c r="E12" s="99"/>
      <c r="F12" s="100"/>
      <c r="G12" s="100"/>
      <c r="H12" s="100"/>
      <c r="I12" s="100"/>
      <c r="J12" s="100"/>
      <c r="K12" s="100"/>
      <c r="L12" s="100"/>
      <c r="M12" s="100"/>
      <c r="N12" s="101" t="s">
        <v>97</v>
      </c>
    </row>
    <row r="13" spans="1:14" x14ac:dyDescent="0.3">
      <c r="A13" s="6" t="s">
        <v>2</v>
      </c>
      <c r="B13" s="76" t="s">
        <v>3</v>
      </c>
      <c r="C13" s="63"/>
      <c r="D13" s="6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102"/>
    </row>
    <row r="14" spans="1:14" x14ac:dyDescent="0.3">
      <c r="A14" s="7"/>
      <c r="B14" s="77" t="s">
        <v>22</v>
      </c>
      <c r="C14" s="78"/>
      <c r="D14" s="6" t="s">
        <v>23</v>
      </c>
      <c r="E14" s="6">
        <v>125</v>
      </c>
      <c r="F14" s="6">
        <v>146</v>
      </c>
      <c r="G14" s="6">
        <v>125</v>
      </c>
      <c r="H14" s="6">
        <v>119</v>
      </c>
      <c r="I14" s="6">
        <v>115</v>
      </c>
      <c r="J14" s="6">
        <v>132</v>
      </c>
      <c r="K14" s="6">
        <v>150</v>
      </c>
      <c r="L14" s="6">
        <v>127</v>
      </c>
      <c r="M14" s="6">
        <v>112</v>
      </c>
      <c r="N14" s="5">
        <f>SUM(E14:M14)</f>
        <v>1151</v>
      </c>
    </row>
    <row r="15" spans="1:14" x14ac:dyDescent="0.3">
      <c r="A15" s="7"/>
      <c r="B15" s="79"/>
      <c r="C15" s="67"/>
      <c r="D15" s="6" t="s">
        <v>24</v>
      </c>
      <c r="E15" s="6">
        <v>125</v>
      </c>
      <c r="F15" s="6">
        <v>131</v>
      </c>
      <c r="G15" s="6">
        <v>134</v>
      </c>
      <c r="H15" s="6">
        <v>117</v>
      </c>
      <c r="I15" s="6">
        <v>120</v>
      </c>
      <c r="J15" s="6">
        <v>120</v>
      </c>
      <c r="K15" s="6">
        <v>132</v>
      </c>
      <c r="L15" s="6">
        <v>128</v>
      </c>
      <c r="M15" s="6">
        <v>122</v>
      </c>
      <c r="N15" s="5">
        <f>SUM(E15:M15)</f>
        <v>1129</v>
      </c>
    </row>
    <row r="16" spans="1:14" x14ac:dyDescent="0.3">
      <c r="A16" s="8"/>
      <c r="B16" s="75"/>
      <c r="C16" s="68"/>
      <c r="D16" s="5" t="s">
        <v>25</v>
      </c>
      <c r="E16" s="5">
        <f t="shared" ref="E16:M16" si="0">SUM(E14:E15)</f>
        <v>250</v>
      </c>
      <c r="F16" s="5">
        <f t="shared" si="0"/>
        <v>277</v>
      </c>
      <c r="G16" s="5">
        <f t="shared" si="0"/>
        <v>259</v>
      </c>
      <c r="H16" s="5">
        <f t="shared" si="0"/>
        <v>236</v>
      </c>
      <c r="I16" s="5">
        <f t="shared" si="0"/>
        <v>235</v>
      </c>
      <c r="J16" s="5">
        <f t="shared" si="0"/>
        <v>252</v>
      </c>
      <c r="K16" s="5">
        <f t="shared" si="0"/>
        <v>282</v>
      </c>
      <c r="L16" s="5">
        <f t="shared" si="0"/>
        <v>255</v>
      </c>
      <c r="M16" s="5">
        <f t="shared" si="0"/>
        <v>234</v>
      </c>
      <c r="N16" s="5">
        <f>SUM(E16:M16)</f>
        <v>2280</v>
      </c>
    </row>
    <row r="17" spans="1:14" x14ac:dyDescent="0.3">
      <c r="A17" s="62"/>
      <c r="B17" s="63"/>
      <c r="C17" s="63"/>
      <c r="D17" s="64"/>
      <c r="E17" s="6"/>
      <c r="F17" s="6"/>
      <c r="G17" s="6"/>
      <c r="H17" s="6"/>
      <c r="I17" s="6"/>
      <c r="J17" s="6"/>
      <c r="K17" s="6"/>
      <c r="L17" s="6"/>
      <c r="M17" s="6"/>
      <c r="N17" s="28"/>
    </row>
    <row r="18" spans="1:14" x14ac:dyDescent="0.3">
      <c r="A18" s="11" t="s">
        <v>26</v>
      </c>
      <c r="B18" s="76" t="s">
        <v>27</v>
      </c>
      <c r="C18" s="63"/>
      <c r="D18" s="64"/>
      <c r="E18" s="6"/>
      <c r="F18" s="6"/>
      <c r="G18" s="6"/>
      <c r="H18" s="6"/>
      <c r="I18" s="6"/>
      <c r="J18" s="6"/>
      <c r="K18" s="6"/>
      <c r="L18" s="6"/>
      <c r="M18" s="6"/>
      <c r="N18" s="28"/>
    </row>
    <row r="19" spans="1:14" x14ac:dyDescent="0.3">
      <c r="A19" s="11"/>
      <c r="B19" s="66" t="s">
        <v>28</v>
      </c>
      <c r="C19" s="69" t="s">
        <v>29</v>
      </c>
      <c r="D19" s="6" t="s">
        <v>23</v>
      </c>
      <c r="E19" s="6">
        <v>91</v>
      </c>
      <c r="F19" s="6">
        <v>124</v>
      </c>
      <c r="G19" s="6">
        <v>88</v>
      </c>
      <c r="H19" s="6">
        <v>88</v>
      </c>
      <c r="I19" s="6">
        <v>94</v>
      </c>
      <c r="J19" s="6">
        <v>106</v>
      </c>
      <c r="K19" s="6">
        <v>115</v>
      </c>
      <c r="L19" s="6">
        <v>83</v>
      </c>
      <c r="M19" s="6">
        <v>96</v>
      </c>
      <c r="N19" s="5">
        <f t="shared" ref="N19:N30" si="1">SUM(E19:M19)</f>
        <v>885</v>
      </c>
    </row>
    <row r="20" spans="1:14" x14ac:dyDescent="0.3">
      <c r="A20" s="12"/>
      <c r="B20" s="67"/>
      <c r="C20" s="70"/>
      <c r="D20" s="6" t="s">
        <v>24</v>
      </c>
      <c r="E20" s="6">
        <v>97</v>
      </c>
      <c r="F20" s="6">
        <v>115</v>
      </c>
      <c r="G20" s="6">
        <v>95</v>
      </c>
      <c r="H20" s="6">
        <v>91</v>
      </c>
      <c r="I20" s="6">
        <v>102</v>
      </c>
      <c r="J20" s="6">
        <v>92</v>
      </c>
      <c r="K20" s="6">
        <v>105</v>
      </c>
      <c r="L20" s="6">
        <v>101</v>
      </c>
      <c r="M20" s="6">
        <v>100</v>
      </c>
      <c r="N20" s="5">
        <f t="shared" si="1"/>
        <v>898</v>
      </c>
    </row>
    <row r="21" spans="1:14" x14ac:dyDescent="0.3">
      <c r="A21" s="13"/>
      <c r="B21" s="68"/>
      <c r="C21" s="71"/>
      <c r="D21" s="5" t="s">
        <v>25</v>
      </c>
      <c r="E21" s="5">
        <f t="shared" ref="E21:M21" si="2">SUM(E19:E20)</f>
        <v>188</v>
      </c>
      <c r="F21" s="5">
        <f t="shared" si="2"/>
        <v>239</v>
      </c>
      <c r="G21" s="5">
        <f t="shared" si="2"/>
        <v>183</v>
      </c>
      <c r="H21" s="5">
        <f t="shared" si="2"/>
        <v>179</v>
      </c>
      <c r="I21" s="5">
        <f t="shared" si="2"/>
        <v>196</v>
      </c>
      <c r="J21" s="5">
        <f t="shared" si="2"/>
        <v>198</v>
      </c>
      <c r="K21" s="5">
        <f t="shared" si="2"/>
        <v>220</v>
      </c>
      <c r="L21" s="5">
        <f t="shared" si="2"/>
        <v>184</v>
      </c>
      <c r="M21" s="5">
        <f t="shared" si="2"/>
        <v>196</v>
      </c>
      <c r="N21" s="5">
        <f t="shared" si="1"/>
        <v>1783</v>
      </c>
    </row>
    <row r="22" spans="1:14" x14ac:dyDescent="0.3">
      <c r="A22" s="12"/>
      <c r="B22" s="66" t="s">
        <v>30</v>
      </c>
      <c r="C22" s="69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1</v>
      </c>
      <c r="L22" s="6">
        <v>0</v>
      </c>
      <c r="M22" s="6">
        <v>0</v>
      </c>
      <c r="N22" s="5">
        <f t="shared" si="1"/>
        <v>1</v>
      </c>
    </row>
    <row r="23" spans="1:14" x14ac:dyDescent="0.3">
      <c r="A23" s="12"/>
      <c r="B23" s="67"/>
      <c r="C23" s="70"/>
      <c r="D23" s="6" t="s">
        <v>24</v>
      </c>
      <c r="E23" s="6"/>
      <c r="F23" s="6"/>
      <c r="G23" s="6"/>
      <c r="H23" s="6"/>
      <c r="I23" s="6"/>
      <c r="J23" s="6"/>
      <c r="K23" s="6"/>
      <c r="L23" s="6"/>
      <c r="M23" s="6"/>
      <c r="N23" s="5">
        <f t="shared" si="1"/>
        <v>0</v>
      </c>
    </row>
    <row r="24" spans="1:14" x14ac:dyDescent="0.3">
      <c r="A24" s="13"/>
      <c r="B24" s="68"/>
      <c r="C24" s="71"/>
      <c r="D24" s="5" t="s">
        <v>25</v>
      </c>
      <c r="E24" s="5">
        <f t="shared" ref="E24:M24" si="3">SUM(E22:E23)</f>
        <v>0</v>
      </c>
      <c r="F24" s="5">
        <f t="shared" si="3"/>
        <v>0</v>
      </c>
      <c r="G24" s="5">
        <f t="shared" si="3"/>
        <v>0</v>
      </c>
      <c r="H24" s="5">
        <f t="shared" si="3"/>
        <v>0</v>
      </c>
      <c r="I24" s="5">
        <f t="shared" si="3"/>
        <v>0</v>
      </c>
      <c r="J24" s="5">
        <f t="shared" si="3"/>
        <v>0</v>
      </c>
      <c r="K24" s="5">
        <f t="shared" si="3"/>
        <v>1</v>
      </c>
      <c r="L24" s="5">
        <f t="shared" si="3"/>
        <v>0</v>
      </c>
      <c r="M24" s="5">
        <f t="shared" si="3"/>
        <v>0</v>
      </c>
      <c r="N24" s="5">
        <f t="shared" si="1"/>
        <v>1</v>
      </c>
    </row>
    <row r="25" spans="1:14" x14ac:dyDescent="0.3">
      <c r="A25" s="12"/>
      <c r="B25" s="66" t="s">
        <v>32</v>
      </c>
      <c r="C25" s="69" t="s">
        <v>33</v>
      </c>
      <c r="D25" s="6" t="s">
        <v>23</v>
      </c>
      <c r="E25" s="6">
        <v>0</v>
      </c>
      <c r="F25" s="6">
        <v>0</v>
      </c>
      <c r="G25" s="6">
        <v>4</v>
      </c>
      <c r="H25" s="6">
        <v>1</v>
      </c>
      <c r="I25" s="6">
        <v>1</v>
      </c>
      <c r="J25" s="6">
        <v>0</v>
      </c>
      <c r="K25" s="6">
        <v>1</v>
      </c>
      <c r="L25" s="6">
        <v>1</v>
      </c>
      <c r="M25" s="6">
        <v>1</v>
      </c>
      <c r="N25" s="5">
        <f t="shared" si="1"/>
        <v>9</v>
      </c>
    </row>
    <row r="26" spans="1:14" x14ac:dyDescent="0.3">
      <c r="A26" s="12"/>
      <c r="B26" s="67"/>
      <c r="C26" s="70"/>
      <c r="D26" s="6" t="s">
        <v>24</v>
      </c>
      <c r="E26" s="6">
        <v>3</v>
      </c>
      <c r="F26" s="6">
        <v>1</v>
      </c>
      <c r="G26" s="6">
        <v>1</v>
      </c>
      <c r="H26" s="6">
        <v>3</v>
      </c>
      <c r="I26" s="6">
        <v>2</v>
      </c>
      <c r="J26" s="6">
        <v>0</v>
      </c>
      <c r="K26" s="6">
        <v>1</v>
      </c>
      <c r="L26" s="6">
        <v>3</v>
      </c>
      <c r="M26" s="6">
        <v>1</v>
      </c>
      <c r="N26" s="5">
        <f t="shared" si="1"/>
        <v>15</v>
      </c>
    </row>
    <row r="27" spans="1:14" x14ac:dyDescent="0.3">
      <c r="A27" s="13"/>
      <c r="B27" s="68"/>
      <c r="C27" s="71"/>
      <c r="D27" s="5" t="s">
        <v>25</v>
      </c>
      <c r="E27" s="5">
        <f t="shared" ref="E27:M27" si="4">SUM(E25:E26)</f>
        <v>3</v>
      </c>
      <c r="F27" s="5">
        <f t="shared" si="4"/>
        <v>1</v>
      </c>
      <c r="G27" s="5">
        <f t="shared" si="4"/>
        <v>5</v>
      </c>
      <c r="H27" s="5">
        <f t="shared" si="4"/>
        <v>4</v>
      </c>
      <c r="I27" s="5">
        <f t="shared" si="4"/>
        <v>3</v>
      </c>
      <c r="J27" s="5">
        <f t="shared" si="4"/>
        <v>0</v>
      </c>
      <c r="K27" s="5">
        <f t="shared" si="4"/>
        <v>2</v>
      </c>
      <c r="L27" s="5">
        <f t="shared" si="4"/>
        <v>4</v>
      </c>
      <c r="M27" s="5">
        <f t="shared" si="4"/>
        <v>2</v>
      </c>
      <c r="N27" s="5">
        <f t="shared" si="1"/>
        <v>24</v>
      </c>
    </row>
    <row r="28" spans="1:14" x14ac:dyDescent="0.3">
      <c r="A28" s="13"/>
      <c r="B28" s="72" t="s">
        <v>34</v>
      </c>
      <c r="C28" s="73" t="s">
        <v>35</v>
      </c>
      <c r="D28" s="5" t="s">
        <v>23</v>
      </c>
      <c r="E28" s="5">
        <f>SUM(E19,E22,E25)</f>
        <v>91</v>
      </c>
      <c r="F28" s="5">
        <f t="shared" ref="F28:M29" si="5">SUM(F19,F22,F25)</f>
        <v>124</v>
      </c>
      <c r="G28" s="5">
        <f t="shared" si="5"/>
        <v>92</v>
      </c>
      <c r="H28" s="5">
        <f t="shared" si="5"/>
        <v>89</v>
      </c>
      <c r="I28" s="5">
        <f t="shared" si="5"/>
        <v>95</v>
      </c>
      <c r="J28" s="5">
        <f t="shared" si="5"/>
        <v>106</v>
      </c>
      <c r="K28" s="5">
        <f t="shared" si="5"/>
        <v>117</v>
      </c>
      <c r="L28" s="5">
        <f t="shared" si="5"/>
        <v>84</v>
      </c>
      <c r="M28" s="5">
        <f t="shared" si="5"/>
        <v>97</v>
      </c>
      <c r="N28" s="5">
        <f t="shared" si="1"/>
        <v>895</v>
      </c>
    </row>
    <row r="29" spans="1:14" x14ac:dyDescent="0.3">
      <c r="A29" s="13"/>
      <c r="B29" s="67"/>
      <c r="C29" s="70"/>
      <c r="D29" s="5" t="s">
        <v>24</v>
      </c>
      <c r="E29" s="5">
        <f>SUM(E20,E23,E26)</f>
        <v>100</v>
      </c>
      <c r="F29" s="5">
        <f t="shared" si="5"/>
        <v>116</v>
      </c>
      <c r="G29" s="5">
        <f t="shared" si="5"/>
        <v>96</v>
      </c>
      <c r="H29" s="5">
        <f t="shared" si="5"/>
        <v>94</v>
      </c>
      <c r="I29" s="5">
        <f t="shared" si="5"/>
        <v>104</v>
      </c>
      <c r="J29" s="5">
        <f t="shared" si="5"/>
        <v>92</v>
      </c>
      <c r="K29" s="5">
        <f t="shared" si="5"/>
        <v>106</v>
      </c>
      <c r="L29" s="5">
        <f t="shared" si="5"/>
        <v>104</v>
      </c>
      <c r="M29" s="5">
        <f t="shared" si="5"/>
        <v>101</v>
      </c>
      <c r="N29" s="5">
        <f t="shared" si="1"/>
        <v>913</v>
      </c>
    </row>
    <row r="30" spans="1:14" x14ac:dyDescent="0.3">
      <c r="A30" s="13"/>
      <c r="B30" s="68"/>
      <c r="C30" s="71"/>
      <c r="D30" s="5" t="s">
        <v>25</v>
      </c>
      <c r="E30" s="5">
        <f t="shared" ref="E30" si="6">SUM(E28:E29)</f>
        <v>191</v>
      </c>
      <c r="F30" s="5">
        <f t="shared" ref="F30:M30" si="7">SUM(F28:F29)</f>
        <v>240</v>
      </c>
      <c r="G30" s="5">
        <f t="shared" si="7"/>
        <v>188</v>
      </c>
      <c r="H30" s="5">
        <f t="shared" si="7"/>
        <v>183</v>
      </c>
      <c r="I30" s="5">
        <f t="shared" si="7"/>
        <v>199</v>
      </c>
      <c r="J30" s="5">
        <f t="shared" si="7"/>
        <v>198</v>
      </c>
      <c r="K30" s="5">
        <f t="shared" si="7"/>
        <v>223</v>
      </c>
      <c r="L30" s="5">
        <f t="shared" si="7"/>
        <v>188</v>
      </c>
      <c r="M30" s="5">
        <f t="shared" si="7"/>
        <v>198</v>
      </c>
      <c r="N30" s="5">
        <f t="shared" si="1"/>
        <v>1808</v>
      </c>
    </row>
    <row r="31" spans="1:14" x14ac:dyDescent="0.3">
      <c r="A31" s="62"/>
      <c r="B31" s="63"/>
      <c r="C31" s="63"/>
      <c r="D31" s="64"/>
      <c r="E31" s="6"/>
      <c r="F31" s="6"/>
      <c r="G31" s="6"/>
      <c r="H31" s="6"/>
      <c r="I31" s="6"/>
      <c r="J31" s="6"/>
      <c r="K31" s="6"/>
      <c r="L31" s="6"/>
      <c r="M31" s="6"/>
      <c r="N31" s="28"/>
    </row>
    <row r="32" spans="1:14" x14ac:dyDescent="0.3">
      <c r="A32" s="14" t="s">
        <v>36</v>
      </c>
      <c r="B32" s="65" t="s">
        <v>37</v>
      </c>
      <c r="C32" s="63"/>
      <c r="D32" s="64"/>
      <c r="E32" s="5"/>
      <c r="F32" s="5"/>
      <c r="G32" s="5"/>
      <c r="H32" s="5"/>
      <c r="I32" s="5"/>
      <c r="J32" s="5"/>
      <c r="K32" s="5"/>
      <c r="L32" s="5"/>
      <c r="M32" s="5"/>
      <c r="N32" s="28"/>
    </row>
    <row r="33" spans="1:14" x14ac:dyDescent="0.3">
      <c r="A33" s="6">
        <v>1</v>
      </c>
      <c r="B33" s="76" t="s">
        <v>38</v>
      </c>
      <c r="C33" s="63"/>
      <c r="D33" s="64"/>
      <c r="E33" s="6">
        <v>255</v>
      </c>
      <c r="F33" s="6">
        <v>250</v>
      </c>
      <c r="G33" s="6">
        <v>265</v>
      </c>
      <c r="H33" s="6">
        <v>189</v>
      </c>
      <c r="I33" s="6">
        <v>239</v>
      </c>
      <c r="J33" s="6">
        <v>256</v>
      </c>
      <c r="K33" s="6">
        <v>285</v>
      </c>
      <c r="L33" s="6">
        <v>260</v>
      </c>
      <c r="M33" s="6">
        <v>239</v>
      </c>
      <c r="N33" s="5">
        <f>SUM(E33:M33)</f>
        <v>2238</v>
      </c>
    </row>
    <row r="34" spans="1:14" x14ac:dyDescent="0.3">
      <c r="A34" s="6">
        <v>2</v>
      </c>
      <c r="B34" s="76" t="s">
        <v>39</v>
      </c>
      <c r="C34" s="63"/>
      <c r="D34" s="64"/>
      <c r="E34" s="5">
        <v>191</v>
      </c>
      <c r="F34" s="5">
        <v>240</v>
      </c>
      <c r="G34" s="5">
        <v>188</v>
      </c>
      <c r="H34" s="5">
        <v>183</v>
      </c>
      <c r="I34" s="5">
        <v>199</v>
      </c>
      <c r="J34" s="5">
        <v>198</v>
      </c>
      <c r="K34" s="5">
        <v>223</v>
      </c>
      <c r="L34" s="5">
        <v>188</v>
      </c>
      <c r="M34" s="5">
        <v>198</v>
      </c>
      <c r="N34" s="5">
        <f>SUM(E34:M34)</f>
        <v>1808</v>
      </c>
    </row>
    <row r="35" spans="1:14" x14ac:dyDescent="0.3">
      <c r="A35" s="6">
        <v>3</v>
      </c>
      <c r="B35" s="76" t="s">
        <v>40</v>
      </c>
      <c r="C35" s="63"/>
      <c r="D35" s="64"/>
      <c r="E35" s="6">
        <v>0</v>
      </c>
      <c r="F35" s="6">
        <v>1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1</v>
      </c>
      <c r="M35" s="6">
        <v>0</v>
      </c>
      <c r="N35" s="5">
        <f>SUM(E35:M35)</f>
        <v>2</v>
      </c>
    </row>
    <row r="36" spans="1:14" x14ac:dyDescent="0.3">
      <c r="A36" s="6">
        <v>4</v>
      </c>
      <c r="B36" s="76" t="s">
        <v>41</v>
      </c>
      <c r="C36" s="63"/>
      <c r="D36" s="64"/>
      <c r="E36" s="5">
        <f t="shared" ref="E36:M36" si="8">E33-(E34+E35)</f>
        <v>64</v>
      </c>
      <c r="F36" s="5">
        <f t="shared" si="8"/>
        <v>9</v>
      </c>
      <c r="G36" s="5">
        <f t="shared" si="8"/>
        <v>77</v>
      </c>
      <c r="H36" s="5">
        <f t="shared" si="8"/>
        <v>6</v>
      </c>
      <c r="I36" s="5">
        <f t="shared" si="8"/>
        <v>40</v>
      </c>
      <c r="J36" s="5">
        <f t="shared" si="8"/>
        <v>58</v>
      </c>
      <c r="K36" s="5">
        <f t="shared" si="8"/>
        <v>62</v>
      </c>
      <c r="L36" s="5">
        <f t="shared" si="8"/>
        <v>71</v>
      </c>
      <c r="M36" s="5">
        <f t="shared" si="8"/>
        <v>41</v>
      </c>
      <c r="N36" s="5">
        <f>SUM(E36:M36)</f>
        <v>428</v>
      </c>
    </row>
    <row r="37" spans="1:14" x14ac:dyDescent="0.3">
      <c r="A37" s="62"/>
      <c r="B37" s="63"/>
      <c r="C37" s="63"/>
      <c r="D37" s="63"/>
      <c r="E37" s="62"/>
      <c r="F37" s="103"/>
      <c r="G37" s="103"/>
      <c r="H37" s="103"/>
      <c r="I37" s="104"/>
      <c r="J37" s="6"/>
      <c r="K37" s="6"/>
      <c r="L37" s="6"/>
      <c r="M37" s="6"/>
      <c r="N37" s="28"/>
    </row>
    <row r="38" spans="1:14" x14ac:dyDescent="0.3">
      <c r="A38" s="16" t="s">
        <v>42</v>
      </c>
      <c r="B38" s="65" t="s">
        <v>43</v>
      </c>
      <c r="C38" s="63"/>
      <c r="D38" s="64"/>
      <c r="E38" s="5"/>
      <c r="F38" s="5"/>
      <c r="G38" s="5"/>
      <c r="H38" s="5"/>
      <c r="I38" s="5"/>
      <c r="J38" s="5"/>
      <c r="K38" s="5"/>
      <c r="L38" s="5"/>
      <c r="M38" s="5"/>
      <c r="N38" s="28"/>
    </row>
    <row r="39" spans="1:14" x14ac:dyDescent="0.3">
      <c r="A39" s="11"/>
      <c r="B39" s="80" t="s">
        <v>44</v>
      </c>
      <c r="C39" s="78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5">
        <f>SUM(E39:M39)</f>
        <v>0</v>
      </c>
    </row>
    <row r="40" spans="1:14" x14ac:dyDescent="0.3">
      <c r="A40" s="12"/>
      <c r="B40" s="81"/>
      <c r="C40" s="67"/>
      <c r="D40" s="6" t="s">
        <v>24</v>
      </c>
      <c r="E40" s="6"/>
      <c r="F40" s="6"/>
      <c r="G40" s="6">
        <v>1</v>
      </c>
      <c r="H40" s="6">
        <v>1</v>
      </c>
      <c r="I40" s="6"/>
      <c r="J40" s="6">
        <v>1</v>
      </c>
      <c r="K40" s="6"/>
      <c r="L40" s="6"/>
      <c r="M40" s="6"/>
      <c r="N40" s="5">
        <f>SUM(E40:M40)</f>
        <v>3</v>
      </c>
    </row>
    <row r="41" spans="1:14" x14ac:dyDescent="0.3">
      <c r="A41" s="14"/>
      <c r="B41" s="82"/>
      <c r="C41" s="68"/>
      <c r="D41" s="5" t="s">
        <v>25</v>
      </c>
      <c r="E41" s="5">
        <f t="shared" ref="E41:M41" si="9">SUM(E39:E40)</f>
        <v>0</v>
      </c>
      <c r="F41" s="5">
        <f t="shared" si="9"/>
        <v>0</v>
      </c>
      <c r="G41" s="5">
        <f t="shared" si="9"/>
        <v>1</v>
      </c>
      <c r="H41" s="5">
        <f t="shared" si="9"/>
        <v>1</v>
      </c>
      <c r="I41" s="5">
        <f t="shared" si="9"/>
        <v>0</v>
      </c>
      <c r="J41" s="5">
        <f t="shared" si="9"/>
        <v>1</v>
      </c>
      <c r="K41" s="5">
        <f t="shared" si="9"/>
        <v>0</v>
      </c>
      <c r="L41" s="5">
        <f t="shared" si="9"/>
        <v>0</v>
      </c>
      <c r="M41" s="5">
        <f t="shared" si="9"/>
        <v>0</v>
      </c>
      <c r="N41" s="5">
        <f>SUM(E41:M41)</f>
        <v>3</v>
      </c>
    </row>
    <row r="42" spans="1:14" x14ac:dyDescent="0.3">
      <c r="A42" s="83"/>
      <c r="B42" s="82"/>
      <c r="C42" s="82"/>
      <c r="D42" s="68"/>
      <c r="E42" s="62"/>
      <c r="F42" s="63"/>
      <c r="G42" s="63"/>
      <c r="H42" s="63"/>
      <c r="I42" s="64"/>
      <c r="J42" s="6"/>
      <c r="K42" s="6"/>
      <c r="L42" s="6"/>
      <c r="M42" s="6"/>
      <c r="N42" s="5"/>
    </row>
    <row r="43" spans="1:14" ht="13.15" customHeight="1" x14ac:dyDescent="0.3">
      <c r="A43" s="16" t="s">
        <v>45</v>
      </c>
      <c r="B43" s="65" t="s">
        <v>46</v>
      </c>
      <c r="C43" s="63"/>
      <c r="D43" s="64"/>
      <c r="E43" s="25"/>
      <c r="F43" s="5"/>
      <c r="G43" s="5"/>
      <c r="H43" s="5"/>
      <c r="I43" s="5"/>
      <c r="J43" s="5"/>
      <c r="K43" s="5"/>
      <c r="L43" s="5"/>
      <c r="M43" s="5"/>
      <c r="N43" s="5"/>
    </row>
    <row r="44" spans="1:14" ht="13.15" customHeight="1" x14ac:dyDescent="0.3">
      <c r="A44" s="80" t="s">
        <v>47</v>
      </c>
      <c r="B44" s="85"/>
      <c r="C44" s="85"/>
      <c r="D44" s="78"/>
      <c r="E44" s="9"/>
      <c r="F44" s="6"/>
      <c r="G44" s="6"/>
      <c r="H44" s="6"/>
      <c r="I44" s="6"/>
      <c r="J44" s="6"/>
      <c r="K44" s="6"/>
      <c r="L44" s="6"/>
      <c r="M44" s="6"/>
      <c r="N44" s="5"/>
    </row>
    <row r="45" spans="1:14" x14ac:dyDescent="0.3">
      <c r="A45" s="11" t="s">
        <v>48</v>
      </c>
      <c r="B45" s="17" t="s">
        <v>28</v>
      </c>
      <c r="C45" s="86" t="s">
        <v>49</v>
      </c>
      <c r="D45" s="64"/>
      <c r="E45" s="6">
        <v>13</v>
      </c>
      <c r="F45" s="6">
        <v>8</v>
      </c>
      <c r="G45" s="6">
        <v>5</v>
      </c>
      <c r="H45" s="6">
        <v>18</v>
      </c>
      <c r="I45" s="6">
        <v>11</v>
      </c>
      <c r="J45" s="6">
        <v>8</v>
      </c>
      <c r="K45" s="6">
        <v>10</v>
      </c>
      <c r="L45" s="6">
        <v>9</v>
      </c>
      <c r="M45" s="6">
        <v>16</v>
      </c>
      <c r="N45" s="5">
        <f t="shared" ref="N45:N54" si="10">SUM(E45:M45)</f>
        <v>98</v>
      </c>
    </row>
    <row r="46" spans="1:14" x14ac:dyDescent="0.3">
      <c r="A46" s="11" t="s">
        <v>50</v>
      </c>
      <c r="B46" s="50"/>
      <c r="C46" s="24" t="s">
        <v>115</v>
      </c>
      <c r="D46" s="49"/>
      <c r="E46" s="6">
        <v>19</v>
      </c>
      <c r="F46" s="6">
        <v>26</v>
      </c>
      <c r="G46" s="6">
        <v>22</v>
      </c>
      <c r="H46" s="6">
        <v>10</v>
      </c>
      <c r="I46" s="6">
        <v>27</v>
      </c>
      <c r="J46" s="6">
        <v>37</v>
      </c>
      <c r="K46" s="6">
        <v>17</v>
      </c>
      <c r="L46" s="6">
        <v>13</v>
      </c>
      <c r="M46" s="6">
        <v>55</v>
      </c>
      <c r="N46" s="5">
        <f t="shared" si="10"/>
        <v>226</v>
      </c>
    </row>
    <row r="47" spans="1:14" x14ac:dyDescent="0.3">
      <c r="A47" s="7"/>
      <c r="B47" s="50"/>
      <c r="C47" s="24" t="s">
        <v>116</v>
      </c>
      <c r="D47" s="49"/>
      <c r="E47" s="6">
        <v>3</v>
      </c>
      <c r="F47" s="6">
        <v>12</v>
      </c>
      <c r="G47" s="6">
        <v>2</v>
      </c>
      <c r="H47" s="6">
        <v>4</v>
      </c>
      <c r="I47" s="6">
        <v>3</v>
      </c>
      <c r="J47" s="6">
        <v>2</v>
      </c>
      <c r="K47" s="6">
        <v>3</v>
      </c>
      <c r="L47" s="6">
        <v>2</v>
      </c>
      <c r="M47" s="6">
        <v>9</v>
      </c>
      <c r="N47" s="5">
        <f t="shared" si="10"/>
        <v>40</v>
      </c>
    </row>
    <row r="48" spans="1:14" x14ac:dyDescent="0.3">
      <c r="A48" s="7"/>
      <c r="B48" s="50"/>
      <c r="C48" s="24" t="s">
        <v>117</v>
      </c>
      <c r="D48" s="49"/>
      <c r="E48" s="6">
        <v>1</v>
      </c>
      <c r="F48" s="6">
        <v>2</v>
      </c>
      <c r="G48" s="6">
        <v>1</v>
      </c>
      <c r="H48" s="6">
        <v>0</v>
      </c>
      <c r="I48" s="6">
        <v>0</v>
      </c>
      <c r="J48" s="6">
        <v>2</v>
      </c>
      <c r="K48" s="6">
        <v>1</v>
      </c>
      <c r="L48" s="6">
        <v>2</v>
      </c>
      <c r="M48" s="6">
        <v>2</v>
      </c>
      <c r="N48" s="5">
        <f t="shared" si="10"/>
        <v>11</v>
      </c>
    </row>
    <row r="49" spans="1:14" x14ac:dyDescent="0.3">
      <c r="A49" s="7"/>
      <c r="B49" s="50"/>
      <c r="C49" s="24" t="s">
        <v>118</v>
      </c>
      <c r="D49" s="49"/>
      <c r="E49" s="6">
        <v>2</v>
      </c>
      <c r="F49" s="6">
        <v>3</v>
      </c>
      <c r="G49" s="6">
        <v>0</v>
      </c>
      <c r="H49" s="6">
        <v>1</v>
      </c>
      <c r="I49" s="6">
        <v>1</v>
      </c>
      <c r="J49" s="6">
        <v>0</v>
      </c>
      <c r="K49" s="6">
        <v>2</v>
      </c>
      <c r="L49" s="6">
        <v>1</v>
      </c>
      <c r="M49" s="6">
        <v>1</v>
      </c>
      <c r="N49" s="5">
        <f t="shared" si="10"/>
        <v>11</v>
      </c>
    </row>
    <row r="50" spans="1:14" x14ac:dyDescent="0.3">
      <c r="A50" s="7"/>
      <c r="B50" s="50"/>
      <c r="C50" s="24" t="s">
        <v>119</v>
      </c>
      <c r="D50" s="49"/>
      <c r="E50" s="6">
        <v>1</v>
      </c>
      <c r="F50" s="6">
        <v>3</v>
      </c>
      <c r="G50" s="6">
        <v>0</v>
      </c>
      <c r="H50" s="6">
        <v>0</v>
      </c>
      <c r="I50" s="6">
        <v>1</v>
      </c>
      <c r="J50" s="6">
        <v>1</v>
      </c>
      <c r="K50" s="6">
        <v>0</v>
      </c>
      <c r="L50" s="6">
        <v>0</v>
      </c>
      <c r="M50" s="6">
        <v>1</v>
      </c>
      <c r="N50" s="5">
        <f t="shared" si="10"/>
        <v>7</v>
      </c>
    </row>
    <row r="51" spans="1:14" x14ac:dyDescent="0.3">
      <c r="A51" s="7"/>
      <c r="B51" s="50"/>
      <c r="C51" s="24" t="s">
        <v>120</v>
      </c>
      <c r="D51" s="49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1</v>
      </c>
      <c r="L51" s="6">
        <v>0</v>
      </c>
      <c r="M51" s="6">
        <v>0</v>
      </c>
      <c r="N51" s="5">
        <f t="shared" si="10"/>
        <v>1</v>
      </c>
    </row>
    <row r="52" spans="1:14" ht="13.15" customHeight="1" x14ac:dyDescent="0.3">
      <c r="A52" s="7"/>
      <c r="B52" s="50"/>
      <c r="C52" s="24" t="s">
        <v>121</v>
      </c>
      <c r="D52" s="49"/>
      <c r="E52" s="6">
        <v>0</v>
      </c>
      <c r="F52" s="6">
        <v>1</v>
      </c>
      <c r="G52" s="6">
        <v>0</v>
      </c>
      <c r="H52" s="6">
        <v>0</v>
      </c>
      <c r="I52" s="6">
        <v>1</v>
      </c>
      <c r="J52" s="6">
        <v>1</v>
      </c>
      <c r="K52" s="6">
        <v>1</v>
      </c>
      <c r="L52" s="6">
        <v>0</v>
      </c>
      <c r="M52" s="6">
        <v>0</v>
      </c>
      <c r="N52" s="5">
        <f t="shared" si="10"/>
        <v>4</v>
      </c>
    </row>
    <row r="53" spans="1:14" ht="13.15" customHeight="1" x14ac:dyDescent="0.3">
      <c r="A53" s="7"/>
      <c r="B53" s="50"/>
      <c r="C53" s="24" t="s">
        <v>122</v>
      </c>
      <c r="D53" s="51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5">
        <f t="shared" si="10"/>
        <v>0</v>
      </c>
    </row>
    <row r="54" spans="1:14" ht="13.15" customHeight="1" x14ac:dyDescent="0.3">
      <c r="A54" s="7"/>
      <c r="B54" s="50"/>
      <c r="C54" s="24" t="s">
        <v>123</v>
      </c>
      <c r="D54" s="49"/>
      <c r="E54" s="6">
        <v>0</v>
      </c>
      <c r="F54" s="6">
        <v>0</v>
      </c>
      <c r="G54" s="6">
        <v>0</v>
      </c>
      <c r="H54" s="6">
        <v>1</v>
      </c>
      <c r="I54" s="6">
        <v>0</v>
      </c>
      <c r="J54" s="6">
        <v>1</v>
      </c>
      <c r="K54" s="6">
        <v>1</v>
      </c>
      <c r="L54" s="6">
        <v>0</v>
      </c>
      <c r="M54" s="6">
        <v>1</v>
      </c>
      <c r="N54" s="5">
        <f t="shared" si="10"/>
        <v>4</v>
      </c>
    </row>
    <row r="55" spans="1:14" x14ac:dyDescent="0.3">
      <c r="A55" s="6" t="s">
        <v>26</v>
      </c>
      <c r="B55" s="84" t="s">
        <v>51</v>
      </c>
      <c r="C55" s="63"/>
      <c r="D55" s="64"/>
      <c r="E55" s="5">
        <f>SUM(E45:E54)</f>
        <v>39</v>
      </c>
      <c r="F55" s="5">
        <f t="shared" ref="F55:N55" si="11">SUM(F45:F54)</f>
        <v>55</v>
      </c>
      <c r="G55" s="5">
        <f t="shared" si="11"/>
        <v>30</v>
      </c>
      <c r="H55" s="5">
        <f t="shared" si="11"/>
        <v>34</v>
      </c>
      <c r="I55" s="5">
        <f t="shared" si="11"/>
        <v>44</v>
      </c>
      <c r="J55" s="5">
        <f t="shared" si="11"/>
        <v>52</v>
      </c>
      <c r="K55" s="5">
        <f t="shared" si="11"/>
        <v>36</v>
      </c>
      <c r="L55" s="5">
        <f t="shared" si="11"/>
        <v>27</v>
      </c>
      <c r="M55" s="5">
        <f t="shared" si="11"/>
        <v>85</v>
      </c>
      <c r="N55" s="5">
        <f t="shared" si="11"/>
        <v>402</v>
      </c>
    </row>
    <row r="56" spans="1:14" x14ac:dyDescent="0.3">
      <c r="A56" s="83"/>
      <c r="B56" s="82"/>
      <c r="C56" s="82"/>
      <c r="D56" s="82"/>
      <c r="E56" s="82"/>
      <c r="N56" s="5"/>
    </row>
    <row r="57" spans="1:14" x14ac:dyDescent="0.3">
      <c r="A57" s="11" t="s">
        <v>48</v>
      </c>
      <c r="B57" s="17" t="s">
        <v>30</v>
      </c>
      <c r="C57" s="86" t="s">
        <v>52</v>
      </c>
      <c r="D57" s="64"/>
      <c r="E57" s="6">
        <v>25</v>
      </c>
      <c r="F57" s="6">
        <v>32</v>
      </c>
      <c r="G57" s="6">
        <v>25</v>
      </c>
      <c r="H57" s="6">
        <v>30</v>
      </c>
      <c r="I57" s="6">
        <v>23</v>
      </c>
      <c r="J57" s="6">
        <v>14</v>
      </c>
      <c r="K57" s="6">
        <v>18</v>
      </c>
      <c r="L57" s="6">
        <v>21</v>
      </c>
      <c r="M57" s="6">
        <v>13</v>
      </c>
      <c r="N57" s="5">
        <f t="shared" ref="N57:N66" si="12">SUM(E57:M57)</f>
        <v>201</v>
      </c>
    </row>
    <row r="58" spans="1:14" x14ac:dyDescent="0.3">
      <c r="A58" s="11" t="s">
        <v>50</v>
      </c>
      <c r="B58" s="50"/>
      <c r="C58" s="24" t="s">
        <v>124</v>
      </c>
      <c r="D58" s="49"/>
      <c r="E58" s="6">
        <v>10</v>
      </c>
      <c r="F58" s="6">
        <v>13</v>
      </c>
      <c r="G58" s="6">
        <v>8</v>
      </c>
      <c r="H58" s="6">
        <v>17</v>
      </c>
      <c r="I58" s="6">
        <v>20</v>
      </c>
      <c r="J58" s="6">
        <v>11</v>
      </c>
      <c r="K58" s="6">
        <v>5</v>
      </c>
      <c r="L58" s="6">
        <v>13</v>
      </c>
      <c r="M58" s="6">
        <v>8</v>
      </c>
      <c r="N58" s="5">
        <f t="shared" si="12"/>
        <v>105</v>
      </c>
    </row>
    <row r="59" spans="1:14" x14ac:dyDescent="0.3">
      <c r="A59" s="7"/>
      <c r="B59" s="50"/>
      <c r="C59" s="24" t="s">
        <v>125</v>
      </c>
      <c r="D59" s="49"/>
      <c r="E59" s="6">
        <v>24</v>
      </c>
      <c r="F59" s="6">
        <v>23</v>
      </c>
      <c r="G59" s="6">
        <v>27</v>
      </c>
      <c r="H59" s="6">
        <v>13</v>
      </c>
      <c r="I59" s="6">
        <v>16</v>
      </c>
      <c r="J59" s="6">
        <v>23</v>
      </c>
      <c r="K59" s="6">
        <v>24</v>
      </c>
      <c r="L59" s="6">
        <v>18</v>
      </c>
      <c r="M59" s="6">
        <v>6</v>
      </c>
      <c r="N59" s="5">
        <f t="shared" si="12"/>
        <v>174</v>
      </c>
    </row>
    <row r="60" spans="1:14" x14ac:dyDescent="0.3">
      <c r="A60" s="7"/>
      <c r="B60" s="50"/>
      <c r="C60" s="24" t="s">
        <v>126</v>
      </c>
      <c r="D60" s="49"/>
      <c r="E60" s="6">
        <v>3</v>
      </c>
      <c r="F60" s="6">
        <v>1</v>
      </c>
      <c r="G60" s="6">
        <v>1</v>
      </c>
      <c r="H60" s="6">
        <v>3</v>
      </c>
      <c r="I60" s="6">
        <v>2</v>
      </c>
      <c r="J60" s="6">
        <v>4</v>
      </c>
      <c r="K60" s="6">
        <v>4</v>
      </c>
      <c r="L60" s="6">
        <v>3</v>
      </c>
      <c r="M60" s="6">
        <v>4</v>
      </c>
      <c r="N60" s="5">
        <f t="shared" si="12"/>
        <v>25</v>
      </c>
    </row>
    <row r="61" spans="1:14" x14ac:dyDescent="0.3">
      <c r="A61" s="7"/>
      <c r="B61" s="50"/>
      <c r="C61" s="24" t="s">
        <v>127</v>
      </c>
      <c r="D61" s="49"/>
      <c r="E61" s="6">
        <v>1</v>
      </c>
      <c r="F61" s="6">
        <v>7</v>
      </c>
      <c r="G61" s="6">
        <v>7</v>
      </c>
      <c r="H61" s="6">
        <v>5</v>
      </c>
      <c r="I61" s="6">
        <v>6</v>
      </c>
      <c r="J61" s="6">
        <v>0</v>
      </c>
      <c r="K61" s="6">
        <v>8</v>
      </c>
      <c r="L61" s="6">
        <v>4</v>
      </c>
      <c r="M61" s="6">
        <v>1</v>
      </c>
      <c r="N61" s="5">
        <f t="shared" si="12"/>
        <v>39</v>
      </c>
    </row>
    <row r="62" spans="1:14" x14ac:dyDescent="0.3">
      <c r="A62" s="7"/>
      <c r="B62" s="50"/>
      <c r="C62" s="24" t="s">
        <v>128</v>
      </c>
      <c r="D62" s="49"/>
      <c r="E62" s="6">
        <v>1</v>
      </c>
      <c r="F62" s="6">
        <v>1</v>
      </c>
      <c r="G62" s="6">
        <v>0</v>
      </c>
      <c r="H62" s="6">
        <v>1</v>
      </c>
      <c r="I62" s="6">
        <v>0</v>
      </c>
      <c r="J62" s="6">
        <v>1</v>
      </c>
      <c r="K62" s="6">
        <v>0</v>
      </c>
      <c r="L62" s="6">
        <v>4</v>
      </c>
      <c r="M62" s="6">
        <v>4</v>
      </c>
      <c r="N62" s="5">
        <f t="shared" si="12"/>
        <v>12</v>
      </c>
    </row>
    <row r="63" spans="1:14" ht="13.15" customHeight="1" x14ac:dyDescent="0.3">
      <c r="A63" s="7"/>
      <c r="B63" s="50"/>
      <c r="C63" s="24" t="s">
        <v>129</v>
      </c>
      <c r="D63" s="49"/>
      <c r="E63" s="6">
        <v>1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1</v>
      </c>
      <c r="L63" s="6">
        <v>1</v>
      </c>
      <c r="M63" s="6">
        <v>0</v>
      </c>
      <c r="N63" s="5">
        <f t="shared" si="12"/>
        <v>3</v>
      </c>
    </row>
    <row r="64" spans="1:14" x14ac:dyDescent="0.3">
      <c r="A64" s="7"/>
      <c r="B64" s="50"/>
      <c r="C64" s="24" t="s">
        <v>130</v>
      </c>
      <c r="D64" s="49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1</v>
      </c>
      <c r="K64" s="6">
        <v>0</v>
      </c>
      <c r="L64" s="6">
        <v>2</v>
      </c>
      <c r="M64" s="6">
        <v>0</v>
      </c>
      <c r="N64" s="5">
        <f t="shared" si="12"/>
        <v>3</v>
      </c>
    </row>
    <row r="65" spans="1:14" x14ac:dyDescent="0.3">
      <c r="A65" s="7"/>
      <c r="B65" s="50"/>
      <c r="C65" s="24" t="s">
        <v>131</v>
      </c>
      <c r="D65" s="49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1</v>
      </c>
      <c r="L65" s="6">
        <v>0</v>
      </c>
      <c r="M65" s="6">
        <v>0</v>
      </c>
      <c r="N65" s="5">
        <f t="shared" si="12"/>
        <v>1</v>
      </c>
    </row>
    <row r="66" spans="1:14" x14ac:dyDescent="0.3">
      <c r="A66" s="7"/>
      <c r="B66" s="50"/>
      <c r="C66" s="24" t="s">
        <v>132</v>
      </c>
      <c r="D66" s="49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2</v>
      </c>
      <c r="L66" s="6">
        <v>0</v>
      </c>
      <c r="M66" s="6">
        <v>0</v>
      </c>
      <c r="N66" s="5">
        <f t="shared" si="12"/>
        <v>2</v>
      </c>
    </row>
    <row r="67" spans="1:14" x14ac:dyDescent="0.3">
      <c r="A67" s="6" t="s">
        <v>26</v>
      </c>
      <c r="B67" s="84" t="s">
        <v>51</v>
      </c>
      <c r="C67" s="63"/>
      <c r="D67" s="64"/>
      <c r="E67" s="5">
        <f t="shared" ref="E67:N67" si="13">SUM(E57:E66)</f>
        <v>65</v>
      </c>
      <c r="F67" s="5">
        <f t="shared" si="13"/>
        <v>77</v>
      </c>
      <c r="G67" s="5">
        <f t="shared" si="13"/>
        <v>68</v>
      </c>
      <c r="H67" s="5">
        <f t="shared" si="13"/>
        <v>69</v>
      </c>
      <c r="I67" s="5">
        <f t="shared" si="13"/>
        <v>67</v>
      </c>
      <c r="J67" s="5">
        <f t="shared" si="13"/>
        <v>54</v>
      </c>
      <c r="K67" s="5">
        <f t="shared" si="13"/>
        <v>63</v>
      </c>
      <c r="L67" s="5">
        <f t="shared" si="13"/>
        <v>66</v>
      </c>
      <c r="M67" s="5">
        <f t="shared" si="13"/>
        <v>36</v>
      </c>
      <c r="N67" s="5">
        <f t="shared" si="13"/>
        <v>565</v>
      </c>
    </row>
    <row r="68" spans="1:14" x14ac:dyDescent="0.3">
      <c r="A68" s="83"/>
      <c r="B68" s="82"/>
      <c r="C68" s="82"/>
      <c r="D68" s="82"/>
      <c r="E68" s="82"/>
    </row>
    <row r="69" spans="1:14" x14ac:dyDescent="0.3">
      <c r="A69" s="11" t="s">
        <v>48</v>
      </c>
      <c r="B69" s="17" t="s">
        <v>32</v>
      </c>
      <c r="C69" s="86" t="s">
        <v>53</v>
      </c>
      <c r="D69" s="64"/>
      <c r="E69" s="6">
        <v>2</v>
      </c>
      <c r="F69" s="6">
        <v>11</v>
      </c>
      <c r="G69" s="6">
        <v>5</v>
      </c>
      <c r="H69" s="6">
        <v>6</v>
      </c>
      <c r="I69" s="6">
        <v>6</v>
      </c>
      <c r="J69" s="6">
        <v>2</v>
      </c>
      <c r="K69" s="6">
        <v>7</v>
      </c>
      <c r="L69" s="6">
        <v>4</v>
      </c>
      <c r="M69" s="6">
        <v>7</v>
      </c>
      <c r="N69" s="5">
        <f t="shared" ref="N69:N78" si="14">SUM(E69:M69)</f>
        <v>50</v>
      </c>
    </row>
    <row r="70" spans="1:14" x14ac:dyDescent="0.3">
      <c r="A70" s="11" t="s">
        <v>50</v>
      </c>
      <c r="B70" s="50"/>
      <c r="C70" s="24" t="s">
        <v>133</v>
      </c>
      <c r="D70" s="49"/>
      <c r="E70" s="6">
        <v>1</v>
      </c>
      <c r="F70" s="6">
        <v>1</v>
      </c>
      <c r="G70" s="6">
        <v>2</v>
      </c>
      <c r="H70" s="6">
        <v>0</v>
      </c>
      <c r="I70" s="6">
        <v>3</v>
      </c>
      <c r="J70" s="6">
        <v>2</v>
      </c>
      <c r="K70" s="6">
        <v>2</v>
      </c>
      <c r="L70" s="6">
        <v>1</v>
      </c>
      <c r="M70" s="6">
        <v>5</v>
      </c>
      <c r="N70" s="5">
        <f t="shared" si="14"/>
        <v>17</v>
      </c>
    </row>
    <row r="71" spans="1:14" x14ac:dyDescent="0.3">
      <c r="A71" s="7"/>
      <c r="B71" s="50"/>
      <c r="C71" s="24" t="s">
        <v>134</v>
      </c>
      <c r="D71" s="49"/>
      <c r="E71" s="6">
        <v>5</v>
      </c>
      <c r="F71" s="6">
        <v>3</v>
      </c>
      <c r="G71" s="6">
        <v>3</v>
      </c>
      <c r="H71" s="6">
        <v>2</v>
      </c>
      <c r="I71" s="6">
        <v>4</v>
      </c>
      <c r="J71" s="6">
        <v>2</v>
      </c>
      <c r="K71" s="6">
        <v>3</v>
      </c>
      <c r="L71" s="6">
        <v>2</v>
      </c>
      <c r="M71" s="6">
        <v>1</v>
      </c>
      <c r="N71" s="5">
        <f t="shared" si="14"/>
        <v>25</v>
      </c>
    </row>
    <row r="72" spans="1:14" x14ac:dyDescent="0.3">
      <c r="A72" s="7"/>
      <c r="B72" s="50"/>
      <c r="C72" s="24" t="s">
        <v>135</v>
      </c>
      <c r="D72" s="49"/>
      <c r="E72" s="6">
        <v>2</v>
      </c>
      <c r="F72" s="6">
        <v>2</v>
      </c>
      <c r="G72" s="6">
        <v>0</v>
      </c>
      <c r="H72" s="6">
        <v>3</v>
      </c>
      <c r="I72" s="6">
        <v>2</v>
      </c>
      <c r="J72" s="6">
        <v>1</v>
      </c>
      <c r="K72" s="6">
        <v>7</v>
      </c>
      <c r="L72" s="6">
        <v>1</v>
      </c>
      <c r="M72" s="6">
        <v>2</v>
      </c>
      <c r="N72" s="5">
        <f t="shared" si="14"/>
        <v>20</v>
      </c>
    </row>
    <row r="73" spans="1:14" x14ac:dyDescent="0.3">
      <c r="A73" s="7"/>
      <c r="B73" s="50"/>
      <c r="C73" s="24" t="s">
        <v>136</v>
      </c>
      <c r="D73" s="49"/>
      <c r="E73" s="6">
        <v>2</v>
      </c>
      <c r="F73" s="6">
        <v>1</v>
      </c>
      <c r="G73" s="6">
        <v>0</v>
      </c>
      <c r="H73" s="6">
        <v>0</v>
      </c>
      <c r="I73" s="6">
        <v>1</v>
      </c>
      <c r="J73" s="6">
        <v>1</v>
      </c>
      <c r="K73" s="6">
        <v>2</v>
      </c>
      <c r="L73" s="6">
        <v>2</v>
      </c>
      <c r="M73" s="6">
        <v>0</v>
      </c>
      <c r="N73" s="5">
        <f t="shared" si="14"/>
        <v>9</v>
      </c>
    </row>
    <row r="74" spans="1:14" ht="13.15" customHeight="1" x14ac:dyDescent="0.3">
      <c r="A74" s="7"/>
      <c r="B74" s="50"/>
      <c r="C74" s="24" t="s">
        <v>137</v>
      </c>
      <c r="D74" s="49"/>
      <c r="E74" s="6">
        <v>1</v>
      </c>
      <c r="F74" s="6">
        <v>0</v>
      </c>
      <c r="G74" s="6">
        <v>0</v>
      </c>
      <c r="H74" s="6">
        <v>3</v>
      </c>
      <c r="I74" s="6">
        <v>2</v>
      </c>
      <c r="J74" s="6">
        <v>0</v>
      </c>
      <c r="K74" s="6">
        <v>3</v>
      </c>
      <c r="L74" s="6">
        <v>3</v>
      </c>
      <c r="M74" s="6">
        <v>0</v>
      </c>
      <c r="N74" s="5">
        <f t="shared" si="14"/>
        <v>12</v>
      </c>
    </row>
    <row r="75" spans="1:14" x14ac:dyDescent="0.3">
      <c r="A75" s="7"/>
      <c r="B75" s="50"/>
      <c r="C75" s="24" t="s">
        <v>138</v>
      </c>
      <c r="D75" s="49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2</v>
      </c>
      <c r="L75" s="6">
        <v>0</v>
      </c>
      <c r="M75" s="6">
        <v>0</v>
      </c>
      <c r="N75" s="5">
        <f t="shared" si="14"/>
        <v>2</v>
      </c>
    </row>
    <row r="76" spans="1:14" x14ac:dyDescent="0.3">
      <c r="A76" s="7"/>
      <c r="B76" s="50"/>
      <c r="C76" s="24" t="s">
        <v>139</v>
      </c>
      <c r="D76" s="49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5">
        <f t="shared" si="14"/>
        <v>0</v>
      </c>
    </row>
    <row r="77" spans="1:14" x14ac:dyDescent="0.3">
      <c r="A77" s="7"/>
      <c r="B77" s="50"/>
      <c r="C77" s="24" t="s">
        <v>140</v>
      </c>
      <c r="D77" s="49"/>
      <c r="E77" s="6">
        <v>1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1</v>
      </c>
      <c r="N77" s="5">
        <f t="shared" si="14"/>
        <v>2</v>
      </c>
    </row>
    <row r="78" spans="1:14" x14ac:dyDescent="0.3">
      <c r="A78" s="7"/>
      <c r="B78" s="50"/>
      <c r="C78" s="24" t="s">
        <v>141</v>
      </c>
      <c r="D78" s="49"/>
      <c r="E78" s="6">
        <v>1</v>
      </c>
      <c r="F78" s="6">
        <v>0</v>
      </c>
      <c r="G78" s="6">
        <v>0</v>
      </c>
      <c r="H78" s="6">
        <v>0</v>
      </c>
      <c r="I78" s="6">
        <v>1</v>
      </c>
      <c r="J78" s="6">
        <v>0</v>
      </c>
      <c r="K78" s="6">
        <v>0</v>
      </c>
      <c r="L78" s="6">
        <v>0</v>
      </c>
      <c r="M78" s="6">
        <v>1</v>
      </c>
      <c r="N78" s="5">
        <f t="shared" si="14"/>
        <v>3</v>
      </c>
    </row>
    <row r="79" spans="1:14" x14ac:dyDescent="0.3">
      <c r="A79" s="6" t="s">
        <v>26</v>
      </c>
      <c r="B79" s="84" t="s">
        <v>51</v>
      </c>
      <c r="C79" s="63"/>
      <c r="D79" s="64"/>
      <c r="E79" s="5">
        <f t="shared" ref="E79:N79" si="15">SUM(E69:E78)</f>
        <v>15</v>
      </c>
      <c r="F79" s="5">
        <f t="shared" si="15"/>
        <v>18</v>
      </c>
      <c r="G79" s="5">
        <f t="shared" si="15"/>
        <v>10</v>
      </c>
      <c r="H79" s="5">
        <f t="shared" si="15"/>
        <v>14</v>
      </c>
      <c r="I79" s="5">
        <f t="shared" si="15"/>
        <v>19</v>
      </c>
      <c r="J79" s="5">
        <f t="shared" si="15"/>
        <v>8</v>
      </c>
      <c r="K79" s="5">
        <f t="shared" si="15"/>
        <v>26</v>
      </c>
      <c r="L79" s="5">
        <f t="shared" si="15"/>
        <v>13</v>
      </c>
      <c r="M79" s="5">
        <f t="shared" si="15"/>
        <v>17</v>
      </c>
      <c r="N79" s="5">
        <f t="shared" si="15"/>
        <v>140</v>
      </c>
    </row>
    <row r="80" spans="1:14" x14ac:dyDescent="0.3">
      <c r="A80" s="83"/>
      <c r="B80" s="82"/>
      <c r="C80" s="82"/>
      <c r="D80" s="82"/>
      <c r="E80" s="82"/>
    </row>
    <row r="81" spans="1:14" x14ac:dyDescent="0.3">
      <c r="A81" s="11" t="s">
        <v>48</v>
      </c>
      <c r="B81" s="17" t="s">
        <v>34</v>
      </c>
      <c r="C81" s="86" t="s">
        <v>54</v>
      </c>
      <c r="D81" s="64"/>
      <c r="E81" s="6">
        <v>4</v>
      </c>
      <c r="F81" s="6">
        <v>3</v>
      </c>
      <c r="G81" s="6">
        <v>3</v>
      </c>
      <c r="H81" s="6">
        <v>2</v>
      </c>
      <c r="I81" s="6">
        <v>4</v>
      </c>
      <c r="J81" s="6">
        <v>2</v>
      </c>
      <c r="K81" s="6">
        <v>2</v>
      </c>
      <c r="L81" s="6">
        <v>3</v>
      </c>
      <c r="M81" s="6">
        <v>1</v>
      </c>
      <c r="N81" s="5">
        <f t="shared" ref="N81:N90" si="16">SUM(E81:M81)</f>
        <v>24</v>
      </c>
    </row>
    <row r="82" spans="1:14" x14ac:dyDescent="0.3">
      <c r="A82" s="11" t="s">
        <v>50</v>
      </c>
      <c r="B82" s="50"/>
      <c r="C82" s="24" t="s">
        <v>142</v>
      </c>
      <c r="D82" s="49"/>
      <c r="E82" s="6">
        <v>0</v>
      </c>
      <c r="F82" s="6">
        <v>2</v>
      </c>
      <c r="G82" s="6">
        <v>0</v>
      </c>
      <c r="H82" s="6">
        <v>4</v>
      </c>
      <c r="I82" s="6">
        <v>8</v>
      </c>
      <c r="J82" s="6">
        <v>8</v>
      </c>
      <c r="K82" s="6">
        <v>7</v>
      </c>
      <c r="L82" s="6">
        <v>7</v>
      </c>
      <c r="M82" s="6">
        <v>4</v>
      </c>
      <c r="N82" s="5">
        <f t="shared" si="16"/>
        <v>40</v>
      </c>
    </row>
    <row r="83" spans="1:14" x14ac:dyDescent="0.3">
      <c r="A83" s="7"/>
      <c r="B83" s="50"/>
      <c r="C83" s="24" t="s">
        <v>143</v>
      </c>
      <c r="D83" s="49"/>
      <c r="E83" s="6">
        <v>2</v>
      </c>
      <c r="F83" s="6">
        <v>0</v>
      </c>
      <c r="G83" s="6">
        <v>3</v>
      </c>
      <c r="H83" s="6">
        <v>0</v>
      </c>
      <c r="I83" s="6">
        <v>1</v>
      </c>
      <c r="J83" s="6">
        <v>2</v>
      </c>
      <c r="K83" s="6">
        <v>2</v>
      </c>
      <c r="L83" s="6">
        <v>3</v>
      </c>
      <c r="M83" s="6">
        <v>0</v>
      </c>
      <c r="N83" s="5">
        <f t="shared" si="16"/>
        <v>13</v>
      </c>
    </row>
    <row r="84" spans="1:14" x14ac:dyDescent="0.3">
      <c r="A84" s="7"/>
      <c r="B84" s="50"/>
      <c r="C84" s="24" t="s">
        <v>144</v>
      </c>
      <c r="D84" s="49"/>
      <c r="E84" s="6">
        <v>1</v>
      </c>
      <c r="F84" s="6">
        <v>2</v>
      </c>
      <c r="G84" s="6">
        <v>0</v>
      </c>
      <c r="H84" s="6">
        <v>1</v>
      </c>
      <c r="I84" s="6">
        <v>0</v>
      </c>
      <c r="J84" s="6">
        <v>2</v>
      </c>
      <c r="K84" s="6">
        <v>1</v>
      </c>
      <c r="L84" s="6">
        <v>0</v>
      </c>
      <c r="M84" s="6">
        <v>1</v>
      </c>
      <c r="N84" s="5">
        <f t="shared" si="16"/>
        <v>8</v>
      </c>
    </row>
    <row r="85" spans="1:14" ht="13.15" customHeight="1" x14ac:dyDescent="0.3">
      <c r="A85" s="7"/>
      <c r="B85" s="50"/>
      <c r="C85" s="24" t="s">
        <v>145</v>
      </c>
      <c r="D85" s="49"/>
      <c r="E85" s="6">
        <v>1</v>
      </c>
      <c r="F85" s="6">
        <v>2</v>
      </c>
      <c r="G85" s="6">
        <v>1</v>
      </c>
      <c r="H85" s="6">
        <v>0</v>
      </c>
      <c r="I85" s="6">
        <v>1</v>
      </c>
      <c r="J85" s="6">
        <v>2</v>
      </c>
      <c r="K85" s="6">
        <v>1</v>
      </c>
      <c r="L85" s="6">
        <v>0</v>
      </c>
      <c r="M85" s="6">
        <v>1</v>
      </c>
      <c r="N85" s="5">
        <f t="shared" si="16"/>
        <v>9</v>
      </c>
    </row>
    <row r="86" spans="1:14" x14ac:dyDescent="0.3">
      <c r="A86" s="7"/>
      <c r="B86" s="50"/>
      <c r="C86" s="24" t="s">
        <v>146</v>
      </c>
      <c r="D86" s="49"/>
      <c r="E86" s="6">
        <v>3</v>
      </c>
      <c r="F86" s="6">
        <v>1</v>
      </c>
      <c r="G86" s="6">
        <v>0</v>
      </c>
      <c r="H86" s="6">
        <v>1</v>
      </c>
      <c r="I86" s="6">
        <v>1</v>
      </c>
      <c r="J86" s="6">
        <v>0</v>
      </c>
      <c r="K86" s="6">
        <v>1</v>
      </c>
      <c r="L86" s="6">
        <v>0</v>
      </c>
      <c r="M86" s="6">
        <v>0</v>
      </c>
      <c r="N86" s="5">
        <f t="shared" si="16"/>
        <v>7</v>
      </c>
    </row>
    <row r="87" spans="1:14" x14ac:dyDescent="0.3">
      <c r="A87" s="7"/>
      <c r="B87" s="50"/>
      <c r="C87" s="24" t="s">
        <v>147</v>
      </c>
      <c r="D87" s="49"/>
      <c r="E87" s="6">
        <v>0</v>
      </c>
      <c r="F87" s="6">
        <v>0</v>
      </c>
      <c r="G87" s="6">
        <v>1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5">
        <f t="shared" si="16"/>
        <v>1</v>
      </c>
    </row>
    <row r="88" spans="1:14" x14ac:dyDescent="0.3">
      <c r="A88" s="7"/>
      <c r="B88" s="50"/>
      <c r="C88" s="24" t="s">
        <v>148</v>
      </c>
      <c r="D88" s="49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1</v>
      </c>
      <c r="N88" s="5">
        <f t="shared" si="16"/>
        <v>1</v>
      </c>
    </row>
    <row r="89" spans="1:14" x14ac:dyDescent="0.3">
      <c r="A89" s="7"/>
      <c r="B89" s="50"/>
      <c r="C89" s="24" t="s">
        <v>149</v>
      </c>
      <c r="D89" s="49"/>
      <c r="E89" s="6">
        <v>1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5">
        <f t="shared" si="16"/>
        <v>1</v>
      </c>
    </row>
    <row r="90" spans="1:14" x14ac:dyDescent="0.3">
      <c r="A90" s="7"/>
      <c r="B90" s="50"/>
      <c r="C90" s="24" t="s">
        <v>150</v>
      </c>
      <c r="D90" s="49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5">
        <f t="shared" si="16"/>
        <v>0</v>
      </c>
    </row>
    <row r="91" spans="1:14" x14ac:dyDescent="0.3">
      <c r="A91" s="6" t="s">
        <v>26</v>
      </c>
      <c r="B91" s="84" t="s">
        <v>51</v>
      </c>
      <c r="C91" s="63"/>
      <c r="D91" s="64"/>
      <c r="E91" s="5">
        <f t="shared" ref="E91:N91" si="17">SUM(E81:E90)</f>
        <v>12</v>
      </c>
      <c r="F91" s="5">
        <f t="shared" si="17"/>
        <v>10</v>
      </c>
      <c r="G91" s="5">
        <f t="shared" si="17"/>
        <v>8</v>
      </c>
      <c r="H91" s="5">
        <f t="shared" si="17"/>
        <v>8</v>
      </c>
      <c r="I91" s="5">
        <f t="shared" si="17"/>
        <v>15</v>
      </c>
      <c r="J91" s="5">
        <f t="shared" si="17"/>
        <v>16</v>
      </c>
      <c r="K91" s="5">
        <f t="shared" si="17"/>
        <v>14</v>
      </c>
      <c r="L91" s="5">
        <f t="shared" si="17"/>
        <v>13</v>
      </c>
      <c r="M91" s="5">
        <f t="shared" si="17"/>
        <v>8</v>
      </c>
      <c r="N91" s="5">
        <f t="shared" si="17"/>
        <v>104</v>
      </c>
    </row>
    <row r="92" spans="1:14" x14ac:dyDescent="0.3">
      <c r="A92" s="83"/>
      <c r="B92" s="82"/>
      <c r="C92" s="82"/>
      <c r="D92" s="82"/>
      <c r="E92" s="82"/>
    </row>
    <row r="93" spans="1:14" x14ac:dyDescent="0.3">
      <c r="A93" s="11" t="s">
        <v>48</v>
      </c>
      <c r="B93" s="17" t="s">
        <v>55</v>
      </c>
      <c r="C93" s="86" t="s">
        <v>56</v>
      </c>
      <c r="D93" s="64"/>
      <c r="E93" s="6">
        <v>2</v>
      </c>
      <c r="F93" s="6">
        <v>1</v>
      </c>
      <c r="G93" s="6">
        <v>0</v>
      </c>
      <c r="H93" s="6">
        <v>1</v>
      </c>
      <c r="I93" s="6">
        <v>1</v>
      </c>
      <c r="J93" s="6">
        <v>2</v>
      </c>
      <c r="K93" s="6">
        <v>1</v>
      </c>
      <c r="L93" s="6">
        <v>1</v>
      </c>
      <c r="M93" s="6">
        <v>2</v>
      </c>
      <c r="N93" s="5">
        <f t="shared" ref="N93:N102" si="18">SUM(E93:M93)</f>
        <v>11</v>
      </c>
    </row>
    <row r="94" spans="1:14" x14ac:dyDescent="0.3">
      <c r="A94" s="11" t="s">
        <v>50</v>
      </c>
      <c r="B94" s="50"/>
      <c r="C94" s="24" t="s">
        <v>151</v>
      </c>
      <c r="D94" s="51"/>
      <c r="E94" s="6">
        <v>0</v>
      </c>
      <c r="F94" s="6">
        <v>0</v>
      </c>
      <c r="G94" s="6">
        <v>0</v>
      </c>
      <c r="H94" s="6">
        <v>1</v>
      </c>
      <c r="I94" s="6">
        <v>2</v>
      </c>
      <c r="J94" s="6">
        <v>0</v>
      </c>
      <c r="K94" s="6">
        <v>0</v>
      </c>
      <c r="L94" s="6">
        <v>2</v>
      </c>
      <c r="M94" s="6">
        <v>0</v>
      </c>
      <c r="N94" s="5">
        <f t="shared" si="18"/>
        <v>5</v>
      </c>
    </row>
    <row r="95" spans="1:14" x14ac:dyDescent="0.3">
      <c r="A95" s="7"/>
      <c r="B95" s="50"/>
      <c r="C95" s="24" t="s">
        <v>152</v>
      </c>
      <c r="D95" s="51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1</v>
      </c>
      <c r="K95" s="6">
        <v>0</v>
      </c>
      <c r="L95" s="6">
        <v>0</v>
      </c>
      <c r="M95" s="6">
        <v>0</v>
      </c>
      <c r="N95" s="5">
        <f t="shared" si="18"/>
        <v>1</v>
      </c>
    </row>
    <row r="96" spans="1:14" ht="13.15" customHeight="1" x14ac:dyDescent="0.3">
      <c r="A96" s="7"/>
      <c r="B96" s="50"/>
      <c r="C96" s="24" t="s">
        <v>153</v>
      </c>
      <c r="D96" s="51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5">
        <f t="shared" si="18"/>
        <v>0</v>
      </c>
    </row>
    <row r="97" spans="1:14" x14ac:dyDescent="0.3">
      <c r="A97" s="7"/>
      <c r="B97" s="50"/>
      <c r="C97" s="24" t="s">
        <v>154</v>
      </c>
      <c r="D97" s="51"/>
      <c r="E97" s="6">
        <v>0</v>
      </c>
      <c r="F97" s="6">
        <v>0</v>
      </c>
      <c r="G97" s="6">
        <v>0</v>
      </c>
      <c r="H97" s="6">
        <v>1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5">
        <f t="shared" si="18"/>
        <v>1</v>
      </c>
    </row>
    <row r="98" spans="1:14" x14ac:dyDescent="0.3">
      <c r="A98" s="7"/>
      <c r="B98" s="50"/>
      <c r="C98" s="24" t="s">
        <v>155</v>
      </c>
      <c r="D98" s="49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1</v>
      </c>
      <c r="M98" s="6">
        <v>0</v>
      </c>
      <c r="N98" s="5">
        <f t="shared" si="18"/>
        <v>1</v>
      </c>
    </row>
    <row r="99" spans="1:14" x14ac:dyDescent="0.3">
      <c r="A99" s="7"/>
      <c r="B99" s="50"/>
      <c r="C99" s="24" t="s">
        <v>156</v>
      </c>
      <c r="D99" s="49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5">
        <f t="shared" si="18"/>
        <v>0</v>
      </c>
    </row>
    <row r="100" spans="1:14" x14ac:dyDescent="0.3">
      <c r="A100" s="7"/>
      <c r="B100" s="50"/>
      <c r="C100" s="24" t="s">
        <v>157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5">
        <f t="shared" si="18"/>
        <v>0</v>
      </c>
    </row>
    <row r="101" spans="1:14" x14ac:dyDescent="0.3">
      <c r="A101" s="7"/>
      <c r="B101" s="50"/>
      <c r="C101" s="24" t="s">
        <v>158</v>
      </c>
      <c r="D101" s="51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5">
        <f t="shared" si="18"/>
        <v>0</v>
      </c>
    </row>
    <row r="102" spans="1:14" x14ac:dyDescent="0.3">
      <c r="A102" s="7"/>
      <c r="B102" s="50"/>
      <c r="C102" s="24" t="s">
        <v>159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5">
        <f t="shared" si="18"/>
        <v>0</v>
      </c>
    </row>
    <row r="103" spans="1:14" x14ac:dyDescent="0.3">
      <c r="A103" s="6" t="s">
        <v>26</v>
      </c>
      <c r="B103" s="84" t="s">
        <v>51</v>
      </c>
      <c r="C103" s="63"/>
      <c r="D103" s="64"/>
      <c r="E103" s="5">
        <f t="shared" ref="E103:N103" si="19">SUM(E93:E102)</f>
        <v>2</v>
      </c>
      <c r="F103" s="5">
        <f t="shared" si="19"/>
        <v>1</v>
      </c>
      <c r="G103" s="5">
        <f t="shared" si="19"/>
        <v>0</v>
      </c>
      <c r="H103" s="5">
        <f t="shared" si="19"/>
        <v>3</v>
      </c>
      <c r="I103" s="5">
        <f t="shared" si="19"/>
        <v>3</v>
      </c>
      <c r="J103" s="5">
        <f t="shared" si="19"/>
        <v>3</v>
      </c>
      <c r="K103" s="5">
        <f t="shared" si="19"/>
        <v>1</v>
      </c>
      <c r="L103" s="5">
        <f t="shared" si="19"/>
        <v>4</v>
      </c>
      <c r="M103" s="5">
        <f t="shared" si="19"/>
        <v>2</v>
      </c>
      <c r="N103" s="5">
        <f t="shared" si="19"/>
        <v>19</v>
      </c>
    </row>
    <row r="104" spans="1:14" x14ac:dyDescent="0.3">
      <c r="A104" s="83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</row>
    <row r="105" spans="1:14" x14ac:dyDescent="0.3">
      <c r="A105" s="11" t="s">
        <v>48</v>
      </c>
      <c r="B105" s="17" t="s">
        <v>57</v>
      </c>
      <c r="C105" s="86" t="s">
        <v>58</v>
      </c>
      <c r="D105" s="64"/>
      <c r="E105" s="6">
        <v>2</v>
      </c>
      <c r="F105" s="6">
        <v>0</v>
      </c>
      <c r="G105" s="6">
        <v>3</v>
      </c>
      <c r="H105" s="6">
        <v>1</v>
      </c>
      <c r="I105" s="6">
        <v>0</v>
      </c>
      <c r="J105" s="6">
        <v>0</v>
      </c>
      <c r="K105" s="6">
        <v>0</v>
      </c>
      <c r="L105" s="6">
        <v>1</v>
      </c>
      <c r="M105" s="6">
        <v>1</v>
      </c>
      <c r="N105" s="5">
        <f t="shared" ref="N105:N114" si="20">SUM(E105:M105)</f>
        <v>8</v>
      </c>
    </row>
    <row r="106" spans="1:14" x14ac:dyDescent="0.3">
      <c r="A106" s="11" t="s">
        <v>50</v>
      </c>
      <c r="B106" s="50"/>
      <c r="C106" s="24" t="s">
        <v>160</v>
      </c>
      <c r="D106" s="49"/>
      <c r="E106" s="6">
        <v>0</v>
      </c>
      <c r="F106" s="6">
        <v>0</v>
      </c>
      <c r="G106" s="6">
        <v>1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5">
        <f t="shared" si="20"/>
        <v>1</v>
      </c>
    </row>
    <row r="107" spans="1:14" ht="13.15" customHeight="1" x14ac:dyDescent="0.3">
      <c r="A107" s="7"/>
      <c r="B107" s="50"/>
      <c r="C107" s="24" t="s">
        <v>161</v>
      </c>
      <c r="D107" s="49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5">
        <f t="shared" si="20"/>
        <v>0</v>
      </c>
    </row>
    <row r="108" spans="1:14" x14ac:dyDescent="0.3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5">
        <f t="shared" si="20"/>
        <v>0</v>
      </c>
    </row>
    <row r="109" spans="1:14" x14ac:dyDescent="0.3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5">
        <f t="shared" si="20"/>
        <v>0</v>
      </c>
    </row>
    <row r="110" spans="1:14" x14ac:dyDescent="0.3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5">
        <f t="shared" si="20"/>
        <v>0</v>
      </c>
    </row>
    <row r="111" spans="1:14" x14ac:dyDescent="0.3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5">
        <f t="shared" si="20"/>
        <v>0</v>
      </c>
    </row>
    <row r="112" spans="1:14" x14ac:dyDescent="0.3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5">
        <f t="shared" si="20"/>
        <v>0</v>
      </c>
    </row>
    <row r="113" spans="1:14" x14ac:dyDescent="0.3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5">
        <f t="shared" si="20"/>
        <v>0</v>
      </c>
    </row>
    <row r="114" spans="1:14" x14ac:dyDescent="0.3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5">
        <f t="shared" si="20"/>
        <v>0</v>
      </c>
    </row>
    <row r="115" spans="1:14" ht="13.15" customHeight="1" x14ac:dyDescent="0.3">
      <c r="A115" s="6" t="s">
        <v>26</v>
      </c>
      <c r="B115" s="84" t="s">
        <v>51</v>
      </c>
      <c r="C115" s="87"/>
      <c r="D115" s="88"/>
      <c r="E115" s="5">
        <f t="shared" ref="E115:N115" si="21">SUM(E105:E114)</f>
        <v>2</v>
      </c>
      <c r="F115" s="5">
        <f t="shared" si="21"/>
        <v>0</v>
      </c>
      <c r="G115" s="5">
        <f t="shared" si="21"/>
        <v>4</v>
      </c>
      <c r="H115" s="5">
        <f t="shared" si="21"/>
        <v>1</v>
      </c>
      <c r="I115" s="5">
        <f t="shared" si="21"/>
        <v>0</v>
      </c>
      <c r="J115" s="5">
        <f t="shared" si="21"/>
        <v>0</v>
      </c>
      <c r="K115" s="5">
        <f t="shared" si="21"/>
        <v>0</v>
      </c>
      <c r="L115" s="5">
        <f t="shared" si="21"/>
        <v>1</v>
      </c>
      <c r="M115" s="5">
        <f t="shared" si="21"/>
        <v>1</v>
      </c>
      <c r="N115" s="5">
        <f t="shared" si="21"/>
        <v>9</v>
      </c>
    </row>
    <row r="116" spans="1:14" x14ac:dyDescent="0.3">
      <c r="A116" s="62"/>
      <c r="B116" s="89"/>
      <c r="C116" s="89"/>
      <c r="D116" s="89"/>
      <c r="E116" s="90"/>
      <c r="F116" s="18"/>
      <c r="G116" s="18"/>
      <c r="H116" s="18"/>
      <c r="I116" s="18"/>
      <c r="J116" s="18"/>
      <c r="K116" s="18"/>
      <c r="L116" s="18"/>
      <c r="M116" s="18"/>
      <c r="N116" s="5"/>
    </row>
    <row r="117" spans="1:14" x14ac:dyDescent="0.3">
      <c r="A117" s="11" t="s">
        <v>48</v>
      </c>
      <c r="B117" s="17" t="s">
        <v>59</v>
      </c>
      <c r="C117" s="86" t="s">
        <v>60</v>
      </c>
      <c r="D117" s="64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5">
        <f t="shared" ref="N117:N126" si="22">SUM(E117:M117)</f>
        <v>0</v>
      </c>
    </row>
    <row r="118" spans="1:14" x14ac:dyDescent="0.3">
      <c r="A118" s="11" t="s">
        <v>50</v>
      </c>
      <c r="B118" s="50"/>
      <c r="C118" s="24" t="s">
        <v>162</v>
      </c>
      <c r="D118" s="49"/>
      <c r="E118" s="6">
        <v>0</v>
      </c>
      <c r="F118" s="6">
        <v>0</v>
      </c>
      <c r="G118" s="6">
        <v>0</v>
      </c>
      <c r="H118" s="6">
        <v>0</v>
      </c>
      <c r="I118" s="6">
        <v>1</v>
      </c>
      <c r="J118" s="6">
        <v>0</v>
      </c>
      <c r="K118" s="6">
        <v>1</v>
      </c>
      <c r="L118" s="6">
        <v>0</v>
      </c>
      <c r="M118" s="6">
        <v>0</v>
      </c>
      <c r="N118" s="5">
        <f t="shared" si="22"/>
        <v>2</v>
      </c>
    </row>
    <row r="119" spans="1:14" x14ac:dyDescent="0.3">
      <c r="A119" s="7"/>
      <c r="B119" s="50"/>
      <c r="C119" s="24" t="s">
        <v>163</v>
      </c>
      <c r="D119" s="49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1</v>
      </c>
      <c r="L119" s="6">
        <v>0</v>
      </c>
      <c r="M119" s="6">
        <v>0</v>
      </c>
      <c r="N119" s="5">
        <f t="shared" si="22"/>
        <v>1</v>
      </c>
    </row>
    <row r="120" spans="1:14" x14ac:dyDescent="0.3">
      <c r="A120" s="7"/>
      <c r="B120" s="50"/>
      <c r="C120" s="24" t="s">
        <v>164</v>
      </c>
      <c r="D120" s="49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1</v>
      </c>
      <c r="N120" s="5">
        <f t="shared" si="22"/>
        <v>1</v>
      </c>
    </row>
    <row r="121" spans="1:14" x14ac:dyDescent="0.3">
      <c r="A121" s="7"/>
      <c r="B121" s="50"/>
      <c r="C121" s="24" t="s">
        <v>165</v>
      </c>
      <c r="D121" s="49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1</v>
      </c>
      <c r="N121" s="5">
        <f t="shared" si="22"/>
        <v>1</v>
      </c>
    </row>
    <row r="122" spans="1:14" x14ac:dyDescent="0.3">
      <c r="A122" s="7"/>
      <c r="B122" s="50"/>
      <c r="C122" s="24" t="s">
        <v>166</v>
      </c>
      <c r="D122" s="49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1</v>
      </c>
      <c r="K122" s="6">
        <v>0</v>
      </c>
      <c r="L122" s="6">
        <v>0</v>
      </c>
      <c r="M122" s="6">
        <v>0</v>
      </c>
      <c r="N122" s="5">
        <f t="shared" si="22"/>
        <v>1</v>
      </c>
    </row>
    <row r="123" spans="1:14" x14ac:dyDescent="0.3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5">
        <f t="shared" si="22"/>
        <v>0</v>
      </c>
    </row>
    <row r="124" spans="1:14" x14ac:dyDescent="0.3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5">
        <f t="shared" si="22"/>
        <v>0</v>
      </c>
    </row>
    <row r="125" spans="1:14" x14ac:dyDescent="0.3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5">
        <f t="shared" si="22"/>
        <v>0</v>
      </c>
    </row>
    <row r="126" spans="1:14" x14ac:dyDescent="0.3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5">
        <f t="shared" si="22"/>
        <v>0</v>
      </c>
    </row>
    <row r="127" spans="1:14" x14ac:dyDescent="0.3">
      <c r="A127" s="6" t="s">
        <v>26</v>
      </c>
      <c r="B127" s="84" t="s">
        <v>51</v>
      </c>
      <c r="C127" s="87"/>
      <c r="D127" s="88"/>
      <c r="E127" s="5">
        <f t="shared" ref="E127:N127" si="23">SUM(E117:E126)</f>
        <v>0</v>
      </c>
      <c r="F127" s="5">
        <f t="shared" si="23"/>
        <v>0</v>
      </c>
      <c r="G127" s="5">
        <f t="shared" si="23"/>
        <v>0</v>
      </c>
      <c r="H127" s="5">
        <f t="shared" si="23"/>
        <v>0</v>
      </c>
      <c r="I127" s="5">
        <f t="shared" si="23"/>
        <v>1</v>
      </c>
      <c r="J127" s="5">
        <f t="shared" si="23"/>
        <v>1</v>
      </c>
      <c r="K127" s="5">
        <f t="shared" si="23"/>
        <v>2</v>
      </c>
      <c r="L127" s="5">
        <f t="shared" si="23"/>
        <v>0</v>
      </c>
      <c r="M127" s="5">
        <f t="shared" si="23"/>
        <v>2</v>
      </c>
      <c r="N127" s="5">
        <f t="shared" si="23"/>
        <v>6</v>
      </c>
    </row>
    <row r="128" spans="1:14" x14ac:dyDescent="0.3">
      <c r="A128" s="62"/>
      <c r="B128" s="89"/>
      <c r="C128" s="89"/>
      <c r="D128" s="89"/>
      <c r="E128" s="90"/>
      <c r="F128" s="18"/>
      <c r="G128" s="18"/>
      <c r="H128" s="18"/>
      <c r="I128" s="18"/>
      <c r="J128" s="18"/>
      <c r="K128" s="18"/>
      <c r="L128" s="18"/>
      <c r="M128" s="18"/>
      <c r="N128" s="18"/>
    </row>
    <row r="129" spans="1:14" x14ac:dyDescent="0.3">
      <c r="A129" s="11" t="s">
        <v>48</v>
      </c>
      <c r="B129" s="17" t="s">
        <v>61</v>
      </c>
      <c r="C129" s="86" t="s">
        <v>62</v>
      </c>
      <c r="D129" s="64"/>
      <c r="E129" s="6">
        <v>2</v>
      </c>
      <c r="F129" s="6">
        <v>1</v>
      </c>
      <c r="G129" s="6">
        <v>1</v>
      </c>
      <c r="H129" s="6">
        <v>3</v>
      </c>
      <c r="I129" s="6">
        <v>2</v>
      </c>
      <c r="J129" s="6">
        <v>1</v>
      </c>
      <c r="K129" s="6">
        <v>1</v>
      </c>
      <c r="L129" s="6">
        <v>1</v>
      </c>
      <c r="M129" s="6">
        <v>1</v>
      </c>
      <c r="N129" s="5">
        <f t="shared" ref="N129:N138" si="24">SUM(E129:M129)</f>
        <v>13</v>
      </c>
    </row>
    <row r="130" spans="1:14" ht="13.15" customHeight="1" x14ac:dyDescent="0.3">
      <c r="A130" s="11" t="s">
        <v>50</v>
      </c>
      <c r="B130" s="50"/>
      <c r="C130" s="24" t="s">
        <v>167</v>
      </c>
      <c r="D130" s="49"/>
      <c r="E130" s="6">
        <v>0</v>
      </c>
      <c r="F130" s="6">
        <v>0</v>
      </c>
      <c r="G130" s="6">
        <v>1</v>
      </c>
      <c r="H130" s="6">
        <v>1</v>
      </c>
      <c r="I130" s="6">
        <v>4</v>
      </c>
      <c r="J130" s="6">
        <v>1</v>
      </c>
      <c r="K130" s="6">
        <v>3</v>
      </c>
      <c r="L130" s="6">
        <v>3</v>
      </c>
      <c r="M130" s="6">
        <v>0</v>
      </c>
      <c r="N130" s="5">
        <f t="shared" si="24"/>
        <v>13</v>
      </c>
    </row>
    <row r="131" spans="1:14" x14ac:dyDescent="0.3">
      <c r="A131" s="7"/>
      <c r="B131" s="50"/>
      <c r="C131" s="24" t="s">
        <v>168</v>
      </c>
      <c r="D131" s="49"/>
      <c r="E131" s="6">
        <v>0</v>
      </c>
      <c r="F131" s="6">
        <v>0</v>
      </c>
      <c r="G131" s="6">
        <v>1</v>
      </c>
      <c r="H131" s="6">
        <v>1</v>
      </c>
      <c r="I131" s="6">
        <v>0</v>
      </c>
      <c r="J131" s="6">
        <v>0</v>
      </c>
      <c r="K131" s="6">
        <v>0</v>
      </c>
      <c r="L131" s="6">
        <v>1</v>
      </c>
      <c r="M131" s="6">
        <v>0</v>
      </c>
      <c r="N131" s="5">
        <f t="shared" si="24"/>
        <v>3</v>
      </c>
    </row>
    <row r="132" spans="1:14" x14ac:dyDescent="0.3">
      <c r="A132" s="7"/>
      <c r="B132" s="50"/>
      <c r="C132" s="24" t="s">
        <v>169</v>
      </c>
      <c r="D132" s="49"/>
      <c r="E132" s="6">
        <v>1</v>
      </c>
      <c r="F132" s="6">
        <v>0</v>
      </c>
      <c r="G132" s="6">
        <v>1</v>
      </c>
      <c r="H132" s="6">
        <v>1</v>
      </c>
      <c r="I132" s="6">
        <v>0</v>
      </c>
      <c r="J132" s="6">
        <v>1</v>
      </c>
      <c r="K132" s="6">
        <v>0</v>
      </c>
      <c r="L132" s="6">
        <v>1</v>
      </c>
      <c r="M132" s="6">
        <v>0</v>
      </c>
      <c r="N132" s="5">
        <f t="shared" si="24"/>
        <v>5</v>
      </c>
    </row>
    <row r="133" spans="1:14" x14ac:dyDescent="0.3">
      <c r="A133" s="7"/>
      <c r="B133" s="50"/>
      <c r="C133" s="24" t="s">
        <v>170</v>
      </c>
      <c r="D133" s="49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5">
        <f t="shared" si="24"/>
        <v>0</v>
      </c>
    </row>
    <row r="134" spans="1:14" x14ac:dyDescent="0.3">
      <c r="A134" s="7"/>
      <c r="B134" s="50"/>
      <c r="C134" s="24" t="s">
        <v>171</v>
      </c>
      <c r="D134" s="49"/>
      <c r="E134" s="6">
        <v>0</v>
      </c>
      <c r="F134" s="6">
        <v>0</v>
      </c>
      <c r="G134" s="6">
        <v>0</v>
      </c>
      <c r="H134" s="6">
        <v>1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5">
        <f t="shared" si="24"/>
        <v>1</v>
      </c>
    </row>
    <row r="135" spans="1:14" x14ac:dyDescent="0.3">
      <c r="A135" s="7"/>
      <c r="B135" s="50"/>
      <c r="C135" s="24" t="s">
        <v>172</v>
      </c>
      <c r="D135" s="49"/>
      <c r="E135" s="6">
        <v>0</v>
      </c>
      <c r="F135" s="6">
        <v>0</v>
      </c>
      <c r="G135" s="6">
        <v>1</v>
      </c>
      <c r="H135" s="6">
        <v>0</v>
      </c>
      <c r="I135" s="6">
        <v>2</v>
      </c>
      <c r="J135" s="6">
        <v>0</v>
      </c>
      <c r="K135" s="6">
        <v>0</v>
      </c>
      <c r="L135" s="6">
        <v>0</v>
      </c>
      <c r="M135" s="6">
        <v>1</v>
      </c>
      <c r="N135" s="5">
        <f t="shared" si="24"/>
        <v>4</v>
      </c>
    </row>
    <row r="136" spans="1:14" x14ac:dyDescent="0.3">
      <c r="A136" s="7"/>
      <c r="B136" s="50"/>
      <c r="C136" s="24" t="s">
        <v>173</v>
      </c>
      <c r="D136" s="49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1</v>
      </c>
      <c r="L136" s="6">
        <v>0</v>
      </c>
      <c r="M136" s="6">
        <v>0</v>
      </c>
      <c r="N136" s="5">
        <f t="shared" si="24"/>
        <v>1</v>
      </c>
    </row>
    <row r="137" spans="1:14" x14ac:dyDescent="0.3">
      <c r="A137" s="7"/>
      <c r="B137" s="50"/>
      <c r="C137" s="24" t="s">
        <v>174</v>
      </c>
      <c r="D137" s="49"/>
      <c r="E137" s="6">
        <v>0</v>
      </c>
      <c r="F137" s="6">
        <v>0</v>
      </c>
      <c r="G137" s="6">
        <v>0</v>
      </c>
      <c r="H137" s="6">
        <v>1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5">
        <f t="shared" si="24"/>
        <v>1</v>
      </c>
    </row>
    <row r="138" spans="1:14" x14ac:dyDescent="0.3">
      <c r="A138" s="7"/>
      <c r="B138" s="50"/>
      <c r="C138" s="24" t="s">
        <v>175</v>
      </c>
      <c r="D138" s="49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1</v>
      </c>
      <c r="N138" s="5">
        <f t="shared" si="24"/>
        <v>1</v>
      </c>
    </row>
    <row r="139" spans="1:14" x14ac:dyDescent="0.3">
      <c r="A139" s="6" t="s">
        <v>26</v>
      </c>
      <c r="B139" s="84" t="s">
        <v>51</v>
      </c>
      <c r="C139" s="87"/>
      <c r="D139" s="88"/>
      <c r="E139" s="5">
        <f t="shared" ref="E139:N139" si="25">SUM(E129:E138)</f>
        <v>3</v>
      </c>
      <c r="F139" s="5">
        <f t="shared" si="25"/>
        <v>1</v>
      </c>
      <c r="G139" s="5">
        <f t="shared" si="25"/>
        <v>5</v>
      </c>
      <c r="H139" s="5">
        <f t="shared" si="25"/>
        <v>8</v>
      </c>
      <c r="I139" s="5">
        <f t="shared" si="25"/>
        <v>8</v>
      </c>
      <c r="J139" s="5">
        <f t="shared" si="25"/>
        <v>3</v>
      </c>
      <c r="K139" s="5">
        <f t="shared" si="25"/>
        <v>5</v>
      </c>
      <c r="L139" s="5">
        <f t="shared" si="25"/>
        <v>6</v>
      </c>
      <c r="M139" s="5">
        <f t="shared" si="25"/>
        <v>3</v>
      </c>
      <c r="N139" s="5">
        <f t="shared" si="25"/>
        <v>42</v>
      </c>
    </row>
    <row r="140" spans="1:14" x14ac:dyDescent="0.3">
      <c r="A140" s="62"/>
      <c r="B140" s="89"/>
      <c r="C140" s="89"/>
      <c r="D140" s="89"/>
      <c r="E140" s="90"/>
      <c r="F140" s="18"/>
      <c r="G140" s="18"/>
      <c r="H140" s="18"/>
      <c r="I140" s="18"/>
      <c r="J140" s="18"/>
      <c r="K140" s="18"/>
      <c r="L140" s="18"/>
      <c r="M140" s="18"/>
      <c r="N140" s="18"/>
    </row>
    <row r="141" spans="1:14" ht="13.15" customHeight="1" x14ac:dyDescent="0.3">
      <c r="A141" s="11" t="s">
        <v>48</v>
      </c>
      <c r="B141" s="17" t="s">
        <v>63</v>
      </c>
      <c r="C141" s="86" t="s">
        <v>64</v>
      </c>
      <c r="D141" s="64"/>
      <c r="E141" s="6"/>
      <c r="F141" s="6">
        <v>1</v>
      </c>
      <c r="G141" s="6"/>
      <c r="H141" s="6"/>
      <c r="I141" s="6"/>
      <c r="J141" s="6"/>
      <c r="K141" s="6"/>
      <c r="L141" s="6"/>
      <c r="M141" s="6"/>
      <c r="N141" s="5">
        <f t="shared" ref="N141:N150" si="26">SUM(E141:M141)</f>
        <v>1</v>
      </c>
    </row>
    <row r="142" spans="1:14" x14ac:dyDescent="0.3">
      <c r="A142" s="11" t="s">
        <v>50</v>
      </c>
      <c r="B142" s="50"/>
      <c r="C142" s="24" t="s">
        <v>176</v>
      </c>
      <c r="D142" s="49"/>
      <c r="E142" s="6"/>
      <c r="F142" s="6"/>
      <c r="G142" s="6"/>
      <c r="H142" s="6"/>
      <c r="I142" s="6"/>
      <c r="J142" s="6"/>
      <c r="K142" s="6"/>
      <c r="L142" s="6"/>
      <c r="M142" s="6"/>
      <c r="N142" s="5">
        <f t="shared" si="26"/>
        <v>0</v>
      </c>
    </row>
    <row r="143" spans="1:14" x14ac:dyDescent="0.3">
      <c r="A143" s="7"/>
      <c r="B143" s="50"/>
      <c r="C143" s="24" t="s">
        <v>177</v>
      </c>
      <c r="D143" s="49"/>
      <c r="E143" s="6"/>
      <c r="F143" s="6"/>
      <c r="G143" s="6"/>
      <c r="H143" s="6"/>
      <c r="I143" s="6"/>
      <c r="J143" s="6"/>
      <c r="K143" s="6"/>
      <c r="L143" s="6"/>
      <c r="M143" s="6"/>
      <c r="N143" s="5">
        <f t="shared" si="26"/>
        <v>0</v>
      </c>
    </row>
    <row r="144" spans="1:14" x14ac:dyDescent="0.3">
      <c r="A144" s="7"/>
      <c r="B144" s="50"/>
      <c r="C144" s="24" t="s">
        <v>178</v>
      </c>
      <c r="D144" s="49"/>
      <c r="E144" s="6"/>
      <c r="F144" s="6"/>
      <c r="G144" s="6"/>
      <c r="H144" s="6"/>
      <c r="I144" s="6"/>
      <c r="J144" s="6"/>
      <c r="K144" s="6"/>
      <c r="L144" s="6"/>
      <c r="M144" s="6"/>
      <c r="N144" s="5">
        <f t="shared" si="26"/>
        <v>0</v>
      </c>
    </row>
    <row r="145" spans="1:14" x14ac:dyDescent="0.3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5">
        <f t="shared" si="26"/>
        <v>0</v>
      </c>
    </row>
    <row r="146" spans="1:14" x14ac:dyDescent="0.3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5">
        <f t="shared" si="26"/>
        <v>0</v>
      </c>
    </row>
    <row r="147" spans="1:14" x14ac:dyDescent="0.3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5">
        <f t="shared" si="26"/>
        <v>0</v>
      </c>
    </row>
    <row r="148" spans="1:14" x14ac:dyDescent="0.3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5">
        <f t="shared" si="26"/>
        <v>0</v>
      </c>
    </row>
    <row r="149" spans="1:14" x14ac:dyDescent="0.3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5">
        <f t="shared" si="26"/>
        <v>0</v>
      </c>
    </row>
    <row r="150" spans="1:14" x14ac:dyDescent="0.3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5">
        <f t="shared" si="26"/>
        <v>0</v>
      </c>
    </row>
    <row r="151" spans="1:14" ht="13.15" customHeight="1" x14ac:dyDescent="0.3">
      <c r="A151" s="6" t="s">
        <v>26</v>
      </c>
      <c r="B151" s="84" t="s">
        <v>51</v>
      </c>
      <c r="C151" s="87"/>
      <c r="D151" s="88"/>
      <c r="E151" s="5">
        <f t="shared" ref="E151:N151" si="27">SUM(E141:E150)</f>
        <v>0</v>
      </c>
      <c r="F151" s="5">
        <f t="shared" si="27"/>
        <v>1</v>
      </c>
      <c r="G151" s="5">
        <f t="shared" si="27"/>
        <v>0</v>
      </c>
      <c r="H151" s="5">
        <f t="shared" si="27"/>
        <v>0</v>
      </c>
      <c r="I151" s="5">
        <f t="shared" si="27"/>
        <v>0</v>
      </c>
      <c r="J151" s="5">
        <f t="shared" si="27"/>
        <v>0</v>
      </c>
      <c r="K151" s="5">
        <f t="shared" si="27"/>
        <v>0</v>
      </c>
      <c r="L151" s="5">
        <f t="shared" si="27"/>
        <v>0</v>
      </c>
      <c r="M151" s="5">
        <f t="shared" si="27"/>
        <v>0</v>
      </c>
      <c r="N151" s="5">
        <f t="shared" si="27"/>
        <v>1</v>
      </c>
    </row>
    <row r="152" spans="1:14" x14ac:dyDescent="0.3">
      <c r="A152" s="62"/>
      <c r="B152" s="89"/>
      <c r="C152" s="89"/>
      <c r="D152" s="89"/>
      <c r="E152" s="90"/>
      <c r="F152" s="18"/>
      <c r="G152" s="18"/>
      <c r="H152" s="18"/>
      <c r="I152" s="18"/>
      <c r="J152" s="18"/>
      <c r="K152" s="18"/>
      <c r="L152" s="18"/>
      <c r="M152" s="18"/>
      <c r="N152" s="5"/>
    </row>
    <row r="153" spans="1:14" x14ac:dyDescent="0.3">
      <c r="A153" s="11" t="s">
        <v>48</v>
      </c>
      <c r="B153" s="44" t="s">
        <v>65</v>
      </c>
      <c r="C153" s="91" t="s">
        <v>66</v>
      </c>
      <c r="D153" s="78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1</v>
      </c>
      <c r="L153" s="6">
        <v>2</v>
      </c>
      <c r="M153" s="6">
        <v>0</v>
      </c>
      <c r="N153" s="5">
        <f>SUM(E153:M153)</f>
        <v>3</v>
      </c>
    </row>
    <row r="154" spans="1:14" x14ac:dyDescent="0.3">
      <c r="A154" s="52" t="s">
        <v>50</v>
      </c>
      <c r="B154" s="50"/>
      <c r="C154" s="24" t="s">
        <v>179</v>
      </c>
      <c r="D154" s="49"/>
      <c r="E154" s="53">
        <v>0</v>
      </c>
      <c r="F154" s="6">
        <v>0</v>
      </c>
      <c r="G154" s="6">
        <v>0</v>
      </c>
      <c r="H154" s="6">
        <v>0</v>
      </c>
      <c r="I154" s="6">
        <v>1</v>
      </c>
      <c r="J154" s="6">
        <v>0</v>
      </c>
      <c r="K154" s="6">
        <v>1</v>
      </c>
      <c r="L154" s="6">
        <v>4</v>
      </c>
      <c r="M154" s="6">
        <v>0</v>
      </c>
      <c r="N154" s="5">
        <f t="shared" ref="N154:N160" si="28">SUM(E154:M154)</f>
        <v>6</v>
      </c>
    </row>
    <row r="155" spans="1:14" x14ac:dyDescent="0.3">
      <c r="A155" s="7"/>
      <c r="B155" s="50"/>
      <c r="C155" s="24" t="s">
        <v>180</v>
      </c>
      <c r="D155" s="49"/>
      <c r="E155" s="53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2</v>
      </c>
      <c r="M155" s="6">
        <v>0</v>
      </c>
      <c r="N155" s="5">
        <f t="shared" si="28"/>
        <v>2</v>
      </c>
    </row>
    <row r="156" spans="1:14" x14ac:dyDescent="0.3">
      <c r="A156" s="7"/>
      <c r="B156" s="50"/>
      <c r="C156" s="24" t="s">
        <v>181</v>
      </c>
      <c r="D156" s="49"/>
      <c r="E156" s="53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1</v>
      </c>
      <c r="M156" s="6">
        <v>0</v>
      </c>
      <c r="N156" s="5">
        <f t="shared" si="28"/>
        <v>1</v>
      </c>
    </row>
    <row r="157" spans="1:14" x14ac:dyDescent="0.3">
      <c r="A157" s="7"/>
      <c r="B157" s="50"/>
      <c r="C157" s="24" t="s">
        <v>182</v>
      </c>
      <c r="D157" s="49"/>
      <c r="E157" s="53">
        <v>0</v>
      </c>
      <c r="F157" s="6">
        <v>0</v>
      </c>
      <c r="G157" s="6">
        <v>0</v>
      </c>
      <c r="H157" s="6">
        <v>0</v>
      </c>
      <c r="I157" s="6">
        <v>1</v>
      </c>
      <c r="J157" s="6">
        <v>0</v>
      </c>
      <c r="K157" s="6">
        <v>1</v>
      </c>
      <c r="L157" s="6">
        <v>1</v>
      </c>
      <c r="M157" s="6">
        <v>0</v>
      </c>
      <c r="N157" s="5">
        <f t="shared" si="28"/>
        <v>3</v>
      </c>
    </row>
    <row r="158" spans="1:14" x14ac:dyDescent="0.3">
      <c r="A158" s="7"/>
      <c r="B158" s="50"/>
      <c r="C158" s="24" t="s">
        <v>183</v>
      </c>
      <c r="D158" s="49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5">
        <f t="shared" si="28"/>
        <v>0</v>
      </c>
    </row>
    <row r="159" spans="1:14" x14ac:dyDescent="0.3">
      <c r="A159" s="7"/>
      <c r="B159" s="50"/>
      <c r="C159" s="24" t="s">
        <v>184</v>
      </c>
      <c r="D159" s="49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1</v>
      </c>
      <c r="M159" s="6">
        <v>0</v>
      </c>
      <c r="N159" s="5">
        <f t="shared" si="28"/>
        <v>1</v>
      </c>
    </row>
    <row r="160" spans="1:14" x14ac:dyDescent="0.3">
      <c r="A160" s="7"/>
      <c r="B160" s="50"/>
      <c r="C160" s="24" t="s">
        <v>185</v>
      </c>
      <c r="D160" s="49"/>
      <c r="E160" s="53">
        <v>0</v>
      </c>
      <c r="F160" s="6">
        <v>0</v>
      </c>
      <c r="G160" s="6">
        <v>0</v>
      </c>
      <c r="H160" s="6">
        <v>0</v>
      </c>
      <c r="I160" s="6">
        <v>1</v>
      </c>
      <c r="J160" s="6">
        <v>0</v>
      </c>
      <c r="K160" s="6">
        <v>1</v>
      </c>
      <c r="L160" s="6">
        <v>0</v>
      </c>
      <c r="M160" s="6">
        <v>0</v>
      </c>
      <c r="N160" s="5">
        <f t="shared" si="28"/>
        <v>2</v>
      </c>
    </row>
    <row r="161" spans="1:14" x14ac:dyDescent="0.3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5">
        <f t="shared" ref="N161:N162" si="29">SUM(E167:M167)</f>
        <v>0</v>
      </c>
    </row>
    <row r="162" spans="1:14" x14ac:dyDescent="0.3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5">
        <f t="shared" si="29"/>
        <v>0</v>
      </c>
    </row>
    <row r="163" spans="1:14" x14ac:dyDescent="0.3">
      <c r="A163" s="6" t="s">
        <v>26</v>
      </c>
      <c r="B163" s="92" t="s">
        <v>51</v>
      </c>
      <c r="C163" s="93"/>
      <c r="D163" s="94"/>
      <c r="E163" s="5">
        <f t="shared" ref="E163:N163" si="30">SUM(E153:E162)</f>
        <v>0</v>
      </c>
      <c r="F163" s="5">
        <f t="shared" si="30"/>
        <v>0</v>
      </c>
      <c r="G163" s="5">
        <f t="shared" si="30"/>
        <v>0</v>
      </c>
      <c r="H163" s="5">
        <f t="shared" si="30"/>
        <v>0</v>
      </c>
      <c r="I163" s="5">
        <f t="shared" si="30"/>
        <v>3</v>
      </c>
      <c r="J163" s="5">
        <f t="shared" si="30"/>
        <v>0</v>
      </c>
      <c r="K163" s="5">
        <f t="shared" si="30"/>
        <v>4</v>
      </c>
      <c r="L163" s="5">
        <f t="shared" si="30"/>
        <v>11</v>
      </c>
      <c r="M163" s="5">
        <f t="shared" si="30"/>
        <v>0</v>
      </c>
      <c r="N163" s="5">
        <f t="shared" si="30"/>
        <v>18</v>
      </c>
    </row>
    <row r="164" spans="1:14" x14ac:dyDescent="0.3">
      <c r="A164" s="62"/>
      <c r="B164" s="89"/>
      <c r="C164" s="89"/>
      <c r="D164" s="89"/>
      <c r="E164" s="90"/>
      <c r="F164" s="18"/>
      <c r="G164" s="18"/>
      <c r="H164" s="18"/>
      <c r="I164" s="18"/>
      <c r="J164" s="18"/>
      <c r="K164" s="18"/>
      <c r="L164" s="18"/>
      <c r="M164" s="18"/>
      <c r="N164" s="18"/>
    </row>
    <row r="165" spans="1:14" ht="13.15" customHeight="1" x14ac:dyDescent="0.3">
      <c r="A165" s="11" t="s">
        <v>48</v>
      </c>
      <c r="B165" s="17" t="s">
        <v>67</v>
      </c>
      <c r="C165" s="86" t="s">
        <v>68</v>
      </c>
      <c r="D165" s="64"/>
      <c r="E165" s="6"/>
      <c r="F165" s="6"/>
      <c r="G165" s="6"/>
      <c r="H165" s="6"/>
      <c r="I165" s="6"/>
      <c r="J165" s="6"/>
      <c r="K165" s="6"/>
      <c r="L165" s="6"/>
      <c r="M165" s="6"/>
      <c r="N165" s="5">
        <f t="shared" ref="N165:N174" si="31">SUM(E165:M165)</f>
        <v>0</v>
      </c>
    </row>
    <row r="166" spans="1:14" x14ac:dyDescent="0.3">
      <c r="A166" s="11" t="s">
        <v>50</v>
      </c>
      <c r="B166" s="50"/>
      <c r="C166" s="24" t="s">
        <v>186</v>
      </c>
      <c r="D166" s="49"/>
      <c r="E166" s="6"/>
      <c r="F166" s="6">
        <v>1</v>
      </c>
      <c r="G166" s="6">
        <v>1</v>
      </c>
      <c r="H166" s="6"/>
      <c r="I166" s="6"/>
      <c r="J166" s="6"/>
      <c r="K166" s="6">
        <v>1</v>
      </c>
      <c r="L166" s="6"/>
      <c r="M166" s="6">
        <v>1</v>
      </c>
      <c r="N166" s="5">
        <f t="shared" si="31"/>
        <v>4</v>
      </c>
    </row>
    <row r="167" spans="1:14" x14ac:dyDescent="0.3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5">
        <f t="shared" si="31"/>
        <v>0</v>
      </c>
    </row>
    <row r="168" spans="1:14" x14ac:dyDescent="0.3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5">
        <f t="shared" si="31"/>
        <v>0</v>
      </c>
    </row>
    <row r="169" spans="1:14" x14ac:dyDescent="0.3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5">
        <f t="shared" si="31"/>
        <v>0</v>
      </c>
    </row>
    <row r="170" spans="1:14" x14ac:dyDescent="0.3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5">
        <f t="shared" si="31"/>
        <v>0</v>
      </c>
    </row>
    <row r="171" spans="1:14" x14ac:dyDescent="0.3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5">
        <f t="shared" si="31"/>
        <v>0</v>
      </c>
    </row>
    <row r="172" spans="1:14" x14ac:dyDescent="0.3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5">
        <f t="shared" si="31"/>
        <v>0</v>
      </c>
    </row>
    <row r="173" spans="1:14" x14ac:dyDescent="0.3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5">
        <f t="shared" si="31"/>
        <v>0</v>
      </c>
    </row>
    <row r="174" spans="1:14" x14ac:dyDescent="0.3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5">
        <f t="shared" si="31"/>
        <v>0</v>
      </c>
    </row>
    <row r="175" spans="1:14" x14ac:dyDescent="0.3">
      <c r="A175" s="6" t="s">
        <v>26</v>
      </c>
      <c r="B175" s="84" t="s">
        <v>51</v>
      </c>
      <c r="C175" s="87"/>
      <c r="D175" s="88"/>
      <c r="E175" s="5">
        <f t="shared" ref="E175:N175" si="32">SUM(E165:E174)</f>
        <v>0</v>
      </c>
      <c r="F175" s="5">
        <f t="shared" si="32"/>
        <v>1</v>
      </c>
      <c r="G175" s="5">
        <f t="shared" si="32"/>
        <v>1</v>
      </c>
      <c r="H175" s="5">
        <f t="shared" si="32"/>
        <v>0</v>
      </c>
      <c r="I175" s="5">
        <f t="shared" si="32"/>
        <v>0</v>
      </c>
      <c r="J175" s="5">
        <f t="shared" si="32"/>
        <v>0</v>
      </c>
      <c r="K175" s="5">
        <f t="shared" si="32"/>
        <v>1</v>
      </c>
      <c r="L175" s="5">
        <f t="shared" si="32"/>
        <v>0</v>
      </c>
      <c r="M175" s="5">
        <f t="shared" si="32"/>
        <v>1</v>
      </c>
      <c r="N175" s="5">
        <f t="shared" si="32"/>
        <v>4</v>
      </c>
    </row>
    <row r="176" spans="1:14" ht="13.15" customHeight="1" x14ac:dyDescent="0.3">
      <c r="A176" s="62"/>
      <c r="B176" s="89"/>
      <c r="C176" s="89"/>
      <c r="D176" s="89"/>
      <c r="E176" s="90"/>
      <c r="F176" s="18"/>
      <c r="G176" s="18"/>
      <c r="H176" s="18"/>
      <c r="I176" s="18"/>
      <c r="J176" s="18"/>
      <c r="K176" s="18"/>
      <c r="L176" s="18"/>
      <c r="M176" s="18"/>
      <c r="N176" s="18"/>
    </row>
    <row r="177" spans="1:14" x14ac:dyDescent="0.3">
      <c r="A177" s="11" t="s">
        <v>48</v>
      </c>
      <c r="B177" s="17" t="s">
        <v>69</v>
      </c>
      <c r="C177" s="86" t="s">
        <v>70</v>
      </c>
      <c r="D177" s="64"/>
      <c r="E177" s="6">
        <v>0</v>
      </c>
      <c r="F177" s="6">
        <v>1</v>
      </c>
      <c r="G177" s="6">
        <v>0</v>
      </c>
      <c r="H177" s="6">
        <v>0</v>
      </c>
      <c r="I177" s="6">
        <v>1</v>
      </c>
      <c r="J177" s="6">
        <v>1</v>
      </c>
      <c r="K177" s="6">
        <v>2</v>
      </c>
      <c r="L177" s="6">
        <v>0</v>
      </c>
      <c r="M177" s="6">
        <v>0</v>
      </c>
      <c r="N177" s="5">
        <f t="shared" ref="N177:N186" si="33">SUM(E177:M177)</f>
        <v>5</v>
      </c>
    </row>
    <row r="178" spans="1:14" x14ac:dyDescent="0.3">
      <c r="A178" s="11" t="s">
        <v>50</v>
      </c>
      <c r="B178" s="50"/>
      <c r="C178" s="24" t="s">
        <v>187</v>
      </c>
      <c r="D178" s="49"/>
      <c r="E178" s="6">
        <v>1</v>
      </c>
      <c r="F178" s="6">
        <v>0</v>
      </c>
      <c r="G178" s="6">
        <v>0</v>
      </c>
      <c r="H178" s="6">
        <v>0</v>
      </c>
      <c r="I178" s="6">
        <v>2</v>
      </c>
      <c r="J178" s="6">
        <v>1</v>
      </c>
      <c r="K178" s="6">
        <v>0</v>
      </c>
      <c r="L178" s="6">
        <v>1</v>
      </c>
      <c r="M178" s="6">
        <v>0</v>
      </c>
      <c r="N178" s="5">
        <f t="shared" si="33"/>
        <v>5</v>
      </c>
    </row>
    <row r="179" spans="1:14" x14ac:dyDescent="0.3">
      <c r="A179" s="7"/>
      <c r="B179" s="50"/>
      <c r="C179" s="24" t="s">
        <v>188</v>
      </c>
      <c r="D179" s="49"/>
      <c r="E179" s="6">
        <v>0</v>
      </c>
      <c r="F179" s="6">
        <v>1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5">
        <f t="shared" si="33"/>
        <v>1</v>
      </c>
    </row>
    <row r="180" spans="1:14" x14ac:dyDescent="0.3">
      <c r="A180" s="7"/>
      <c r="B180" s="50"/>
      <c r="C180" s="24" t="s">
        <v>189</v>
      </c>
      <c r="D180" s="49"/>
      <c r="E180" s="6">
        <v>0</v>
      </c>
      <c r="F180" s="6">
        <v>1</v>
      </c>
      <c r="G180" s="6">
        <v>2</v>
      </c>
      <c r="H180" s="6">
        <v>1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5">
        <f t="shared" si="33"/>
        <v>4</v>
      </c>
    </row>
    <row r="181" spans="1:14" x14ac:dyDescent="0.3">
      <c r="A181" s="7"/>
      <c r="B181" s="50"/>
      <c r="C181" s="24" t="s">
        <v>190</v>
      </c>
      <c r="D181" s="49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5">
        <f t="shared" si="33"/>
        <v>0</v>
      </c>
    </row>
    <row r="182" spans="1:14" x14ac:dyDescent="0.3">
      <c r="A182" s="7"/>
      <c r="B182" s="50"/>
      <c r="C182" s="24" t="s">
        <v>191</v>
      </c>
      <c r="D182" s="49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5">
        <f t="shared" si="33"/>
        <v>0</v>
      </c>
    </row>
    <row r="183" spans="1:14" x14ac:dyDescent="0.3">
      <c r="A183" s="7"/>
      <c r="B183" s="50"/>
      <c r="C183" s="24" t="s">
        <v>192</v>
      </c>
      <c r="D183" s="49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5">
        <f t="shared" si="33"/>
        <v>0</v>
      </c>
    </row>
    <row r="184" spans="1:14" x14ac:dyDescent="0.3">
      <c r="A184" s="7"/>
      <c r="B184" s="50"/>
      <c r="C184" s="24" t="s">
        <v>193</v>
      </c>
      <c r="D184" s="49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5">
        <f t="shared" si="33"/>
        <v>0</v>
      </c>
    </row>
    <row r="185" spans="1:14" x14ac:dyDescent="0.3">
      <c r="A185" s="7"/>
      <c r="B185" s="50"/>
      <c r="C185" s="24" t="s">
        <v>194</v>
      </c>
      <c r="D185" s="49"/>
      <c r="E185" s="6">
        <v>0</v>
      </c>
      <c r="F185" s="6">
        <v>1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5">
        <f t="shared" si="33"/>
        <v>1</v>
      </c>
    </row>
    <row r="186" spans="1:14" x14ac:dyDescent="0.3">
      <c r="A186" s="7"/>
      <c r="B186" s="50"/>
      <c r="C186" s="24" t="s">
        <v>195</v>
      </c>
      <c r="D186" s="49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5">
        <f t="shared" si="33"/>
        <v>0</v>
      </c>
    </row>
    <row r="187" spans="1:14" ht="13.15" customHeight="1" x14ac:dyDescent="0.3">
      <c r="A187" s="6" t="s">
        <v>26</v>
      </c>
      <c r="B187" s="84" t="s">
        <v>51</v>
      </c>
      <c r="C187" s="87"/>
      <c r="D187" s="88"/>
      <c r="E187" s="5">
        <f t="shared" ref="E187:N187" si="34">SUM(E177:E186)</f>
        <v>1</v>
      </c>
      <c r="F187" s="5">
        <f t="shared" si="34"/>
        <v>4</v>
      </c>
      <c r="G187" s="5">
        <f t="shared" si="34"/>
        <v>2</v>
      </c>
      <c r="H187" s="5">
        <f t="shared" si="34"/>
        <v>1</v>
      </c>
      <c r="I187" s="5">
        <f t="shared" si="34"/>
        <v>3</v>
      </c>
      <c r="J187" s="5">
        <f t="shared" si="34"/>
        <v>2</v>
      </c>
      <c r="K187" s="5">
        <f t="shared" si="34"/>
        <v>2</v>
      </c>
      <c r="L187" s="5">
        <f t="shared" si="34"/>
        <v>1</v>
      </c>
      <c r="M187" s="5">
        <f t="shared" si="34"/>
        <v>0</v>
      </c>
      <c r="N187" s="5">
        <f t="shared" si="34"/>
        <v>16</v>
      </c>
    </row>
    <row r="188" spans="1:14" x14ac:dyDescent="0.3">
      <c r="A188" s="62"/>
      <c r="B188" s="89"/>
      <c r="C188" s="89"/>
      <c r="D188" s="89"/>
      <c r="E188" s="90"/>
      <c r="F188" s="18"/>
      <c r="G188" s="18"/>
      <c r="H188" s="18"/>
      <c r="I188" s="18"/>
      <c r="J188" s="18"/>
      <c r="K188" s="18"/>
      <c r="L188" s="18"/>
      <c r="M188" s="18"/>
      <c r="N188" s="5"/>
    </row>
    <row r="189" spans="1:14" x14ac:dyDescent="0.3">
      <c r="A189" s="11" t="s">
        <v>48</v>
      </c>
      <c r="B189" s="17" t="s">
        <v>71</v>
      </c>
      <c r="C189" s="86" t="s">
        <v>72</v>
      </c>
      <c r="D189" s="64"/>
      <c r="E189" s="6">
        <v>1</v>
      </c>
      <c r="F189" s="6">
        <v>0</v>
      </c>
      <c r="G189" s="6">
        <v>0</v>
      </c>
      <c r="H189" s="6">
        <v>0</v>
      </c>
      <c r="I189" s="6">
        <v>0</v>
      </c>
      <c r="J189" s="6">
        <v>2</v>
      </c>
      <c r="K189" s="6">
        <v>0</v>
      </c>
      <c r="L189" s="6">
        <v>0</v>
      </c>
      <c r="M189" s="6">
        <v>0</v>
      </c>
      <c r="N189" s="5">
        <f t="shared" ref="N189:N198" si="35">SUM(E189:M189)</f>
        <v>3</v>
      </c>
    </row>
    <row r="190" spans="1:14" x14ac:dyDescent="0.3">
      <c r="A190" s="11" t="s">
        <v>50</v>
      </c>
      <c r="B190" s="50"/>
      <c r="C190" s="24" t="s">
        <v>196</v>
      </c>
      <c r="D190" s="49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1</v>
      </c>
      <c r="K190" s="6">
        <v>0</v>
      </c>
      <c r="L190" s="6">
        <v>0</v>
      </c>
      <c r="M190" s="6">
        <v>0</v>
      </c>
      <c r="N190" s="5">
        <f t="shared" si="35"/>
        <v>1</v>
      </c>
    </row>
    <row r="191" spans="1:14" x14ac:dyDescent="0.3">
      <c r="A191" s="7"/>
      <c r="B191" s="50"/>
      <c r="C191" s="24" t="s">
        <v>197</v>
      </c>
      <c r="D191" s="49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5">
        <f t="shared" si="35"/>
        <v>0</v>
      </c>
    </row>
    <row r="192" spans="1:14" x14ac:dyDescent="0.3">
      <c r="A192" s="7"/>
      <c r="B192" s="50"/>
      <c r="C192" s="24" t="s">
        <v>198</v>
      </c>
      <c r="D192" s="49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5">
        <f t="shared" si="35"/>
        <v>0</v>
      </c>
    </row>
    <row r="193" spans="1:14" x14ac:dyDescent="0.3">
      <c r="A193" s="7"/>
      <c r="B193" s="50"/>
      <c r="C193" s="24" t="s">
        <v>199</v>
      </c>
      <c r="D193" s="49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1</v>
      </c>
      <c r="M193" s="6">
        <v>0</v>
      </c>
      <c r="N193" s="5">
        <f t="shared" si="35"/>
        <v>1</v>
      </c>
    </row>
    <row r="194" spans="1:14" x14ac:dyDescent="0.3">
      <c r="A194" s="7"/>
      <c r="B194" s="50"/>
      <c r="C194" s="24" t="s">
        <v>200</v>
      </c>
      <c r="D194" s="49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5">
        <f t="shared" si="35"/>
        <v>0</v>
      </c>
    </row>
    <row r="195" spans="1:14" x14ac:dyDescent="0.3">
      <c r="A195" s="7"/>
      <c r="B195" s="50"/>
      <c r="C195" s="24" t="s">
        <v>201</v>
      </c>
      <c r="D195" s="49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5">
        <f t="shared" si="35"/>
        <v>0</v>
      </c>
    </row>
    <row r="196" spans="1:14" ht="13.15" customHeight="1" x14ac:dyDescent="0.3">
      <c r="A196" s="7"/>
      <c r="B196" s="50"/>
      <c r="C196" s="24" t="s">
        <v>202</v>
      </c>
      <c r="D196" s="49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5">
        <f t="shared" si="35"/>
        <v>0</v>
      </c>
    </row>
    <row r="197" spans="1:14" ht="13.15" customHeight="1" x14ac:dyDescent="0.3">
      <c r="A197" s="7"/>
      <c r="B197" s="50"/>
      <c r="C197" s="24" t="s">
        <v>203</v>
      </c>
      <c r="D197" s="49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5">
        <f t="shared" si="35"/>
        <v>0</v>
      </c>
    </row>
    <row r="198" spans="1:14" ht="13.15" customHeight="1" x14ac:dyDescent="0.3">
      <c r="A198" s="7"/>
      <c r="B198" s="50"/>
      <c r="C198" s="24" t="s">
        <v>204</v>
      </c>
      <c r="D198" s="49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5">
        <f t="shared" si="35"/>
        <v>0</v>
      </c>
    </row>
    <row r="199" spans="1:14" x14ac:dyDescent="0.3">
      <c r="A199" s="6" t="s">
        <v>26</v>
      </c>
      <c r="B199" s="84" t="s">
        <v>51</v>
      </c>
      <c r="C199" s="87"/>
      <c r="D199" s="88"/>
      <c r="E199" s="5">
        <f t="shared" ref="E199:N199" si="36">SUM(E189:E198)</f>
        <v>1</v>
      </c>
      <c r="F199" s="5">
        <f t="shared" si="36"/>
        <v>0</v>
      </c>
      <c r="G199" s="5">
        <f t="shared" si="36"/>
        <v>0</v>
      </c>
      <c r="H199" s="5">
        <f t="shared" si="36"/>
        <v>0</v>
      </c>
      <c r="I199" s="5">
        <f t="shared" si="36"/>
        <v>0</v>
      </c>
      <c r="J199" s="5">
        <f t="shared" si="36"/>
        <v>3</v>
      </c>
      <c r="K199" s="5">
        <f t="shared" si="36"/>
        <v>0</v>
      </c>
      <c r="L199" s="5">
        <f t="shared" si="36"/>
        <v>1</v>
      </c>
      <c r="M199" s="5">
        <f t="shared" si="36"/>
        <v>0</v>
      </c>
      <c r="N199" s="5">
        <f t="shared" si="36"/>
        <v>5</v>
      </c>
    </row>
    <row r="200" spans="1:14" x14ac:dyDescent="0.3">
      <c r="A200" s="62"/>
      <c r="B200" s="89"/>
      <c r="C200" s="89"/>
      <c r="D200" s="89"/>
      <c r="E200" s="90"/>
      <c r="F200" s="18"/>
      <c r="G200" s="18"/>
      <c r="H200" s="18"/>
      <c r="I200" s="18"/>
      <c r="J200" s="18"/>
      <c r="K200" s="18"/>
      <c r="L200" s="18"/>
      <c r="M200" s="18"/>
      <c r="N200" s="18"/>
    </row>
    <row r="201" spans="1:14" x14ac:dyDescent="0.3">
      <c r="A201" s="11" t="s">
        <v>48</v>
      </c>
      <c r="B201" s="17" t="s">
        <v>73</v>
      </c>
      <c r="C201" s="86" t="s">
        <v>74</v>
      </c>
      <c r="D201" s="64"/>
      <c r="E201" s="6">
        <v>0</v>
      </c>
      <c r="F201" s="6">
        <v>4</v>
      </c>
      <c r="G201" s="6">
        <v>9</v>
      </c>
      <c r="H201" s="6">
        <v>4</v>
      </c>
      <c r="I201" s="6">
        <v>1</v>
      </c>
      <c r="J201" s="6">
        <v>2</v>
      </c>
      <c r="K201" s="6">
        <v>4</v>
      </c>
      <c r="L201" s="6">
        <v>2</v>
      </c>
      <c r="M201" s="6">
        <v>3</v>
      </c>
      <c r="N201" s="5">
        <f t="shared" ref="N201:N210" si="37">SUM(E201:M201)</f>
        <v>29</v>
      </c>
    </row>
    <row r="202" spans="1:14" x14ac:dyDescent="0.3">
      <c r="A202" s="11" t="s">
        <v>50</v>
      </c>
      <c r="B202" s="50"/>
      <c r="C202" s="24" t="s">
        <v>205</v>
      </c>
      <c r="D202" s="49"/>
      <c r="E202" s="6">
        <v>2</v>
      </c>
      <c r="F202" s="6">
        <v>3</v>
      </c>
      <c r="G202" s="6">
        <v>6</v>
      </c>
      <c r="H202" s="6">
        <v>3</v>
      </c>
      <c r="I202" s="6">
        <v>1</v>
      </c>
      <c r="J202" s="6">
        <v>5</v>
      </c>
      <c r="K202" s="6">
        <v>4</v>
      </c>
      <c r="L202" s="6">
        <v>4</v>
      </c>
      <c r="M202" s="6">
        <v>1</v>
      </c>
      <c r="N202" s="5">
        <f t="shared" si="37"/>
        <v>29</v>
      </c>
    </row>
    <row r="203" spans="1:14" x14ac:dyDescent="0.3">
      <c r="A203" s="7"/>
      <c r="B203" s="50"/>
      <c r="C203" s="24" t="s">
        <v>206</v>
      </c>
      <c r="D203" s="49"/>
      <c r="E203" s="6">
        <v>0</v>
      </c>
      <c r="F203" s="6">
        <v>7</v>
      </c>
      <c r="G203" s="6">
        <v>1</v>
      </c>
      <c r="H203" s="6">
        <v>2</v>
      </c>
      <c r="I203" s="6">
        <v>0</v>
      </c>
      <c r="J203" s="6">
        <v>2</v>
      </c>
      <c r="K203" s="6">
        <v>3</v>
      </c>
      <c r="L203" s="6">
        <v>1</v>
      </c>
      <c r="M203" s="6">
        <v>0</v>
      </c>
      <c r="N203" s="5">
        <f t="shared" si="37"/>
        <v>16</v>
      </c>
    </row>
    <row r="204" spans="1:14" x14ac:dyDescent="0.3">
      <c r="A204" s="7"/>
      <c r="B204" s="50"/>
      <c r="C204" s="24" t="s">
        <v>207</v>
      </c>
      <c r="D204" s="49"/>
      <c r="E204" s="6">
        <v>1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5">
        <f t="shared" si="37"/>
        <v>1</v>
      </c>
    </row>
    <row r="205" spans="1:14" x14ac:dyDescent="0.3">
      <c r="A205" s="7"/>
      <c r="B205" s="50"/>
      <c r="C205" s="24" t="s">
        <v>208</v>
      </c>
      <c r="D205" s="49"/>
      <c r="E205" s="6">
        <v>0</v>
      </c>
      <c r="F205" s="6">
        <v>1</v>
      </c>
      <c r="G205" s="6">
        <v>0</v>
      </c>
      <c r="H205" s="6">
        <v>0</v>
      </c>
      <c r="I205" s="6">
        <v>1</v>
      </c>
      <c r="J205" s="6">
        <v>0</v>
      </c>
      <c r="K205" s="6">
        <v>0</v>
      </c>
      <c r="L205" s="6">
        <v>0</v>
      </c>
      <c r="M205" s="6">
        <v>0</v>
      </c>
      <c r="N205" s="5">
        <f t="shared" si="37"/>
        <v>2</v>
      </c>
    </row>
    <row r="206" spans="1:14" x14ac:dyDescent="0.3">
      <c r="A206" s="7"/>
      <c r="B206" s="50"/>
      <c r="C206" s="24" t="s">
        <v>209</v>
      </c>
      <c r="D206" s="49"/>
      <c r="E206" s="6">
        <v>1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5">
        <f t="shared" si="37"/>
        <v>1</v>
      </c>
    </row>
    <row r="207" spans="1:14" ht="13.15" customHeight="1" x14ac:dyDescent="0.3">
      <c r="A207" s="7"/>
      <c r="B207" s="50"/>
      <c r="C207" s="24" t="s">
        <v>210</v>
      </c>
      <c r="D207" s="49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1</v>
      </c>
      <c r="K207" s="6">
        <v>0</v>
      </c>
      <c r="L207" s="6">
        <v>2</v>
      </c>
      <c r="M207" s="6">
        <v>1</v>
      </c>
      <c r="N207" s="5">
        <f t="shared" si="37"/>
        <v>4</v>
      </c>
    </row>
    <row r="208" spans="1:14" x14ac:dyDescent="0.3">
      <c r="A208" s="7"/>
      <c r="B208" s="50"/>
      <c r="C208" s="24" t="s">
        <v>211</v>
      </c>
      <c r="D208" s="49"/>
      <c r="E208" s="6">
        <v>0</v>
      </c>
      <c r="F208" s="6">
        <v>2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1</v>
      </c>
      <c r="M208" s="6">
        <v>1</v>
      </c>
      <c r="N208" s="5">
        <f t="shared" si="37"/>
        <v>4</v>
      </c>
    </row>
    <row r="209" spans="1:14" x14ac:dyDescent="0.3">
      <c r="A209" s="7"/>
      <c r="B209" s="50"/>
      <c r="C209" s="24" t="s">
        <v>212</v>
      </c>
      <c r="D209" s="49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5">
        <f t="shared" si="37"/>
        <v>0</v>
      </c>
    </row>
    <row r="210" spans="1:14" x14ac:dyDescent="0.3">
      <c r="A210" s="7"/>
      <c r="B210" s="50"/>
      <c r="C210" s="24" t="s">
        <v>213</v>
      </c>
      <c r="D210" s="49"/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5">
        <f t="shared" si="37"/>
        <v>0</v>
      </c>
    </row>
    <row r="211" spans="1:14" x14ac:dyDescent="0.3">
      <c r="A211" s="6" t="s">
        <v>26</v>
      </c>
      <c r="B211" s="84" t="s">
        <v>51</v>
      </c>
      <c r="C211" s="87"/>
      <c r="D211" s="88"/>
      <c r="E211" s="5">
        <f t="shared" ref="E211:N211" si="38">SUM(E201:E210)</f>
        <v>4</v>
      </c>
      <c r="F211" s="5">
        <f t="shared" si="38"/>
        <v>17</v>
      </c>
      <c r="G211" s="5">
        <f t="shared" si="38"/>
        <v>16</v>
      </c>
      <c r="H211" s="5">
        <f t="shared" si="38"/>
        <v>9</v>
      </c>
      <c r="I211" s="5">
        <f t="shared" si="38"/>
        <v>3</v>
      </c>
      <c r="J211" s="5">
        <f t="shared" si="38"/>
        <v>10</v>
      </c>
      <c r="K211" s="5">
        <f t="shared" si="38"/>
        <v>11</v>
      </c>
      <c r="L211" s="5">
        <f t="shared" si="38"/>
        <v>10</v>
      </c>
      <c r="M211" s="5">
        <f t="shared" si="38"/>
        <v>6</v>
      </c>
      <c r="N211" s="5">
        <f t="shared" si="38"/>
        <v>86</v>
      </c>
    </row>
    <row r="212" spans="1:14" x14ac:dyDescent="0.3">
      <c r="A212" s="62"/>
      <c r="B212" s="89"/>
      <c r="C212" s="89"/>
      <c r="D212" s="89"/>
      <c r="E212" s="90"/>
      <c r="F212" s="18"/>
      <c r="G212" s="18"/>
      <c r="H212" s="18"/>
      <c r="I212" s="18"/>
      <c r="J212" s="18"/>
      <c r="K212" s="18"/>
      <c r="L212" s="18"/>
      <c r="M212" s="18"/>
      <c r="N212" s="18"/>
    </row>
    <row r="213" spans="1:14" x14ac:dyDescent="0.3">
      <c r="A213" s="11" t="s">
        <v>48</v>
      </c>
      <c r="B213" s="17" t="s">
        <v>75</v>
      </c>
      <c r="C213" s="86" t="s">
        <v>76</v>
      </c>
      <c r="D213" s="64"/>
      <c r="E213" s="6">
        <v>0</v>
      </c>
      <c r="F213" s="6">
        <v>1</v>
      </c>
      <c r="G213" s="6">
        <v>3</v>
      </c>
      <c r="H213" s="6">
        <v>0</v>
      </c>
      <c r="I213" s="6">
        <v>0</v>
      </c>
      <c r="J213" s="6">
        <v>0</v>
      </c>
      <c r="K213" s="6">
        <v>0</v>
      </c>
      <c r="L213" s="6">
        <v>1</v>
      </c>
      <c r="M213" s="6">
        <v>0</v>
      </c>
      <c r="N213" s="5">
        <f t="shared" ref="N213:N222" si="39">SUM(E213:M213)</f>
        <v>5</v>
      </c>
    </row>
    <row r="214" spans="1:14" x14ac:dyDescent="0.3">
      <c r="A214" s="11" t="s">
        <v>50</v>
      </c>
      <c r="B214" s="50"/>
      <c r="C214" s="24" t="s">
        <v>214</v>
      </c>
      <c r="D214" s="49"/>
      <c r="E214" s="6">
        <v>1</v>
      </c>
      <c r="F214" s="6">
        <v>2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3</v>
      </c>
      <c r="M214" s="6">
        <v>0</v>
      </c>
      <c r="N214" s="5">
        <f t="shared" si="39"/>
        <v>6</v>
      </c>
    </row>
    <row r="215" spans="1:14" x14ac:dyDescent="0.3">
      <c r="A215" s="7"/>
      <c r="B215" s="50"/>
      <c r="C215" s="24" t="s">
        <v>215</v>
      </c>
      <c r="D215" s="49"/>
      <c r="E215" s="6">
        <v>1</v>
      </c>
      <c r="F215" s="6">
        <v>2</v>
      </c>
      <c r="G215" s="6">
        <v>0</v>
      </c>
      <c r="H215" s="6">
        <v>1</v>
      </c>
      <c r="I215" s="6">
        <v>1</v>
      </c>
      <c r="J215" s="6">
        <v>0</v>
      </c>
      <c r="K215" s="6">
        <v>0</v>
      </c>
      <c r="L215" s="6">
        <v>0</v>
      </c>
      <c r="M215" s="6">
        <v>0</v>
      </c>
      <c r="N215" s="5">
        <f t="shared" si="39"/>
        <v>5</v>
      </c>
    </row>
    <row r="216" spans="1:14" x14ac:dyDescent="0.3">
      <c r="A216" s="7"/>
      <c r="B216" s="50"/>
      <c r="C216" s="24" t="s">
        <v>216</v>
      </c>
      <c r="D216" s="49"/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1</v>
      </c>
      <c r="M216" s="6">
        <v>0</v>
      </c>
      <c r="N216" s="5">
        <f t="shared" si="39"/>
        <v>1</v>
      </c>
    </row>
    <row r="217" spans="1:14" x14ac:dyDescent="0.3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5">
        <f t="shared" si="39"/>
        <v>0</v>
      </c>
    </row>
    <row r="218" spans="1:14" ht="13.15" customHeight="1" x14ac:dyDescent="0.3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5">
        <f t="shared" si="39"/>
        <v>0</v>
      </c>
    </row>
    <row r="219" spans="1:14" x14ac:dyDescent="0.3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5">
        <f t="shared" si="39"/>
        <v>0</v>
      </c>
    </row>
    <row r="220" spans="1:14" x14ac:dyDescent="0.3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5">
        <f t="shared" si="39"/>
        <v>0</v>
      </c>
    </row>
    <row r="221" spans="1:14" x14ac:dyDescent="0.3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5">
        <f t="shared" si="39"/>
        <v>0</v>
      </c>
    </row>
    <row r="222" spans="1:14" x14ac:dyDescent="0.3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5">
        <f t="shared" si="39"/>
        <v>0</v>
      </c>
    </row>
    <row r="223" spans="1:14" x14ac:dyDescent="0.3">
      <c r="A223" s="6" t="s">
        <v>26</v>
      </c>
      <c r="B223" s="84" t="s">
        <v>51</v>
      </c>
      <c r="C223" s="87"/>
      <c r="D223" s="88"/>
      <c r="E223" s="5">
        <f t="shared" ref="E223:N223" si="40">SUM(E213:E222)</f>
        <v>2</v>
      </c>
      <c r="F223" s="5">
        <f t="shared" si="40"/>
        <v>5</v>
      </c>
      <c r="G223" s="5">
        <f t="shared" si="40"/>
        <v>3</v>
      </c>
      <c r="H223" s="5">
        <f t="shared" si="40"/>
        <v>1</v>
      </c>
      <c r="I223" s="5">
        <f t="shared" si="40"/>
        <v>1</v>
      </c>
      <c r="J223" s="5">
        <f t="shared" si="40"/>
        <v>0</v>
      </c>
      <c r="K223" s="5">
        <f t="shared" si="40"/>
        <v>0</v>
      </c>
      <c r="L223" s="5">
        <f t="shared" si="40"/>
        <v>5</v>
      </c>
      <c r="M223" s="5">
        <f t="shared" si="40"/>
        <v>0</v>
      </c>
      <c r="N223" s="5">
        <f t="shared" si="40"/>
        <v>17</v>
      </c>
    </row>
    <row r="224" spans="1:14" x14ac:dyDescent="0.3">
      <c r="A224" s="62"/>
      <c r="B224" s="89"/>
      <c r="C224" s="89"/>
      <c r="D224" s="89"/>
      <c r="E224" s="90"/>
      <c r="F224" s="18"/>
      <c r="G224" s="18"/>
      <c r="H224" s="18"/>
      <c r="I224" s="18"/>
      <c r="J224" s="18"/>
      <c r="K224" s="18"/>
      <c r="L224" s="18"/>
      <c r="M224" s="18"/>
      <c r="N224" s="18"/>
    </row>
    <row r="225" spans="1:14" x14ac:dyDescent="0.3">
      <c r="A225" s="11" t="s">
        <v>48</v>
      </c>
      <c r="B225" s="17" t="s">
        <v>77</v>
      </c>
      <c r="C225" s="86" t="s">
        <v>78</v>
      </c>
      <c r="D225" s="64"/>
      <c r="E225" s="6">
        <v>0</v>
      </c>
      <c r="F225" s="6">
        <v>0</v>
      </c>
      <c r="G225" s="6">
        <v>0</v>
      </c>
      <c r="H225" s="6">
        <v>0</v>
      </c>
      <c r="I225" s="6">
        <v>1</v>
      </c>
      <c r="J225" s="6">
        <v>1</v>
      </c>
      <c r="K225" s="6">
        <v>1</v>
      </c>
      <c r="L225" s="6">
        <v>1</v>
      </c>
      <c r="M225" s="6">
        <v>0</v>
      </c>
      <c r="N225" s="5">
        <f t="shared" ref="N225:N234" si="41">SUM(E225:M225)</f>
        <v>4</v>
      </c>
    </row>
    <row r="226" spans="1:14" x14ac:dyDescent="0.3">
      <c r="A226" s="11" t="s">
        <v>50</v>
      </c>
      <c r="B226" s="50"/>
      <c r="C226" s="24" t="s">
        <v>217</v>
      </c>
      <c r="D226" s="49"/>
      <c r="E226" s="6">
        <v>0</v>
      </c>
      <c r="F226" s="6">
        <v>0</v>
      </c>
      <c r="G226" s="6">
        <v>1</v>
      </c>
      <c r="H226" s="6">
        <v>0</v>
      </c>
      <c r="I226" s="6">
        <v>0</v>
      </c>
      <c r="J226" s="6">
        <v>2</v>
      </c>
      <c r="K226" s="6">
        <v>0</v>
      </c>
      <c r="L226" s="6">
        <v>0</v>
      </c>
      <c r="M226" s="6">
        <v>0</v>
      </c>
      <c r="N226" s="5">
        <f t="shared" si="41"/>
        <v>3</v>
      </c>
    </row>
    <row r="227" spans="1:14" x14ac:dyDescent="0.3">
      <c r="A227" s="7"/>
      <c r="B227" s="50"/>
      <c r="C227" s="24" t="s">
        <v>218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2</v>
      </c>
      <c r="L227" s="6">
        <v>0</v>
      </c>
      <c r="M227" s="6">
        <v>0</v>
      </c>
      <c r="N227" s="5">
        <f t="shared" si="41"/>
        <v>2</v>
      </c>
    </row>
    <row r="228" spans="1:14" x14ac:dyDescent="0.3">
      <c r="A228" s="7"/>
      <c r="B228" s="50"/>
      <c r="C228" s="24" t="s">
        <v>219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5">
        <f t="shared" si="41"/>
        <v>0</v>
      </c>
    </row>
    <row r="229" spans="1:14" ht="13.15" customHeight="1" x14ac:dyDescent="0.3">
      <c r="A229" s="7"/>
      <c r="B229" s="50"/>
      <c r="C229" s="24" t="s">
        <v>220</v>
      </c>
      <c r="D229" s="49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5">
        <f t="shared" si="41"/>
        <v>0</v>
      </c>
    </row>
    <row r="230" spans="1:14" x14ac:dyDescent="0.3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5">
        <f t="shared" si="41"/>
        <v>0</v>
      </c>
    </row>
    <row r="231" spans="1:14" x14ac:dyDescent="0.3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5">
        <f t="shared" si="41"/>
        <v>0</v>
      </c>
    </row>
    <row r="232" spans="1:14" x14ac:dyDescent="0.3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5">
        <f t="shared" si="41"/>
        <v>0</v>
      </c>
    </row>
    <row r="233" spans="1:14" x14ac:dyDescent="0.3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5">
        <f t="shared" si="41"/>
        <v>0</v>
      </c>
    </row>
    <row r="234" spans="1:14" x14ac:dyDescent="0.3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5">
        <f t="shared" si="41"/>
        <v>0</v>
      </c>
    </row>
    <row r="235" spans="1:14" x14ac:dyDescent="0.3">
      <c r="A235" s="6" t="s">
        <v>26</v>
      </c>
      <c r="B235" s="84" t="s">
        <v>51</v>
      </c>
      <c r="C235" s="87"/>
      <c r="D235" s="88"/>
      <c r="E235" s="5">
        <f t="shared" ref="E235:N235" si="42">SUM(E225:E234)</f>
        <v>0</v>
      </c>
      <c r="F235" s="5">
        <f t="shared" si="42"/>
        <v>0</v>
      </c>
      <c r="G235" s="5">
        <f t="shared" si="42"/>
        <v>1</v>
      </c>
      <c r="H235" s="5">
        <f t="shared" si="42"/>
        <v>0</v>
      </c>
      <c r="I235" s="5">
        <f t="shared" si="42"/>
        <v>1</v>
      </c>
      <c r="J235" s="5">
        <f t="shared" si="42"/>
        <v>3</v>
      </c>
      <c r="K235" s="5">
        <f t="shared" si="42"/>
        <v>3</v>
      </c>
      <c r="L235" s="5">
        <f t="shared" si="42"/>
        <v>1</v>
      </c>
      <c r="M235" s="5">
        <f t="shared" si="42"/>
        <v>0</v>
      </c>
      <c r="N235" s="5">
        <f t="shared" si="42"/>
        <v>9</v>
      </c>
    </row>
    <row r="236" spans="1:14" x14ac:dyDescent="0.3">
      <c r="A236" s="62"/>
      <c r="B236" s="89"/>
      <c r="C236" s="89"/>
      <c r="D236" s="89"/>
      <c r="E236" s="90"/>
      <c r="F236" s="18"/>
      <c r="G236" s="18"/>
      <c r="H236" s="18"/>
      <c r="I236" s="18"/>
      <c r="J236" s="18"/>
      <c r="K236" s="18"/>
      <c r="L236" s="18"/>
      <c r="M236" s="18"/>
      <c r="N236" s="18"/>
    </row>
    <row r="237" spans="1:14" x14ac:dyDescent="0.3">
      <c r="A237" s="11" t="s">
        <v>48</v>
      </c>
      <c r="B237" s="17" t="s">
        <v>79</v>
      </c>
      <c r="C237" s="86" t="s">
        <v>80</v>
      </c>
      <c r="D237" s="64"/>
      <c r="E237" s="6">
        <v>1</v>
      </c>
      <c r="F237" s="6">
        <v>2</v>
      </c>
      <c r="G237" s="6">
        <v>2</v>
      </c>
      <c r="H237" s="6">
        <v>1</v>
      </c>
      <c r="I237" s="6">
        <v>2</v>
      </c>
      <c r="J237" s="6">
        <v>6</v>
      </c>
      <c r="K237" s="6">
        <v>7</v>
      </c>
      <c r="L237" s="6">
        <v>2</v>
      </c>
      <c r="M237" s="6">
        <v>1</v>
      </c>
      <c r="N237" s="5">
        <f t="shared" ref="N237:N246" si="43">SUM(E237:M237)</f>
        <v>24</v>
      </c>
    </row>
    <row r="238" spans="1:14" x14ac:dyDescent="0.3">
      <c r="A238" s="11" t="s">
        <v>50</v>
      </c>
      <c r="B238" s="50"/>
      <c r="C238" s="24" t="s">
        <v>221</v>
      </c>
      <c r="D238" s="49"/>
      <c r="E238" s="6">
        <v>0</v>
      </c>
      <c r="F238" s="6">
        <v>3</v>
      </c>
      <c r="G238" s="6">
        <v>2</v>
      </c>
      <c r="H238" s="6">
        <v>2</v>
      </c>
      <c r="I238" s="6">
        <v>0</v>
      </c>
      <c r="J238" s="6">
        <v>6</v>
      </c>
      <c r="K238" s="6">
        <v>7</v>
      </c>
      <c r="L238" s="6">
        <v>2</v>
      </c>
      <c r="M238" s="6">
        <v>3</v>
      </c>
      <c r="N238" s="5">
        <f t="shared" si="43"/>
        <v>25</v>
      </c>
    </row>
    <row r="239" spans="1:14" x14ac:dyDescent="0.3">
      <c r="A239" s="7"/>
      <c r="B239" s="50"/>
      <c r="C239" s="24" t="s">
        <v>222</v>
      </c>
      <c r="D239" s="49"/>
      <c r="E239" s="6">
        <v>0</v>
      </c>
      <c r="F239" s="6">
        <v>0</v>
      </c>
      <c r="G239" s="6">
        <v>1</v>
      </c>
      <c r="H239" s="6">
        <v>0</v>
      </c>
      <c r="I239" s="6">
        <v>3</v>
      </c>
      <c r="J239" s="6">
        <v>1</v>
      </c>
      <c r="K239" s="6">
        <v>3</v>
      </c>
      <c r="L239" s="6">
        <v>1</v>
      </c>
      <c r="M239" s="6">
        <v>1</v>
      </c>
      <c r="N239" s="5">
        <f t="shared" si="43"/>
        <v>10</v>
      </c>
    </row>
    <row r="240" spans="1:14" ht="13.15" customHeight="1" x14ac:dyDescent="0.3">
      <c r="A240" s="7"/>
      <c r="B240" s="50"/>
      <c r="C240" s="24" t="s">
        <v>223</v>
      </c>
      <c r="D240" s="49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5">
        <f t="shared" si="43"/>
        <v>0</v>
      </c>
    </row>
    <row r="241" spans="1:14" x14ac:dyDescent="0.3">
      <c r="A241" s="7"/>
      <c r="B241" s="50"/>
      <c r="C241" s="24" t="s">
        <v>224</v>
      </c>
      <c r="D241" s="49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1</v>
      </c>
      <c r="L241" s="6">
        <v>1</v>
      </c>
      <c r="M241" s="6">
        <v>0</v>
      </c>
      <c r="N241" s="5">
        <f t="shared" si="43"/>
        <v>2</v>
      </c>
    </row>
    <row r="242" spans="1:14" ht="12.75" customHeight="1" x14ac:dyDescent="0.3">
      <c r="A242" s="7"/>
      <c r="B242" s="50"/>
      <c r="C242" s="24" t="s">
        <v>225</v>
      </c>
      <c r="D242" s="49"/>
      <c r="E242" s="6">
        <v>0</v>
      </c>
      <c r="F242" s="6">
        <v>0</v>
      </c>
      <c r="G242" s="6">
        <v>0</v>
      </c>
      <c r="H242" s="6">
        <v>0</v>
      </c>
      <c r="I242" s="6">
        <v>1</v>
      </c>
      <c r="J242" s="6">
        <v>0</v>
      </c>
      <c r="K242" s="6">
        <v>13</v>
      </c>
      <c r="L242" s="6">
        <v>1</v>
      </c>
      <c r="M242" s="6">
        <v>3</v>
      </c>
      <c r="N242" s="5">
        <f t="shared" si="43"/>
        <v>18</v>
      </c>
    </row>
    <row r="243" spans="1:14" x14ac:dyDescent="0.3">
      <c r="A243" s="7"/>
      <c r="B243" s="50"/>
      <c r="C243" s="24" t="s">
        <v>226</v>
      </c>
      <c r="D243" s="49"/>
      <c r="E243" s="6">
        <v>0</v>
      </c>
      <c r="F243" s="6">
        <v>0</v>
      </c>
      <c r="G243" s="6">
        <v>0</v>
      </c>
      <c r="H243" s="6">
        <v>0</v>
      </c>
      <c r="I243" s="6">
        <v>1</v>
      </c>
      <c r="J243" s="6">
        <v>0</v>
      </c>
      <c r="K243" s="6">
        <v>0</v>
      </c>
      <c r="L243" s="6">
        <v>0</v>
      </c>
      <c r="M243" s="6">
        <v>0</v>
      </c>
      <c r="N243" s="5">
        <f t="shared" si="43"/>
        <v>1</v>
      </c>
    </row>
    <row r="244" spans="1:14" x14ac:dyDescent="0.3">
      <c r="A244" s="7"/>
      <c r="B244" s="50"/>
      <c r="C244" s="24" t="s">
        <v>227</v>
      </c>
      <c r="D244" s="49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5">
        <f t="shared" si="43"/>
        <v>0</v>
      </c>
    </row>
    <row r="245" spans="1:14" x14ac:dyDescent="0.3">
      <c r="A245" s="7"/>
      <c r="B245" s="50"/>
      <c r="C245" s="24" t="s">
        <v>228</v>
      </c>
      <c r="D245" s="49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5">
        <f t="shared" si="43"/>
        <v>0</v>
      </c>
    </row>
    <row r="246" spans="1:14" x14ac:dyDescent="0.3">
      <c r="A246" s="7"/>
      <c r="B246" s="50"/>
      <c r="C246" s="24" t="s">
        <v>229</v>
      </c>
      <c r="D246" s="49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5">
        <f t="shared" si="43"/>
        <v>0</v>
      </c>
    </row>
    <row r="247" spans="1:14" ht="12.75" customHeight="1" x14ac:dyDescent="0.3">
      <c r="A247" s="6" t="s">
        <v>26</v>
      </c>
      <c r="B247" s="84" t="s">
        <v>51</v>
      </c>
      <c r="C247" s="87"/>
      <c r="D247" s="88"/>
      <c r="E247" s="5">
        <f t="shared" ref="E247:N247" si="44">SUM(E237:E246)</f>
        <v>1</v>
      </c>
      <c r="F247" s="5">
        <f t="shared" si="44"/>
        <v>5</v>
      </c>
      <c r="G247" s="5">
        <f t="shared" si="44"/>
        <v>5</v>
      </c>
      <c r="H247" s="5">
        <f t="shared" si="44"/>
        <v>3</v>
      </c>
      <c r="I247" s="5">
        <f t="shared" si="44"/>
        <v>7</v>
      </c>
      <c r="J247" s="5">
        <f t="shared" si="44"/>
        <v>13</v>
      </c>
      <c r="K247" s="5">
        <f t="shared" si="44"/>
        <v>31</v>
      </c>
      <c r="L247" s="5">
        <f t="shared" si="44"/>
        <v>7</v>
      </c>
      <c r="M247" s="5">
        <f t="shared" si="44"/>
        <v>8</v>
      </c>
      <c r="N247" s="5">
        <f t="shared" si="44"/>
        <v>80</v>
      </c>
    </row>
    <row r="248" spans="1:14" x14ac:dyDescent="0.3">
      <c r="A248" s="62"/>
      <c r="B248" s="89"/>
      <c r="C248" s="89"/>
      <c r="D248" s="89"/>
      <c r="E248" s="90"/>
    </row>
    <row r="249" spans="1:14" x14ac:dyDescent="0.3">
      <c r="A249" s="11" t="s">
        <v>48</v>
      </c>
      <c r="B249" s="17" t="s">
        <v>81</v>
      </c>
      <c r="C249" s="86" t="s">
        <v>82</v>
      </c>
      <c r="D249" s="64"/>
      <c r="E249" s="6">
        <v>0</v>
      </c>
      <c r="F249" s="6">
        <v>0</v>
      </c>
      <c r="G249" s="6">
        <v>0</v>
      </c>
      <c r="H249" s="6">
        <v>0</v>
      </c>
      <c r="I249" s="6">
        <v>1</v>
      </c>
      <c r="J249" s="6">
        <v>0</v>
      </c>
      <c r="K249" s="6">
        <v>0</v>
      </c>
      <c r="L249" s="6">
        <v>0</v>
      </c>
      <c r="M249" s="6">
        <v>0</v>
      </c>
      <c r="N249" s="5">
        <f t="shared" ref="N249:N258" si="45">SUM(E249:M249)</f>
        <v>1</v>
      </c>
    </row>
    <row r="250" spans="1:14" x14ac:dyDescent="0.3">
      <c r="A250" s="11" t="s">
        <v>50</v>
      </c>
      <c r="B250" s="50"/>
      <c r="C250" s="24" t="s">
        <v>230</v>
      </c>
      <c r="D250" s="49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2</v>
      </c>
      <c r="L250" s="6">
        <v>0</v>
      </c>
      <c r="M250" s="6">
        <v>0</v>
      </c>
      <c r="N250" s="5">
        <f t="shared" si="45"/>
        <v>2</v>
      </c>
    </row>
    <row r="251" spans="1:14" x14ac:dyDescent="0.3">
      <c r="A251" s="7"/>
      <c r="B251" s="50"/>
      <c r="C251" s="24" t="s">
        <v>231</v>
      </c>
      <c r="D251" s="49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5">
        <f t="shared" si="45"/>
        <v>0</v>
      </c>
    </row>
    <row r="252" spans="1:14" x14ac:dyDescent="0.3">
      <c r="A252" s="7"/>
      <c r="B252" s="50"/>
      <c r="C252" s="24" t="s">
        <v>232</v>
      </c>
      <c r="D252" s="49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1</v>
      </c>
      <c r="M252" s="6">
        <v>1</v>
      </c>
      <c r="N252" s="5">
        <f t="shared" si="45"/>
        <v>2</v>
      </c>
    </row>
    <row r="253" spans="1:14" x14ac:dyDescent="0.3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5">
        <f t="shared" si="45"/>
        <v>0</v>
      </c>
    </row>
    <row r="254" spans="1:14" x14ac:dyDescent="0.3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5">
        <f t="shared" si="45"/>
        <v>0</v>
      </c>
    </row>
    <row r="255" spans="1:14" x14ac:dyDescent="0.3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5">
        <f t="shared" si="45"/>
        <v>0</v>
      </c>
    </row>
    <row r="256" spans="1:14" x14ac:dyDescent="0.3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5">
        <f t="shared" si="45"/>
        <v>0</v>
      </c>
    </row>
    <row r="257" spans="1:14" x14ac:dyDescent="0.3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5">
        <f t="shared" si="45"/>
        <v>0</v>
      </c>
    </row>
    <row r="258" spans="1:14" x14ac:dyDescent="0.3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5">
        <f t="shared" si="45"/>
        <v>0</v>
      </c>
    </row>
    <row r="259" spans="1:14" x14ac:dyDescent="0.3">
      <c r="A259" s="6" t="s">
        <v>26</v>
      </c>
      <c r="B259" s="84" t="s">
        <v>51</v>
      </c>
      <c r="C259" s="87"/>
      <c r="D259" s="88"/>
      <c r="E259" s="5">
        <f t="shared" ref="E259:N259" si="46">SUM(E249:E258)</f>
        <v>0</v>
      </c>
      <c r="F259" s="5">
        <f t="shared" si="46"/>
        <v>0</v>
      </c>
      <c r="G259" s="5">
        <f t="shared" si="46"/>
        <v>0</v>
      </c>
      <c r="H259" s="5">
        <f t="shared" si="46"/>
        <v>0</v>
      </c>
      <c r="I259" s="5">
        <f t="shared" si="46"/>
        <v>1</v>
      </c>
      <c r="J259" s="5">
        <f t="shared" si="46"/>
        <v>0</v>
      </c>
      <c r="K259" s="5">
        <f t="shared" si="46"/>
        <v>2</v>
      </c>
      <c r="L259" s="5">
        <f t="shared" si="46"/>
        <v>1</v>
      </c>
      <c r="M259" s="5">
        <f t="shared" si="46"/>
        <v>1</v>
      </c>
      <c r="N259" s="5">
        <f t="shared" si="46"/>
        <v>5</v>
      </c>
    </row>
    <row r="261" spans="1:14" x14ac:dyDescent="0.3">
      <c r="A261" s="16" t="s">
        <v>83</v>
      </c>
      <c r="B261" s="65" t="s">
        <v>84</v>
      </c>
      <c r="C261" s="97"/>
      <c r="D261" s="98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spans="1:14" x14ac:dyDescent="0.3">
      <c r="A262" s="16"/>
      <c r="B262" s="19" t="s">
        <v>85</v>
      </c>
      <c r="C262" s="95" t="s">
        <v>86</v>
      </c>
      <c r="D262" s="96"/>
      <c r="E262" s="6">
        <f>E55+E67+E79+E91+E103+E115+E127+E139+E151+E163+E175+E187+E199+E211+E223+E235+E247+E259</f>
        <v>147</v>
      </c>
      <c r="F262" s="6">
        <f t="shared" ref="F262:M262" si="47">F55+F67+F79+F91+F103+F115+F127+F139+F151+F163+F175+F187+F199+F211+F223+F235+F247+F259</f>
        <v>195</v>
      </c>
      <c r="G262" s="6">
        <f t="shared" si="47"/>
        <v>153</v>
      </c>
      <c r="H262" s="6">
        <f t="shared" si="47"/>
        <v>151</v>
      </c>
      <c r="I262" s="6">
        <f t="shared" si="47"/>
        <v>176</v>
      </c>
      <c r="J262" s="6">
        <f t="shared" si="47"/>
        <v>168</v>
      </c>
      <c r="K262" s="6">
        <f t="shared" si="47"/>
        <v>201</v>
      </c>
      <c r="L262" s="6">
        <f t="shared" si="47"/>
        <v>167</v>
      </c>
      <c r="M262" s="6">
        <f t="shared" si="47"/>
        <v>170</v>
      </c>
      <c r="N262" s="5">
        <f>SUM(E262:M262)</f>
        <v>1528</v>
      </c>
    </row>
    <row r="263" spans="1:14" x14ac:dyDescent="0.3">
      <c r="A263" s="13"/>
      <c r="B263" s="19" t="s">
        <v>87</v>
      </c>
      <c r="C263" s="95" t="s">
        <v>88</v>
      </c>
      <c r="D263" s="96"/>
      <c r="E263" s="6">
        <v>44</v>
      </c>
      <c r="F263" s="6">
        <v>45</v>
      </c>
      <c r="G263" s="6">
        <v>35</v>
      </c>
      <c r="H263" s="6">
        <v>32</v>
      </c>
      <c r="I263" s="6">
        <v>23</v>
      </c>
      <c r="J263" s="6">
        <v>30</v>
      </c>
      <c r="K263" s="6">
        <v>22</v>
      </c>
      <c r="L263" s="6">
        <v>21</v>
      </c>
      <c r="M263" s="6">
        <v>28</v>
      </c>
      <c r="N263" s="5">
        <f>SUM(E263:M263)</f>
        <v>280</v>
      </c>
    </row>
    <row r="264" spans="1:14" x14ac:dyDescent="0.3">
      <c r="A264" s="14"/>
      <c r="B264" s="19" t="s">
        <v>89</v>
      </c>
      <c r="C264" s="95" t="s">
        <v>90</v>
      </c>
      <c r="D264" s="96"/>
      <c r="E264" s="5">
        <f>SUM(E262:E263)</f>
        <v>191</v>
      </c>
      <c r="F264" s="5">
        <f t="shared" ref="F264:M264" si="48">SUM(F262:F263)</f>
        <v>240</v>
      </c>
      <c r="G264" s="5">
        <f t="shared" si="48"/>
        <v>188</v>
      </c>
      <c r="H264" s="5">
        <f t="shared" si="48"/>
        <v>183</v>
      </c>
      <c r="I264" s="5">
        <f t="shared" si="48"/>
        <v>199</v>
      </c>
      <c r="J264" s="5">
        <f t="shared" si="48"/>
        <v>198</v>
      </c>
      <c r="K264" s="5">
        <f t="shared" si="48"/>
        <v>223</v>
      </c>
      <c r="L264" s="5">
        <f t="shared" si="48"/>
        <v>188</v>
      </c>
      <c r="M264" s="5">
        <f t="shared" si="48"/>
        <v>198</v>
      </c>
      <c r="N264" s="5">
        <f>SUM(E264:M264)</f>
        <v>1808</v>
      </c>
    </row>
  </sheetData>
  <mergeCells count="86">
    <mergeCell ref="B25:B27"/>
    <mergeCell ref="C25:C27"/>
    <mergeCell ref="B28:B30"/>
    <mergeCell ref="B18:D18"/>
    <mergeCell ref="B19:B21"/>
    <mergeCell ref="C19:C21"/>
    <mergeCell ref="B22:B24"/>
    <mergeCell ref="C22:C24"/>
    <mergeCell ref="C28:C30"/>
    <mergeCell ref="A17:D17"/>
    <mergeCell ref="B12:D12"/>
    <mergeCell ref="E12:M12"/>
    <mergeCell ref="N12:N13"/>
    <mergeCell ref="B13:D13"/>
    <mergeCell ref="B14:C16"/>
    <mergeCell ref="A31:D31"/>
    <mergeCell ref="B32:D32"/>
    <mergeCell ref="B33:D33"/>
    <mergeCell ref="B55:D55"/>
    <mergeCell ref="B35:D35"/>
    <mergeCell ref="B36:D36"/>
    <mergeCell ref="A37:D37"/>
    <mergeCell ref="B43:D43"/>
    <mergeCell ref="A44:D44"/>
    <mergeCell ref="C45:D45"/>
    <mergeCell ref="B34:D34"/>
    <mergeCell ref="E37:I37"/>
    <mergeCell ref="B38:D38"/>
    <mergeCell ref="B39:C41"/>
    <mergeCell ref="A42:D42"/>
    <mergeCell ref="E42:I42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C264:D264"/>
    <mergeCell ref="A248:E248"/>
    <mergeCell ref="C249:D249"/>
    <mergeCell ref="B259:D259"/>
    <mergeCell ref="B261:D261"/>
    <mergeCell ref="C262:D262"/>
    <mergeCell ref="C263:D263"/>
  </mergeCells>
  <phoneticPr fontId="9" type="noConversion"/>
  <conditionalFormatting sqref="E14:M15">
    <cfRule type="containsBlanks" dxfId="224" priority="20">
      <formula>LEN(TRIM(E14))=0</formula>
    </cfRule>
  </conditionalFormatting>
  <conditionalFormatting sqref="E19:M20">
    <cfRule type="containsBlanks" dxfId="223" priority="23">
      <formula>LEN(TRIM(E19))=0</formula>
    </cfRule>
  </conditionalFormatting>
  <conditionalFormatting sqref="E22:M23 E25:M26 E33:M33 E35:M35 E39:M40">
    <cfRule type="containsBlanks" dxfId="222" priority="24">
      <formula>LEN(TRIM(E22))=0</formula>
    </cfRule>
  </conditionalFormatting>
  <conditionalFormatting sqref="E30:M30">
    <cfRule type="expression" dxfId="221" priority="25">
      <formula>E30&lt;&gt;E47</formula>
    </cfRule>
    <cfRule type="expression" dxfId="220" priority="26">
      <formula>E30&lt;&gt;E34</formula>
    </cfRule>
  </conditionalFormatting>
  <conditionalFormatting sqref="E34:M34">
    <cfRule type="expression" dxfId="219" priority="21">
      <formula>E30&lt;&gt;E34</formula>
    </cfRule>
    <cfRule type="expression" dxfId="218" priority="22">
      <formula>E30=E34</formula>
    </cfRule>
    <cfRule type="expression" dxfId="217" priority="27">
      <formula>E34&lt;&gt;E30</formula>
    </cfRule>
    <cfRule type="expression" dxfId="216" priority="29">
      <formula>E34&lt;&gt;E64</formula>
    </cfRule>
  </conditionalFormatting>
  <conditionalFormatting sqref="E45:M54">
    <cfRule type="containsBlanks" dxfId="215" priority="19">
      <formula>LEN(TRIM(E45))=0</formula>
    </cfRule>
  </conditionalFormatting>
  <conditionalFormatting sqref="E57:M66">
    <cfRule type="containsBlanks" dxfId="214" priority="18">
      <formula>LEN(TRIM(E57))=0</formula>
    </cfRule>
  </conditionalFormatting>
  <conditionalFormatting sqref="E69:M78">
    <cfRule type="containsBlanks" dxfId="213" priority="17">
      <formula>LEN(TRIM(E69))=0</formula>
    </cfRule>
  </conditionalFormatting>
  <conditionalFormatting sqref="E81:M90">
    <cfRule type="containsBlanks" dxfId="212" priority="16">
      <formula>LEN(TRIM(E81))=0</formula>
    </cfRule>
  </conditionalFormatting>
  <conditionalFormatting sqref="E93:M102">
    <cfRule type="containsBlanks" dxfId="211" priority="15">
      <formula>LEN(TRIM(E93))=0</formula>
    </cfRule>
  </conditionalFormatting>
  <conditionalFormatting sqref="E105:M114">
    <cfRule type="containsBlanks" dxfId="210" priority="14">
      <formula>LEN(TRIM(E105))=0</formula>
    </cfRule>
  </conditionalFormatting>
  <conditionalFormatting sqref="E117:M126">
    <cfRule type="containsBlanks" dxfId="209" priority="1">
      <formula>LEN(TRIM(E117))=0</formula>
    </cfRule>
  </conditionalFormatting>
  <conditionalFormatting sqref="E129:M138">
    <cfRule type="containsBlanks" dxfId="208" priority="13">
      <formula>LEN(TRIM(E129))=0</formula>
    </cfRule>
  </conditionalFormatting>
  <conditionalFormatting sqref="E141:M150">
    <cfRule type="containsBlanks" dxfId="207" priority="12">
      <formula>LEN(TRIM(E141))=0</formula>
    </cfRule>
  </conditionalFormatting>
  <conditionalFormatting sqref="E153:M162">
    <cfRule type="containsBlanks" dxfId="206" priority="3">
      <formula>LEN(TRIM(E153))=0</formula>
    </cfRule>
  </conditionalFormatting>
  <conditionalFormatting sqref="E165:M174">
    <cfRule type="containsBlanks" dxfId="205" priority="11">
      <formula>LEN(TRIM(E165))=0</formula>
    </cfRule>
  </conditionalFormatting>
  <conditionalFormatting sqref="E177:M186">
    <cfRule type="containsBlanks" dxfId="204" priority="10">
      <formula>LEN(TRIM(E177))=0</formula>
    </cfRule>
  </conditionalFormatting>
  <conditionalFormatting sqref="E189:M198">
    <cfRule type="containsBlanks" dxfId="203" priority="9">
      <formula>LEN(TRIM(E189))=0</formula>
    </cfRule>
  </conditionalFormatting>
  <conditionalFormatting sqref="E201:M210">
    <cfRule type="containsBlanks" dxfId="202" priority="8">
      <formula>LEN(TRIM(E201))=0</formula>
    </cfRule>
  </conditionalFormatting>
  <conditionalFormatting sqref="E213:M222">
    <cfRule type="containsBlanks" dxfId="201" priority="7">
      <formula>LEN(TRIM(E213))=0</formula>
    </cfRule>
  </conditionalFormatting>
  <conditionalFormatting sqref="E225:M234">
    <cfRule type="containsBlanks" dxfId="200" priority="6">
      <formula>LEN(TRIM(E225))=0</formula>
    </cfRule>
  </conditionalFormatting>
  <conditionalFormatting sqref="E237:M246">
    <cfRule type="containsBlanks" dxfId="199" priority="5">
      <formula>LEN(TRIM(E237))=0</formula>
    </cfRule>
  </conditionalFormatting>
  <conditionalFormatting sqref="E249:M258">
    <cfRule type="containsBlanks" dxfId="198" priority="4">
      <formula>LEN(TRIM(E249))=0</formula>
    </cfRule>
  </conditionalFormatting>
  <conditionalFormatting sqref="E262:M263">
    <cfRule type="containsBlanks" dxfId="197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F722-C187-41FF-B0C7-8E67ED7B078D}">
  <sheetPr>
    <tabColor rgb="FF00B050"/>
  </sheetPr>
  <dimension ref="A2:S264"/>
  <sheetViews>
    <sheetView topLeftCell="C1" zoomScale="85" zoomScaleNormal="85" workbookViewId="0">
      <selection activeCell="I8" sqref="I8"/>
    </sheetView>
  </sheetViews>
  <sheetFormatPr defaultRowHeight="13" x14ac:dyDescent="0.3"/>
  <cols>
    <col min="3" max="3" width="67.09765625" bestFit="1" customWidth="1"/>
    <col min="4" max="4" width="5.8984375" bestFit="1" customWidth="1"/>
    <col min="19" max="19" width="13.296875" customWidth="1"/>
  </cols>
  <sheetData>
    <row r="2" spans="1:19" x14ac:dyDescent="0.3">
      <c r="C2" s="43" t="s">
        <v>98</v>
      </c>
      <c r="D2" s="43" t="s">
        <v>104</v>
      </c>
    </row>
    <row r="3" spans="1:19" x14ac:dyDescent="0.3">
      <c r="C3" s="43" t="s">
        <v>99</v>
      </c>
      <c r="D3" s="43" t="s">
        <v>100</v>
      </c>
    </row>
    <row r="4" spans="1:19" x14ac:dyDescent="0.3">
      <c r="C4" s="43" t="s">
        <v>101</v>
      </c>
      <c r="D4" s="43" t="s">
        <v>102</v>
      </c>
    </row>
    <row r="5" spans="1:19" x14ac:dyDescent="0.3">
      <c r="C5" s="43"/>
      <c r="D5" s="43"/>
    </row>
    <row r="6" spans="1:19" x14ac:dyDescent="0.3">
      <c r="C6" s="43"/>
      <c r="D6" s="43"/>
    </row>
    <row r="7" spans="1:19" x14ac:dyDescent="0.3">
      <c r="C7" s="43"/>
      <c r="D7" s="43"/>
    </row>
    <row r="8" spans="1:19" x14ac:dyDescent="0.3">
      <c r="C8" s="43"/>
      <c r="D8" s="43"/>
    </row>
    <row r="9" spans="1:19" x14ac:dyDescent="0.3">
      <c r="C9" s="43" t="s">
        <v>103</v>
      </c>
      <c r="D9" s="43" t="s">
        <v>109</v>
      </c>
    </row>
    <row r="11" spans="1:19" x14ac:dyDescent="0.3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R11" s="1"/>
    </row>
    <row r="12" spans="1:19" x14ac:dyDescent="0.3">
      <c r="A12" s="5" t="s">
        <v>0</v>
      </c>
      <c r="B12" s="65" t="s">
        <v>1</v>
      </c>
      <c r="C12" s="63"/>
      <c r="D12" s="64"/>
      <c r="E12" s="99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1" t="s">
        <v>97</v>
      </c>
    </row>
    <row r="13" spans="1:19" x14ac:dyDescent="0.3">
      <c r="A13" s="6" t="s">
        <v>2</v>
      </c>
      <c r="B13" s="76" t="s">
        <v>3</v>
      </c>
      <c r="C13" s="63"/>
      <c r="D13" s="6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102"/>
    </row>
    <row r="14" spans="1:19" x14ac:dyDescent="0.3">
      <c r="A14" s="7"/>
      <c r="B14" s="77" t="s">
        <v>22</v>
      </c>
      <c r="C14" s="78"/>
      <c r="D14" s="6" t="s">
        <v>23</v>
      </c>
      <c r="E14" s="6">
        <v>118</v>
      </c>
      <c r="F14" s="6">
        <v>97</v>
      </c>
      <c r="G14" s="6">
        <v>102</v>
      </c>
      <c r="H14" s="6">
        <v>133</v>
      </c>
      <c r="I14" s="6">
        <v>136</v>
      </c>
      <c r="J14" s="6">
        <v>127</v>
      </c>
      <c r="K14" s="6">
        <v>134</v>
      </c>
      <c r="L14" s="6">
        <v>118</v>
      </c>
      <c r="M14" s="6">
        <v>141</v>
      </c>
      <c r="N14" s="6">
        <v>140</v>
      </c>
      <c r="O14" s="6">
        <v>132</v>
      </c>
      <c r="P14" s="6">
        <v>134</v>
      </c>
      <c r="Q14" s="6">
        <v>143</v>
      </c>
      <c r="R14" s="6">
        <v>94</v>
      </c>
      <c r="S14" s="5">
        <f>SUM(E14:R14)</f>
        <v>1749</v>
      </c>
    </row>
    <row r="15" spans="1:19" x14ac:dyDescent="0.3">
      <c r="A15" s="7"/>
      <c r="B15" s="79"/>
      <c r="C15" s="67"/>
      <c r="D15" s="6" t="s">
        <v>24</v>
      </c>
      <c r="E15" s="6">
        <v>116</v>
      </c>
      <c r="F15" s="6">
        <v>103</v>
      </c>
      <c r="G15" s="6">
        <v>110</v>
      </c>
      <c r="H15" s="6">
        <v>126</v>
      </c>
      <c r="I15" s="6">
        <v>128</v>
      </c>
      <c r="J15" s="6">
        <v>130</v>
      </c>
      <c r="K15" s="6">
        <v>141</v>
      </c>
      <c r="L15" s="6">
        <v>131</v>
      </c>
      <c r="M15" s="6">
        <v>133</v>
      </c>
      <c r="N15" s="6">
        <v>124</v>
      </c>
      <c r="O15" s="6">
        <v>144</v>
      </c>
      <c r="P15" s="6">
        <v>143</v>
      </c>
      <c r="Q15" s="6">
        <v>129</v>
      </c>
      <c r="R15" s="6">
        <v>86</v>
      </c>
      <c r="S15" s="5">
        <f>SUM(E15:R15)</f>
        <v>1744</v>
      </c>
    </row>
    <row r="16" spans="1:19" x14ac:dyDescent="0.3">
      <c r="A16" s="8"/>
      <c r="B16" s="75"/>
      <c r="C16" s="68"/>
      <c r="D16" s="5" t="s">
        <v>25</v>
      </c>
      <c r="E16" s="5">
        <f t="shared" ref="E16:R16" si="0">SUM(E14:E15)</f>
        <v>234</v>
      </c>
      <c r="F16" s="5">
        <f t="shared" si="0"/>
        <v>200</v>
      </c>
      <c r="G16" s="5">
        <f t="shared" si="0"/>
        <v>212</v>
      </c>
      <c r="H16" s="5">
        <f t="shared" si="0"/>
        <v>259</v>
      </c>
      <c r="I16" s="5">
        <f t="shared" si="0"/>
        <v>264</v>
      </c>
      <c r="J16" s="5">
        <f t="shared" si="0"/>
        <v>257</v>
      </c>
      <c r="K16" s="5">
        <f t="shared" si="0"/>
        <v>275</v>
      </c>
      <c r="L16" s="5">
        <f t="shared" ref="L16:Q16" si="1">SUM(L14:L15)</f>
        <v>249</v>
      </c>
      <c r="M16" s="5">
        <f t="shared" si="1"/>
        <v>274</v>
      </c>
      <c r="N16" s="5">
        <f t="shared" si="1"/>
        <v>264</v>
      </c>
      <c r="O16" s="5">
        <f t="shared" si="1"/>
        <v>276</v>
      </c>
      <c r="P16" s="5">
        <f t="shared" si="1"/>
        <v>277</v>
      </c>
      <c r="Q16" s="5">
        <f t="shared" si="1"/>
        <v>272</v>
      </c>
      <c r="R16" s="5">
        <f t="shared" si="0"/>
        <v>180</v>
      </c>
      <c r="S16" s="5">
        <f>SUM(E16:R16)</f>
        <v>3493</v>
      </c>
    </row>
    <row r="17" spans="1:19" x14ac:dyDescent="0.3">
      <c r="A17" s="62"/>
      <c r="B17" s="63"/>
      <c r="C17" s="63"/>
      <c r="D17" s="64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6"/>
      <c r="S17" s="28"/>
    </row>
    <row r="18" spans="1:19" x14ac:dyDescent="0.3">
      <c r="A18" s="11" t="s">
        <v>26</v>
      </c>
      <c r="B18" s="76" t="s">
        <v>27</v>
      </c>
      <c r="C18" s="63"/>
      <c r="D18" s="64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6"/>
      <c r="S18" s="28"/>
    </row>
    <row r="19" spans="1:19" x14ac:dyDescent="0.3">
      <c r="A19" s="11"/>
      <c r="B19" s="66" t="s">
        <v>28</v>
      </c>
      <c r="C19" s="69" t="s">
        <v>29</v>
      </c>
      <c r="D19" s="6" t="s">
        <v>23</v>
      </c>
      <c r="E19" s="6">
        <v>85</v>
      </c>
      <c r="F19" s="6">
        <v>60</v>
      </c>
      <c r="G19" s="6">
        <v>73</v>
      </c>
      <c r="H19" s="6">
        <v>92</v>
      </c>
      <c r="I19" s="6">
        <v>96</v>
      </c>
      <c r="J19" s="6">
        <v>94</v>
      </c>
      <c r="K19" s="6">
        <v>100</v>
      </c>
      <c r="L19" s="6">
        <v>77</v>
      </c>
      <c r="M19" s="6">
        <v>96</v>
      </c>
      <c r="N19" s="6">
        <v>106</v>
      </c>
      <c r="O19" s="6">
        <v>109</v>
      </c>
      <c r="P19" s="6">
        <v>96</v>
      </c>
      <c r="Q19" s="6">
        <v>95</v>
      </c>
      <c r="R19" s="6">
        <v>74</v>
      </c>
      <c r="S19" s="5">
        <f t="shared" ref="S19:S30" si="2">SUM(E19:R19)</f>
        <v>1253</v>
      </c>
    </row>
    <row r="20" spans="1:19" x14ac:dyDescent="0.3">
      <c r="A20" s="12"/>
      <c r="B20" s="67"/>
      <c r="C20" s="70"/>
      <c r="D20" s="6" t="s">
        <v>24</v>
      </c>
      <c r="E20" s="6">
        <v>88</v>
      </c>
      <c r="F20" s="6">
        <v>72</v>
      </c>
      <c r="G20" s="6">
        <v>85</v>
      </c>
      <c r="H20" s="6">
        <v>100</v>
      </c>
      <c r="I20" s="6">
        <v>108</v>
      </c>
      <c r="J20" s="6">
        <v>89</v>
      </c>
      <c r="K20" s="6">
        <v>113</v>
      </c>
      <c r="L20" s="6">
        <v>96</v>
      </c>
      <c r="M20" s="6">
        <v>101</v>
      </c>
      <c r="N20" s="6">
        <v>111</v>
      </c>
      <c r="O20" s="6">
        <v>99</v>
      </c>
      <c r="P20" s="6">
        <v>102</v>
      </c>
      <c r="Q20" s="6">
        <v>103</v>
      </c>
      <c r="R20" s="6">
        <v>65</v>
      </c>
      <c r="S20" s="5">
        <f t="shared" si="2"/>
        <v>1332</v>
      </c>
    </row>
    <row r="21" spans="1:19" x14ac:dyDescent="0.3">
      <c r="A21" s="13"/>
      <c r="B21" s="68"/>
      <c r="C21" s="71"/>
      <c r="D21" s="5" t="s">
        <v>25</v>
      </c>
      <c r="E21" s="5">
        <f t="shared" ref="E21:R21" si="3">SUM(E19:E20)</f>
        <v>173</v>
      </c>
      <c r="F21" s="5">
        <f t="shared" si="3"/>
        <v>132</v>
      </c>
      <c r="G21" s="5">
        <f t="shared" si="3"/>
        <v>158</v>
      </c>
      <c r="H21" s="5">
        <f t="shared" si="3"/>
        <v>192</v>
      </c>
      <c r="I21" s="5">
        <f t="shared" si="3"/>
        <v>204</v>
      </c>
      <c r="J21" s="5">
        <f t="shared" si="3"/>
        <v>183</v>
      </c>
      <c r="K21" s="5">
        <f t="shared" si="3"/>
        <v>213</v>
      </c>
      <c r="L21" s="5">
        <f t="shared" ref="L21:Q21" si="4">SUM(L19:L20)</f>
        <v>173</v>
      </c>
      <c r="M21" s="5">
        <f t="shared" si="4"/>
        <v>197</v>
      </c>
      <c r="N21" s="5">
        <f t="shared" si="4"/>
        <v>217</v>
      </c>
      <c r="O21" s="5">
        <f t="shared" si="4"/>
        <v>208</v>
      </c>
      <c r="P21" s="5">
        <f t="shared" si="4"/>
        <v>198</v>
      </c>
      <c r="Q21" s="5">
        <f t="shared" si="4"/>
        <v>198</v>
      </c>
      <c r="R21" s="5">
        <f t="shared" si="3"/>
        <v>139</v>
      </c>
      <c r="S21" s="5">
        <f t="shared" si="2"/>
        <v>2585</v>
      </c>
    </row>
    <row r="22" spans="1:19" x14ac:dyDescent="0.3">
      <c r="A22" s="12"/>
      <c r="B22" s="66" t="s">
        <v>30</v>
      </c>
      <c r="C22" s="69" t="s">
        <v>31</v>
      </c>
      <c r="D22" s="6" t="s">
        <v>23</v>
      </c>
      <c r="E22" s="6">
        <v>1</v>
      </c>
      <c r="F22" s="6">
        <v>0</v>
      </c>
      <c r="G22" s="6">
        <v>1</v>
      </c>
      <c r="H22" s="6">
        <v>0</v>
      </c>
      <c r="I22" s="6">
        <v>0</v>
      </c>
      <c r="J22" s="6">
        <v>0</v>
      </c>
      <c r="K22" s="6">
        <v>2</v>
      </c>
      <c r="L22" s="6">
        <v>1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5">
        <f t="shared" si="2"/>
        <v>5</v>
      </c>
    </row>
    <row r="23" spans="1:19" x14ac:dyDescent="0.3">
      <c r="A23" s="12"/>
      <c r="B23" s="67"/>
      <c r="C23" s="70"/>
      <c r="D23" s="6" t="s">
        <v>24</v>
      </c>
      <c r="E23" s="6">
        <v>1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1</v>
      </c>
      <c r="M23" s="6">
        <v>1</v>
      </c>
      <c r="N23" s="6">
        <v>0</v>
      </c>
      <c r="O23" s="6">
        <v>1</v>
      </c>
      <c r="P23" s="6">
        <v>1</v>
      </c>
      <c r="Q23" s="6">
        <v>1</v>
      </c>
      <c r="R23" s="6">
        <v>0</v>
      </c>
      <c r="S23" s="5">
        <f t="shared" si="2"/>
        <v>6</v>
      </c>
    </row>
    <row r="24" spans="1:19" x14ac:dyDescent="0.3">
      <c r="A24" s="13"/>
      <c r="B24" s="68"/>
      <c r="C24" s="71"/>
      <c r="D24" s="5" t="s">
        <v>25</v>
      </c>
      <c r="E24" s="5">
        <f t="shared" ref="E24:R24" si="5">SUM(E22:E23)</f>
        <v>2</v>
      </c>
      <c r="F24" s="5">
        <f t="shared" si="5"/>
        <v>0</v>
      </c>
      <c r="G24" s="5">
        <f t="shared" si="5"/>
        <v>1</v>
      </c>
      <c r="H24" s="5">
        <f t="shared" si="5"/>
        <v>0</v>
      </c>
      <c r="I24" s="5">
        <f t="shared" si="5"/>
        <v>0</v>
      </c>
      <c r="J24" s="5">
        <f t="shared" si="5"/>
        <v>0</v>
      </c>
      <c r="K24" s="5">
        <f t="shared" si="5"/>
        <v>2</v>
      </c>
      <c r="L24" s="5">
        <f t="shared" ref="L24:Q24" si="6">SUM(L22:L23)</f>
        <v>2</v>
      </c>
      <c r="M24" s="5">
        <f t="shared" si="6"/>
        <v>1</v>
      </c>
      <c r="N24" s="5">
        <f t="shared" si="6"/>
        <v>0</v>
      </c>
      <c r="O24" s="5">
        <f t="shared" si="6"/>
        <v>1</v>
      </c>
      <c r="P24" s="5">
        <f t="shared" si="6"/>
        <v>1</v>
      </c>
      <c r="Q24" s="5">
        <f t="shared" si="6"/>
        <v>1</v>
      </c>
      <c r="R24" s="5">
        <f t="shared" si="5"/>
        <v>0</v>
      </c>
      <c r="S24" s="5">
        <f t="shared" si="2"/>
        <v>11</v>
      </c>
    </row>
    <row r="25" spans="1:19" x14ac:dyDescent="0.3">
      <c r="A25" s="12"/>
      <c r="B25" s="66" t="s">
        <v>32</v>
      </c>
      <c r="C25" s="69" t="s">
        <v>33</v>
      </c>
      <c r="D25" s="6" t="s">
        <v>23</v>
      </c>
      <c r="E25" s="6"/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3</v>
      </c>
      <c r="M25" s="6">
        <v>0</v>
      </c>
      <c r="N25" s="6">
        <v>0</v>
      </c>
      <c r="O25" s="6">
        <v>3</v>
      </c>
      <c r="P25" s="6">
        <v>0</v>
      </c>
      <c r="Q25" s="6">
        <v>0</v>
      </c>
      <c r="R25" s="6">
        <v>0</v>
      </c>
      <c r="S25" s="5">
        <f t="shared" si="2"/>
        <v>6</v>
      </c>
    </row>
    <row r="26" spans="1:19" x14ac:dyDescent="0.3">
      <c r="A26" s="12"/>
      <c r="B26" s="67"/>
      <c r="C26" s="70"/>
      <c r="D26" s="6" t="s">
        <v>24</v>
      </c>
      <c r="E26" s="6"/>
      <c r="F26" s="6">
        <v>0</v>
      </c>
      <c r="G26" s="6">
        <v>0</v>
      </c>
      <c r="H26" s="6">
        <v>1</v>
      </c>
      <c r="I26" s="6">
        <v>0</v>
      </c>
      <c r="J26" s="6">
        <v>0</v>
      </c>
      <c r="K26" s="6">
        <v>1</v>
      </c>
      <c r="L26" s="6">
        <v>1</v>
      </c>
      <c r="M26" s="6">
        <v>3</v>
      </c>
      <c r="N26" s="6">
        <v>0</v>
      </c>
      <c r="O26" s="6">
        <v>3</v>
      </c>
      <c r="P26" s="6">
        <v>3</v>
      </c>
      <c r="Q26" s="6">
        <v>0</v>
      </c>
      <c r="R26" s="6">
        <v>0</v>
      </c>
      <c r="S26" s="5">
        <f t="shared" si="2"/>
        <v>12</v>
      </c>
    </row>
    <row r="27" spans="1:19" x14ac:dyDescent="0.3">
      <c r="A27" s="13"/>
      <c r="B27" s="68"/>
      <c r="C27" s="71"/>
      <c r="D27" s="5" t="s">
        <v>25</v>
      </c>
      <c r="E27" s="5">
        <f t="shared" ref="E27:R27" si="7">SUM(E25:E26)</f>
        <v>0</v>
      </c>
      <c r="F27" s="5">
        <f t="shared" si="7"/>
        <v>0</v>
      </c>
      <c r="G27" s="5">
        <f t="shared" si="7"/>
        <v>0</v>
      </c>
      <c r="H27" s="5">
        <f t="shared" si="7"/>
        <v>1</v>
      </c>
      <c r="I27" s="5">
        <f t="shared" si="7"/>
        <v>0</v>
      </c>
      <c r="J27" s="5">
        <f t="shared" si="7"/>
        <v>0</v>
      </c>
      <c r="K27" s="5">
        <f t="shared" si="7"/>
        <v>1</v>
      </c>
      <c r="L27" s="5">
        <f t="shared" ref="L27:Q27" si="8">SUM(L25:L26)</f>
        <v>4</v>
      </c>
      <c r="M27" s="5">
        <f t="shared" si="8"/>
        <v>3</v>
      </c>
      <c r="N27" s="5">
        <f t="shared" si="8"/>
        <v>0</v>
      </c>
      <c r="O27" s="5">
        <f t="shared" si="8"/>
        <v>6</v>
      </c>
      <c r="P27" s="5">
        <f t="shared" si="8"/>
        <v>3</v>
      </c>
      <c r="Q27" s="5">
        <f t="shared" si="8"/>
        <v>0</v>
      </c>
      <c r="R27" s="5">
        <f t="shared" si="7"/>
        <v>0</v>
      </c>
      <c r="S27" s="5">
        <f t="shared" si="2"/>
        <v>18</v>
      </c>
    </row>
    <row r="28" spans="1:19" x14ac:dyDescent="0.3">
      <c r="A28" s="13"/>
      <c r="B28" s="72" t="s">
        <v>34</v>
      </c>
      <c r="C28" s="73" t="s">
        <v>35</v>
      </c>
      <c r="D28" s="5" t="s">
        <v>23</v>
      </c>
      <c r="E28" s="5">
        <f>SUM(E19,E22,E25)</f>
        <v>86</v>
      </c>
      <c r="F28" s="5">
        <f t="shared" ref="F28:R29" si="9">SUM(F19,F22,F25)</f>
        <v>60</v>
      </c>
      <c r="G28" s="5">
        <f t="shared" si="9"/>
        <v>74</v>
      </c>
      <c r="H28" s="5">
        <f t="shared" si="9"/>
        <v>92</v>
      </c>
      <c r="I28" s="5">
        <f t="shared" si="9"/>
        <v>96</v>
      </c>
      <c r="J28" s="5">
        <f t="shared" si="9"/>
        <v>94</v>
      </c>
      <c r="K28" s="5">
        <f t="shared" si="9"/>
        <v>102</v>
      </c>
      <c r="L28" s="5">
        <f t="shared" ref="L28:Q28" si="10">SUM(L19,L22,L25)</f>
        <v>81</v>
      </c>
      <c r="M28" s="5">
        <f t="shared" si="10"/>
        <v>96</v>
      </c>
      <c r="N28" s="5">
        <f t="shared" si="10"/>
        <v>106</v>
      </c>
      <c r="O28" s="5">
        <f t="shared" si="10"/>
        <v>112</v>
      </c>
      <c r="P28" s="5">
        <f t="shared" si="10"/>
        <v>96</v>
      </c>
      <c r="Q28" s="5">
        <f t="shared" si="10"/>
        <v>95</v>
      </c>
      <c r="R28" s="5">
        <f t="shared" si="9"/>
        <v>74</v>
      </c>
      <c r="S28" s="5">
        <f t="shared" si="2"/>
        <v>1264</v>
      </c>
    </row>
    <row r="29" spans="1:19" x14ac:dyDescent="0.3">
      <c r="A29" s="13"/>
      <c r="B29" s="67"/>
      <c r="C29" s="70"/>
      <c r="D29" s="5" t="s">
        <v>24</v>
      </c>
      <c r="E29" s="5">
        <f>SUM(E20,E23,E26)</f>
        <v>89</v>
      </c>
      <c r="F29" s="5">
        <f t="shared" si="9"/>
        <v>72</v>
      </c>
      <c r="G29" s="5">
        <f t="shared" si="9"/>
        <v>85</v>
      </c>
      <c r="H29" s="5">
        <f t="shared" si="9"/>
        <v>101</v>
      </c>
      <c r="I29" s="5">
        <f t="shared" si="9"/>
        <v>108</v>
      </c>
      <c r="J29" s="5">
        <f t="shared" si="9"/>
        <v>89</v>
      </c>
      <c r="K29" s="5">
        <f t="shared" si="9"/>
        <v>114</v>
      </c>
      <c r="L29" s="5">
        <f t="shared" ref="L29:Q29" si="11">SUM(L20,L23,L26)</f>
        <v>98</v>
      </c>
      <c r="M29" s="5">
        <f t="shared" si="11"/>
        <v>105</v>
      </c>
      <c r="N29" s="5">
        <f t="shared" si="11"/>
        <v>111</v>
      </c>
      <c r="O29" s="5">
        <f t="shared" si="11"/>
        <v>103</v>
      </c>
      <c r="P29" s="5">
        <f t="shared" si="11"/>
        <v>106</v>
      </c>
      <c r="Q29" s="5">
        <f t="shared" si="11"/>
        <v>104</v>
      </c>
      <c r="R29" s="5">
        <f t="shared" si="9"/>
        <v>65</v>
      </c>
      <c r="S29" s="5">
        <f t="shared" si="2"/>
        <v>1350</v>
      </c>
    </row>
    <row r="30" spans="1:19" x14ac:dyDescent="0.3">
      <c r="A30" s="13"/>
      <c r="B30" s="68"/>
      <c r="C30" s="71"/>
      <c r="D30" s="5" t="s">
        <v>25</v>
      </c>
      <c r="E30" s="5">
        <f t="shared" ref="E30" si="12">SUM(E28:E29)</f>
        <v>175</v>
      </c>
      <c r="F30" s="5">
        <f t="shared" ref="F30:R30" si="13">SUM(F28:F29)</f>
        <v>132</v>
      </c>
      <c r="G30" s="5">
        <f t="shared" si="13"/>
        <v>159</v>
      </c>
      <c r="H30" s="5">
        <f t="shared" si="13"/>
        <v>193</v>
      </c>
      <c r="I30" s="5">
        <f t="shared" si="13"/>
        <v>204</v>
      </c>
      <c r="J30" s="5">
        <f t="shared" si="13"/>
        <v>183</v>
      </c>
      <c r="K30" s="5">
        <f t="shared" si="13"/>
        <v>216</v>
      </c>
      <c r="L30" s="5">
        <f t="shared" ref="L30:Q30" si="14">SUM(L28:L29)</f>
        <v>179</v>
      </c>
      <c r="M30" s="5">
        <f t="shared" si="14"/>
        <v>201</v>
      </c>
      <c r="N30" s="5">
        <f t="shared" si="14"/>
        <v>217</v>
      </c>
      <c r="O30" s="5">
        <f t="shared" si="14"/>
        <v>215</v>
      </c>
      <c r="P30" s="5">
        <f t="shared" si="14"/>
        <v>202</v>
      </c>
      <c r="Q30" s="5">
        <f t="shared" si="14"/>
        <v>199</v>
      </c>
      <c r="R30" s="5">
        <f t="shared" si="13"/>
        <v>139</v>
      </c>
      <c r="S30" s="5">
        <f t="shared" si="2"/>
        <v>2614</v>
      </c>
    </row>
    <row r="31" spans="1:19" x14ac:dyDescent="0.3">
      <c r="A31" s="62"/>
      <c r="B31" s="63"/>
      <c r="C31" s="63"/>
      <c r="D31" s="64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6"/>
      <c r="S31" s="28"/>
    </row>
    <row r="32" spans="1:19" x14ac:dyDescent="0.3">
      <c r="A32" s="14" t="s">
        <v>36</v>
      </c>
      <c r="B32" s="65" t="s">
        <v>37</v>
      </c>
      <c r="C32" s="63"/>
      <c r="D32" s="64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5"/>
      <c r="S32" s="28"/>
    </row>
    <row r="33" spans="1:19" x14ac:dyDescent="0.3">
      <c r="A33" s="6">
        <v>1</v>
      </c>
      <c r="B33" s="76" t="s">
        <v>38</v>
      </c>
      <c r="C33" s="63"/>
      <c r="D33" s="64"/>
      <c r="E33" s="6">
        <v>239</v>
      </c>
      <c r="F33" s="6">
        <v>204</v>
      </c>
      <c r="G33" s="6">
        <v>216</v>
      </c>
      <c r="H33" s="6">
        <v>264</v>
      </c>
      <c r="I33" s="6">
        <v>269</v>
      </c>
      <c r="J33" s="6">
        <v>262</v>
      </c>
      <c r="K33" s="6">
        <v>281</v>
      </c>
      <c r="L33" s="6">
        <v>254</v>
      </c>
      <c r="M33" s="6">
        <v>279</v>
      </c>
      <c r="N33" s="6">
        <v>269</v>
      </c>
      <c r="O33" s="6">
        <v>282</v>
      </c>
      <c r="P33" s="6">
        <v>280</v>
      </c>
      <c r="Q33" s="6">
        <v>278</v>
      </c>
      <c r="R33" s="6">
        <v>169</v>
      </c>
      <c r="S33" s="5">
        <f>SUM(E33:R33)</f>
        <v>3546</v>
      </c>
    </row>
    <row r="34" spans="1:19" x14ac:dyDescent="0.3">
      <c r="A34" s="6">
        <v>2</v>
      </c>
      <c r="B34" s="76" t="s">
        <v>39</v>
      </c>
      <c r="C34" s="63"/>
      <c r="D34" s="64"/>
      <c r="E34" s="5">
        <v>175</v>
      </c>
      <c r="F34" s="5">
        <v>132</v>
      </c>
      <c r="G34" s="5">
        <v>159</v>
      </c>
      <c r="H34" s="5">
        <v>193</v>
      </c>
      <c r="I34" s="5">
        <v>204</v>
      </c>
      <c r="J34" s="5">
        <v>183</v>
      </c>
      <c r="K34" s="5">
        <v>216</v>
      </c>
      <c r="L34" s="5">
        <v>179</v>
      </c>
      <c r="M34" s="5">
        <v>201</v>
      </c>
      <c r="N34" s="5">
        <v>217</v>
      </c>
      <c r="O34" s="5">
        <v>215</v>
      </c>
      <c r="P34" s="5">
        <v>202</v>
      </c>
      <c r="Q34" s="5">
        <v>199</v>
      </c>
      <c r="R34" s="5">
        <v>139</v>
      </c>
      <c r="S34" s="5">
        <f>SUM(E34:R34)</f>
        <v>2614</v>
      </c>
    </row>
    <row r="35" spans="1:19" x14ac:dyDescent="0.3">
      <c r="A35" s="6">
        <v>3</v>
      </c>
      <c r="B35" s="76" t="s">
        <v>40</v>
      </c>
      <c r="C35" s="63"/>
      <c r="D35" s="64"/>
      <c r="E35" s="6">
        <v>0</v>
      </c>
      <c r="F35" s="6">
        <v>0</v>
      </c>
      <c r="G35" s="6">
        <v>2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5">
        <f>SUM(E35:R35)</f>
        <v>2</v>
      </c>
    </row>
    <row r="36" spans="1:19" x14ac:dyDescent="0.3">
      <c r="A36" s="6">
        <v>4</v>
      </c>
      <c r="B36" s="76" t="s">
        <v>41</v>
      </c>
      <c r="C36" s="63"/>
      <c r="D36" s="64"/>
      <c r="E36" s="5">
        <f t="shared" ref="E36:R36" si="15">E33-(E34+E35)</f>
        <v>64</v>
      </c>
      <c r="F36" s="5">
        <f t="shared" si="15"/>
        <v>72</v>
      </c>
      <c r="G36" s="5">
        <f t="shared" si="15"/>
        <v>55</v>
      </c>
      <c r="H36" s="5">
        <f t="shared" si="15"/>
        <v>71</v>
      </c>
      <c r="I36" s="5">
        <f t="shared" si="15"/>
        <v>65</v>
      </c>
      <c r="J36" s="5">
        <f t="shared" si="15"/>
        <v>79</v>
      </c>
      <c r="K36" s="5">
        <f t="shared" si="15"/>
        <v>65</v>
      </c>
      <c r="L36" s="5">
        <f t="shared" ref="L36:Q36" si="16">L33-(L34+L35)</f>
        <v>75</v>
      </c>
      <c r="M36" s="5">
        <f t="shared" si="16"/>
        <v>78</v>
      </c>
      <c r="N36" s="5">
        <f t="shared" si="16"/>
        <v>52</v>
      </c>
      <c r="O36" s="5">
        <f t="shared" si="16"/>
        <v>67</v>
      </c>
      <c r="P36" s="5">
        <f t="shared" si="16"/>
        <v>78</v>
      </c>
      <c r="Q36" s="5">
        <f t="shared" si="16"/>
        <v>79</v>
      </c>
      <c r="R36" s="5">
        <f t="shared" si="15"/>
        <v>30</v>
      </c>
      <c r="S36" s="5">
        <f>SUM(E36:R36)</f>
        <v>930</v>
      </c>
    </row>
    <row r="37" spans="1:19" x14ac:dyDescent="0.3">
      <c r="A37" s="62"/>
      <c r="B37" s="63"/>
      <c r="C37" s="63"/>
      <c r="D37" s="63"/>
      <c r="E37" s="62"/>
      <c r="F37" s="103"/>
      <c r="G37" s="103"/>
      <c r="H37" s="103"/>
      <c r="I37" s="104"/>
      <c r="J37" s="6"/>
      <c r="K37" s="6"/>
      <c r="L37" s="6"/>
      <c r="M37" s="6"/>
      <c r="N37" s="10"/>
      <c r="O37" s="26"/>
      <c r="P37" s="26"/>
      <c r="Q37" s="26"/>
      <c r="R37" s="6"/>
      <c r="S37" s="28"/>
    </row>
    <row r="38" spans="1:19" x14ac:dyDescent="0.3">
      <c r="A38" s="16" t="s">
        <v>42</v>
      </c>
      <c r="B38" s="65" t="s">
        <v>43</v>
      </c>
      <c r="C38" s="63"/>
      <c r="D38" s="64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5"/>
      <c r="S38" s="28"/>
    </row>
    <row r="39" spans="1:19" x14ac:dyDescent="0.3">
      <c r="A39" s="11"/>
      <c r="B39" s="80" t="s">
        <v>44</v>
      </c>
      <c r="C39" s="78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>
        <v>1</v>
      </c>
      <c r="Q39" s="6"/>
      <c r="R39" s="6"/>
      <c r="S39" s="5">
        <f>SUM(E39:R39)</f>
        <v>1</v>
      </c>
    </row>
    <row r="40" spans="1:19" x14ac:dyDescent="0.3">
      <c r="A40" s="12"/>
      <c r="B40" s="81"/>
      <c r="C40" s="67"/>
      <c r="D40" s="6" t="s">
        <v>24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5">
        <f>SUM(E40:R40)</f>
        <v>0</v>
      </c>
    </row>
    <row r="41" spans="1:19" x14ac:dyDescent="0.3">
      <c r="A41" s="14"/>
      <c r="B41" s="82"/>
      <c r="C41" s="68"/>
      <c r="D41" s="5" t="s">
        <v>25</v>
      </c>
      <c r="E41" s="5">
        <f t="shared" ref="E41:R41" si="17">SUM(E39:E40)</f>
        <v>0</v>
      </c>
      <c r="F41" s="5">
        <f t="shared" si="17"/>
        <v>0</v>
      </c>
      <c r="G41" s="5">
        <f t="shared" si="17"/>
        <v>0</v>
      </c>
      <c r="H41" s="5">
        <f t="shared" si="17"/>
        <v>0</v>
      </c>
      <c r="I41" s="5">
        <f t="shared" si="17"/>
        <v>0</v>
      </c>
      <c r="J41" s="5">
        <f t="shared" si="17"/>
        <v>0</v>
      </c>
      <c r="K41" s="5">
        <f t="shared" si="17"/>
        <v>0</v>
      </c>
      <c r="L41" s="5">
        <f t="shared" ref="L41:Q41" si="18">SUM(L39:L40)</f>
        <v>0</v>
      </c>
      <c r="M41" s="5">
        <f t="shared" si="18"/>
        <v>0</v>
      </c>
      <c r="N41" s="5">
        <f t="shared" si="18"/>
        <v>0</v>
      </c>
      <c r="O41" s="5">
        <f t="shared" si="18"/>
        <v>0</v>
      </c>
      <c r="P41" s="5">
        <f t="shared" si="18"/>
        <v>1</v>
      </c>
      <c r="Q41" s="5">
        <f t="shared" si="18"/>
        <v>0</v>
      </c>
      <c r="R41" s="5">
        <f t="shared" si="17"/>
        <v>0</v>
      </c>
      <c r="S41" s="5">
        <f>SUM(E41:R41)</f>
        <v>1</v>
      </c>
    </row>
    <row r="42" spans="1:19" x14ac:dyDescent="0.3">
      <c r="A42" s="83"/>
      <c r="B42" s="82"/>
      <c r="C42" s="82"/>
      <c r="D42" s="68"/>
      <c r="E42" s="62"/>
      <c r="F42" s="63"/>
      <c r="G42" s="63"/>
      <c r="H42" s="63"/>
      <c r="I42" s="64"/>
      <c r="J42" s="6"/>
      <c r="K42" s="6"/>
      <c r="L42" s="6"/>
      <c r="M42" s="6"/>
      <c r="N42" s="10"/>
      <c r="O42" s="6"/>
      <c r="P42" s="10"/>
      <c r="Q42" s="6"/>
      <c r="R42" s="6"/>
      <c r="S42" s="5"/>
    </row>
    <row r="43" spans="1:19" ht="13.15" customHeight="1" x14ac:dyDescent="0.3">
      <c r="A43" s="16" t="s">
        <v>45</v>
      </c>
      <c r="B43" s="65" t="s">
        <v>46</v>
      </c>
      <c r="C43" s="63"/>
      <c r="D43" s="6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5"/>
      <c r="S43" s="5"/>
    </row>
    <row r="44" spans="1:19" ht="13.15" customHeight="1" x14ac:dyDescent="0.3">
      <c r="A44" s="80" t="s">
        <v>47</v>
      </c>
      <c r="B44" s="85"/>
      <c r="C44" s="85"/>
      <c r="D44" s="78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6"/>
      <c r="S44" s="5"/>
    </row>
    <row r="45" spans="1:19" x14ac:dyDescent="0.3">
      <c r="A45" s="11" t="s">
        <v>48</v>
      </c>
      <c r="B45" s="17" t="s">
        <v>28</v>
      </c>
      <c r="C45" s="86" t="s">
        <v>49</v>
      </c>
      <c r="D45" s="64"/>
      <c r="E45" s="6">
        <v>12</v>
      </c>
      <c r="F45" s="6">
        <v>8</v>
      </c>
      <c r="G45" s="6">
        <v>7</v>
      </c>
      <c r="H45" s="6">
        <v>15</v>
      </c>
      <c r="I45" s="6">
        <v>1</v>
      </c>
      <c r="J45" s="6">
        <v>3</v>
      </c>
      <c r="K45" s="6">
        <v>9</v>
      </c>
      <c r="L45" s="6">
        <v>6</v>
      </c>
      <c r="M45" s="6">
        <v>2</v>
      </c>
      <c r="N45" s="6">
        <v>10</v>
      </c>
      <c r="O45" s="6">
        <v>6</v>
      </c>
      <c r="P45" s="6">
        <v>4</v>
      </c>
      <c r="Q45" s="6">
        <v>3</v>
      </c>
      <c r="R45" s="6">
        <v>17</v>
      </c>
      <c r="S45" s="5">
        <f t="shared" ref="S45:S54" si="19">SUM(E45:R45)</f>
        <v>103</v>
      </c>
    </row>
    <row r="46" spans="1:19" x14ac:dyDescent="0.3">
      <c r="A46" s="11" t="s">
        <v>50</v>
      </c>
      <c r="B46" s="50"/>
      <c r="C46" s="24" t="s">
        <v>115</v>
      </c>
      <c r="D46" s="49"/>
      <c r="E46" s="6">
        <v>20</v>
      </c>
      <c r="F46" s="6">
        <v>8</v>
      </c>
      <c r="G46" s="6">
        <v>16</v>
      </c>
      <c r="H46" s="6">
        <v>16</v>
      </c>
      <c r="I46" s="6">
        <v>18</v>
      </c>
      <c r="J46" s="6">
        <v>3</v>
      </c>
      <c r="K46" s="6">
        <v>39</v>
      </c>
      <c r="L46" s="6">
        <v>17</v>
      </c>
      <c r="M46" s="6">
        <v>5</v>
      </c>
      <c r="N46" s="6">
        <v>7</v>
      </c>
      <c r="O46" s="6">
        <v>10</v>
      </c>
      <c r="P46" s="6">
        <v>8</v>
      </c>
      <c r="Q46" s="6">
        <v>6</v>
      </c>
      <c r="R46" s="6">
        <v>35</v>
      </c>
      <c r="S46" s="5">
        <f t="shared" si="19"/>
        <v>208</v>
      </c>
    </row>
    <row r="47" spans="1:19" x14ac:dyDescent="0.3">
      <c r="A47" s="7"/>
      <c r="B47" s="50"/>
      <c r="C47" s="24" t="s">
        <v>116</v>
      </c>
      <c r="D47" s="49"/>
      <c r="E47" s="6">
        <v>3</v>
      </c>
      <c r="F47" s="6">
        <v>0</v>
      </c>
      <c r="G47" s="6">
        <v>1</v>
      </c>
      <c r="H47" s="6">
        <v>1</v>
      </c>
      <c r="I47" s="6">
        <v>2</v>
      </c>
      <c r="J47" s="6">
        <v>0</v>
      </c>
      <c r="K47" s="6">
        <v>2</v>
      </c>
      <c r="L47" s="6">
        <v>2</v>
      </c>
      <c r="M47" s="6">
        <v>1</v>
      </c>
      <c r="N47" s="6">
        <v>7</v>
      </c>
      <c r="O47" s="6">
        <v>1</v>
      </c>
      <c r="P47" s="6">
        <v>3</v>
      </c>
      <c r="Q47" s="6">
        <v>2</v>
      </c>
      <c r="R47" s="6">
        <v>2</v>
      </c>
      <c r="S47" s="5">
        <f t="shared" si="19"/>
        <v>27</v>
      </c>
    </row>
    <row r="48" spans="1:19" x14ac:dyDescent="0.3">
      <c r="A48" s="7"/>
      <c r="B48" s="50"/>
      <c r="C48" s="24" t="s">
        <v>117</v>
      </c>
      <c r="D48" s="49"/>
      <c r="E48" s="6">
        <v>0</v>
      </c>
      <c r="F48" s="6">
        <v>0</v>
      </c>
      <c r="G48" s="6">
        <v>2</v>
      </c>
      <c r="H48" s="6">
        <v>1</v>
      </c>
      <c r="I48" s="6">
        <v>0</v>
      </c>
      <c r="J48" s="6">
        <v>1</v>
      </c>
      <c r="K48" s="6">
        <v>1</v>
      </c>
      <c r="L48" s="6">
        <v>1</v>
      </c>
      <c r="M48" s="6">
        <v>0</v>
      </c>
      <c r="N48" s="6">
        <v>0</v>
      </c>
      <c r="O48" s="6">
        <v>0</v>
      </c>
      <c r="P48" s="6">
        <v>1</v>
      </c>
      <c r="Q48" s="6">
        <v>0</v>
      </c>
      <c r="R48" s="6">
        <v>0</v>
      </c>
      <c r="S48" s="5">
        <f t="shared" si="19"/>
        <v>7</v>
      </c>
    </row>
    <row r="49" spans="1:19" x14ac:dyDescent="0.3">
      <c r="A49" s="7"/>
      <c r="B49" s="50"/>
      <c r="C49" s="24" t="s">
        <v>118</v>
      </c>
      <c r="D49" s="49"/>
      <c r="E49" s="6">
        <v>2</v>
      </c>
      <c r="F49" s="6">
        <v>0</v>
      </c>
      <c r="G49" s="6">
        <v>0</v>
      </c>
      <c r="H49" s="6">
        <v>0</v>
      </c>
      <c r="I49" s="6">
        <v>2</v>
      </c>
      <c r="J49" s="6">
        <v>0</v>
      </c>
      <c r="K49" s="6">
        <v>1</v>
      </c>
      <c r="L49" s="6">
        <v>2</v>
      </c>
      <c r="M49" s="6">
        <v>1</v>
      </c>
      <c r="N49" s="6">
        <v>2</v>
      </c>
      <c r="O49" s="6">
        <v>0</v>
      </c>
      <c r="P49" s="6">
        <v>1</v>
      </c>
      <c r="Q49" s="6">
        <v>0</v>
      </c>
      <c r="R49" s="6">
        <v>0</v>
      </c>
      <c r="S49" s="5">
        <f t="shared" si="19"/>
        <v>11</v>
      </c>
    </row>
    <row r="50" spans="1:19" x14ac:dyDescent="0.3">
      <c r="A50" s="7"/>
      <c r="B50" s="50"/>
      <c r="C50" s="24" t="s">
        <v>119</v>
      </c>
      <c r="D50" s="49"/>
      <c r="E50" s="6">
        <v>0</v>
      </c>
      <c r="F50" s="6">
        <v>0</v>
      </c>
      <c r="G50" s="6">
        <v>1</v>
      </c>
      <c r="H50" s="6">
        <v>0</v>
      </c>
      <c r="I50" s="6">
        <v>1</v>
      </c>
      <c r="J50" s="6">
        <v>1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1</v>
      </c>
      <c r="S50" s="5">
        <f t="shared" si="19"/>
        <v>4</v>
      </c>
    </row>
    <row r="51" spans="1:19" x14ac:dyDescent="0.3">
      <c r="A51" s="7"/>
      <c r="B51" s="50"/>
      <c r="C51" s="24" t="s">
        <v>120</v>
      </c>
      <c r="D51" s="49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1</v>
      </c>
      <c r="L51" s="6">
        <v>0</v>
      </c>
      <c r="M51" s="6">
        <v>0</v>
      </c>
      <c r="N51" s="6">
        <v>0</v>
      </c>
      <c r="O51" s="6">
        <v>0</v>
      </c>
      <c r="P51" s="6">
        <v>1</v>
      </c>
      <c r="Q51" s="6">
        <v>0</v>
      </c>
      <c r="R51" s="6">
        <v>0</v>
      </c>
      <c r="S51" s="5">
        <f t="shared" si="19"/>
        <v>2</v>
      </c>
    </row>
    <row r="52" spans="1:19" ht="13.15" customHeight="1" x14ac:dyDescent="0.3">
      <c r="A52" s="7"/>
      <c r="B52" s="50"/>
      <c r="C52" s="24" t="s">
        <v>121</v>
      </c>
      <c r="D52" s="49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1</v>
      </c>
      <c r="M52" s="6">
        <v>0</v>
      </c>
      <c r="N52" s="6">
        <v>1</v>
      </c>
      <c r="O52" s="6">
        <v>0</v>
      </c>
      <c r="P52" s="6">
        <v>0</v>
      </c>
      <c r="Q52" s="6">
        <v>0</v>
      </c>
      <c r="R52" s="6"/>
      <c r="S52" s="5">
        <f t="shared" si="19"/>
        <v>2</v>
      </c>
    </row>
    <row r="53" spans="1:19" ht="13.15" customHeight="1" x14ac:dyDescent="0.3">
      <c r="A53" s="7"/>
      <c r="B53" s="50"/>
      <c r="C53" s="24" t="s">
        <v>122</v>
      </c>
      <c r="D53" s="51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5">
        <f t="shared" si="19"/>
        <v>0</v>
      </c>
    </row>
    <row r="54" spans="1:19" ht="13.15" customHeight="1" x14ac:dyDescent="0.3">
      <c r="A54" s="7"/>
      <c r="B54" s="50"/>
      <c r="C54" s="24" t="s">
        <v>123</v>
      </c>
      <c r="D54" s="49"/>
      <c r="E54" s="6">
        <v>0</v>
      </c>
      <c r="F54" s="6">
        <v>1</v>
      </c>
      <c r="G54" s="6">
        <v>0</v>
      </c>
      <c r="H54" s="6">
        <v>1</v>
      </c>
      <c r="I54" s="6">
        <v>0</v>
      </c>
      <c r="J54" s="6">
        <v>1</v>
      </c>
      <c r="K54" s="6">
        <v>1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5">
        <f t="shared" si="19"/>
        <v>4</v>
      </c>
    </row>
    <row r="55" spans="1:19" x14ac:dyDescent="0.3">
      <c r="A55" s="6" t="s">
        <v>26</v>
      </c>
      <c r="B55" s="84" t="s">
        <v>51</v>
      </c>
      <c r="C55" s="63"/>
      <c r="D55" s="64"/>
      <c r="E55" s="5">
        <f>SUM(E45:E54)</f>
        <v>37</v>
      </c>
      <c r="F55" s="5">
        <f t="shared" ref="F55:S55" si="20">SUM(F45:F54)</f>
        <v>17</v>
      </c>
      <c r="G55" s="5">
        <f t="shared" si="20"/>
        <v>27</v>
      </c>
      <c r="H55" s="5">
        <f t="shared" si="20"/>
        <v>34</v>
      </c>
      <c r="I55" s="5">
        <f t="shared" si="20"/>
        <v>24</v>
      </c>
      <c r="J55" s="5">
        <f t="shared" si="20"/>
        <v>9</v>
      </c>
      <c r="K55" s="5">
        <f t="shared" si="20"/>
        <v>54</v>
      </c>
      <c r="L55" s="5">
        <f t="shared" si="20"/>
        <v>29</v>
      </c>
      <c r="M55" s="5">
        <f t="shared" si="20"/>
        <v>9</v>
      </c>
      <c r="N55" s="5">
        <f t="shared" si="20"/>
        <v>27</v>
      </c>
      <c r="O55" s="5">
        <f t="shared" si="20"/>
        <v>17</v>
      </c>
      <c r="P55" s="5">
        <f t="shared" si="20"/>
        <v>18</v>
      </c>
      <c r="Q55" s="5">
        <f t="shared" si="20"/>
        <v>11</v>
      </c>
      <c r="R55" s="5">
        <f t="shared" si="20"/>
        <v>55</v>
      </c>
      <c r="S55" s="5">
        <f t="shared" si="20"/>
        <v>368</v>
      </c>
    </row>
    <row r="56" spans="1:19" x14ac:dyDescent="0.3">
      <c r="A56" s="83"/>
      <c r="B56" s="82"/>
      <c r="C56" s="82"/>
      <c r="D56" s="82"/>
      <c r="E56" s="82"/>
      <c r="S56" s="5"/>
    </row>
    <row r="57" spans="1:19" x14ac:dyDescent="0.3">
      <c r="A57" s="11" t="s">
        <v>48</v>
      </c>
      <c r="B57" s="17" t="s">
        <v>30</v>
      </c>
      <c r="C57" s="86" t="s">
        <v>52</v>
      </c>
      <c r="D57" s="64"/>
      <c r="E57" s="6">
        <v>17</v>
      </c>
      <c r="F57" s="6">
        <v>17</v>
      </c>
      <c r="G57" s="6">
        <v>14</v>
      </c>
      <c r="H57" s="6">
        <v>24</v>
      </c>
      <c r="I57" s="6">
        <v>30</v>
      </c>
      <c r="J57" s="6">
        <v>50</v>
      </c>
      <c r="K57" s="6">
        <v>32</v>
      </c>
      <c r="L57" s="6">
        <v>23</v>
      </c>
      <c r="M57" s="6">
        <v>33</v>
      </c>
      <c r="N57" s="6">
        <v>20</v>
      </c>
      <c r="O57" s="6">
        <v>31</v>
      </c>
      <c r="P57" s="6">
        <v>27</v>
      </c>
      <c r="Q57" s="6">
        <v>35</v>
      </c>
      <c r="R57" s="6">
        <v>25</v>
      </c>
      <c r="S57" s="5">
        <f t="shared" ref="S57:S66" si="21">SUM(E57:R57)</f>
        <v>378</v>
      </c>
    </row>
    <row r="58" spans="1:19" x14ac:dyDescent="0.3">
      <c r="A58" s="11" t="s">
        <v>50</v>
      </c>
      <c r="B58" s="50"/>
      <c r="C58" s="24" t="s">
        <v>124</v>
      </c>
      <c r="D58" s="49"/>
      <c r="E58" s="6">
        <v>19</v>
      </c>
      <c r="F58" s="6">
        <v>14</v>
      </c>
      <c r="G58" s="6">
        <v>8</v>
      </c>
      <c r="H58" s="6">
        <v>8</v>
      </c>
      <c r="I58" s="6">
        <v>28</v>
      </c>
      <c r="J58" s="6">
        <v>20</v>
      </c>
      <c r="K58" s="6">
        <v>19</v>
      </c>
      <c r="L58" s="6">
        <v>10</v>
      </c>
      <c r="M58" s="6">
        <v>15</v>
      </c>
      <c r="N58" s="6">
        <v>23</v>
      </c>
      <c r="O58" s="6">
        <v>20</v>
      </c>
      <c r="P58" s="6">
        <v>21</v>
      </c>
      <c r="Q58" s="6">
        <v>18</v>
      </c>
      <c r="R58" s="6">
        <v>8</v>
      </c>
      <c r="S58" s="5">
        <f t="shared" si="21"/>
        <v>231</v>
      </c>
    </row>
    <row r="59" spans="1:19" x14ac:dyDescent="0.3">
      <c r="A59" s="7"/>
      <c r="B59" s="50"/>
      <c r="C59" s="24" t="s">
        <v>125</v>
      </c>
      <c r="D59" s="49"/>
      <c r="E59" s="6">
        <v>12</v>
      </c>
      <c r="F59" s="6">
        <v>16</v>
      </c>
      <c r="G59" s="6">
        <v>13</v>
      </c>
      <c r="H59" s="6">
        <v>29</v>
      </c>
      <c r="I59" s="6">
        <v>34</v>
      </c>
      <c r="J59" s="6">
        <v>37</v>
      </c>
      <c r="K59" s="6">
        <v>20</v>
      </c>
      <c r="L59" s="6">
        <v>17</v>
      </c>
      <c r="M59" s="6">
        <v>12</v>
      </c>
      <c r="N59" s="6">
        <v>13</v>
      </c>
      <c r="O59" s="6">
        <v>17</v>
      </c>
      <c r="P59" s="6">
        <v>12</v>
      </c>
      <c r="Q59" s="6">
        <v>2</v>
      </c>
      <c r="R59" s="6">
        <v>9</v>
      </c>
      <c r="S59" s="5">
        <f t="shared" si="21"/>
        <v>243</v>
      </c>
    </row>
    <row r="60" spans="1:19" x14ac:dyDescent="0.3">
      <c r="A60" s="7"/>
      <c r="B60" s="50"/>
      <c r="C60" s="24" t="s">
        <v>126</v>
      </c>
      <c r="D60" s="49"/>
      <c r="E60" s="6">
        <v>4</v>
      </c>
      <c r="F60" s="6">
        <v>2</v>
      </c>
      <c r="G60" s="6">
        <v>0</v>
      </c>
      <c r="H60" s="6">
        <v>4</v>
      </c>
      <c r="I60" s="6">
        <v>12</v>
      </c>
      <c r="J60" s="6">
        <v>6</v>
      </c>
      <c r="K60" s="6">
        <v>0</v>
      </c>
      <c r="L60" s="6">
        <v>2</v>
      </c>
      <c r="M60" s="6">
        <v>5</v>
      </c>
      <c r="N60" s="6">
        <v>2</v>
      </c>
      <c r="O60" s="6">
        <v>7</v>
      </c>
      <c r="P60" s="6">
        <v>3</v>
      </c>
      <c r="Q60" s="6">
        <v>5</v>
      </c>
      <c r="R60" s="6">
        <v>3</v>
      </c>
      <c r="S60" s="5">
        <f t="shared" si="21"/>
        <v>55</v>
      </c>
    </row>
    <row r="61" spans="1:19" x14ac:dyDescent="0.3">
      <c r="A61" s="7"/>
      <c r="B61" s="50"/>
      <c r="C61" s="24" t="s">
        <v>127</v>
      </c>
      <c r="D61" s="49"/>
      <c r="E61" s="6">
        <v>1</v>
      </c>
      <c r="F61" s="6">
        <v>5</v>
      </c>
      <c r="G61" s="6">
        <v>2</v>
      </c>
      <c r="H61" s="6">
        <v>2</v>
      </c>
      <c r="I61" s="6">
        <v>5</v>
      </c>
      <c r="J61" s="6">
        <v>3</v>
      </c>
      <c r="K61" s="6">
        <v>6</v>
      </c>
      <c r="L61" s="6">
        <v>4</v>
      </c>
      <c r="M61" s="6">
        <v>34</v>
      </c>
      <c r="N61" s="6">
        <v>20</v>
      </c>
      <c r="O61" s="6">
        <v>18</v>
      </c>
      <c r="P61" s="6">
        <v>15</v>
      </c>
      <c r="Q61" s="6">
        <v>18</v>
      </c>
      <c r="R61" s="6">
        <v>0</v>
      </c>
      <c r="S61" s="5">
        <f t="shared" si="21"/>
        <v>133</v>
      </c>
    </row>
    <row r="62" spans="1:19" x14ac:dyDescent="0.3">
      <c r="A62" s="7"/>
      <c r="B62" s="50"/>
      <c r="C62" s="24" t="s">
        <v>128</v>
      </c>
      <c r="D62" s="49"/>
      <c r="E62" s="6">
        <v>0</v>
      </c>
      <c r="F62" s="6">
        <v>0</v>
      </c>
      <c r="G62" s="6">
        <v>1</v>
      </c>
      <c r="H62" s="6">
        <v>0</v>
      </c>
      <c r="I62" s="6">
        <v>3</v>
      </c>
      <c r="J62" s="6">
        <v>2</v>
      </c>
      <c r="K62" s="6">
        <v>2</v>
      </c>
      <c r="L62" s="6">
        <v>4</v>
      </c>
      <c r="M62" s="6">
        <v>2</v>
      </c>
      <c r="N62" s="6">
        <v>0</v>
      </c>
      <c r="O62" s="6">
        <v>0</v>
      </c>
      <c r="P62" s="6">
        <v>5</v>
      </c>
      <c r="Q62" s="6">
        <v>1</v>
      </c>
      <c r="R62" s="6">
        <v>4</v>
      </c>
      <c r="S62" s="5">
        <f t="shared" si="21"/>
        <v>24</v>
      </c>
    </row>
    <row r="63" spans="1:19" ht="13.15" customHeight="1" x14ac:dyDescent="0.3">
      <c r="A63" s="7"/>
      <c r="B63" s="50"/>
      <c r="C63" s="24" t="s">
        <v>129</v>
      </c>
      <c r="D63" s="49"/>
      <c r="E63" s="6">
        <v>0</v>
      </c>
      <c r="F63" s="6">
        <v>1</v>
      </c>
      <c r="G63" s="6">
        <v>0</v>
      </c>
      <c r="H63" s="6">
        <v>0</v>
      </c>
      <c r="I63" s="6">
        <v>1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5">
        <f t="shared" si="21"/>
        <v>2</v>
      </c>
    </row>
    <row r="64" spans="1:19" x14ac:dyDescent="0.3">
      <c r="A64" s="7"/>
      <c r="B64" s="50"/>
      <c r="C64" s="24" t="s">
        <v>130</v>
      </c>
      <c r="D64" s="49"/>
      <c r="E64" s="6">
        <v>0</v>
      </c>
      <c r="F64" s="6">
        <v>0</v>
      </c>
      <c r="G64" s="6">
        <v>1</v>
      </c>
      <c r="H64" s="6">
        <v>0</v>
      </c>
      <c r="I64" s="6">
        <v>0</v>
      </c>
      <c r="J64" s="6">
        <v>3</v>
      </c>
      <c r="K64" s="6">
        <v>0</v>
      </c>
      <c r="L64" s="6">
        <v>0</v>
      </c>
      <c r="M64" s="6">
        <v>1</v>
      </c>
      <c r="N64" s="6">
        <v>0</v>
      </c>
      <c r="O64" s="6">
        <v>1</v>
      </c>
      <c r="P64" s="6">
        <v>1</v>
      </c>
      <c r="Q64" s="6">
        <v>0</v>
      </c>
      <c r="R64" s="6">
        <v>0</v>
      </c>
      <c r="S64" s="5">
        <f t="shared" si="21"/>
        <v>7</v>
      </c>
    </row>
    <row r="65" spans="1:19" x14ac:dyDescent="0.3">
      <c r="A65" s="7"/>
      <c r="B65" s="50"/>
      <c r="C65" s="24" t="s">
        <v>131</v>
      </c>
      <c r="D65" s="49"/>
      <c r="E65" s="6">
        <v>0</v>
      </c>
      <c r="F65" s="6">
        <v>0</v>
      </c>
      <c r="G65" s="6">
        <v>0</v>
      </c>
      <c r="H65" s="6">
        <v>0</v>
      </c>
      <c r="I65" s="6">
        <v>1</v>
      </c>
      <c r="J65" s="6">
        <v>0</v>
      </c>
      <c r="K65" s="6">
        <v>1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5">
        <f t="shared" si="21"/>
        <v>2</v>
      </c>
    </row>
    <row r="66" spans="1:19" x14ac:dyDescent="0.3">
      <c r="A66" s="7"/>
      <c r="B66" s="50"/>
      <c r="C66" s="24" t="s">
        <v>132</v>
      </c>
      <c r="D66" s="49"/>
      <c r="E66" s="6">
        <v>3</v>
      </c>
      <c r="F66" s="6">
        <v>0</v>
      </c>
      <c r="G66" s="6">
        <v>1</v>
      </c>
      <c r="H66" s="6">
        <v>0</v>
      </c>
      <c r="I66" s="6">
        <v>3</v>
      </c>
      <c r="J66" s="6">
        <v>1</v>
      </c>
      <c r="K66" s="6">
        <v>0</v>
      </c>
      <c r="L66" s="6">
        <v>1</v>
      </c>
      <c r="M66" s="6">
        <v>0</v>
      </c>
      <c r="N66" s="6">
        <v>0</v>
      </c>
      <c r="O66" s="6">
        <v>0</v>
      </c>
      <c r="P66" s="6">
        <v>0</v>
      </c>
      <c r="Q66" s="6">
        <v>2</v>
      </c>
      <c r="R66" s="6">
        <v>0</v>
      </c>
      <c r="S66" s="5">
        <f t="shared" si="21"/>
        <v>11</v>
      </c>
    </row>
    <row r="67" spans="1:19" x14ac:dyDescent="0.3">
      <c r="A67" s="6" t="s">
        <v>26</v>
      </c>
      <c r="B67" s="84" t="s">
        <v>51</v>
      </c>
      <c r="C67" s="63"/>
      <c r="D67" s="64"/>
      <c r="E67" s="5">
        <f t="shared" ref="E67:S67" si="22">SUM(E57:E66)</f>
        <v>56</v>
      </c>
      <c r="F67" s="5">
        <f t="shared" si="22"/>
        <v>55</v>
      </c>
      <c r="G67" s="5">
        <f t="shared" si="22"/>
        <v>40</v>
      </c>
      <c r="H67" s="5">
        <f t="shared" si="22"/>
        <v>67</v>
      </c>
      <c r="I67" s="5">
        <f t="shared" si="22"/>
        <v>117</v>
      </c>
      <c r="J67" s="5">
        <f t="shared" si="22"/>
        <v>122</v>
      </c>
      <c r="K67" s="5">
        <f t="shared" si="22"/>
        <v>80</v>
      </c>
      <c r="L67" s="5">
        <f t="shared" si="22"/>
        <v>61</v>
      </c>
      <c r="M67" s="5">
        <f t="shared" si="22"/>
        <v>102</v>
      </c>
      <c r="N67" s="5">
        <f t="shared" si="22"/>
        <v>78</v>
      </c>
      <c r="O67" s="5">
        <f t="shared" si="22"/>
        <v>94</v>
      </c>
      <c r="P67" s="5">
        <f t="shared" si="22"/>
        <v>84</v>
      </c>
      <c r="Q67" s="5">
        <f t="shared" si="22"/>
        <v>81</v>
      </c>
      <c r="R67" s="5">
        <f t="shared" si="22"/>
        <v>49</v>
      </c>
      <c r="S67" s="5">
        <f t="shared" si="22"/>
        <v>1086</v>
      </c>
    </row>
    <row r="68" spans="1:19" x14ac:dyDescent="0.3">
      <c r="A68" s="83"/>
      <c r="B68" s="82"/>
      <c r="C68" s="82"/>
      <c r="D68" s="82"/>
      <c r="E68" s="82"/>
    </row>
    <row r="69" spans="1:19" x14ac:dyDescent="0.3">
      <c r="A69" s="11" t="s">
        <v>48</v>
      </c>
      <c r="B69" s="17" t="s">
        <v>32</v>
      </c>
      <c r="C69" s="86" t="s">
        <v>53</v>
      </c>
      <c r="D69" s="64"/>
      <c r="E69" s="6">
        <v>2</v>
      </c>
      <c r="F69" s="6">
        <v>4</v>
      </c>
      <c r="G69" s="6">
        <v>6</v>
      </c>
      <c r="H69" s="6">
        <v>3</v>
      </c>
      <c r="I69" s="6">
        <v>4</v>
      </c>
      <c r="J69" s="6">
        <v>2</v>
      </c>
      <c r="K69" s="6">
        <v>2</v>
      </c>
      <c r="L69" s="6">
        <v>5</v>
      </c>
      <c r="M69" s="6">
        <v>6</v>
      </c>
      <c r="N69" s="6">
        <v>13</v>
      </c>
      <c r="O69" s="6">
        <v>9</v>
      </c>
      <c r="P69" s="6">
        <v>11</v>
      </c>
      <c r="Q69" s="6">
        <v>16</v>
      </c>
      <c r="R69" s="6">
        <v>5</v>
      </c>
      <c r="S69" s="5">
        <f t="shared" ref="S69:S78" si="23">SUM(E69:R69)</f>
        <v>88</v>
      </c>
    </row>
    <row r="70" spans="1:19" x14ac:dyDescent="0.3">
      <c r="A70" s="11" t="s">
        <v>50</v>
      </c>
      <c r="B70" s="50"/>
      <c r="C70" s="24" t="s">
        <v>133</v>
      </c>
      <c r="D70" s="49"/>
      <c r="E70" s="6">
        <v>3</v>
      </c>
      <c r="F70" s="6">
        <v>1</v>
      </c>
      <c r="G70" s="6">
        <v>5</v>
      </c>
      <c r="H70" s="6">
        <v>4</v>
      </c>
      <c r="I70" s="6">
        <v>3</v>
      </c>
      <c r="J70" s="6">
        <v>2</v>
      </c>
      <c r="K70" s="6">
        <v>4</v>
      </c>
      <c r="L70" s="6">
        <v>4</v>
      </c>
      <c r="M70" s="6">
        <v>3</v>
      </c>
      <c r="N70" s="6">
        <v>1</v>
      </c>
      <c r="O70" s="6">
        <v>4</v>
      </c>
      <c r="P70" s="6">
        <v>2</v>
      </c>
      <c r="Q70" s="6">
        <v>1</v>
      </c>
      <c r="R70" s="6">
        <v>0</v>
      </c>
      <c r="S70" s="5">
        <f t="shared" si="23"/>
        <v>37</v>
      </c>
    </row>
    <row r="71" spans="1:19" x14ac:dyDescent="0.3">
      <c r="A71" s="7"/>
      <c r="B71" s="50"/>
      <c r="C71" s="24" t="s">
        <v>134</v>
      </c>
      <c r="D71" s="49"/>
      <c r="E71" s="6">
        <v>7</v>
      </c>
      <c r="F71" s="6">
        <v>3</v>
      </c>
      <c r="G71" s="6">
        <v>2</v>
      </c>
      <c r="H71" s="6">
        <v>9</v>
      </c>
      <c r="I71" s="6">
        <v>2</v>
      </c>
      <c r="J71" s="6">
        <v>0</v>
      </c>
      <c r="K71" s="6">
        <v>2</v>
      </c>
      <c r="L71" s="6">
        <v>6</v>
      </c>
      <c r="M71" s="6">
        <v>6</v>
      </c>
      <c r="N71" s="6">
        <v>9</v>
      </c>
      <c r="O71" s="6">
        <v>8</v>
      </c>
      <c r="P71" s="6">
        <v>2</v>
      </c>
      <c r="Q71" s="6">
        <v>8</v>
      </c>
      <c r="R71" s="6">
        <v>1</v>
      </c>
      <c r="S71" s="5">
        <f t="shared" si="23"/>
        <v>65</v>
      </c>
    </row>
    <row r="72" spans="1:19" x14ac:dyDescent="0.3">
      <c r="A72" s="7"/>
      <c r="B72" s="50"/>
      <c r="C72" s="24" t="s">
        <v>135</v>
      </c>
      <c r="D72" s="49"/>
      <c r="E72" s="6">
        <v>1</v>
      </c>
      <c r="F72" s="6">
        <v>0</v>
      </c>
      <c r="G72" s="6">
        <v>2</v>
      </c>
      <c r="H72" s="6">
        <v>2</v>
      </c>
      <c r="I72" s="6">
        <v>0</v>
      </c>
      <c r="J72" s="6">
        <v>1</v>
      </c>
      <c r="K72" s="6">
        <v>1</v>
      </c>
      <c r="L72" s="6">
        <v>1</v>
      </c>
      <c r="M72" s="6">
        <v>5</v>
      </c>
      <c r="N72" s="6">
        <v>4</v>
      </c>
      <c r="O72" s="6">
        <v>5</v>
      </c>
      <c r="P72" s="6">
        <v>1</v>
      </c>
      <c r="Q72" s="6">
        <v>1</v>
      </c>
      <c r="R72" s="6">
        <v>0</v>
      </c>
      <c r="S72" s="5">
        <f t="shared" si="23"/>
        <v>24</v>
      </c>
    </row>
    <row r="73" spans="1:19" x14ac:dyDescent="0.3">
      <c r="A73" s="7"/>
      <c r="B73" s="50"/>
      <c r="C73" s="24" t="s">
        <v>136</v>
      </c>
      <c r="D73" s="49"/>
      <c r="E73" s="6">
        <v>1</v>
      </c>
      <c r="F73" s="6">
        <v>0</v>
      </c>
      <c r="G73" s="6">
        <v>2</v>
      </c>
      <c r="H73" s="6">
        <v>0</v>
      </c>
      <c r="I73" s="6">
        <v>0</v>
      </c>
      <c r="J73" s="6">
        <v>0</v>
      </c>
      <c r="K73" s="6">
        <v>0</v>
      </c>
      <c r="L73" s="6">
        <v>1</v>
      </c>
      <c r="M73" s="6">
        <v>0</v>
      </c>
      <c r="N73" s="6">
        <v>5</v>
      </c>
      <c r="O73" s="6">
        <v>8</v>
      </c>
      <c r="P73" s="6">
        <v>3</v>
      </c>
      <c r="Q73" s="6">
        <v>12</v>
      </c>
      <c r="R73" s="6">
        <v>0</v>
      </c>
      <c r="S73" s="5">
        <f t="shared" si="23"/>
        <v>32</v>
      </c>
    </row>
    <row r="74" spans="1:19" ht="13.15" customHeight="1" x14ac:dyDescent="0.3">
      <c r="A74" s="7"/>
      <c r="B74" s="50"/>
      <c r="C74" s="24" t="s">
        <v>137</v>
      </c>
      <c r="D74" s="49"/>
      <c r="E74" s="6">
        <v>1</v>
      </c>
      <c r="F74" s="6">
        <v>1</v>
      </c>
      <c r="G74" s="6">
        <v>3</v>
      </c>
      <c r="H74" s="6">
        <v>1</v>
      </c>
      <c r="I74" s="6">
        <v>1</v>
      </c>
      <c r="J74" s="6">
        <v>0</v>
      </c>
      <c r="K74" s="6">
        <v>4</v>
      </c>
      <c r="L74" s="6">
        <v>0</v>
      </c>
      <c r="M74" s="6">
        <v>0</v>
      </c>
      <c r="N74" s="6">
        <v>1</v>
      </c>
      <c r="O74" s="6">
        <v>0</v>
      </c>
      <c r="P74" s="6">
        <v>1</v>
      </c>
      <c r="Q74" s="6">
        <v>1</v>
      </c>
      <c r="R74" s="6">
        <v>0</v>
      </c>
      <c r="S74" s="5">
        <f t="shared" si="23"/>
        <v>14</v>
      </c>
    </row>
    <row r="75" spans="1:19" x14ac:dyDescent="0.3">
      <c r="A75" s="7"/>
      <c r="B75" s="50"/>
      <c r="C75" s="24" t="s">
        <v>138</v>
      </c>
      <c r="D75" s="49"/>
      <c r="E75" s="6">
        <v>0</v>
      </c>
      <c r="F75" s="6">
        <v>0</v>
      </c>
      <c r="G75" s="6">
        <v>0</v>
      </c>
      <c r="H75" s="6">
        <v>2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3</v>
      </c>
      <c r="O75" s="6">
        <v>0</v>
      </c>
      <c r="P75" s="6">
        <v>0</v>
      </c>
      <c r="Q75" s="6">
        <v>0</v>
      </c>
      <c r="R75" s="6">
        <v>0</v>
      </c>
      <c r="S75" s="5">
        <f t="shared" si="23"/>
        <v>5</v>
      </c>
    </row>
    <row r="76" spans="1:19" x14ac:dyDescent="0.3">
      <c r="A76" s="7"/>
      <c r="B76" s="50"/>
      <c r="C76" s="24" t="s">
        <v>139</v>
      </c>
      <c r="D76" s="49"/>
      <c r="E76" s="6">
        <v>1</v>
      </c>
      <c r="F76" s="6">
        <v>0</v>
      </c>
      <c r="G76" s="6">
        <v>1</v>
      </c>
      <c r="H76" s="6">
        <v>0</v>
      </c>
      <c r="I76" s="6">
        <v>0</v>
      </c>
      <c r="J76" s="6">
        <v>1</v>
      </c>
      <c r="K76" s="6">
        <v>0</v>
      </c>
      <c r="L76" s="6">
        <v>0</v>
      </c>
      <c r="M76" s="6">
        <v>1</v>
      </c>
      <c r="N76" s="6">
        <v>1</v>
      </c>
      <c r="O76" s="6">
        <v>0</v>
      </c>
      <c r="P76" s="6">
        <v>0</v>
      </c>
      <c r="Q76" s="6">
        <v>1</v>
      </c>
      <c r="R76" s="6">
        <v>0</v>
      </c>
      <c r="S76" s="5">
        <f t="shared" si="23"/>
        <v>6</v>
      </c>
    </row>
    <row r="77" spans="1:19" x14ac:dyDescent="0.3">
      <c r="A77" s="7"/>
      <c r="B77" s="50"/>
      <c r="C77" s="24" t="s">
        <v>140</v>
      </c>
      <c r="D77" s="49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1</v>
      </c>
      <c r="M77" s="6">
        <v>0</v>
      </c>
      <c r="N77" s="6">
        <v>0</v>
      </c>
      <c r="O77" s="6">
        <v>1</v>
      </c>
      <c r="P77" s="6">
        <v>1</v>
      </c>
      <c r="Q77" s="6">
        <v>0</v>
      </c>
      <c r="R77" s="6">
        <v>0</v>
      </c>
      <c r="S77" s="5">
        <f t="shared" si="23"/>
        <v>3</v>
      </c>
    </row>
    <row r="78" spans="1:19" x14ac:dyDescent="0.3">
      <c r="A78" s="7"/>
      <c r="B78" s="50"/>
      <c r="C78" s="24" t="s">
        <v>141</v>
      </c>
      <c r="D78" s="49"/>
      <c r="E78" s="6">
        <v>0</v>
      </c>
      <c r="F78" s="6">
        <v>1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1</v>
      </c>
      <c r="M78" s="6">
        <v>0</v>
      </c>
      <c r="N78" s="6">
        <v>1</v>
      </c>
      <c r="O78" s="6">
        <v>0</v>
      </c>
      <c r="P78" s="6">
        <v>0</v>
      </c>
      <c r="Q78" s="6">
        <v>0</v>
      </c>
      <c r="R78" s="6">
        <v>0</v>
      </c>
      <c r="S78" s="5">
        <f t="shared" si="23"/>
        <v>3</v>
      </c>
    </row>
    <row r="79" spans="1:19" x14ac:dyDescent="0.3">
      <c r="A79" s="6" t="s">
        <v>26</v>
      </c>
      <c r="B79" s="84" t="s">
        <v>51</v>
      </c>
      <c r="C79" s="63"/>
      <c r="D79" s="64"/>
      <c r="E79" s="5">
        <f t="shared" ref="E79:S79" si="24">SUM(E69:E78)</f>
        <v>16</v>
      </c>
      <c r="F79" s="5">
        <f t="shared" si="24"/>
        <v>10</v>
      </c>
      <c r="G79" s="5">
        <f t="shared" si="24"/>
        <v>21</v>
      </c>
      <c r="H79" s="5">
        <f t="shared" si="24"/>
        <v>21</v>
      </c>
      <c r="I79" s="5">
        <f t="shared" si="24"/>
        <v>10</v>
      </c>
      <c r="J79" s="5">
        <f t="shared" si="24"/>
        <v>6</v>
      </c>
      <c r="K79" s="5">
        <f t="shared" si="24"/>
        <v>13</v>
      </c>
      <c r="L79" s="5">
        <f t="shared" si="24"/>
        <v>19</v>
      </c>
      <c r="M79" s="5">
        <f t="shared" si="24"/>
        <v>21</v>
      </c>
      <c r="N79" s="5">
        <f t="shared" si="24"/>
        <v>38</v>
      </c>
      <c r="O79" s="5">
        <f t="shared" si="24"/>
        <v>35</v>
      </c>
      <c r="P79" s="5">
        <f t="shared" si="24"/>
        <v>21</v>
      </c>
      <c r="Q79" s="5">
        <f t="shared" si="24"/>
        <v>40</v>
      </c>
      <c r="R79" s="5">
        <f t="shared" si="24"/>
        <v>6</v>
      </c>
      <c r="S79" s="5">
        <f t="shared" si="24"/>
        <v>277</v>
      </c>
    </row>
    <row r="80" spans="1:19" x14ac:dyDescent="0.3">
      <c r="A80" s="83"/>
      <c r="B80" s="82"/>
      <c r="C80" s="82"/>
      <c r="D80" s="82"/>
      <c r="E80" s="82"/>
    </row>
    <row r="81" spans="1:19" x14ac:dyDescent="0.3">
      <c r="A81" s="11" t="s">
        <v>48</v>
      </c>
      <c r="B81" s="17" t="s">
        <v>34</v>
      </c>
      <c r="C81" s="86" t="s">
        <v>54</v>
      </c>
      <c r="D81" s="64"/>
      <c r="E81" s="6">
        <v>1</v>
      </c>
      <c r="F81" s="6">
        <v>2</v>
      </c>
      <c r="G81" s="6">
        <v>11</v>
      </c>
      <c r="H81" s="6">
        <v>2</v>
      </c>
      <c r="I81" s="6">
        <v>2</v>
      </c>
      <c r="J81" s="6">
        <v>2</v>
      </c>
      <c r="K81" s="6">
        <v>1</v>
      </c>
      <c r="L81" s="6">
        <v>3</v>
      </c>
      <c r="M81" s="6">
        <v>2</v>
      </c>
      <c r="N81" s="6">
        <v>8</v>
      </c>
      <c r="O81" s="6">
        <v>2</v>
      </c>
      <c r="P81" s="6">
        <v>2</v>
      </c>
      <c r="Q81" s="6">
        <v>2</v>
      </c>
      <c r="R81" s="6">
        <v>2</v>
      </c>
      <c r="S81" s="5">
        <f t="shared" ref="S81:S90" si="25">SUM(E81:R81)</f>
        <v>42</v>
      </c>
    </row>
    <row r="82" spans="1:19" x14ac:dyDescent="0.3">
      <c r="A82" s="11" t="s">
        <v>50</v>
      </c>
      <c r="B82" s="50"/>
      <c r="C82" s="24" t="s">
        <v>142</v>
      </c>
      <c r="D82" s="49"/>
      <c r="E82" s="6">
        <v>2</v>
      </c>
      <c r="F82" s="6">
        <v>2</v>
      </c>
      <c r="G82" s="6">
        <v>5</v>
      </c>
      <c r="H82" s="6">
        <v>3</v>
      </c>
      <c r="I82" s="6">
        <v>2</v>
      </c>
      <c r="J82" s="6">
        <v>0</v>
      </c>
      <c r="K82" s="6">
        <v>1</v>
      </c>
      <c r="L82" s="6">
        <v>4</v>
      </c>
      <c r="M82" s="6">
        <v>2</v>
      </c>
      <c r="N82" s="6">
        <v>13</v>
      </c>
      <c r="O82" s="6">
        <v>0</v>
      </c>
      <c r="P82" s="6">
        <v>5</v>
      </c>
      <c r="Q82" s="6">
        <v>3</v>
      </c>
      <c r="R82" s="6">
        <v>1</v>
      </c>
      <c r="S82" s="5">
        <f t="shared" si="25"/>
        <v>43</v>
      </c>
    </row>
    <row r="83" spans="1:19" x14ac:dyDescent="0.3">
      <c r="A83" s="7"/>
      <c r="B83" s="50"/>
      <c r="C83" s="24" t="s">
        <v>143</v>
      </c>
      <c r="D83" s="49"/>
      <c r="E83" s="6">
        <v>0</v>
      </c>
      <c r="F83" s="6">
        <v>1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1</v>
      </c>
      <c r="O83" s="6">
        <v>1</v>
      </c>
      <c r="P83" s="6">
        <v>1</v>
      </c>
      <c r="Q83" s="6">
        <v>0</v>
      </c>
      <c r="R83" s="6">
        <v>0</v>
      </c>
      <c r="S83" s="5">
        <f t="shared" si="25"/>
        <v>4</v>
      </c>
    </row>
    <row r="84" spans="1:19" x14ac:dyDescent="0.3">
      <c r="A84" s="7"/>
      <c r="B84" s="50"/>
      <c r="C84" s="24" t="s">
        <v>144</v>
      </c>
      <c r="D84" s="49"/>
      <c r="E84" s="6">
        <v>0</v>
      </c>
      <c r="F84" s="6">
        <v>0</v>
      </c>
      <c r="G84" s="6">
        <v>3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2</v>
      </c>
      <c r="O84" s="6">
        <v>1</v>
      </c>
      <c r="P84" s="6">
        <v>0</v>
      </c>
      <c r="Q84" s="6">
        <v>0</v>
      </c>
      <c r="R84" s="6">
        <v>0</v>
      </c>
      <c r="S84" s="5">
        <f t="shared" si="25"/>
        <v>6</v>
      </c>
    </row>
    <row r="85" spans="1:19" ht="13.15" customHeight="1" x14ac:dyDescent="0.3">
      <c r="A85" s="7"/>
      <c r="B85" s="50"/>
      <c r="C85" s="24" t="s">
        <v>145</v>
      </c>
      <c r="D85" s="49"/>
      <c r="E85" s="6">
        <v>0</v>
      </c>
      <c r="F85" s="6">
        <v>1</v>
      </c>
      <c r="G85" s="6">
        <v>0</v>
      </c>
      <c r="H85" s="6">
        <v>0</v>
      </c>
      <c r="I85" s="6">
        <v>1</v>
      </c>
      <c r="J85" s="6">
        <v>0</v>
      </c>
      <c r="K85" s="6">
        <v>0</v>
      </c>
      <c r="L85" s="6">
        <v>1</v>
      </c>
      <c r="M85" s="6">
        <v>0</v>
      </c>
      <c r="N85" s="6">
        <v>1</v>
      </c>
      <c r="O85" s="6">
        <v>0</v>
      </c>
      <c r="P85" s="6">
        <v>0</v>
      </c>
      <c r="Q85" s="6">
        <v>0</v>
      </c>
      <c r="R85" s="6">
        <v>0</v>
      </c>
      <c r="S85" s="5">
        <f t="shared" si="25"/>
        <v>4</v>
      </c>
    </row>
    <row r="86" spans="1:19" x14ac:dyDescent="0.3">
      <c r="A86" s="7"/>
      <c r="B86" s="50"/>
      <c r="C86" s="24" t="s">
        <v>146</v>
      </c>
      <c r="D86" s="49"/>
      <c r="E86" s="6">
        <v>1</v>
      </c>
      <c r="F86" s="6">
        <v>0</v>
      </c>
      <c r="G86" s="6">
        <v>4</v>
      </c>
      <c r="H86" s="6">
        <v>1</v>
      </c>
      <c r="I86" s="6">
        <v>2</v>
      </c>
      <c r="J86" s="6">
        <v>1</v>
      </c>
      <c r="K86" s="6">
        <v>0</v>
      </c>
      <c r="L86" s="6">
        <v>1</v>
      </c>
      <c r="M86" s="6">
        <v>0</v>
      </c>
      <c r="N86" s="6">
        <v>1</v>
      </c>
      <c r="O86" s="6">
        <v>0</v>
      </c>
      <c r="P86" s="6">
        <v>4</v>
      </c>
      <c r="Q86" s="6">
        <v>0</v>
      </c>
      <c r="R86" s="6">
        <v>0</v>
      </c>
      <c r="S86" s="5">
        <f t="shared" si="25"/>
        <v>15</v>
      </c>
    </row>
    <row r="87" spans="1:19" x14ac:dyDescent="0.3">
      <c r="A87" s="7"/>
      <c r="B87" s="50"/>
      <c r="C87" s="24" t="s">
        <v>147</v>
      </c>
      <c r="D87" s="49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5">
        <f t="shared" si="25"/>
        <v>0</v>
      </c>
    </row>
    <row r="88" spans="1:19" x14ac:dyDescent="0.3">
      <c r="A88" s="7"/>
      <c r="B88" s="50"/>
      <c r="C88" s="24" t="s">
        <v>148</v>
      </c>
      <c r="D88" s="49"/>
      <c r="E88" s="6">
        <v>0</v>
      </c>
      <c r="F88" s="6">
        <v>0</v>
      </c>
      <c r="G88" s="6">
        <v>1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1</v>
      </c>
      <c r="S88" s="5">
        <f t="shared" si="25"/>
        <v>2</v>
      </c>
    </row>
    <row r="89" spans="1:19" x14ac:dyDescent="0.3">
      <c r="A89" s="7"/>
      <c r="B89" s="50"/>
      <c r="C89" s="24" t="s">
        <v>149</v>
      </c>
      <c r="D89" s="49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1</v>
      </c>
      <c r="S89" s="5">
        <f t="shared" si="25"/>
        <v>1</v>
      </c>
    </row>
    <row r="90" spans="1:19" x14ac:dyDescent="0.3">
      <c r="A90" s="7"/>
      <c r="B90" s="50"/>
      <c r="C90" s="24" t="s">
        <v>150</v>
      </c>
      <c r="D90" s="49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5">
        <f t="shared" si="25"/>
        <v>0</v>
      </c>
    </row>
    <row r="91" spans="1:19" x14ac:dyDescent="0.3">
      <c r="A91" s="6" t="s">
        <v>26</v>
      </c>
      <c r="B91" s="84" t="s">
        <v>51</v>
      </c>
      <c r="C91" s="63"/>
      <c r="D91" s="64"/>
      <c r="E91" s="5">
        <f t="shared" ref="E91:S91" si="26">SUM(E81:E90)</f>
        <v>4</v>
      </c>
      <c r="F91" s="5">
        <f t="shared" si="26"/>
        <v>6</v>
      </c>
      <c r="G91" s="5">
        <f t="shared" si="26"/>
        <v>24</v>
      </c>
      <c r="H91" s="5">
        <f t="shared" si="26"/>
        <v>6</v>
      </c>
      <c r="I91" s="5">
        <f t="shared" si="26"/>
        <v>7</v>
      </c>
      <c r="J91" s="5">
        <f t="shared" si="26"/>
        <v>3</v>
      </c>
      <c r="K91" s="5">
        <f t="shared" si="26"/>
        <v>2</v>
      </c>
      <c r="L91" s="5">
        <f t="shared" si="26"/>
        <v>9</v>
      </c>
      <c r="M91" s="5">
        <f t="shared" si="26"/>
        <v>4</v>
      </c>
      <c r="N91" s="5">
        <f t="shared" si="26"/>
        <v>26</v>
      </c>
      <c r="O91" s="5">
        <f t="shared" si="26"/>
        <v>4</v>
      </c>
      <c r="P91" s="5">
        <f t="shared" si="26"/>
        <v>12</v>
      </c>
      <c r="Q91" s="5">
        <f t="shared" si="26"/>
        <v>5</v>
      </c>
      <c r="R91" s="5">
        <f t="shared" si="26"/>
        <v>5</v>
      </c>
      <c r="S91" s="5">
        <f t="shared" si="26"/>
        <v>117</v>
      </c>
    </row>
    <row r="92" spans="1:19" x14ac:dyDescent="0.3">
      <c r="A92" s="83"/>
      <c r="B92" s="82"/>
      <c r="C92" s="82"/>
      <c r="D92" s="82"/>
      <c r="E92" s="82"/>
    </row>
    <row r="93" spans="1:19" x14ac:dyDescent="0.3">
      <c r="A93" s="11" t="s">
        <v>48</v>
      </c>
      <c r="B93" s="17" t="s">
        <v>55</v>
      </c>
      <c r="C93" s="86" t="s">
        <v>56</v>
      </c>
      <c r="D93" s="64"/>
      <c r="E93" s="6">
        <v>2</v>
      </c>
      <c r="F93" s="6">
        <v>0</v>
      </c>
      <c r="G93" s="6">
        <v>5</v>
      </c>
      <c r="H93" s="6">
        <v>1</v>
      </c>
      <c r="I93" s="6">
        <v>1</v>
      </c>
      <c r="J93" s="6">
        <v>0</v>
      </c>
      <c r="K93" s="6">
        <v>0</v>
      </c>
      <c r="L93" s="6">
        <v>1</v>
      </c>
      <c r="M93" s="6">
        <v>1</v>
      </c>
      <c r="N93" s="6">
        <v>1</v>
      </c>
      <c r="O93" s="6">
        <v>0</v>
      </c>
      <c r="P93" s="6">
        <v>0</v>
      </c>
      <c r="Q93" s="6">
        <v>0</v>
      </c>
      <c r="R93" s="6">
        <v>1</v>
      </c>
      <c r="S93" s="5">
        <f t="shared" ref="S93:S102" si="27">SUM(E93:R93)</f>
        <v>13</v>
      </c>
    </row>
    <row r="94" spans="1:19" x14ac:dyDescent="0.3">
      <c r="A94" s="11" t="s">
        <v>50</v>
      </c>
      <c r="B94" s="50"/>
      <c r="C94" s="24" t="s">
        <v>151</v>
      </c>
      <c r="D94" s="51"/>
      <c r="E94" s="6">
        <v>2</v>
      </c>
      <c r="F94" s="6">
        <v>1</v>
      </c>
      <c r="G94" s="6">
        <v>1</v>
      </c>
      <c r="H94" s="6">
        <v>1</v>
      </c>
      <c r="I94" s="6">
        <v>0</v>
      </c>
      <c r="J94" s="6">
        <v>0</v>
      </c>
      <c r="K94" s="6">
        <v>0</v>
      </c>
      <c r="L94" s="6">
        <v>0</v>
      </c>
      <c r="M94" s="6">
        <v>2</v>
      </c>
      <c r="N94" s="6">
        <v>0</v>
      </c>
      <c r="O94" s="6">
        <v>0</v>
      </c>
      <c r="P94" s="6">
        <v>1</v>
      </c>
      <c r="Q94" s="6">
        <v>0</v>
      </c>
      <c r="R94" s="6">
        <v>0</v>
      </c>
      <c r="S94" s="5">
        <f t="shared" si="27"/>
        <v>8</v>
      </c>
    </row>
    <row r="95" spans="1:19" x14ac:dyDescent="0.3">
      <c r="A95" s="7"/>
      <c r="B95" s="50"/>
      <c r="C95" s="24" t="s">
        <v>152</v>
      </c>
      <c r="D95" s="51"/>
      <c r="E95" s="6">
        <v>0</v>
      </c>
      <c r="F95" s="6">
        <v>0</v>
      </c>
      <c r="G95" s="6">
        <v>0</v>
      </c>
      <c r="H95" s="6">
        <v>0</v>
      </c>
      <c r="I95" s="6">
        <v>1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1</v>
      </c>
      <c r="R95" s="6">
        <v>0</v>
      </c>
      <c r="S95" s="5">
        <f t="shared" si="27"/>
        <v>2</v>
      </c>
    </row>
    <row r="96" spans="1:19" ht="13.15" customHeight="1" x14ac:dyDescent="0.3">
      <c r="A96" s="7"/>
      <c r="B96" s="50"/>
      <c r="C96" s="24" t="s">
        <v>153</v>
      </c>
      <c r="D96" s="51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1</v>
      </c>
      <c r="Q96" s="6">
        <v>0</v>
      </c>
      <c r="R96" s="6">
        <v>0</v>
      </c>
      <c r="S96" s="5">
        <f t="shared" si="27"/>
        <v>1</v>
      </c>
    </row>
    <row r="97" spans="1:19" x14ac:dyDescent="0.3">
      <c r="A97" s="7"/>
      <c r="B97" s="50"/>
      <c r="C97" s="24" t="s">
        <v>154</v>
      </c>
      <c r="D97" s="51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5">
        <f t="shared" si="27"/>
        <v>0</v>
      </c>
    </row>
    <row r="98" spans="1:19" x14ac:dyDescent="0.3">
      <c r="A98" s="7"/>
      <c r="B98" s="50"/>
      <c r="C98" s="24" t="s">
        <v>155</v>
      </c>
      <c r="D98" s="49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5">
        <f t="shared" si="27"/>
        <v>0</v>
      </c>
    </row>
    <row r="99" spans="1:19" x14ac:dyDescent="0.3">
      <c r="A99" s="7"/>
      <c r="B99" s="50"/>
      <c r="C99" s="24" t="s">
        <v>156</v>
      </c>
      <c r="D99" s="49"/>
      <c r="E99" s="6">
        <v>1</v>
      </c>
      <c r="F99" s="6">
        <v>0</v>
      </c>
      <c r="G99" s="6">
        <v>0</v>
      </c>
      <c r="H99" s="6">
        <v>1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1</v>
      </c>
      <c r="O99" s="6">
        <v>0</v>
      </c>
      <c r="P99" s="6">
        <v>0</v>
      </c>
      <c r="Q99" s="6">
        <v>0</v>
      </c>
      <c r="R99" s="6">
        <v>0</v>
      </c>
      <c r="S99" s="5">
        <f t="shared" si="27"/>
        <v>3</v>
      </c>
    </row>
    <row r="100" spans="1:19" x14ac:dyDescent="0.3">
      <c r="A100" s="7"/>
      <c r="B100" s="50"/>
      <c r="C100" s="24" t="s">
        <v>157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1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5">
        <f t="shared" si="27"/>
        <v>1</v>
      </c>
    </row>
    <row r="101" spans="1:19" x14ac:dyDescent="0.3">
      <c r="A101" s="7"/>
      <c r="B101" s="50"/>
      <c r="C101" s="24" t="s">
        <v>158</v>
      </c>
      <c r="D101" s="51"/>
      <c r="E101" s="6">
        <v>1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1</v>
      </c>
      <c r="N101" s="6">
        <v>0</v>
      </c>
      <c r="O101" s="6">
        <v>0</v>
      </c>
      <c r="P101" s="6">
        <v>1</v>
      </c>
      <c r="Q101" s="6">
        <v>0</v>
      </c>
      <c r="R101" s="6">
        <v>0</v>
      </c>
      <c r="S101" s="5">
        <f t="shared" si="27"/>
        <v>3</v>
      </c>
    </row>
    <row r="102" spans="1:19" x14ac:dyDescent="0.3">
      <c r="A102" s="7"/>
      <c r="B102" s="50"/>
      <c r="C102" s="24" t="s">
        <v>159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5">
        <f t="shared" si="27"/>
        <v>0</v>
      </c>
    </row>
    <row r="103" spans="1:19" x14ac:dyDescent="0.3">
      <c r="A103" s="6" t="s">
        <v>26</v>
      </c>
      <c r="B103" s="84" t="s">
        <v>51</v>
      </c>
      <c r="C103" s="63"/>
      <c r="D103" s="64"/>
      <c r="E103" s="5">
        <f t="shared" ref="E103:S103" si="28">SUM(E93:E102)</f>
        <v>6</v>
      </c>
      <c r="F103" s="5">
        <f t="shared" si="28"/>
        <v>1</v>
      </c>
      <c r="G103" s="5">
        <f t="shared" si="28"/>
        <v>6</v>
      </c>
      <c r="H103" s="5">
        <f t="shared" si="28"/>
        <v>3</v>
      </c>
      <c r="I103" s="5">
        <f t="shared" si="28"/>
        <v>2</v>
      </c>
      <c r="J103" s="5">
        <f t="shared" si="28"/>
        <v>1</v>
      </c>
      <c r="K103" s="5">
        <f t="shared" si="28"/>
        <v>0</v>
      </c>
      <c r="L103" s="5">
        <f t="shared" si="28"/>
        <v>1</v>
      </c>
      <c r="M103" s="5">
        <f t="shared" si="28"/>
        <v>4</v>
      </c>
      <c r="N103" s="5">
        <f t="shared" si="28"/>
        <v>2</v>
      </c>
      <c r="O103" s="5">
        <f t="shared" si="28"/>
        <v>0</v>
      </c>
      <c r="P103" s="5">
        <f t="shared" si="28"/>
        <v>3</v>
      </c>
      <c r="Q103" s="5">
        <f t="shared" si="28"/>
        <v>1</v>
      </c>
      <c r="R103" s="5">
        <f t="shared" si="28"/>
        <v>1</v>
      </c>
      <c r="S103" s="5">
        <f t="shared" si="28"/>
        <v>31</v>
      </c>
    </row>
    <row r="104" spans="1:19" x14ac:dyDescent="0.3">
      <c r="A104" s="83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</row>
    <row r="105" spans="1:19" x14ac:dyDescent="0.3">
      <c r="A105" s="11" t="s">
        <v>48</v>
      </c>
      <c r="B105" s="17" t="s">
        <v>57</v>
      </c>
      <c r="C105" s="86" t="s">
        <v>58</v>
      </c>
      <c r="D105" s="64"/>
      <c r="E105" s="6">
        <v>0</v>
      </c>
      <c r="F105" s="6">
        <v>0</v>
      </c>
      <c r="G105" s="6">
        <v>0</v>
      </c>
      <c r="H105" s="6">
        <v>1</v>
      </c>
      <c r="I105" s="6">
        <v>1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1</v>
      </c>
      <c r="P105" s="6">
        <v>1</v>
      </c>
      <c r="Q105" s="6">
        <v>0</v>
      </c>
      <c r="R105" s="6">
        <v>0</v>
      </c>
      <c r="S105" s="5">
        <f t="shared" ref="S105:S114" si="29">SUM(E105:R105)</f>
        <v>4</v>
      </c>
    </row>
    <row r="106" spans="1:19" x14ac:dyDescent="0.3">
      <c r="A106" s="11" t="s">
        <v>50</v>
      </c>
      <c r="B106" s="50"/>
      <c r="C106" s="24" t="s">
        <v>160</v>
      </c>
      <c r="D106" s="49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5">
        <f t="shared" si="29"/>
        <v>0</v>
      </c>
    </row>
    <row r="107" spans="1:19" ht="13.15" customHeight="1" x14ac:dyDescent="0.3">
      <c r="A107" s="7"/>
      <c r="B107" s="50"/>
      <c r="C107" s="24" t="s">
        <v>161</v>
      </c>
      <c r="D107" s="49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1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5">
        <f t="shared" si="29"/>
        <v>1</v>
      </c>
    </row>
    <row r="108" spans="1:19" x14ac:dyDescent="0.3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5">
        <f t="shared" si="29"/>
        <v>0</v>
      </c>
    </row>
    <row r="109" spans="1:19" x14ac:dyDescent="0.3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5">
        <f t="shared" si="29"/>
        <v>0</v>
      </c>
    </row>
    <row r="110" spans="1:19" x14ac:dyDescent="0.3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5">
        <f t="shared" si="29"/>
        <v>0</v>
      </c>
    </row>
    <row r="111" spans="1:19" x14ac:dyDescent="0.3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5">
        <f t="shared" si="29"/>
        <v>0</v>
      </c>
    </row>
    <row r="112" spans="1:19" x14ac:dyDescent="0.3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5">
        <f t="shared" si="29"/>
        <v>0</v>
      </c>
    </row>
    <row r="113" spans="1:19" x14ac:dyDescent="0.3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5">
        <f t="shared" si="29"/>
        <v>0</v>
      </c>
    </row>
    <row r="114" spans="1:19" x14ac:dyDescent="0.3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5">
        <f t="shared" si="29"/>
        <v>0</v>
      </c>
    </row>
    <row r="115" spans="1:19" ht="13.15" customHeight="1" x14ac:dyDescent="0.3">
      <c r="A115" s="6" t="s">
        <v>26</v>
      </c>
      <c r="B115" s="84" t="s">
        <v>51</v>
      </c>
      <c r="C115" s="87"/>
      <c r="D115" s="88"/>
      <c r="E115" s="5">
        <f t="shared" ref="E115:S115" si="30">SUM(E105:E114)</f>
        <v>0</v>
      </c>
      <c r="F115" s="5">
        <f t="shared" si="30"/>
        <v>0</v>
      </c>
      <c r="G115" s="5">
        <f t="shared" si="30"/>
        <v>0</v>
      </c>
      <c r="H115" s="5">
        <f t="shared" si="30"/>
        <v>1</v>
      </c>
      <c r="I115" s="5">
        <f t="shared" si="30"/>
        <v>1</v>
      </c>
      <c r="J115" s="5">
        <f t="shared" si="30"/>
        <v>1</v>
      </c>
      <c r="K115" s="5">
        <f t="shared" si="30"/>
        <v>0</v>
      </c>
      <c r="L115" s="5">
        <f t="shared" si="30"/>
        <v>0</v>
      </c>
      <c r="M115" s="5">
        <f t="shared" si="30"/>
        <v>0</v>
      </c>
      <c r="N115" s="5">
        <f t="shared" si="30"/>
        <v>0</v>
      </c>
      <c r="O115" s="5">
        <f t="shared" si="30"/>
        <v>1</v>
      </c>
      <c r="P115" s="5">
        <f t="shared" si="30"/>
        <v>1</v>
      </c>
      <c r="Q115" s="5">
        <f t="shared" si="30"/>
        <v>0</v>
      </c>
      <c r="R115" s="5">
        <f t="shared" si="30"/>
        <v>0</v>
      </c>
      <c r="S115" s="5">
        <f t="shared" si="30"/>
        <v>5</v>
      </c>
    </row>
    <row r="116" spans="1:19" x14ac:dyDescent="0.3">
      <c r="A116" s="62"/>
      <c r="B116" s="89"/>
      <c r="C116" s="89"/>
      <c r="D116" s="89"/>
      <c r="E116" s="90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5"/>
    </row>
    <row r="117" spans="1:19" x14ac:dyDescent="0.3">
      <c r="A117" s="11" t="s">
        <v>48</v>
      </c>
      <c r="B117" s="17" t="s">
        <v>59</v>
      </c>
      <c r="C117" s="86" t="s">
        <v>60</v>
      </c>
      <c r="D117" s="64"/>
      <c r="E117" s="6">
        <v>1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1</v>
      </c>
      <c r="L117" s="6">
        <v>0</v>
      </c>
      <c r="M117" s="6">
        <v>0</v>
      </c>
      <c r="N117" s="6">
        <v>1</v>
      </c>
      <c r="O117" s="6">
        <v>0</v>
      </c>
      <c r="P117" s="6">
        <v>0</v>
      </c>
      <c r="Q117" s="6">
        <v>1</v>
      </c>
      <c r="R117" s="6">
        <v>0</v>
      </c>
      <c r="S117" s="5">
        <f t="shared" ref="S117:S126" si="31">SUM(E117:R117)</f>
        <v>4</v>
      </c>
    </row>
    <row r="118" spans="1:19" x14ac:dyDescent="0.3">
      <c r="A118" s="11" t="s">
        <v>50</v>
      </c>
      <c r="B118" s="50"/>
      <c r="C118" s="24" t="s">
        <v>162</v>
      </c>
      <c r="D118" s="49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1</v>
      </c>
      <c r="P118" s="6">
        <v>0</v>
      </c>
      <c r="Q118" s="6">
        <v>0</v>
      </c>
      <c r="R118" s="6">
        <v>0</v>
      </c>
      <c r="S118" s="5">
        <f t="shared" si="31"/>
        <v>1</v>
      </c>
    </row>
    <row r="119" spans="1:19" x14ac:dyDescent="0.3">
      <c r="A119" s="7"/>
      <c r="B119" s="50"/>
      <c r="C119" s="24" t="s">
        <v>163</v>
      </c>
      <c r="D119" s="49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5">
        <f t="shared" si="31"/>
        <v>0</v>
      </c>
    </row>
    <row r="120" spans="1:19" x14ac:dyDescent="0.3">
      <c r="A120" s="7"/>
      <c r="B120" s="50"/>
      <c r="C120" s="24" t="s">
        <v>164</v>
      </c>
      <c r="D120" s="49"/>
      <c r="E120" s="6">
        <v>0</v>
      </c>
      <c r="F120" s="6">
        <v>1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5">
        <f t="shared" si="31"/>
        <v>1</v>
      </c>
    </row>
    <row r="121" spans="1:19" x14ac:dyDescent="0.3">
      <c r="A121" s="7"/>
      <c r="B121" s="50"/>
      <c r="C121" s="24" t="s">
        <v>165</v>
      </c>
      <c r="D121" s="49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5">
        <f t="shared" si="31"/>
        <v>0</v>
      </c>
    </row>
    <row r="122" spans="1:19" x14ac:dyDescent="0.3">
      <c r="A122" s="7"/>
      <c r="B122" s="50"/>
      <c r="C122" s="24" t="s">
        <v>166</v>
      </c>
      <c r="D122" s="49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5">
        <f t="shared" si="31"/>
        <v>0</v>
      </c>
    </row>
    <row r="123" spans="1:19" x14ac:dyDescent="0.3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5">
        <f t="shared" si="31"/>
        <v>0</v>
      </c>
    </row>
    <row r="124" spans="1:19" x14ac:dyDescent="0.3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5">
        <f t="shared" si="31"/>
        <v>0</v>
      </c>
    </row>
    <row r="125" spans="1:19" x14ac:dyDescent="0.3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5">
        <f t="shared" si="31"/>
        <v>0</v>
      </c>
    </row>
    <row r="126" spans="1:19" x14ac:dyDescent="0.3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5">
        <f t="shared" si="31"/>
        <v>0</v>
      </c>
    </row>
    <row r="127" spans="1:19" x14ac:dyDescent="0.3">
      <c r="A127" s="6" t="s">
        <v>26</v>
      </c>
      <c r="B127" s="84" t="s">
        <v>51</v>
      </c>
      <c r="C127" s="87"/>
      <c r="D127" s="88"/>
      <c r="E127" s="5">
        <f t="shared" ref="E127:S127" si="32">SUM(E117:E126)</f>
        <v>1</v>
      </c>
      <c r="F127" s="5">
        <f t="shared" si="32"/>
        <v>1</v>
      </c>
      <c r="G127" s="5">
        <f t="shared" si="32"/>
        <v>0</v>
      </c>
      <c r="H127" s="5">
        <f t="shared" si="32"/>
        <v>0</v>
      </c>
      <c r="I127" s="5">
        <f t="shared" si="32"/>
        <v>0</v>
      </c>
      <c r="J127" s="5">
        <f t="shared" si="32"/>
        <v>0</v>
      </c>
      <c r="K127" s="5">
        <f t="shared" si="32"/>
        <v>1</v>
      </c>
      <c r="L127" s="5">
        <f t="shared" si="32"/>
        <v>0</v>
      </c>
      <c r="M127" s="5">
        <f t="shared" si="32"/>
        <v>0</v>
      </c>
      <c r="N127" s="5">
        <f t="shared" si="32"/>
        <v>1</v>
      </c>
      <c r="O127" s="5">
        <f t="shared" si="32"/>
        <v>1</v>
      </c>
      <c r="P127" s="5">
        <f t="shared" si="32"/>
        <v>0</v>
      </c>
      <c r="Q127" s="5">
        <f t="shared" si="32"/>
        <v>1</v>
      </c>
      <c r="R127" s="5">
        <f t="shared" si="32"/>
        <v>0</v>
      </c>
      <c r="S127" s="5">
        <f t="shared" si="32"/>
        <v>6</v>
      </c>
    </row>
    <row r="128" spans="1:19" x14ac:dyDescent="0.3">
      <c r="A128" s="62"/>
      <c r="B128" s="89"/>
      <c r="C128" s="89"/>
      <c r="D128" s="89"/>
      <c r="E128" s="90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</row>
    <row r="129" spans="1:19" x14ac:dyDescent="0.3">
      <c r="A129" s="11" t="s">
        <v>48</v>
      </c>
      <c r="B129" s="17" t="s">
        <v>61</v>
      </c>
      <c r="C129" s="86" t="s">
        <v>62</v>
      </c>
      <c r="D129" s="64"/>
      <c r="E129" s="6">
        <v>0</v>
      </c>
      <c r="F129" s="6">
        <v>1</v>
      </c>
      <c r="G129" s="6">
        <v>0</v>
      </c>
      <c r="H129" s="6">
        <v>0</v>
      </c>
      <c r="I129" s="6">
        <v>1</v>
      </c>
      <c r="J129" s="6">
        <v>0</v>
      </c>
      <c r="K129" s="6">
        <v>1</v>
      </c>
      <c r="L129" s="6">
        <v>1</v>
      </c>
      <c r="M129" s="6">
        <v>0</v>
      </c>
      <c r="N129" s="6">
        <v>0</v>
      </c>
      <c r="O129" s="6">
        <v>0</v>
      </c>
      <c r="P129" s="6">
        <v>1</v>
      </c>
      <c r="Q129" s="6">
        <v>0</v>
      </c>
      <c r="R129" s="6">
        <v>0</v>
      </c>
      <c r="S129" s="5">
        <f t="shared" ref="S129:S138" si="33">SUM(E129:R129)</f>
        <v>5</v>
      </c>
    </row>
    <row r="130" spans="1:19" ht="13.15" customHeight="1" x14ac:dyDescent="0.3">
      <c r="A130" s="11" t="s">
        <v>50</v>
      </c>
      <c r="B130" s="50"/>
      <c r="C130" s="24" t="s">
        <v>167</v>
      </c>
      <c r="D130" s="49"/>
      <c r="E130" s="6">
        <v>7</v>
      </c>
      <c r="F130" s="6">
        <v>1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3</v>
      </c>
      <c r="M130" s="6">
        <v>0</v>
      </c>
      <c r="N130" s="6">
        <v>0</v>
      </c>
      <c r="O130" s="6">
        <v>1</v>
      </c>
      <c r="P130" s="6">
        <v>0</v>
      </c>
      <c r="Q130" s="6">
        <v>0</v>
      </c>
      <c r="R130" s="6">
        <v>0</v>
      </c>
      <c r="S130" s="5">
        <f t="shared" si="33"/>
        <v>12</v>
      </c>
    </row>
    <row r="131" spans="1:19" x14ac:dyDescent="0.3">
      <c r="A131" s="7"/>
      <c r="B131" s="50"/>
      <c r="C131" s="24" t="s">
        <v>168</v>
      </c>
      <c r="D131" s="49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2</v>
      </c>
      <c r="M131" s="6">
        <v>0</v>
      </c>
      <c r="N131" s="6">
        <v>0</v>
      </c>
      <c r="O131" s="6">
        <v>1</v>
      </c>
      <c r="P131" s="6">
        <v>0</v>
      </c>
      <c r="Q131" s="6">
        <v>0</v>
      </c>
      <c r="R131" s="6">
        <v>0</v>
      </c>
      <c r="S131" s="5">
        <f t="shared" si="33"/>
        <v>3</v>
      </c>
    </row>
    <row r="132" spans="1:19" x14ac:dyDescent="0.3">
      <c r="A132" s="7"/>
      <c r="B132" s="50"/>
      <c r="C132" s="24" t="s">
        <v>169</v>
      </c>
      <c r="D132" s="49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5">
        <f t="shared" si="33"/>
        <v>0</v>
      </c>
    </row>
    <row r="133" spans="1:19" x14ac:dyDescent="0.3">
      <c r="A133" s="7"/>
      <c r="B133" s="50"/>
      <c r="C133" s="24" t="s">
        <v>170</v>
      </c>
      <c r="D133" s="49"/>
      <c r="E133" s="6">
        <v>0</v>
      </c>
      <c r="F133" s="6">
        <v>0</v>
      </c>
      <c r="G133" s="6">
        <v>0</v>
      </c>
      <c r="H133" s="6">
        <v>1</v>
      </c>
      <c r="I133" s="6">
        <v>0</v>
      </c>
      <c r="J133" s="6">
        <v>0</v>
      </c>
      <c r="K133" s="6">
        <v>0</v>
      </c>
      <c r="L133" s="6">
        <v>0</v>
      </c>
      <c r="M133" s="6">
        <v>1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5">
        <f t="shared" si="33"/>
        <v>2</v>
      </c>
    </row>
    <row r="134" spans="1:19" x14ac:dyDescent="0.3">
      <c r="A134" s="7"/>
      <c r="B134" s="50"/>
      <c r="C134" s="24" t="s">
        <v>171</v>
      </c>
      <c r="D134" s="49"/>
      <c r="E134" s="6">
        <v>1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5">
        <f t="shared" si="33"/>
        <v>1</v>
      </c>
    </row>
    <row r="135" spans="1:19" x14ac:dyDescent="0.3">
      <c r="A135" s="7"/>
      <c r="B135" s="50"/>
      <c r="C135" s="24" t="s">
        <v>172</v>
      </c>
      <c r="D135" s="49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5">
        <f t="shared" si="33"/>
        <v>0</v>
      </c>
    </row>
    <row r="136" spans="1:19" x14ac:dyDescent="0.3">
      <c r="A136" s="7"/>
      <c r="B136" s="50"/>
      <c r="C136" s="24" t="s">
        <v>173</v>
      </c>
      <c r="D136" s="49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5">
        <f t="shared" si="33"/>
        <v>0</v>
      </c>
    </row>
    <row r="137" spans="1:19" x14ac:dyDescent="0.3">
      <c r="A137" s="7"/>
      <c r="B137" s="50"/>
      <c r="C137" s="24" t="s">
        <v>174</v>
      </c>
      <c r="D137" s="49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5">
        <f t="shared" si="33"/>
        <v>0</v>
      </c>
    </row>
    <row r="138" spans="1:19" x14ac:dyDescent="0.3">
      <c r="A138" s="7"/>
      <c r="B138" s="50"/>
      <c r="C138" s="24" t="s">
        <v>175</v>
      </c>
      <c r="D138" s="49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5">
        <f t="shared" si="33"/>
        <v>0</v>
      </c>
    </row>
    <row r="139" spans="1:19" x14ac:dyDescent="0.3">
      <c r="A139" s="6" t="s">
        <v>26</v>
      </c>
      <c r="B139" s="84" t="s">
        <v>51</v>
      </c>
      <c r="C139" s="87"/>
      <c r="D139" s="88"/>
      <c r="E139" s="5">
        <f t="shared" ref="E139:S139" si="34">SUM(E129:E138)</f>
        <v>8</v>
      </c>
      <c r="F139" s="5">
        <f t="shared" si="34"/>
        <v>2</v>
      </c>
      <c r="G139" s="5">
        <f t="shared" si="34"/>
        <v>0</v>
      </c>
      <c r="H139" s="5">
        <f t="shared" si="34"/>
        <v>1</v>
      </c>
      <c r="I139" s="5">
        <f t="shared" si="34"/>
        <v>1</v>
      </c>
      <c r="J139" s="5">
        <f t="shared" si="34"/>
        <v>0</v>
      </c>
      <c r="K139" s="5">
        <f t="shared" si="34"/>
        <v>1</v>
      </c>
      <c r="L139" s="5">
        <f t="shared" si="34"/>
        <v>6</v>
      </c>
      <c r="M139" s="5">
        <f t="shared" si="34"/>
        <v>1</v>
      </c>
      <c r="N139" s="5">
        <f t="shared" si="34"/>
        <v>0</v>
      </c>
      <c r="O139" s="5">
        <f t="shared" si="34"/>
        <v>2</v>
      </c>
      <c r="P139" s="5">
        <f t="shared" si="34"/>
        <v>1</v>
      </c>
      <c r="Q139" s="5">
        <f t="shared" si="34"/>
        <v>0</v>
      </c>
      <c r="R139" s="5">
        <f t="shared" si="34"/>
        <v>0</v>
      </c>
      <c r="S139" s="5">
        <f t="shared" si="34"/>
        <v>23</v>
      </c>
    </row>
    <row r="140" spans="1:19" x14ac:dyDescent="0.3">
      <c r="A140" s="62"/>
      <c r="B140" s="89"/>
      <c r="C140" s="89"/>
      <c r="D140" s="89"/>
      <c r="E140" s="90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</row>
    <row r="141" spans="1:19" ht="13.15" customHeight="1" x14ac:dyDescent="0.3">
      <c r="A141" s="11" t="s">
        <v>48</v>
      </c>
      <c r="B141" s="17" t="s">
        <v>63</v>
      </c>
      <c r="C141" s="86" t="s">
        <v>64</v>
      </c>
      <c r="D141" s="64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5">
        <f t="shared" ref="S141:S150" si="35">SUM(E141:R141)</f>
        <v>0</v>
      </c>
    </row>
    <row r="142" spans="1:19" x14ac:dyDescent="0.3">
      <c r="A142" s="11" t="s">
        <v>50</v>
      </c>
      <c r="B142" s="50"/>
      <c r="C142" s="24" t="s">
        <v>176</v>
      </c>
      <c r="D142" s="49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5">
        <f t="shared" si="35"/>
        <v>0</v>
      </c>
    </row>
    <row r="143" spans="1:19" x14ac:dyDescent="0.3">
      <c r="A143" s="7"/>
      <c r="B143" s="50"/>
      <c r="C143" s="24" t="s">
        <v>177</v>
      </c>
      <c r="D143" s="49"/>
      <c r="E143" s="6"/>
      <c r="F143" s="6"/>
      <c r="G143" s="6">
        <v>1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5">
        <f t="shared" si="35"/>
        <v>1</v>
      </c>
    </row>
    <row r="144" spans="1:19" x14ac:dyDescent="0.3">
      <c r="A144" s="7"/>
      <c r="B144" s="50"/>
      <c r="C144" s="24" t="s">
        <v>178</v>
      </c>
      <c r="D144" s="49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5">
        <f t="shared" si="35"/>
        <v>0</v>
      </c>
    </row>
    <row r="145" spans="1:19" x14ac:dyDescent="0.3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5">
        <f t="shared" si="35"/>
        <v>0</v>
      </c>
    </row>
    <row r="146" spans="1:19" x14ac:dyDescent="0.3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5">
        <f t="shared" si="35"/>
        <v>0</v>
      </c>
    </row>
    <row r="147" spans="1:19" x14ac:dyDescent="0.3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5">
        <f t="shared" si="35"/>
        <v>0</v>
      </c>
    </row>
    <row r="148" spans="1:19" x14ac:dyDescent="0.3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5">
        <f t="shared" si="35"/>
        <v>0</v>
      </c>
    </row>
    <row r="149" spans="1:19" x14ac:dyDescent="0.3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5">
        <f t="shared" si="35"/>
        <v>0</v>
      </c>
    </row>
    <row r="150" spans="1:19" x14ac:dyDescent="0.3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5">
        <f t="shared" si="35"/>
        <v>0</v>
      </c>
    </row>
    <row r="151" spans="1:19" ht="13.15" customHeight="1" x14ac:dyDescent="0.3">
      <c r="A151" s="6" t="s">
        <v>26</v>
      </c>
      <c r="B151" s="84" t="s">
        <v>51</v>
      </c>
      <c r="C151" s="87"/>
      <c r="D151" s="88"/>
      <c r="E151" s="5">
        <f t="shared" ref="E151:S151" si="36">SUM(E141:E150)</f>
        <v>0</v>
      </c>
      <c r="F151" s="5">
        <f t="shared" si="36"/>
        <v>0</v>
      </c>
      <c r="G151" s="5">
        <f t="shared" si="36"/>
        <v>1</v>
      </c>
      <c r="H151" s="5">
        <f t="shared" si="36"/>
        <v>0</v>
      </c>
      <c r="I151" s="5">
        <f t="shared" si="36"/>
        <v>0</v>
      </c>
      <c r="J151" s="5">
        <f t="shared" si="36"/>
        <v>0</v>
      </c>
      <c r="K151" s="5">
        <f t="shared" si="36"/>
        <v>0</v>
      </c>
      <c r="L151" s="5">
        <f t="shared" si="36"/>
        <v>0</v>
      </c>
      <c r="M151" s="5">
        <f t="shared" si="36"/>
        <v>0</v>
      </c>
      <c r="N151" s="5">
        <f t="shared" si="36"/>
        <v>0</v>
      </c>
      <c r="O151" s="5">
        <f t="shared" si="36"/>
        <v>0</v>
      </c>
      <c r="P151" s="5">
        <f t="shared" si="36"/>
        <v>0</v>
      </c>
      <c r="Q151" s="5">
        <f t="shared" si="36"/>
        <v>0</v>
      </c>
      <c r="R151" s="5">
        <f t="shared" si="36"/>
        <v>0</v>
      </c>
      <c r="S151" s="5">
        <f t="shared" si="36"/>
        <v>1</v>
      </c>
    </row>
    <row r="152" spans="1:19" x14ac:dyDescent="0.3">
      <c r="A152" s="62"/>
      <c r="B152" s="89"/>
      <c r="C152" s="89"/>
      <c r="D152" s="89"/>
      <c r="E152" s="90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5"/>
    </row>
    <row r="153" spans="1:19" x14ac:dyDescent="0.3">
      <c r="A153" s="11" t="s">
        <v>48</v>
      </c>
      <c r="B153" s="44" t="s">
        <v>65</v>
      </c>
      <c r="C153" s="91" t="s">
        <v>66</v>
      </c>
      <c r="D153" s="78"/>
      <c r="E153" s="6"/>
      <c r="F153" s="6"/>
      <c r="G153" s="6">
        <v>1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5">
        <f>SUM(E153:R153)</f>
        <v>1</v>
      </c>
    </row>
    <row r="154" spans="1:19" x14ac:dyDescent="0.3">
      <c r="A154" s="52" t="s">
        <v>50</v>
      </c>
      <c r="B154" s="50"/>
      <c r="C154" s="24" t="s">
        <v>179</v>
      </c>
      <c r="D154" s="49"/>
      <c r="E154" s="53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5">
        <f t="shared" ref="S154:S160" si="37">SUM(E154:R154)</f>
        <v>0</v>
      </c>
    </row>
    <row r="155" spans="1:19" x14ac:dyDescent="0.3">
      <c r="A155" s="7"/>
      <c r="B155" s="50"/>
      <c r="C155" s="24" t="s">
        <v>180</v>
      </c>
      <c r="D155" s="49"/>
      <c r="E155" s="53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5">
        <f t="shared" si="37"/>
        <v>0</v>
      </c>
    </row>
    <row r="156" spans="1:19" x14ac:dyDescent="0.3">
      <c r="A156" s="7"/>
      <c r="B156" s="50"/>
      <c r="C156" s="24" t="s">
        <v>181</v>
      </c>
      <c r="D156" s="49"/>
      <c r="E156" s="53"/>
      <c r="F156" s="6"/>
      <c r="G156" s="6"/>
      <c r="H156" s="6"/>
      <c r="I156" s="6"/>
      <c r="J156" s="6"/>
      <c r="K156" s="6"/>
      <c r="L156" s="6"/>
      <c r="M156" s="6">
        <v>1</v>
      </c>
      <c r="N156" s="6"/>
      <c r="O156" s="6"/>
      <c r="P156" s="6"/>
      <c r="Q156" s="6"/>
      <c r="R156" s="6"/>
      <c r="S156" s="5">
        <f t="shared" si="37"/>
        <v>1</v>
      </c>
    </row>
    <row r="157" spans="1:19" x14ac:dyDescent="0.3">
      <c r="A157" s="7"/>
      <c r="B157" s="50"/>
      <c r="C157" s="24" t="s">
        <v>182</v>
      </c>
      <c r="D157" s="49"/>
      <c r="E157" s="53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5">
        <f t="shared" si="37"/>
        <v>0</v>
      </c>
    </row>
    <row r="158" spans="1:19" x14ac:dyDescent="0.3">
      <c r="A158" s="7"/>
      <c r="B158" s="50"/>
      <c r="C158" s="24" t="s">
        <v>183</v>
      </c>
      <c r="D158" s="49"/>
      <c r="E158" s="53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5">
        <f t="shared" si="37"/>
        <v>0</v>
      </c>
    </row>
    <row r="159" spans="1:19" x14ac:dyDescent="0.3">
      <c r="A159" s="7"/>
      <c r="B159" s="50"/>
      <c r="C159" s="24" t="s">
        <v>184</v>
      </c>
      <c r="D159" s="49"/>
      <c r="E159" s="53"/>
      <c r="F159" s="6"/>
      <c r="G159" s="6"/>
      <c r="H159" s="6"/>
      <c r="I159" s="6">
        <v>1</v>
      </c>
      <c r="J159" s="6"/>
      <c r="K159" s="6"/>
      <c r="L159" s="6"/>
      <c r="M159" s="6"/>
      <c r="N159" s="6"/>
      <c r="O159" s="6"/>
      <c r="P159" s="6"/>
      <c r="Q159" s="6"/>
      <c r="R159" s="6"/>
      <c r="S159" s="5">
        <f t="shared" si="37"/>
        <v>1</v>
      </c>
    </row>
    <row r="160" spans="1:19" x14ac:dyDescent="0.3">
      <c r="A160" s="7"/>
      <c r="B160" s="50"/>
      <c r="C160" s="24" t="s">
        <v>185</v>
      </c>
      <c r="D160" s="49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5">
        <f t="shared" si="37"/>
        <v>0</v>
      </c>
    </row>
    <row r="161" spans="1:19" x14ac:dyDescent="0.3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5">
        <f t="shared" ref="S161:S162" si="38">SUM(E167:R167)</f>
        <v>0</v>
      </c>
    </row>
    <row r="162" spans="1:19" x14ac:dyDescent="0.3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5">
        <f t="shared" si="38"/>
        <v>0</v>
      </c>
    </row>
    <row r="163" spans="1:19" x14ac:dyDescent="0.3">
      <c r="A163" s="6" t="s">
        <v>26</v>
      </c>
      <c r="B163" s="92" t="s">
        <v>51</v>
      </c>
      <c r="C163" s="93"/>
      <c r="D163" s="94"/>
      <c r="E163" s="5">
        <f t="shared" ref="E163:S163" si="39">SUM(E153:E162)</f>
        <v>0</v>
      </c>
      <c r="F163" s="5">
        <f t="shared" si="39"/>
        <v>0</v>
      </c>
      <c r="G163" s="5">
        <f t="shared" si="39"/>
        <v>1</v>
      </c>
      <c r="H163" s="5">
        <f t="shared" si="39"/>
        <v>0</v>
      </c>
      <c r="I163" s="5">
        <f t="shared" si="39"/>
        <v>1</v>
      </c>
      <c r="J163" s="5">
        <f t="shared" si="39"/>
        <v>0</v>
      </c>
      <c r="K163" s="5">
        <f t="shared" si="39"/>
        <v>0</v>
      </c>
      <c r="L163" s="5">
        <f t="shared" si="39"/>
        <v>0</v>
      </c>
      <c r="M163" s="5">
        <f t="shared" si="39"/>
        <v>1</v>
      </c>
      <c r="N163" s="5">
        <f t="shared" si="39"/>
        <v>0</v>
      </c>
      <c r="O163" s="5">
        <f t="shared" si="39"/>
        <v>0</v>
      </c>
      <c r="P163" s="5">
        <f t="shared" si="39"/>
        <v>0</v>
      </c>
      <c r="Q163" s="5">
        <f t="shared" si="39"/>
        <v>0</v>
      </c>
      <c r="R163" s="5">
        <f t="shared" si="39"/>
        <v>0</v>
      </c>
      <c r="S163" s="5">
        <f t="shared" si="39"/>
        <v>3</v>
      </c>
    </row>
    <row r="164" spans="1:19" x14ac:dyDescent="0.3">
      <c r="A164" s="62"/>
      <c r="B164" s="89"/>
      <c r="C164" s="89"/>
      <c r="D164" s="89"/>
      <c r="E164" s="90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</row>
    <row r="165" spans="1:19" ht="13.15" customHeight="1" x14ac:dyDescent="0.3">
      <c r="A165" s="11" t="s">
        <v>48</v>
      </c>
      <c r="B165" s="17" t="s">
        <v>67</v>
      </c>
      <c r="C165" s="86" t="s">
        <v>68</v>
      </c>
      <c r="D165" s="64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5">
        <f t="shared" ref="S165:S174" si="40">SUM(E165:R165)</f>
        <v>0</v>
      </c>
    </row>
    <row r="166" spans="1:19" x14ac:dyDescent="0.3">
      <c r="A166" s="11" t="s">
        <v>50</v>
      </c>
      <c r="B166" s="50"/>
      <c r="C166" s="24" t="s">
        <v>186</v>
      </c>
      <c r="D166" s="49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1</v>
      </c>
      <c r="L166" s="6">
        <v>0</v>
      </c>
      <c r="M166" s="6">
        <v>1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5">
        <f t="shared" si="40"/>
        <v>2</v>
      </c>
    </row>
    <row r="167" spans="1:19" x14ac:dyDescent="0.3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5">
        <f t="shared" si="40"/>
        <v>0</v>
      </c>
    </row>
    <row r="168" spans="1:19" x14ac:dyDescent="0.3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5">
        <f t="shared" si="40"/>
        <v>0</v>
      </c>
    </row>
    <row r="169" spans="1:19" x14ac:dyDescent="0.3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5">
        <f t="shared" si="40"/>
        <v>0</v>
      </c>
    </row>
    <row r="170" spans="1:19" x14ac:dyDescent="0.3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5">
        <f t="shared" si="40"/>
        <v>0</v>
      </c>
    </row>
    <row r="171" spans="1:19" x14ac:dyDescent="0.3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5">
        <f t="shared" si="40"/>
        <v>0</v>
      </c>
    </row>
    <row r="172" spans="1:19" x14ac:dyDescent="0.3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5">
        <f t="shared" si="40"/>
        <v>0</v>
      </c>
    </row>
    <row r="173" spans="1:19" x14ac:dyDescent="0.3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5">
        <f t="shared" si="40"/>
        <v>0</v>
      </c>
    </row>
    <row r="174" spans="1:19" x14ac:dyDescent="0.3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5">
        <f t="shared" si="40"/>
        <v>0</v>
      </c>
    </row>
    <row r="175" spans="1:19" x14ac:dyDescent="0.3">
      <c r="A175" s="6" t="s">
        <v>26</v>
      </c>
      <c r="B175" s="84" t="s">
        <v>51</v>
      </c>
      <c r="C175" s="87"/>
      <c r="D175" s="88"/>
      <c r="E175" s="5">
        <f t="shared" ref="E175:S175" si="41">SUM(E165:E174)</f>
        <v>0</v>
      </c>
      <c r="F175" s="5">
        <f t="shared" si="41"/>
        <v>0</v>
      </c>
      <c r="G175" s="5">
        <f t="shared" si="41"/>
        <v>0</v>
      </c>
      <c r="H175" s="5">
        <f t="shared" si="41"/>
        <v>0</v>
      </c>
      <c r="I175" s="5">
        <f t="shared" si="41"/>
        <v>0</v>
      </c>
      <c r="J175" s="5">
        <f t="shared" si="41"/>
        <v>0</v>
      </c>
      <c r="K175" s="5">
        <f t="shared" si="41"/>
        <v>1</v>
      </c>
      <c r="L175" s="5">
        <f t="shared" si="41"/>
        <v>0</v>
      </c>
      <c r="M175" s="5">
        <f t="shared" si="41"/>
        <v>1</v>
      </c>
      <c r="N175" s="5">
        <f t="shared" si="41"/>
        <v>0</v>
      </c>
      <c r="O175" s="5">
        <f t="shared" si="41"/>
        <v>0</v>
      </c>
      <c r="P175" s="5">
        <f t="shared" si="41"/>
        <v>0</v>
      </c>
      <c r="Q175" s="5">
        <f t="shared" si="41"/>
        <v>0</v>
      </c>
      <c r="R175" s="5">
        <f t="shared" si="41"/>
        <v>0</v>
      </c>
      <c r="S175" s="5">
        <f t="shared" si="41"/>
        <v>2</v>
      </c>
    </row>
    <row r="176" spans="1:19" ht="13.15" customHeight="1" x14ac:dyDescent="0.3">
      <c r="A176" s="62"/>
      <c r="B176" s="89"/>
      <c r="C176" s="89"/>
      <c r="D176" s="89"/>
      <c r="E176" s="90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</row>
    <row r="177" spans="1:19" x14ac:dyDescent="0.3">
      <c r="A177" s="11" t="s">
        <v>48</v>
      </c>
      <c r="B177" s="17" t="s">
        <v>69</v>
      </c>
      <c r="C177" s="86" t="s">
        <v>70</v>
      </c>
      <c r="D177" s="64"/>
      <c r="E177" s="6">
        <v>0</v>
      </c>
      <c r="F177" s="6">
        <v>0</v>
      </c>
      <c r="G177" s="6">
        <v>0</v>
      </c>
      <c r="H177" s="6">
        <v>0</v>
      </c>
      <c r="I177" s="6"/>
      <c r="J177" s="6">
        <v>0</v>
      </c>
      <c r="K177" s="6">
        <v>1</v>
      </c>
      <c r="L177" s="6">
        <v>0</v>
      </c>
      <c r="M177" s="6">
        <v>0</v>
      </c>
      <c r="N177" s="6">
        <v>0</v>
      </c>
      <c r="O177" s="6">
        <v>0</v>
      </c>
      <c r="P177" s="6">
        <v>1</v>
      </c>
      <c r="Q177" s="6">
        <v>2</v>
      </c>
      <c r="R177" s="6">
        <v>0</v>
      </c>
      <c r="S177" s="5">
        <f t="shared" ref="S177:S186" si="42">SUM(E177:R177)</f>
        <v>4</v>
      </c>
    </row>
    <row r="178" spans="1:19" x14ac:dyDescent="0.3">
      <c r="A178" s="11" t="s">
        <v>50</v>
      </c>
      <c r="B178" s="50"/>
      <c r="C178" s="24" t="s">
        <v>187</v>
      </c>
      <c r="D178" s="49"/>
      <c r="E178" s="6">
        <v>0</v>
      </c>
      <c r="F178" s="6">
        <v>0</v>
      </c>
      <c r="G178" s="6"/>
      <c r="H178" s="6">
        <v>0</v>
      </c>
      <c r="I178" s="6">
        <v>1</v>
      </c>
      <c r="J178" s="6">
        <v>0</v>
      </c>
      <c r="K178" s="6">
        <v>3</v>
      </c>
      <c r="L178" s="6">
        <v>0</v>
      </c>
      <c r="M178" s="6">
        <v>0</v>
      </c>
      <c r="N178" s="6">
        <v>0</v>
      </c>
      <c r="O178" s="6">
        <v>0</v>
      </c>
      <c r="P178" s="6">
        <v>1</v>
      </c>
      <c r="Q178" s="6">
        <v>5</v>
      </c>
      <c r="R178" s="6">
        <v>0</v>
      </c>
      <c r="S178" s="5">
        <f t="shared" si="42"/>
        <v>10</v>
      </c>
    </row>
    <row r="179" spans="1:19" x14ac:dyDescent="0.3">
      <c r="A179" s="7"/>
      <c r="B179" s="50"/>
      <c r="C179" s="24" t="s">
        <v>188</v>
      </c>
      <c r="D179" s="49"/>
      <c r="E179" s="6">
        <v>0</v>
      </c>
      <c r="F179" s="6">
        <v>0</v>
      </c>
      <c r="G179" s="6">
        <v>1</v>
      </c>
      <c r="H179" s="6"/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1</v>
      </c>
      <c r="O179" s="6">
        <v>0</v>
      </c>
      <c r="P179" s="6">
        <v>0</v>
      </c>
      <c r="Q179" s="6">
        <v>1</v>
      </c>
      <c r="R179" s="6">
        <v>0</v>
      </c>
      <c r="S179" s="5">
        <f t="shared" si="42"/>
        <v>3</v>
      </c>
    </row>
    <row r="180" spans="1:19" x14ac:dyDescent="0.3">
      <c r="A180" s="7"/>
      <c r="B180" s="50"/>
      <c r="C180" s="24" t="s">
        <v>189</v>
      </c>
      <c r="D180" s="49"/>
      <c r="E180" s="6">
        <v>0</v>
      </c>
      <c r="F180" s="6">
        <v>0</v>
      </c>
      <c r="G180" s="6">
        <v>0</v>
      </c>
      <c r="H180" s="6">
        <v>1</v>
      </c>
      <c r="I180" s="6">
        <v>0</v>
      </c>
      <c r="J180" s="6">
        <v>1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5">
        <f t="shared" si="42"/>
        <v>2</v>
      </c>
    </row>
    <row r="181" spans="1:19" x14ac:dyDescent="0.3">
      <c r="A181" s="7"/>
      <c r="B181" s="50"/>
      <c r="C181" s="24" t="s">
        <v>190</v>
      </c>
      <c r="D181" s="49"/>
      <c r="E181" s="6">
        <v>0</v>
      </c>
      <c r="F181" s="6">
        <v>0</v>
      </c>
      <c r="G181" s="6">
        <v>0</v>
      </c>
      <c r="H181" s="6">
        <v>1</v>
      </c>
      <c r="I181" s="6">
        <v>0</v>
      </c>
      <c r="J181" s="6">
        <v>1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1</v>
      </c>
      <c r="Q181" s="6">
        <v>0</v>
      </c>
      <c r="R181" s="6">
        <v>0</v>
      </c>
      <c r="S181" s="5">
        <f t="shared" si="42"/>
        <v>3</v>
      </c>
    </row>
    <row r="182" spans="1:19" x14ac:dyDescent="0.3">
      <c r="A182" s="7"/>
      <c r="B182" s="50"/>
      <c r="C182" s="24" t="s">
        <v>191</v>
      </c>
      <c r="D182" s="49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5">
        <f t="shared" si="42"/>
        <v>0</v>
      </c>
    </row>
    <row r="183" spans="1:19" x14ac:dyDescent="0.3">
      <c r="A183" s="7"/>
      <c r="B183" s="50"/>
      <c r="C183" s="24" t="s">
        <v>192</v>
      </c>
      <c r="D183" s="49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5">
        <f t="shared" si="42"/>
        <v>0</v>
      </c>
    </row>
    <row r="184" spans="1:19" x14ac:dyDescent="0.3">
      <c r="A184" s="7"/>
      <c r="B184" s="50"/>
      <c r="C184" s="24" t="s">
        <v>193</v>
      </c>
      <c r="D184" s="49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5">
        <f t="shared" si="42"/>
        <v>0</v>
      </c>
    </row>
    <row r="185" spans="1:19" x14ac:dyDescent="0.3">
      <c r="A185" s="7"/>
      <c r="B185" s="50"/>
      <c r="C185" s="24" t="s">
        <v>194</v>
      </c>
      <c r="D185" s="49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5">
        <f t="shared" si="42"/>
        <v>0</v>
      </c>
    </row>
    <row r="186" spans="1:19" x14ac:dyDescent="0.3">
      <c r="A186" s="7"/>
      <c r="B186" s="50"/>
      <c r="C186" s="24" t="s">
        <v>195</v>
      </c>
      <c r="D186" s="49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5">
        <f t="shared" si="42"/>
        <v>0</v>
      </c>
    </row>
    <row r="187" spans="1:19" ht="13.15" customHeight="1" x14ac:dyDescent="0.3">
      <c r="A187" s="6" t="s">
        <v>26</v>
      </c>
      <c r="B187" s="84" t="s">
        <v>51</v>
      </c>
      <c r="C187" s="87"/>
      <c r="D187" s="88"/>
      <c r="E187" s="5">
        <f t="shared" ref="E187:S187" si="43">SUM(E177:E186)</f>
        <v>0</v>
      </c>
      <c r="F187" s="5">
        <f t="shared" si="43"/>
        <v>0</v>
      </c>
      <c r="G187" s="5">
        <f t="shared" si="43"/>
        <v>1</v>
      </c>
      <c r="H187" s="5">
        <f t="shared" si="43"/>
        <v>2</v>
      </c>
      <c r="I187" s="5">
        <f t="shared" si="43"/>
        <v>1</v>
      </c>
      <c r="J187" s="5">
        <f t="shared" si="43"/>
        <v>2</v>
      </c>
      <c r="K187" s="5">
        <f t="shared" si="43"/>
        <v>4</v>
      </c>
      <c r="L187" s="5">
        <f t="shared" si="43"/>
        <v>0</v>
      </c>
      <c r="M187" s="5">
        <f t="shared" si="43"/>
        <v>0</v>
      </c>
      <c r="N187" s="5">
        <f t="shared" si="43"/>
        <v>1</v>
      </c>
      <c r="O187" s="5">
        <f t="shared" si="43"/>
        <v>0</v>
      </c>
      <c r="P187" s="5">
        <f t="shared" si="43"/>
        <v>3</v>
      </c>
      <c r="Q187" s="5">
        <f t="shared" si="43"/>
        <v>8</v>
      </c>
      <c r="R187" s="5">
        <f t="shared" si="43"/>
        <v>0</v>
      </c>
      <c r="S187" s="5">
        <f t="shared" si="43"/>
        <v>22</v>
      </c>
    </row>
    <row r="188" spans="1:19" x14ac:dyDescent="0.3">
      <c r="A188" s="62"/>
      <c r="B188" s="89"/>
      <c r="C188" s="89"/>
      <c r="D188" s="89"/>
      <c r="E188" s="90"/>
      <c r="F188" s="18"/>
      <c r="G188" s="18"/>
      <c r="H188" s="18"/>
      <c r="I188" s="18"/>
      <c r="J188" s="18"/>
      <c r="K188" s="18"/>
      <c r="L188" s="18"/>
      <c r="M188" s="18"/>
      <c r="N188" s="18"/>
      <c r="R188" s="18"/>
      <c r="S188" s="5"/>
    </row>
    <row r="189" spans="1:19" x14ac:dyDescent="0.3">
      <c r="A189" s="11" t="s">
        <v>48</v>
      </c>
      <c r="B189" s="17" t="s">
        <v>71</v>
      </c>
      <c r="C189" s="86" t="s">
        <v>72</v>
      </c>
      <c r="D189" s="64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5">
        <f t="shared" ref="S189:S198" si="44">SUM(E189:R189)</f>
        <v>0</v>
      </c>
    </row>
    <row r="190" spans="1:19" x14ac:dyDescent="0.3">
      <c r="A190" s="11" t="s">
        <v>50</v>
      </c>
      <c r="B190" s="50"/>
      <c r="C190" s="24" t="s">
        <v>196</v>
      </c>
      <c r="D190" s="49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5">
        <f t="shared" si="44"/>
        <v>0</v>
      </c>
    </row>
    <row r="191" spans="1:19" x14ac:dyDescent="0.3">
      <c r="A191" s="7"/>
      <c r="B191" s="50"/>
      <c r="C191" s="24" t="s">
        <v>197</v>
      </c>
      <c r="D191" s="49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5">
        <f t="shared" si="44"/>
        <v>0</v>
      </c>
    </row>
    <row r="192" spans="1:19" x14ac:dyDescent="0.3">
      <c r="A192" s="7"/>
      <c r="B192" s="50"/>
      <c r="C192" s="24" t="s">
        <v>198</v>
      </c>
      <c r="D192" s="49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>
        <v>1</v>
      </c>
      <c r="S192" s="5">
        <f t="shared" si="44"/>
        <v>1</v>
      </c>
    </row>
    <row r="193" spans="1:19" x14ac:dyDescent="0.3">
      <c r="A193" s="7"/>
      <c r="B193" s="50"/>
      <c r="C193" s="24" t="s">
        <v>199</v>
      </c>
      <c r="D193" s="49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5">
        <f t="shared" si="44"/>
        <v>0</v>
      </c>
    </row>
    <row r="194" spans="1:19" x14ac:dyDescent="0.3">
      <c r="A194" s="7"/>
      <c r="B194" s="50"/>
      <c r="C194" s="24" t="s">
        <v>200</v>
      </c>
      <c r="D194" s="49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5">
        <f t="shared" si="44"/>
        <v>0</v>
      </c>
    </row>
    <row r="195" spans="1:19" x14ac:dyDescent="0.3">
      <c r="A195" s="7"/>
      <c r="B195" s="50"/>
      <c r="C195" s="24" t="s">
        <v>201</v>
      </c>
      <c r="D195" s="49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5">
        <f t="shared" si="44"/>
        <v>0</v>
      </c>
    </row>
    <row r="196" spans="1:19" ht="13.15" customHeight="1" x14ac:dyDescent="0.3">
      <c r="A196" s="7"/>
      <c r="B196" s="50"/>
      <c r="C196" s="24" t="s">
        <v>202</v>
      </c>
      <c r="D196" s="49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5">
        <f t="shared" si="44"/>
        <v>0</v>
      </c>
    </row>
    <row r="197" spans="1:19" ht="13.15" customHeight="1" x14ac:dyDescent="0.3">
      <c r="A197" s="7"/>
      <c r="B197" s="50"/>
      <c r="C197" s="24" t="s">
        <v>203</v>
      </c>
      <c r="D197" s="49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5">
        <f t="shared" si="44"/>
        <v>0</v>
      </c>
    </row>
    <row r="198" spans="1:19" ht="13.15" customHeight="1" x14ac:dyDescent="0.3">
      <c r="A198" s="7"/>
      <c r="B198" s="50"/>
      <c r="C198" s="24" t="s">
        <v>204</v>
      </c>
      <c r="D198" s="49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5">
        <f t="shared" si="44"/>
        <v>0</v>
      </c>
    </row>
    <row r="199" spans="1:19" x14ac:dyDescent="0.3">
      <c r="A199" s="6" t="s">
        <v>26</v>
      </c>
      <c r="B199" s="84" t="s">
        <v>51</v>
      </c>
      <c r="C199" s="87"/>
      <c r="D199" s="88"/>
      <c r="E199" s="5">
        <f t="shared" ref="E199:S199" si="45">SUM(E189:E198)</f>
        <v>0</v>
      </c>
      <c r="F199" s="5">
        <f t="shared" si="45"/>
        <v>0</v>
      </c>
      <c r="G199" s="5">
        <f t="shared" si="45"/>
        <v>0</v>
      </c>
      <c r="H199" s="5">
        <f t="shared" si="45"/>
        <v>0</v>
      </c>
      <c r="I199" s="5">
        <f t="shared" si="45"/>
        <v>0</v>
      </c>
      <c r="J199" s="5">
        <f t="shared" si="45"/>
        <v>0</v>
      </c>
      <c r="K199" s="5">
        <f t="shared" si="45"/>
        <v>0</v>
      </c>
      <c r="L199" s="5">
        <f t="shared" si="45"/>
        <v>0</v>
      </c>
      <c r="M199" s="5">
        <f t="shared" si="45"/>
        <v>0</v>
      </c>
      <c r="N199" s="5">
        <f t="shared" si="45"/>
        <v>0</v>
      </c>
      <c r="O199" s="5">
        <f t="shared" si="45"/>
        <v>0</v>
      </c>
      <c r="P199" s="5">
        <f t="shared" si="45"/>
        <v>0</v>
      </c>
      <c r="Q199" s="5">
        <f t="shared" si="45"/>
        <v>0</v>
      </c>
      <c r="R199" s="5">
        <f t="shared" si="45"/>
        <v>1</v>
      </c>
      <c r="S199" s="5">
        <f t="shared" si="45"/>
        <v>1</v>
      </c>
    </row>
    <row r="200" spans="1:19" x14ac:dyDescent="0.3">
      <c r="A200" s="62"/>
      <c r="B200" s="89"/>
      <c r="C200" s="89"/>
      <c r="D200" s="89"/>
      <c r="E200" s="90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</row>
    <row r="201" spans="1:19" x14ac:dyDescent="0.3">
      <c r="A201" s="11" t="s">
        <v>48</v>
      </c>
      <c r="B201" s="17" t="s">
        <v>73</v>
      </c>
      <c r="C201" s="86" t="s">
        <v>74</v>
      </c>
      <c r="D201" s="64"/>
      <c r="E201" s="6">
        <v>4</v>
      </c>
      <c r="F201" s="6">
        <v>2</v>
      </c>
      <c r="G201" s="6">
        <v>3</v>
      </c>
      <c r="H201" s="6">
        <v>4</v>
      </c>
      <c r="I201" s="6">
        <v>0</v>
      </c>
      <c r="J201" s="6">
        <v>0</v>
      </c>
      <c r="K201" s="6">
        <v>0</v>
      </c>
      <c r="L201" s="6">
        <v>2</v>
      </c>
      <c r="M201" s="6">
        <v>2</v>
      </c>
      <c r="N201" s="6">
        <v>4</v>
      </c>
      <c r="O201" s="6">
        <v>4</v>
      </c>
      <c r="P201" s="6">
        <v>3</v>
      </c>
      <c r="Q201" s="6">
        <v>1</v>
      </c>
      <c r="R201" s="6">
        <v>0</v>
      </c>
      <c r="S201" s="5">
        <f t="shared" ref="S201:S210" si="46">SUM(E201:R201)</f>
        <v>29</v>
      </c>
    </row>
    <row r="202" spans="1:19" x14ac:dyDescent="0.3">
      <c r="A202" s="11" t="s">
        <v>50</v>
      </c>
      <c r="B202" s="50"/>
      <c r="C202" s="24" t="s">
        <v>205</v>
      </c>
      <c r="D202" s="49"/>
      <c r="E202" s="6">
        <v>11</v>
      </c>
      <c r="F202" s="6">
        <v>5</v>
      </c>
      <c r="G202" s="6">
        <v>1</v>
      </c>
      <c r="H202" s="6">
        <v>16</v>
      </c>
      <c r="I202" s="6">
        <v>1</v>
      </c>
      <c r="J202" s="6">
        <v>0</v>
      </c>
      <c r="K202" s="6">
        <v>2</v>
      </c>
      <c r="L202" s="6">
        <v>11</v>
      </c>
      <c r="M202" s="6">
        <v>1</v>
      </c>
      <c r="N202" s="6">
        <v>0</v>
      </c>
      <c r="O202" s="6">
        <v>1</v>
      </c>
      <c r="P202" s="6">
        <v>4</v>
      </c>
      <c r="Q202" s="6">
        <v>3</v>
      </c>
      <c r="R202" s="6">
        <v>1</v>
      </c>
      <c r="S202" s="5">
        <f t="shared" si="46"/>
        <v>57</v>
      </c>
    </row>
    <row r="203" spans="1:19" x14ac:dyDescent="0.3">
      <c r="A203" s="7"/>
      <c r="B203" s="50"/>
      <c r="C203" s="24" t="s">
        <v>206</v>
      </c>
      <c r="D203" s="49"/>
      <c r="E203" s="6">
        <v>1</v>
      </c>
      <c r="F203" s="6">
        <v>1</v>
      </c>
      <c r="G203" s="6">
        <v>1</v>
      </c>
      <c r="H203" s="6">
        <v>2</v>
      </c>
      <c r="I203" s="6">
        <v>0</v>
      </c>
      <c r="J203" s="6">
        <v>0</v>
      </c>
      <c r="K203" s="6">
        <v>0</v>
      </c>
      <c r="L203" s="6">
        <v>4</v>
      </c>
      <c r="M203" s="6">
        <v>1</v>
      </c>
      <c r="N203" s="6">
        <v>0</v>
      </c>
      <c r="O203" s="6">
        <v>0</v>
      </c>
      <c r="P203" s="6">
        <v>1</v>
      </c>
      <c r="Q203" s="6">
        <v>1</v>
      </c>
      <c r="R203" s="6">
        <v>1</v>
      </c>
      <c r="S203" s="5">
        <f t="shared" si="46"/>
        <v>13</v>
      </c>
    </row>
    <row r="204" spans="1:19" x14ac:dyDescent="0.3">
      <c r="A204" s="7"/>
      <c r="B204" s="50"/>
      <c r="C204" s="24" t="s">
        <v>207</v>
      </c>
      <c r="D204" s="49"/>
      <c r="E204" s="6">
        <v>1</v>
      </c>
      <c r="F204" s="6">
        <v>0</v>
      </c>
      <c r="G204" s="6">
        <v>1</v>
      </c>
      <c r="H204" s="6">
        <v>1</v>
      </c>
      <c r="I204" s="6">
        <v>0</v>
      </c>
      <c r="J204" s="6">
        <v>1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1</v>
      </c>
      <c r="Q204" s="6">
        <v>0</v>
      </c>
      <c r="R204" s="6"/>
      <c r="S204" s="5">
        <f t="shared" si="46"/>
        <v>5</v>
      </c>
    </row>
    <row r="205" spans="1:19" x14ac:dyDescent="0.3">
      <c r="A205" s="7"/>
      <c r="B205" s="50"/>
      <c r="C205" s="24" t="s">
        <v>208</v>
      </c>
      <c r="D205" s="49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2</v>
      </c>
      <c r="M205" s="6">
        <v>1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5">
        <f t="shared" si="46"/>
        <v>3</v>
      </c>
    </row>
    <row r="206" spans="1:19" x14ac:dyDescent="0.3">
      <c r="A206" s="7"/>
      <c r="B206" s="50"/>
      <c r="C206" s="24" t="s">
        <v>209</v>
      </c>
      <c r="D206" s="49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1</v>
      </c>
      <c r="R206" s="6">
        <v>0</v>
      </c>
      <c r="S206" s="5">
        <f t="shared" si="46"/>
        <v>1</v>
      </c>
    </row>
    <row r="207" spans="1:19" ht="13.15" customHeight="1" x14ac:dyDescent="0.3">
      <c r="A207" s="7"/>
      <c r="B207" s="50"/>
      <c r="C207" s="24" t="s">
        <v>210</v>
      </c>
      <c r="D207" s="49"/>
      <c r="E207" s="6">
        <v>0</v>
      </c>
      <c r="F207" s="6">
        <v>0</v>
      </c>
      <c r="G207" s="6">
        <v>1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/>
      <c r="R207" s="6">
        <v>0</v>
      </c>
      <c r="S207" s="5">
        <f t="shared" si="46"/>
        <v>1</v>
      </c>
    </row>
    <row r="208" spans="1:19" x14ac:dyDescent="0.3">
      <c r="A208" s="7"/>
      <c r="B208" s="50"/>
      <c r="C208" s="24" t="s">
        <v>211</v>
      </c>
      <c r="D208" s="49"/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1</v>
      </c>
      <c r="K208" s="6">
        <v>2</v>
      </c>
      <c r="L208" s="6">
        <v>0</v>
      </c>
      <c r="M208" s="6">
        <v>0</v>
      </c>
      <c r="N208" s="6">
        <v>0</v>
      </c>
      <c r="O208" s="6">
        <v>0</v>
      </c>
      <c r="P208" s="6">
        <v>1</v>
      </c>
      <c r="Q208" s="6">
        <v>0</v>
      </c>
      <c r="R208" s="6">
        <v>0</v>
      </c>
      <c r="S208" s="5">
        <f t="shared" si="46"/>
        <v>4</v>
      </c>
    </row>
    <row r="209" spans="1:19" x14ac:dyDescent="0.3">
      <c r="A209" s="7"/>
      <c r="B209" s="50"/>
      <c r="C209" s="24" t="s">
        <v>212</v>
      </c>
      <c r="D209" s="49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/>
      <c r="Q209" s="6">
        <v>0</v>
      </c>
      <c r="R209" s="6">
        <v>0</v>
      </c>
      <c r="S209" s="5">
        <f t="shared" si="46"/>
        <v>0</v>
      </c>
    </row>
    <row r="210" spans="1:19" x14ac:dyDescent="0.3">
      <c r="A210" s="7"/>
      <c r="B210" s="50"/>
      <c r="C210" s="24" t="s">
        <v>213</v>
      </c>
      <c r="D210" s="49"/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5">
        <f t="shared" si="46"/>
        <v>0</v>
      </c>
    </row>
    <row r="211" spans="1:19" x14ac:dyDescent="0.3">
      <c r="A211" s="6" t="s">
        <v>26</v>
      </c>
      <c r="B211" s="84" t="s">
        <v>51</v>
      </c>
      <c r="C211" s="87"/>
      <c r="D211" s="88"/>
      <c r="E211" s="5">
        <f t="shared" ref="E211:S211" si="47">SUM(E201:E210)</f>
        <v>17</v>
      </c>
      <c r="F211" s="5">
        <f t="shared" si="47"/>
        <v>8</v>
      </c>
      <c r="G211" s="5">
        <f t="shared" si="47"/>
        <v>7</v>
      </c>
      <c r="H211" s="5">
        <f t="shared" si="47"/>
        <v>23</v>
      </c>
      <c r="I211" s="5">
        <f t="shared" si="47"/>
        <v>1</v>
      </c>
      <c r="J211" s="5">
        <f t="shared" si="47"/>
        <v>2</v>
      </c>
      <c r="K211" s="5">
        <f t="shared" si="47"/>
        <v>4</v>
      </c>
      <c r="L211" s="5">
        <f t="shared" si="47"/>
        <v>19</v>
      </c>
      <c r="M211" s="5">
        <f t="shared" si="47"/>
        <v>5</v>
      </c>
      <c r="N211" s="5">
        <f t="shared" si="47"/>
        <v>4</v>
      </c>
      <c r="O211" s="5">
        <f t="shared" si="47"/>
        <v>5</v>
      </c>
      <c r="P211" s="5">
        <f t="shared" si="47"/>
        <v>10</v>
      </c>
      <c r="Q211" s="5">
        <f t="shared" si="47"/>
        <v>6</v>
      </c>
      <c r="R211" s="5">
        <f t="shared" si="47"/>
        <v>2</v>
      </c>
      <c r="S211" s="5">
        <f t="shared" si="47"/>
        <v>113</v>
      </c>
    </row>
    <row r="212" spans="1:19" x14ac:dyDescent="0.3">
      <c r="A212" s="62"/>
      <c r="B212" s="89"/>
      <c r="C212" s="89"/>
      <c r="D212" s="89"/>
      <c r="E212" s="90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</row>
    <row r="213" spans="1:19" x14ac:dyDescent="0.3">
      <c r="A213" s="11" t="s">
        <v>48</v>
      </c>
      <c r="B213" s="17" t="s">
        <v>75</v>
      </c>
      <c r="C213" s="86" t="s">
        <v>76</v>
      </c>
      <c r="D213" s="64"/>
      <c r="E213" s="6">
        <v>0</v>
      </c>
      <c r="F213" s="6">
        <v>0</v>
      </c>
      <c r="G213" s="6">
        <v>3</v>
      </c>
      <c r="H213" s="6">
        <v>1</v>
      </c>
      <c r="I213" s="6">
        <v>1</v>
      </c>
      <c r="J213" s="6">
        <v>0</v>
      </c>
      <c r="K213" s="6">
        <v>0</v>
      </c>
      <c r="L213" s="6">
        <v>0</v>
      </c>
      <c r="M213" s="6">
        <v>1</v>
      </c>
      <c r="N213" s="6">
        <v>0</v>
      </c>
      <c r="O213" s="6">
        <v>1</v>
      </c>
      <c r="P213" s="6">
        <v>5</v>
      </c>
      <c r="Q213" s="6">
        <v>5</v>
      </c>
      <c r="R213" s="6">
        <v>0</v>
      </c>
      <c r="S213" s="5">
        <f t="shared" ref="S213:S222" si="48">SUM(E213:R213)</f>
        <v>17</v>
      </c>
    </row>
    <row r="214" spans="1:19" x14ac:dyDescent="0.3">
      <c r="A214" s="11" t="s">
        <v>50</v>
      </c>
      <c r="B214" s="50"/>
      <c r="C214" s="24" t="s">
        <v>214</v>
      </c>
      <c r="D214" s="49"/>
      <c r="E214" s="6">
        <v>0</v>
      </c>
      <c r="F214" s="6">
        <v>1</v>
      </c>
      <c r="G214" s="6">
        <v>0</v>
      </c>
      <c r="H214" s="6">
        <v>3</v>
      </c>
      <c r="I214" s="6">
        <v>0</v>
      </c>
      <c r="J214" s="6">
        <v>0</v>
      </c>
      <c r="K214" s="6">
        <v>0</v>
      </c>
      <c r="L214" s="6">
        <v>1</v>
      </c>
      <c r="M214" s="6">
        <v>0</v>
      </c>
      <c r="N214" s="6">
        <v>0</v>
      </c>
      <c r="O214" s="6">
        <v>1</v>
      </c>
      <c r="P214" s="6">
        <v>0</v>
      </c>
      <c r="Q214" s="6">
        <v>1</v>
      </c>
      <c r="R214" s="6">
        <v>0</v>
      </c>
      <c r="S214" s="5">
        <f t="shared" si="48"/>
        <v>7</v>
      </c>
    </row>
    <row r="215" spans="1:19" x14ac:dyDescent="0.3">
      <c r="A215" s="7"/>
      <c r="B215" s="50"/>
      <c r="C215" s="24" t="s">
        <v>215</v>
      </c>
      <c r="D215" s="49"/>
      <c r="E215" s="6">
        <v>0</v>
      </c>
      <c r="F215" s="6">
        <v>1</v>
      </c>
      <c r="G215" s="6">
        <v>0</v>
      </c>
      <c r="H215" s="6">
        <v>0</v>
      </c>
      <c r="I215" s="6">
        <v>0</v>
      </c>
      <c r="J215" s="6">
        <v>0</v>
      </c>
      <c r="K215" s="6">
        <v>1</v>
      </c>
      <c r="L215" s="6">
        <v>0</v>
      </c>
      <c r="M215" s="6">
        <v>1</v>
      </c>
      <c r="N215" s="6">
        <v>0</v>
      </c>
      <c r="O215" s="6">
        <v>0</v>
      </c>
      <c r="P215" s="6">
        <v>1</v>
      </c>
      <c r="Q215" s="6">
        <v>0</v>
      </c>
      <c r="R215" s="6">
        <v>0</v>
      </c>
      <c r="S215" s="5">
        <f t="shared" si="48"/>
        <v>4</v>
      </c>
    </row>
    <row r="216" spans="1:19" x14ac:dyDescent="0.3">
      <c r="A216" s="7"/>
      <c r="B216" s="50"/>
      <c r="C216" s="24" t="s">
        <v>216</v>
      </c>
      <c r="D216" s="49"/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3</v>
      </c>
      <c r="Q216" s="6">
        <v>1</v>
      </c>
      <c r="R216" s="6">
        <v>0</v>
      </c>
      <c r="S216" s="5">
        <f t="shared" si="48"/>
        <v>4</v>
      </c>
    </row>
    <row r="217" spans="1:19" x14ac:dyDescent="0.3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5">
        <f t="shared" si="48"/>
        <v>0</v>
      </c>
    </row>
    <row r="218" spans="1:19" ht="13.15" customHeight="1" x14ac:dyDescent="0.3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5">
        <f t="shared" si="48"/>
        <v>0</v>
      </c>
    </row>
    <row r="219" spans="1:19" x14ac:dyDescent="0.3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5">
        <f t="shared" si="48"/>
        <v>0</v>
      </c>
    </row>
    <row r="220" spans="1:19" x14ac:dyDescent="0.3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5">
        <f t="shared" si="48"/>
        <v>0</v>
      </c>
    </row>
    <row r="221" spans="1:19" x14ac:dyDescent="0.3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5">
        <f t="shared" si="48"/>
        <v>0</v>
      </c>
    </row>
    <row r="222" spans="1:19" x14ac:dyDescent="0.3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5">
        <f t="shared" si="48"/>
        <v>0</v>
      </c>
    </row>
    <row r="223" spans="1:19" x14ac:dyDescent="0.3">
      <c r="A223" s="6" t="s">
        <v>26</v>
      </c>
      <c r="B223" s="84" t="s">
        <v>51</v>
      </c>
      <c r="C223" s="87"/>
      <c r="D223" s="88"/>
      <c r="E223" s="5">
        <f t="shared" ref="E223:S223" si="49">SUM(E213:E222)</f>
        <v>0</v>
      </c>
      <c r="F223" s="5">
        <f t="shared" si="49"/>
        <v>2</v>
      </c>
      <c r="G223" s="5">
        <f t="shared" si="49"/>
        <v>3</v>
      </c>
      <c r="H223" s="5">
        <f t="shared" si="49"/>
        <v>4</v>
      </c>
      <c r="I223" s="5">
        <f t="shared" si="49"/>
        <v>1</v>
      </c>
      <c r="J223" s="5">
        <f t="shared" si="49"/>
        <v>0</v>
      </c>
      <c r="K223" s="5">
        <f t="shared" si="49"/>
        <v>1</v>
      </c>
      <c r="L223" s="5">
        <f t="shared" si="49"/>
        <v>1</v>
      </c>
      <c r="M223" s="5">
        <f t="shared" si="49"/>
        <v>2</v>
      </c>
      <c r="N223" s="5">
        <f t="shared" si="49"/>
        <v>0</v>
      </c>
      <c r="O223" s="5">
        <f t="shared" si="49"/>
        <v>2</v>
      </c>
      <c r="P223" s="5">
        <f t="shared" si="49"/>
        <v>9</v>
      </c>
      <c r="Q223" s="5">
        <f t="shared" si="49"/>
        <v>7</v>
      </c>
      <c r="R223" s="5">
        <f t="shared" si="49"/>
        <v>0</v>
      </c>
      <c r="S223" s="5">
        <f t="shared" si="49"/>
        <v>32</v>
      </c>
    </row>
    <row r="224" spans="1:19" x14ac:dyDescent="0.3">
      <c r="A224" s="62"/>
      <c r="B224" s="89"/>
      <c r="C224" s="89"/>
      <c r="D224" s="89"/>
      <c r="E224" s="90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</row>
    <row r="225" spans="1:19" x14ac:dyDescent="0.3">
      <c r="A225" s="11" t="s">
        <v>48</v>
      </c>
      <c r="B225" s="17" t="s">
        <v>77</v>
      </c>
      <c r="C225" s="86" t="s">
        <v>78</v>
      </c>
      <c r="D225" s="64"/>
      <c r="E225" s="6">
        <v>1</v>
      </c>
      <c r="F225" s="6">
        <v>0</v>
      </c>
      <c r="G225" s="6">
        <v>0</v>
      </c>
      <c r="H225" s="6">
        <v>1</v>
      </c>
      <c r="I225" s="6">
        <v>0</v>
      </c>
      <c r="J225" s="6">
        <v>1</v>
      </c>
      <c r="K225" s="6">
        <v>0</v>
      </c>
      <c r="L225" s="6">
        <v>0</v>
      </c>
      <c r="M225" s="6">
        <v>1</v>
      </c>
      <c r="N225" s="6">
        <v>1</v>
      </c>
      <c r="O225" s="6">
        <v>1</v>
      </c>
      <c r="P225" s="6">
        <v>0</v>
      </c>
      <c r="Q225" s="6">
        <v>0</v>
      </c>
      <c r="R225" s="6">
        <v>0</v>
      </c>
      <c r="S225" s="5">
        <f t="shared" ref="S225:S234" si="50">SUM(E225:R225)</f>
        <v>6</v>
      </c>
    </row>
    <row r="226" spans="1:19" x14ac:dyDescent="0.3">
      <c r="A226" s="11" t="s">
        <v>50</v>
      </c>
      <c r="B226" s="50"/>
      <c r="C226" s="24" t="s">
        <v>217</v>
      </c>
      <c r="D226" s="49"/>
      <c r="E226" s="6">
        <v>2</v>
      </c>
      <c r="F226" s="6">
        <v>0</v>
      </c>
      <c r="G226" s="6">
        <v>0</v>
      </c>
      <c r="H226" s="6">
        <v>0</v>
      </c>
      <c r="I226" s="6">
        <v>1</v>
      </c>
      <c r="J226" s="6">
        <v>0</v>
      </c>
      <c r="K226" s="6">
        <v>0</v>
      </c>
      <c r="L226" s="6">
        <v>0</v>
      </c>
      <c r="M226" s="6">
        <v>1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5">
        <f t="shared" si="50"/>
        <v>4</v>
      </c>
    </row>
    <row r="227" spans="1:19" x14ac:dyDescent="0.3">
      <c r="A227" s="7"/>
      <c r="B227" s="50"/>
      <c r="C227" s="24" t="s">
        <v>218</v>
      </c>
      <c r="D227" s="49"/>
      <c r="E227" s="6">
        <v>0</v>
      </c>
      <c r="F227" s="6">
        <v>0</v>
      </c>
      <c r="G227" s="6">
        <v>1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5">
        <f t="shared" si="50"/>
        <v>1</v>
      </c>
    </row>
    <row r="228" spans="1:19" x14ac:dyDescent="0.3">
      <c r="A228" s="7"/>
      <c r="B228" s="50"/>
      <c r="C228" s="24" t="s">
        <v>219</v>
      </c>
      <c r="D228" s="49"/>
      <c r="E228" s="6">
        <v>0</v>
      </c>
      <c r="F228" s="6">
        <v>0</v>
      </c>
      <c r="G228" s="6">
        <v>1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5">
        <f t="shared" si="50"/>
        <v>1</v>
      </c>
    </row>
    <row r="229" spans="1:19" ht="13.15" customHeight="1" x14ac:dyDescent="0.3">
      <c r="A229" s="7"/>
      <c r="B229" s="50"/>
      <c r="C229" s="24" t="s">
        <v>220</v>
      </c>
      <c r="D229" s="49"/>
      <c r="E229" s="6">
        <v>0</v>
      </c>
      <c r="F229" s="6">
        <v>0</v>
      </c>
      <c r="G229" s="6">
        <v>1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5">
        <f t="shared" si="50"/>
        <v>1</v>
      </c>
    </row>
    <row r="230" spans="1:19" x14ac:dyDescent="0.3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5">
        <f t="shared" si="50"/>
        <v>0</v>
      </c>
    </row>
    <row r="231" spans="1:19" x14ac:dyDescent="0.3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5">
        <f t="shared" si="50"/>
        <v>0</v>
      </c>
    </row>
    <row r="232" spans="1:19" x14ac:dyDescent="0.3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5">
        <f t="shared" si="50"/>
        <v>0</v>
      </c>
    </row>
    <row r="233" spans="1:19" x14ac:dyDescent="0.3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5">
        <f t="shared" si="50"/>
        <v>0</v>
      </c>
    </row>
    <row r="234" spans="1:19" x14ac:dyDescent="0.3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5">
        <f t="shared" si="50"/>
        <v>0</v>
      </c>
    </row>
    <row r="235" spans="1:19" x14ac:dyDescent="0.3">
      <c r="A235" s="6" t="s">
        <v>26</v>
      </c>
      <c r="B235" s="84" t="s">
        <v>51</v>
      </c>
      <c r="C235" s="87"/>
      <c r="D235" s="88"/>
      <c r="E235" s="5">
        <f t="shared" ref="E235:S235" si="51">SUM(E225:E234)</f>
        <v>3</v>
      </c>
      <c r="F235" s="5">
        <f t="shared" si="51"/>
        <v>0</v>
      </c>
      <c r="G235" s="5">
        <f t="shared" si="51"/>
        <v>3</v>
      </c>
      <c r="H235" s="5">
        <f t="shared" si="51"/>
        <v>1</v>
      </c>
      <c r="I235" s="5">
        <f t="shared" si="51"/>
        <v>1</v>
      </c>
      <c r="J235" s="5">
        <f t="shared" si="51"/>
        <v>1</v>
      </c>
      <c r="K235" s="5">
        <f t="shared" si="51"/>
        <v>0</v>
      </c>
      <c r="L235" s="5">
        <f t="shared" si="51"/>
        <v>0</v>
      </c>
      <c r="M235" s="5">
        <f t="shared" si="51"/>
        <v>2</v>
      </c>
      <c r="N235" s="5">
        <f t="shared" si="51"/>
        <v>1</v>
      </c>
      <c r="O235" s="5">
        <f t="shared" si="51"/>
        <v>1</v>
      </c>
      <c r="P235" s="5">
        <f t="shared" si="51"/>
        <v>0</v>
      </c>
      <c r="Q235" s="5">
        <f t="shared" si="51"/>
        <v>0</v>
      </c>
      <c r="R235" s="5">
        <f t="shared" si="51"/>
        <v>0</v>
      </c>
      <c r="S235" s="5">
        <f t="shared" si="51"/>
        <v>13</v>
      </c>
    </row>
    <row r="236" spans="1:19" x14ac:dyDescent="0.3">
      <c r="A236" s="62"/>
      <c r="B236" s="89"/>
      <c r="C236" s="89"/>
      <c r="D236" s="89"/>
      <c r="E236" s="90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</row>
    <row r="237" spans="1:19" x14ac:dyDescent="0.3">
      <c r="A237" s="11" t="s">
        <v>48</v>
      </c>
      <c r="B237" s="17" t="s">
        <v>79</v>
      </c>
      <c r="C237" s="86" t="s">
        <v>80</v>
      </c>
      <c r="D237" s="64"/>
      <c r="E237" s="6">
        <v>1</v>
      </c>
      <c r="F237" s="6">
        <v>0</v>
      </c>
      <c r="G237" s="6">
        <v>1</v>
      </c>
      <c r="H237" s="6">
        <v>0</v>
      </c>
      <c r="I237" s="6">
        <v>1</v>
      </c>
      <c r="J237" s="6">
        <v>0</v>
      </c>
      <c r="K237" s="6">
        <v>1</v>
      </c>
      <c r="L237" s="6">
        <v>1</v>
      </c>
      <c r="M237" s="6">
        <v>1</v>
      </c>
      <c r="N237" s="6">
        <v>1</v>
      </c>
      <c r="O237" s="6">
        <v>0</v>
      </c>
      <c r="P237" s="6">
        <v>0</v>
      </c>
      <c r="Q237" s="6">
        <v>0</v>
      </c>
      <c r="R237" s="6">
        <v>0</v>
      </c>
      <c r="S237" s="5">
        <f t="shared" ref="S237:S246" si="52">SUM(E237:R237)</f>
        <v>7</v>
      </c>
    </row>
    <row r="238" spans="1:19" x14ac:dyDescent="0.3">
      <c r="A238" s="11" t="s">
        <v>50</v>
      </c>
      <c r="B238" s="50"/>
      <c r="C238" s="24" t="s">
        <v>221</v>
      </c>
      <c r="D238" s="49"/>
      <c r="E238" s="6">
        <v>1</v>
      </c>
      <c r="F238" s="6">
        <v>0</v>
      </c>
      <c r="G238" s="6">
        <v>0</v>
      </c>
      <c r="H238" s="6">
        <v>0</v>
      </c>
      <c r="I238" s="6">
        <v>2</v>
      </c>
      <c r="J238" s="6">
        <v>0</v>
      </c>
      <c r="K238" s="6">
        <v>0</v>
      </c>
      <c r="L238" s="6">
        <v>0</v>
      </c>
      <c r="M238" s="6">
        <v>1</v>
      </c>
      <c r="N238" s="6">
        <v>0</v>
      </c>
      <c r="O238" s="6">
        <v>1</v>
      </c>
      <c r="P238" s="6">
        <v>0</v>
      </c>
      <c r="Q238" s="6">
        <v>1</v>
      </c>
      <c r="R238" s="6">
        <v>0</v>
      </c>
      <c r="S238" s="5">
        <f t="shared" si="52"/>
        <v>6</v>
      </c>
    </row>
    <row r="239" spans="1:19" x14ac:dyDescent="0.3">
      <c r="A239" s="7"/>
      <c r="B239" s="50"/>
      <c r="C239" s="24" t="s">
        <v>222</v>
      </c>
      <c r="D239" s="49"/>
      <c r="E239" s="6">
        <v>2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2</v>
      </c>
      <c r="O239" s="6">
        <v>1</v>
      </c>
      <c r="P239" s="6">
        <v>0</v>
      </c>
      <c r="Q239" s="6">
        <v>0</v>
      </c>
      <c r="R239" s="6">
        <v>0</v>
      </c>
      <c r="S239" s="5">
        <f t="shared" si="52"/>
        <v>5</v>
      </c>
    </row>
    <row r="240" spans="1:19" ht="13.15" customHeight="1" x14ac:dyDescent="0.3">
      <c r="A240" s="7"/>
      <c r="B240" s="50"/>
      <c r="C240" s="24" t="s">
        <v>223</v>
      </c>
      <c r="D240" s="49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5">
        <f t="shared" si="52"/>
        <v>0</v>
      </c>
    </row>
    <row r="241" spans="1:19" x14ac:dyDescent="0.3">
      <c r="A241" s="7"/>
      <c r="B241" s="50"/>
      <c r="C241" s="24" t="s">
        <v>224</v>
      </c>
      <c r="D241" s="49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5">
        <f t="shared" si="52"/>
        <v>0</v>
      </c>
    </row>
    <row r="242" spans="1:19" ht="12.75" customHeight="1" x14ac:dyDescent="0.3">
      <c r="A242" s="7"/>
      <c r="B242" s="50"/>
      <c r="C242" s="24" t="s">
        <v>225</v>
      </c>
      <c r="D242" s="49"/>
      <c r="E242" s="6">
        <v>1</v>
      </c>
      <c r="F242" s="6">
        <v>0</v>
      </c>
      <c r="G242" s="6">
        <v>0</v>
      </c>
      <c r="H242" s="6">
        <v>0</v>
      </c>
      <c r="I242" s="6">
        <v>2</v>
      </c>
      <c r="J242" s="6">
        <v>2</v>
      </c>
      <c r="K242" s="6">
        <v>1</v>
      </c>
      <c r="L242" s="6">
        <v>0</v>
      </c>
      <c r="M242" s="6">
        <v>0</v>
      </c>
      <c r="N242" s="6">
        <v>0</v>
      </c>
      <c r="O242" s="6">
        <v>0</v>
      </c>
      <c r="P242" s="6">
        <v>1</v>
      </c>
      <c r="Q242" s="6">
        <v>6</v>
      </c>
      <c r="R242" s="6">
        <v>1</v>
      </c>
      <c r="S242" s="5">
        <f t="shared" si="52"/>
        <v>14</v>
      </c>
    </row>
    <row r="243" spans="1:19" x14ac:dyDescent="0.3">
      <c r="A243" s="7"/>
      <c r="B243" s="50"/>
      <c r="C243" s="24" t="s">
        <v>226</v>
      </c>
      <c r="D243" s="49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1</v>
      </c>
      <c r="R243" s="6">
        <v>0</v>
      </c>
      <c r="S243" s="5">
        <f t="shared" si="52"/>
        <v>1</v>
      </c>
    </row>
    <row r="244" spans="1:19" x14ac:dyDescent="0.3">
      <c r="A244" s="7"/>
      <c r="B244" s="50"/>
      <c r="C244" s="24" t="s">
        <v>227</v>
      </c>
      <c r="D244" s="49"/>
      <c r="E244" s="6">
        <v>1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1</v>
      </c>
      <c r="P244" s="6">
        <v>0</v>
      </c>
      <c r="Q244" s="6">
        <v>0</v>
      </c>
      <c r="R244" s="6">
        <v>0</v>
      </c>
      <c r="S244" s="5">
        <f t="shared" si="52"/>
        <v>2</v>
      </c>
    </row>
    <row r="245" spans="1:19" x14ac:dyDescent="0.3">
      <c r="A245" s="7"/>
      <c r="B245" s="50"/>
      <c r="C245" s="24" t="s">
        <v>228</v>
      </c>
      <c r="D245" s="49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1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5">
        <f t="shared" si="52"/>
        <v>1</v>
      </c>
    </row>
    <row r="246" spans="1:19" x14ac:dyDescent="0.3">
      <c r="A246" s="7"/>
      <c r="B246" s="50"/>
      <c r="C246" s="24" t="s">
        <v>229</v>
      </c>
      <c r="D246" s="49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1</v>
      </c>
      <c r="Q246" s="6">
        <v>0</v>
      </c>
      <c r="R246" s="6">
        <v>0</v>
      </c>
      <c r="S246" s="5">
        <f t="shared" si="52"/>
        <v>1</v>
      </c>
    </row>
    <row r="247" spans="1:19" ht="12.75" customHeight="1" x14ac:dyDescent="0.3">
      <c r="A247" s="6" t="s">
        <v>26</v>
      </c>
      <c r="B247" s="84" t="s">
        <v>51</v>
      </c>
      <c r="C247" s="87"/>
      <c r="D247" s="88"/>
      <c r="E247" s="5">
        <f t="shared" ref="E247:S247" si="53">SUM(E237:E246)</f>
        <v>6</v>
      </c>
      <c r="F247" s="5">
        <f t="shared" si="53"/>
        <v>0</v>
      </c>
      <c r="G247" s="5">
        <f t="shared" si="53"/>
        <v>1</v>
      </c>
      <c r="H247" s="5">
        <f t="shared" si="53"/>
        <v>0</v>
      </c>
      <c r="I247" s="5">
        <f t="shared" si="53"/>
        <v>5</v>
      </c>
      <c r="J247" s="5">
        <f t="shared" si="53"/>
        <v>2</v>
      </c>
      <c r="K247" s="5">
        <f t="shared" si="53"/>
        <v>2</v>
      </c>
      <c r="L247" s="5">
        <f t="shared" si="53"/>
        <v>1</v>
      </c>
      <c r="M247" s="5">
        <f t="shared" si="53"/>
        <v>3</v>
      </c>
      <c r="N247" s="5">
        <f t="shared" si="53"/>
        <v>3</v>
      </c>
      <c r="O247" s="5">
        <f t="shared" si="53"/>
        <v>3</v>
      </c>
      <c r="P247" s="5">
        <f t="shared" si="53"/>
        <v>2</v>
      </c>
      <c r="Q247" s="5">
        <f t="shared" si="53"/>
        <v>8</v>
      </c>
      <c r="R247" s="5">
        <f t="shared" si="53"/>
        <v>1</v>
      </c>
      <c r="S247" s="5">
        <f t="shared" si="53"/>
        <v>37</v>
      </c>
    </row>
    <row r="248" spans="1:19" x14ac:dyDescent="0.3">
      <c r="A248" s="62"/>
      <c r="B248" s="89"/>
      <c r="C248" s="89"/>
      <c r="D248" s="89"/>
      <c r="E248" s="90"/>
    </row>
    <row r="249" spans="1:19" x14ac:dyDescent="0.3">
      <c r="A249" s="11" t="s">
        <v>48</v>
      </c>
      <c r="B249" s="17" t="s">
        <v>81</v>
      </c>
      <c r="C249" s="86" t="s">
        <v>82</v>
      </c>
      <c r="D249" s="64"/>
      <c r="E249" s="6">
        <v>1</v>
      </c>
      <c r="F249" s="6">
        <v>0</v>
      </c>
      <c r="G249" s="6">
        <v>0</v>
      </c>
      <c r="H249" s="6">
        <v>1</v>
      </c>
      <c r="I249" s="6">
        <v>0</v>
      </c>
      <c r="J249" s="6">
        <v>0</v>
      </c>
      <c r="K249" s="6">
        <v>0</v>
      </c>
      <c r="L249" s="6">
        <v>1</v>
      </c>
      <c r="M249" s="6">
        <v>0</v>
      </c>
      <c r="N249" s="6">
        <v>0</v>
      </c>
      <c r="O249" s="6">
        <v>0</v>
      </c>
      <c r="P249" s="6">
        <v>1</v>
      </c>
      <c r="Q249" s="6">
        <v>1</v>
      </c>
      <c r="R249" s="6">
        <v>0</v>
      </c>
      <c r="S249" s="5">
        <f t="shared" ref="S249:S258" si="54">SUM(E249:R249)</f>
        <v>5</v>
      </c>
    </row>
    <row r="250" spans="1:19" x14ac:dyDescent="0.3">
      <c r="A250" s="11" t="s">
        <v>50</v>
      </c>
      <c r="B250" s="50"/>
      <c r="C250" s="24" t="s">
        <v>230</v>
      </c>
      <c r="D250" s="49"/>
      <c r="E250" s="6">
        <v>1</v>
      </c>
      <c r="F250" s="6">
        <v>0</v>
      </c>
      <c r="G250" s="6">
        <v>0</v>
      </c>
      <c r="H250" s="6">
        <v>1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5">
        <f t="shared" si="54"/>
        <v>2</v>
      </c>
    </row>
    <row r="251" spans="1:19" x14ac:dyDescent="0.3">
      <c r="A251" s="7"/>
      <c r="B251" s="50"/>
      <c r="C251" s="24" t="s">
        <v>231</v>
      </c>
      <c r="D251" s="49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5">
        <f t="shared" si="54"/>
        <v>0</v>
      </c>
    </row>
    <row r="252" spans="1:19" x14ac:dyDescent="0.3">
      <c r="A252" s="7"/>
      <c r="B252" s="50"/>
      <c r="C252" s="24" t="s">
        <v>232</v>
      </c>
      <c r="D252" s="49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5">
        <f t="shared" si="54"/>
        <v>0</v>
      </c>
    </row>
    <row r="253" spans="1:19" x14ac:dyDescent="0.3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5">
        <f t="shared" si="54"/>
        <v>0</v>
      </c>
    </row>
    <row r="254" spans="1:19" x14ac:dyDescent="0.3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5">
        <f t="shared" si="54"/>
        <v>0</v>
      </c>
    </row>
    <row r="255" spans="1:19" x14ac:dyDescent="0.3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5">
        <f t="shared" si="54"/>
        <v>0</v>
      </c>
    </row>
    <row r="256" spans="1:19" x14ac:dyDescent="0.3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5">
        <f t="shared" si="54"/>
        <v>0</v>
      </c>
    </row>
    <row r="257" spans="1:19" x14ac:dyDescent="0.3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5">
        <f t="shared" si="54"/>
        <v>0</v>
      </c>
    </row>
    <row r="258" spans="1:19" x14ac:dyDescent="0.3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5">
        <f t="shared" si="54"/>
        <v>0</v>
      </c>
    </row>
    <row r="259" spans="1:19" x14ac:dyDescent="0.3">
      <c r="A259" s="6" t="s">
        <v>26</v>
      </c>
      <c r="B259" s="84" t="s">
        <v>51</v>
      </c>
      <c r="C259" s="87"/>
      <c r="D259" s="88"/>
      <c r="E259" s="5">
        <f t="shared" ref="E259:S259" si="55">SUM(E249:E258)</f>
        <v>2</v>
      </c>
      <c r="F259" s="5">
        <f t="shared" si="55"/>
        <v>0</v>
      </c>
      <c r="G259" s="5">
        <f t="shared" si="55"/>
        <v>0</v>
      </c>
      <c r="H259" s="5">
        <f t="shared" si="55"/>
        <v>2</v>
      </c>
      <c r="I259" s="5">
        <f t="shared" si="55"/>
        <v>0</v>
      </c>
      <c r="J259" s="5">
        <f t="shared" si="55"/>
        <v>0</v>
      </c>
      <c r="K259" s="5">
        <f t="shared" si="55"/>
        <v>0</v>
      </c>
      <c r="L259" s="5">
        <f t="shared" si="55"/>
        <v>1</v>
      </c>
      <c r="M259" s="5">
        <f t="shared" si="55"/>
        <v>0</v>
      </c>
      <c r="N259" s="5">
        <f t="shared" si="55"/>
        <v>0</v>
      </c>
      <c r="O259" s="5">
        <f t="shared" si="55"/>
        <v>0</v>
      </c>
      <c r="P259" s="5">
        <f t="shared" si="55"/>
        <v>1</v>
      </c>
      <c r="Q259" s="5">
        <f t="shared" si="55"/>
        <v>1</v>
      </c>
      <c r="R259" s="5">
        <f t="shared" si="55"/>
        <v>0</v>
      </c>
      <c r="S259" s="5">
        <f t="shared" si="55"/>
        <v>7</v>
      </c>
    </row>
    <row r="261" spans="1:19" x14ac:dyDescent="0.3">
      <c r="A261" s="16" t="s">
        <v>83</v>
      </c>
      <c r="B261" s="65" t="s">
        <v>84</v>
      </c>
      <c r="C261" s="97"/>
      <c r="D261" s="98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5"/>
      <c r="S261" s="5"/>
    </row>
    <row r="262" spans="1:19" x14ac:dyDescent="0.3">
      <c r="A262" s="16"/>
      <c r="B262" s="19" t="s">
        <v>85</v>
      </c>
      <c r="C262" s="95" t="s">
        <v>86</v>
      </c>
      <c r="D262" s="96"/>
      <c r="E262" s="6">
        <f>E55+E67+E79+E91+E103+E115+E127+E139+E151+E163+E175+E187+E199+E211+E223+E235+E247+E259</f>
        <v>156</v>
      </c>
      <c r="F262" s="6">
        <f t="shared" ref="F262:R262" si="56">F55+F67+F79+F91+F103+F115+F127+F139+F151+F163+F175+F187+F199+F211+F223+F235+F247+F259</f>
        <v>102</v>
      </c>
      <c r="G262" s="6">
        <f t="shared" si="56"/>
        <v>135</v>
      </c>
      <c r="H262" s="6">
        <f t="shared" si="56"/>
        <v>165</v>
      </c>
      <c r="I262" s="6">
        <f t="shared" si="56"/>
        <v>172</v>
      </c>
      <c r="J262" s="6">
        <f t="shared" si="56"/>
        <v>149</v>
      </c>
      <c r="K262" s="6">
        <f t="shared" si="56"/>
        <v>163</v>
      </c>
      <c r="L262" s="6">
        <f t="shared" ref="L262:Q262" si="57">L55+L67+L79+L91+L103+L115+L127+L139+L151+L163+L175+L187+L199+L211+L223+L235+L247+L259</f>
        <v>147</v>
      </c>
      <c r="M262" s="6">
        <f t="shared" si="57"/>
        <v>155</v>
      </c>
      <c r="N262" s="6">
        <f t="shared" si="57"/>
        <v>181</v>
      </c>
      <c r="O262" s="6">
        <f t="shared" si="57"/>
        <v>165</v>
      </c>
      <c r="P262" s="6">
        <f t="shared" si="57"/>
        <v>165</v>
      </c>
      <c r="Q262" s="6">
        <f t="shared" si="57"/>
        <v>169</v>
      </c>
      <c r="R262" s="6">
        <f t="shared" si="56"/>
        <v>120</v>
      </c>
      <c r="S262" s="5">
        <f>SUM(E262:R262)</f>
        <v>2144</v>
      </c>
    </row>
    <row r="263" spans="1:19" x14ac:dyDescent="0.3">
      <c r="A263" s="13"/>
      <c r="B263" s="19" t="s">
        <v>87</v>
      </c>
      <c r="C263" s="95" t="s">
        <v>88</v>
      </c>
      <c r="D263" s="96"/>
      <c r="E263" s="6">
        <v>19</v>
      </c>
      <c r="F263" s="6">
        <v>30</v>
      </c>
      <c r="G263" s="6">
        <v>23</v>
      </c>
      <c r="H263" s="6">
        <v>28</v>
      </c>
      <c r="I263" s="6">
        <v>32</v>
      </c>
      <c r="J263" s="6">
        <v>35</v>
      </c>
      <c r="K263" s="6">
        <v>53</v>
      </c>
      <c r="L263" s="6">
        <v>32</v>
      </c>
      <c r="M263" s="6">
        <v>46</v>
      </c>
      <c r="N263" s="6">
        <v>36</v>
      </c>
      <c r="O263" s="6">
        <v>50</v>
      </c>
      <c r="P263" s="6">
        <v>37</v>
      </c>
      <c r="Q263" s="6">
        <v>30</v>
      </c>
      <c r="R263" s="6">
        <v>19</v>
      </c>
      <c r="S263" s="5">
        <f>SUM(E263:R263)</f>
        <v>470</v>
      </c>
    </row>
    <row r="264" spans="1:19" x14ac:dyDescent="0.3">
      <c r="A264" s="14"/>
      <c r="B264" s="19" t="s">
        <v>89</v>
      </c>
      <c r="C264" s="95" t="s">
        <v>90</v>
      </c>
      <c r="D264" s="96"/>
      <c r="E264" s="5">
        <f>SUM(E262:E263)</f>
        <v>175</v>
      </c>
      <c r="F264" s="5">
        <f t="shared" ref="F264:R264" si="58">SUM(F262:F263)</f>
        <v>132</v>
      </c>
      <c r="G264" s="5">
        <f t="shared" si="58"/>
        <v>158</v>
      </c>
      <c r="H264" s="5">
        <f t="shared" si="58"/>
        <v>193</v>
      </c>
      <c r="I264" s="5">
        <f t="shared" si="58"/>
        <v>204</v>
      </c>
      <c r="J264" s="5">
        <f t="shared" si="58"/>
        <v>184</v>
      </c>
      <c r="K264" s="5">
        <f t="shared" si="58"/>
        <v>216</v>
      </c>
      <c r="L264" s="5">
        <f t="shared" ref="L264:Q264" si="59">SUM(L262:L263)</f>
        <v>179</v>
      </c>
      <c r="M264" s="5">
        <f t="shared" si="59"/>
        <v>201</v>
      </c>
      <c r="N264" s="5">
        <f t="shared" si="59"/>
        <v>217</v>
      </c>
      <c r="O264" s="5">
        <f t="shared" si="59"/>
        <v>215</v>
      </c>
      <c r="P264" s="5">
        <f t="shared" si="59"/>
        <v>202</v>
      </c>
      <c r="Q264" s="5">
        <f t="shared" si="59"/>
        <v>199</v>
      </c>
      <c r="R264" s="5">
        <f t="shared" si="58"/>
        <v>139</v>
      </c>
      <c r="S264" s="5">
        <f>SUM(E264:R264)</f>
        <v>2614</v>
      </c>
    </row>
  </sheetData>
  <mergeCells count="86">
    <mergeCell ref="B25:B27"/>
    <mergeCell ref="C25:C27"/>
    <mergeCell ref="B28:B30"/>
    <mergeCell ref="B18:D18"/>
    <mergeCell ref="B19:B21"/>
    <mergeCell ref="C19:C21"/>
    <mergeCell ref="B22:B24"/>
    <mergeCell ref="C22:C24"/>
    <mergeCell ref="C28:C30"/>
    <mergeCell ref="A17:D17"/>
    <mergeCell ref="B12:D12"/>
    <mergeCell ref="E12:R12"/>
    <mergeCell ref="S12:S13"/>
    <mergeCell ref="B13:D13"/>
    <mergeCell ref="B14:C16"/>
    <mergeCell ref="A31:D31"/>
    <mergeCell ref="B32:D32"/>
    <mergeCell ref="B33:D33"/>
    <mergeCell ref="B55:D55"/>
    <mergeCell ref="B35:D35"/>
    <mergeCell ref="B36:D36"/>
    <mergeCell ref="A37:D37"/>
    <mergeCell ref="B43:D43"/>
    <mergeCell ref="A44:D44"/>
    <mergeCell ref="C45:D45"/>
    <mergeCell ref="B34:D34"/>
    <mergeCell ref="E37:I37"/>
    <mergeCell ref="B38:D38"/>
    <mergeCell ref="B39:C41"/>
    <mergeCell ref="A42:D42"/>
    <mergeCell ref="E42:I42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C264:D264"/>
    <mergeCell ref="A248:E248"/>
    <mergeCell ref="C249:D249"/>
    <mergeCell ref="B259:D259"/>
    <mergeCell ref="B261:D261"/>
    <mergeCell ref="C262:D262"/>
    <mergeCell ref="C263:D263"/>
  </mergeCells>
  <phoneticPr fontId="9" type="noConversion"/>
  <conditionalFormatting sqref="E14:R15">
    <cfRule type="containsBlanks" dxfId="196" priority="20">
      <formula>LEN(TRIM(E14))=0</formula>
    </cfRule>
  </conditionalFormatting>
  <conditionalFormatting sqref="E19:R20">
    <cfRule type="containsBlanks" dxfId="195" priority="23">
      <formula>LEN(TRIM(E19))=0</formula>
    </cfRule>
  </conditionalFormatting>
  <conditionalFormatting sqref="E22:R23 E25:R26 E33:R33 E35:R35 E39:R40">
    <cfRule type="containsBlanks" dxfId="194" priority="24">
      <formula>LEN(TRIM(E22))=0</formula>
    </cfRule>
  </conditionalFormatting>
  <conditionalFormatting sqref="E30:R30">
    <cfRule type="expression" dxfId="193" priority="25">
      <formula>E30&lt;&gt;E47</formula>
    </cfRule>
    <cfRule type="expression" dxfId="192" priority="26">
      <formula>E30&lt;&gt;E34</formula>
    </cfRule>
  </conditionalFormatting>
  <conditionalFormatting sqref="E34:R34">
    <cfRule type="expression" dxfId="191" priority="21">
      <formula>E30&lt;&gt;E34</formula>
    </cfRule>
    <cfRule type="expression" dxfId="190" priority="22">
      <formula>E30=E34</formula>
    </cfRule>
    <cfRule type="expression" dxfId="189" priority="27">
      <formula>E34&lt;&gt;E30</formula>
    </cfRule>
    <cfRule type="expression" dxfId="188" priority="29">
      <formula>E34&lt;&gt;E64</formula>
    </cfRule>
  </conditionalFormatting>
  <conditionalFormatting sqref="E45:R54">
    <cfRule type="containsBlanks" dxfId="187" priority="19">
      <formula>LEN(TRIM(E45))=0</formula>
    </cfRule>
  </conditionalFormatting>
  <conditionalFormatting sqref="E57:R66">
    <cfRule type="containsBlanks" dxfId="186" priority="18">
      <formula>LEN(TRIM(E57))=0</formula>
    </cfRule>
  </conditionalFormatting>
  <conditionalFormatting sqref="E69:R78">
    <cfRule type="containsBlanks" dxfId="185" priority="17">
      <formula>LEN(TRIM(E69))=0</formula>
    </cfRule>
  </conditionalFormatting>
  <conditionalFormatting sqref="E81:R90">
    <cfRule type="containsBlanks" dxfId="184" priority="16">
      <formula>LEN(TRIM(E81))=0</formula>
    </cfRule>
  </conditionalFormatting>
  <conditionalFormatting sqref="E93:R102">
    <cfRule type="containsBlanks" dxfId="183" priority="15">
      <formula>LEN(TRIM(E93))=0</formula>
    </cfRule>
  </conditionalFormatting>
  <conditionalFormatting sqref="E105:R114">
    <cfRule type="containsBlanks" dxfId="182" priority="14">
      <formula>LEN(TRIM(E105))=0</formula>
    </cfRule>
  </conditionalFormatting>
  <conditionalFormatting sqref="E117:R126">
    <cfRule type="containsBlanks" dxfId="181" priority="1">
      <formula>LEN(TRIM(E117))=0</formula>
    </cfRule>
  </conditionalFormatting>
  <conditionalFormatting sqref="E129:R138">
    <cfRule type="containsBlanks" dxfId="180" priority="13">
      <formula>LEN(TRIM(E129))=0</formula>
    </cfRule>
  </conditionalFormatting>
  <conditionalFormatting sqref="E141:R150">
    <cfRule type="containsBlanks" dxfId="179" priority="12">
      <formula>LEN(TRIM(E141))=0</formula>
    </cfRule>
  </conditionalFormatting>
  <conditionalFormatting sqref="E153:R162">
    <cfRule type="containsBlanks" dxfId="178" priority="3">
      <formula>LEN(TRIM(E153))=0</formula>
    </cfRule>
  </conditionalFormatting>
  <conditionalFormatting sqref="E165:R174">
    <cfRule type="containsBlanks" dxfId="177" priority="11">
      <formula>LEN(TRIM(E165))=0</formula>
    </cfRule>
  </conditionalFormatting>
  <conditionalFormatting sqref="E177:R186">
    <cfRule type="containsBlanks" dxfId="176" priority="10">
      <formula>LEN(TRIM(E177))=0</formula>
    </cfRule>
  </conditionalFormatting>
  <conditionalFormatting sqref="E189:R198">
    <cfRule type="containsBlanks" dxfId="175" priority="9">
      <formula>LEN(TRIM(E189))=0</formula>
    </cfRule>
  </conditionalFormatting>
  <conditionalFormatting sqref="E201:R210">
    <cfRule type="containsBlanks" dxfId="174" priority="8">
      <formula>LEN(TRIM(E201))=0</formula>
    </cfRule>
  </conditionalFormatting>
  <conditionalFormatting sqref="E213:R222">
    <cfRule type="containsBlanks" dxfId="173" priority="7">
      <formula>LEN(TRIM(E213))=0</formula>
    </cfRule>
  </conditionalFormatting>
  <conditionalFormatting sqref="E225:R234">
    <cfRule type="containsBlanks" dxfId="172" priority="6">
      <formula>LEN(TRIM(E225))=0</formula>
    </cfRule>
  </conditionalFormatting>
  <conditionalFormatting sqref="E237:R246">
    <cfRule type="containsBlanks" dxfId="171" priority="5">
      <formula>LEN(TRIM(E237))=0</formula>
    </cfRule>
  </conditionalFormatting>
  <conditionalFormatting sqref="E249:R258">
    <cfRule type="containsBlanks" dxfId="170" priority="4">
      <formula>LEN(TRIM(E249))=0</formula>
    </cfRule>
  </conditionalFormatting>
  <conditionalFormatting sqref="E262:R263">
    <cfRule type="containsBlanks" dxfId="169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CD85-E373-4744-A74F-63DA70D05679}">
  <dimension ref="A2:U264"/>
  <sheetViews>
    <sheetView tabSelected="1" zoomScale="70" zoomScaleNormal="70" workbookViewId="0">
      <selection activeCell="E251" sqref="E251"/>
    </sheetView>
  </sheetViews>
  <sheetFormatPr defaultRowHeight="13" x14ac:dyDescent="0.3"/>
  <cols>
    <col min="3" max="3" width="67.09765625" bestFit="1" customWidth="1"/>
    <col min="4" max="4" width="5.8984375" bestFit="1" customWidth="1"/>
    <col min="21" max="21" width="13.296875" customWidth="1"/>
  </cols>
  <sheetData>
    <row r="2" spans="1:21" x14ac:dyDescent="0.3">
      <c r="C2" s="43" t="s">
        <v>98</v>
      </c>
      <c r="D2" s="43" t="s">
        <v>104</v>
      </c>
    </row>
    <row r="3" spans="1:21" x14ac:dyDescent="0.3">
      <c r="C3" s="43" t="s">
        <v>99</v>
      </c>
      <c r="D3" s="43" t="s">
        <v>100</v>
      </c>
    </row>
    <row r="4" spans="1:21" x14ac:dyDescent="0.3">
      <c r="C4" s="43" t="s">
        <v>101</v>
      </c>
      <c r="D4" s="43" t="s">
        <v>102</v>
      </c>
    </row>
    <row r="5" spans="1:21" x14ac:dyDescent="0.3">
      <c r="C5" s="43"/>
      <c r="D5" s="43"/>
    </row>
    <row r="6" spans="1:21" x14ac:dyDescent="0.3">
      <c r="C6" s="43"/>
      <c r="D6" s="43"/>
    </row>
    <row r="7" spans="1:21" x14ac:dyDescent="0.3">
      <c r="C7" s="43"/>
      <c r="D7" s="43"/>
    </row>
    <row r="8" spans="1:21" x14ac:dyDescent="0.3">
      <c r="C8" s="43"/>
      <c r="D8" s="43"/>
    </row>
    <row r="9" spans="1:21" x14ac:dyDescent="0.3">
      <c r="C9" s="43" t="s">
        <v>103</v>
      </c>
      <c r="D9" s="43" t="s">
        <v>110</v>
      </c>
    </row>
    <row r="11" spans="1:21" x14ac:dyDescent="0.3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Q11" s="3"/>
    </row>
    <row r="12" spans="1:21" x14ac:dyDescent="0.3">
      <c r="A12" s="5" t="s">
        <v>0</v>
      </c>
      <c r="B12" s="65" t="s">
        <v>1</v>
      </c>
      <c r="C12" s="63"/>
      <c r="D12" s="64"/>
      <c r="E12" s="99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1" t="s">
        <v>97</v>
      </c>
    </row>
    <row r="13" spans="1:21" x14ac:dyDescent="0.3">
      <c r="A13" s="6" t="s">
        <v>2</v>
      </c>
      <c r="B13" s="76" t="s">
        <v>3</v>
      </c>
      <c r="C13" s="63"/>
      <c r="D13" s="6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102"/>
    </row>
    <row r="14" spans="1:21" x14ac:dyDescent="0.3">
      <c r="A14" s="7"/>
      <c r="B14" s="77" t="s">
        <v>22</v>
      </c>
      <c r="C14" s="78"/>
      <c r="D14" s="6" t="s">
        <v>23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5">
        <f>SUM(E14:T14)</f>
        <v>0</v>
      </c>
    </row>
    <row r="15" spans="1:21" x14ac:dyDescent="0.3">
      <c r="A15" s="7"/>
      <c r="B15" s="79"/>
      <c r="C15" s="67"/>
      <c r="D15" s="6" t="s">
        <v>24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5">
        <f>SUM(E15:T15)</f>
        <v>0</v>
      </c>
    </row>
    <row r="16" spans="1:21" x14ac:dyDescent="0.3">
      <c r="A16" s="8"/>
      <c r="B16" s="75"/>
      <c r="C16" s="68"/>
      <c r="D16" s="5" t="s">
        <v>25</v>
      </c>
      <c r="E16" s="5">
        <f t="shared" ref="E16:T16" si="0">SUM(E14:E15)</f>
        <v>0</v>
      </c>
      <c r="F16" s="5">
        <f t="shared" si="0"/>
        <v>0</v>
      </c>
      <c r="G16" s="5">
        <f t="shared" si="0"/>
        <v>0</v>
      </c>
      <c r="H16" s="5">
        <f t="shared" si="0"/>
        <v>0</v>
      </c>
      <c r="I16" s="5">
        <f t="shared" si="0"/>
        <v>0</v>
      </c>
      <c r="J16" s="5">
        <f t="shared" si="0"/>
        <v>0</v>
      </c>
      <c r="K16" s="5">
        <f t="shared" si="0"/>
        <v>0</v>
      </c>
      <c r="L16" s="5">
        <f t="shared" si="0"/>
        <v>0</v>
      </c>
      <c r="M16" s="5">
        <f t="shared" si="0"/>
        <v>0</v>
      </c>
      <c r="N16" s="5">
        <f t="shared" ref="N16:P16" si="1">SUM(N14:N15)</f>
        <v>0</v>
      </c>
      <c r="O16" s="5">
        <f t="shared" si="1"/>
        <v>0</v>
      </c>
      <c r="P16" s="5">
        <f t="shared" si="1"/>
        <v>0</v>
      </c>
      <c r="Q16" s="5">
        <f t="shared" si="0"/>
        <v>0</v>
      </c>
      <c r="R16" s="5">
        <f t="shared" si="0"/>
        <v>0</v>
      </c>
      <c r="S16" s="5">
        <f t="shared" si="0"/>
        <v>0</v>
      </c>
      <c r="T16" s="5">
        <f t="shared" si="0"/>
        <v>0</v>
      </c>
      <c r="U16" s="5">
        <f>SUM(E16:T16)</f>
        <v>0</v>
      </c>
    </row>
    <row r="17" spans="1:21" x14ac:dyDescent="0.3">
      <c r="A17" s="62"/>
      <c r="B17" s="63"/>
      <c r="C17" s="63"/>
      <c r="D17" s="64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28"/>
    </row>
    <row r="18" spans="1:21" x14ac:dyDescent="0.3">
      <c r="A18" s="11" t="s">
        <v>26</v>
      </c>
      <c r="B18" s="76" t="s">
        <v>27</v>
      </c>
      <c r="C18" s="63"/>
      <c r="D18" s="64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28"/>
    </row>
    <row r="19" spans="1:21" x14ac:dyDescent="0.3">
      <c r="A19" s="11"/>
      <c r="B19" s="66" t="s">
        <v>28</v>
      </c>
      <c r="C19" s="69" t="s">
        <v>29</v>
      </c>
      <c r="D19" s="6" t="s">
        <v>23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5">
        <f t="shared" ref="U19:U30" si="2">SUM(E19:T19)</f>
        <v>0</v>
      </c>
    </row>
    <row r="20" spans="1:21" x14ac:dyDescent="0.3">
      <c r="A20" s="12"/>
      <c r="B20" s="67"/>
      <c r="C20" s="70"/>
      <c r="D20" s="6" t="s">
        <v>24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5">
        <f t="shared" si="2"/>
        <v>0</v>
      </c>
    </row>
    <row r="21" spans="1:21" x14ac:dyDescent="0.3">
      <c r="A21" s="13"/>
      <c r="B21" s="68"/>
      <c r="C21" s="71"/>
      <c r="D21" s="5" t="s">
        <v>25</v>
      </c>
      <c r="E21" s="5">
        <f t="shared" ref="E21:T21" si="3">SUM(E19:E20)</f>
        <v>0</v>
      </c>
      <c r="F21" s="5">
        <f t="shared" si="3"/>
        <v>0</v>
      </c>
      <c r="G21" s="5">
        <f t="shared" si="3"/>
        <v>0</v>
      </c>
      <c r="H21" s="5">
        <f t="shared" si="3"/>
        <v>0</v>
      </c>
      <c r="I21" s="5">
        <f t="shared" si="3"/>
        <v>0</v>
      </c>
      <c r="J21" s="5">
        <f t="shared" si="3"/>
        <v>0</v>
      </c>
      <c r="K21" s="5">
        <f t="shared" si="3"/>
        <v>0</v>
      </c>
      <c r="L21" s="5">
        <f t="shared" si="3"/>
        <v>0</v>
      </c>
      <c r="M21" s="5">
        <f t="shared" si="3"/>
        <v>0</v>
      </c>
      <c r="N21" s="5">
        <f t="shared" ref="N21:P21" si="4">SUM(N19:N20)</f>
        <v>0</v>
      </c>
      <c r="O21" s="5">
        <f t="shared" si="4"/>
        <v>0</v>
      </c>
      <c r="P21" s="5">
        <f t="shared" si="4"/>
        <v>0</v>
      </c>
      <c r="Q21" s="5">
        <f t="shared" si="3"/>
        <v>0</v>
      </c>
      <c r="R21" s="5">
        <f t="shared" si="3"/>
        <v>0</v>
      </c>
      <c r="S21" s="5">
        <f t="shared" si="3"/>
        <v>0</v>
      </c>
      <c r="T21" s="5">
        <f t="shared" si="3"/>
        <v>0</v>
      </c>
      <c r="U21" s="5">
        <f t="shared" si="2"/>
        <v>0</v>
      </c>
    </row>
    <row r="22" spans="1:21" x14ac:dyDescent="0.3">
      <c r="A22" s="12"/>
      <c r="B22" s="66" t="s">
        <v>30</v>
      </c>
      <c r="C22" s="69" t="s">
        <v>31</v>
      </c>
      <c r="D22" s="6" t="s">
        <v>23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5">
        <f t="shared" si="2"/>
        <v>0</v>
      </c>
    </row>
    <row r="23" spans="1:21" x14ac:dyDescent="0.3">
      <c r="A23" s="12"/>
      <c r="B23" s="67"/>
      <c r="C23" s="70"/>
      <c r="D23" s="6" t="s">
        <v>24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5">
        <f t="shared" si="2"/>
        <v>0</v>
      </c>
    </row>
    <row r="24" spans="1:21" x14ac:dyDescent="0.3">
      <c r="A24" s="13"/>
      <c r="B24" s="68"/>
      <c r="C24" s="71"/>
      <c r="D24" s="5" t="s">
        <v>25</v>
      </c>
      <c r="E24" s="5">
        <f t="shared" ref="E24:T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0</v>
      </c>
      <c r="I24" s="5">
        <f t="shared" si="5"/>
        <v>0</v>
      </c>
      <c r="J24" s="5">
        <f t="shared" si="5"/>
        <v>0</v>
      </c>
      <c r="K24" s="5">
        <f t="shared" si="5"/>
        <v>0</v>
      </c>
      <c r="L24" s="5">
        <f t="shared" si="5"/>
        <v>0</v>
      </c>
      <c r="M24" s="5">
        <f t="shared" si="5"/>
        <v>0</v>
      </c>
      <c r="N24" s="5">
        <f t="shared" ref="N24:P24" si="6">SUM(N22:N23)</f>
        <v>0</v>
      </c>
      <c r="O24" s="5">
        <f t="shared" si="6"/>
        <v>0</v>
      </c>
      <c r="P24" s="5">
        <f t="shared" si="6"/>
        <v>0</v>
      </c>
      <c r="Q24" s="5">
        <f t="shared" si="5"/>
        <v>0</v>
      </c>
      <c r="R24" s="5">
        <f t="shared" si="5"/>
        <v>0</v>
      </c>
      <c r="S24" s="5">
        <f t="shared" si="5"/>
        <v>0</v>
      </c>
      <c r="T24" s="5">
        <f t="shared" si="5"/>
        <v>0</v>
      </c>
      <c r="U24" s="5">
        <f t="shared" si="2"/>
        <v>0</v>
      </c>
    </row>
    <row r="25" spans="1:21" x14ac:dyDescent="0.3">
      <c r="A25" s="12"/>
      <c r="B25" s="66" t="s">
        <v>32</v>
      </c>
      <c r="C25" s="69" t="s">
        <v>33</v>
      </c>
      <c r="D25" s="6" t="s">
        <v>23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5">
        <f t="shared" si="2"/>
        <v>0</v>
      </c>
    </row>
    <row r="26" spans="1:21" x14ac:dyDescent="0.3">
      <c r="A26" s="12"/>
      <c r="B26" s="67"/>
      <c r="C26" s="70"/>
      <c r="D26" s="6" t="s">
        <v>24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5">
        <f t="shared" si="2"/>
        <v>0</v>
      </c>
    </row>
    <row r="27" spans="1:21" x14ac:dyDescent="0.3">
      <c r="A27" s="13"/>
      <c r="B27" s="68"/>
      <c r="C27" s="71"/>
      <c r="D27" s="5" t="s">
        <v>25</v>
      </c>
      <c r="E27" s="5">
        <f t="shared" ref="E27:T27" si="7">SUM(E25:E26)</f>
        <v>0</v>
      </c>
      <c r="F27" s="5">
        <f t="shared" si="7"/>
        <v>0</v>
      </c>
      <c r="G27" s="5">
        <f t="shared" si="7"/>
        <v>0</v>
      </c>
      <c r="H27" s="5">
        <f t="shared" si="7"/>
        <v>0</v>
      </c>
      <c r="I27" s="5">
        <f t="shared" si="7"/>
        <v>0</v>
      </c>
      <c r="J27" s="5">
        <f t="shared" si="7"/>
        <v>0</v>
      </c>
      <c r="K27" s="5">
        <f t="shared" si="7"/>
        <v>0</v>
      </c>
      <c r="L27" s="5">
        <f t="shared" si="7"/>
        <v>0</v>
      </c>
      <c r="M27" s="5">
        <f t="shared" si="7"/>
        <v>0</v>
      </c>
      <c r="N27" s="5">
        <f t="shared" ref="N27:P27" si="8">SUM(N25:N26)</f>
        <v>0</v>
      </c>
      <c r="O27" s="5">
        <f t="shared" si="8"/>
        <v>0</v>
      </c>
      <c r="P27" s="5">
        <f t="shared" si="8"/>
        <v>0</v>
      </c>
      <c r="Q27" s="5">
        <f t="shared" si="7"/>
        <v>0</v>
      </c>
      <c r="R27" s="5">
        <f t="shared" si="7"/>
        <v>0</v>
      </c>
      <c r="S27" s="5">
        <f t="shared" si="7"/>
        <v>0</v>
      </c>
      <c r="T27" s="5">
        <f t="shared" si="7"/>
        <v>0</v>
      </c>
      <c r="U27" s="5">
        <f t="shared" si="2"/>
        <v>0</v>
      </c>
    </row>
    <row r="28" spans="1:21" x14ac:dyDescent="0.3">
      <c r="A28" s="13"/>
      <c r="B28" s="72" t="s">
        <v>34</v>
      </c>
      <c r="C28" s="73" t="s">
        <v>35</v>
      </c>
      <c r="D28" s="5" t="s">
        <v>23</v>
      </c>
      <c r="E28" s="5">
        <f>SUM(E19,E22,E25)</f>
        <v>0</v>
      </c>
      <c r="F28" s="5">
        <f t="shared" ref="F28:T29" si="9">SUM(F19,F22,F25)</f>
        <v>0</v>
      </c>
      <c r="G28" s="5">
        <f t="shared" si="9"/>
        <v>0</v>
      </c>
      <c r="H28" s="5">
        <f t="shared" si="9"/>
        <v>0</v>
      </c>
      <c r="I28" s="5">
        <f t="shared" si="9"/>
        <v>0</v>
      </c>
      <c r="J28" s="5">
        <f t="shared" si="9"/>
        <v>0</v>
      </c>
      <c r="K28" s="5">
        <f t="shared" si="9"/>
        <v>0</v>
      </c>
      <c r="L28" s="5">
        <f t="shared" si="9"/>
        <v>0</v>
      </c>
      <c r="M28" s="5">
        <f t="shared" si="9"/>
        <v>0</v>
      </c>
      <c r="N28" s="5">
        <f t="shared" ref="N28:P28" si="10">SUM(N19,N22,N25)</f>
        <v>0</v>
      </c>
      <c r="O28" s="5">
        <f t="shared" si="10"/>
        <v>0</v>
      </c>
      <c r="P28" s="5">
        <f t="shared" si="10"/>
        <v>0</v>
      </c>
      <c r="Q28" s="5">
        <f t="shared" si="9"/>
        <v>0</v>
      </c>
      <c r="R28" s="5">
        <f t="shared" si="9"/>
        <v>0</v>
      </c>
      <c r="S28" s="5">
        <f t="shared" si="9"/>
        <v>0</v>
      </c>
      <c r="T28" s="5">
        <f t="shared" si="9"/>
        <v>0</v>
      </c>
      <c r="U28" s="5">
        <f t="shared" si="2"/>
        <v>0</v>
      </c>
    </row>
    <row r="29" spans="1:21" x14ac:dyDescent="0.3">
      <c r="A29" s="13"/>
      <c r="B29" s="67"/>
      <c r="C29" s="70"/>
      <c r="D29" s="5" t="s">
        <v>24</v>
      </c>
      <c r="E29" s="5">
        <f>SUM(E20,E23,E26)</f>
        <v>0</v>
      </c>
      <c r="F29" s="5">
        <f t="shared" si="9"/>
        <v>0</v>
      </c>
      <c r="G29" s="5">
        <f t="shared" si="9"/>
        <v>0</v>
      </c>
      <c r="H29" s="5">
        <f t="shared" si="9"/>
        <v>0</v>
      </c>
      <c r="I29" s="5">
        <f t="shared" si="9"/>
        <v>0</v>
      </c>
      <c r="J29" s="5">
        <f t="shared" si="9"/>
        <v>0</v>
      </c>
      <c r="K29" s="5">
        <f t="shared" si="9"/>
        <v>0</v>
      </c>
      <c r="L29" s="5">
        <f t="shared" si="9"/>
        <v>0</v>
      </c>
      <c r="M29" s="5">
        <f t="shared" si="9"/>
        <v>0</v>
      </c>
      <c r="N29" s="5">
        <f t="shared" ref="N29:P29" si="11">SUM(N20,N23,N26)</f>
        <v>0</v>
      </c>
      <c r="O29" s="5">
        <f t="shared" si="11"/>
        <v>0</v>
      </c>
      <c r="P29" s="5">
        <f t="shared" si="11"/>
        <v>0</v>
      </c>
      <c r="Q29" s="5">
        <f t="shared" si="9"/>
        <v>0</v>
      </c>
      <c r="R29" s="5">
        <f t="shared" si="9"/>
        <v>0</v>
      </c>
      <c r="S29" s="5">
        <f t="shared" si="9"/>
        <v>0</v>
      </c>
      <c r="T29" s="5">
        <f t="shared" si="9"/>
        <v>0</v>
      </c>
      <c r="U29" s="5">
        <f t="shared" si="2"/>
        <v>0</v>
      </c>
    </row>
    <row r="30" spans="1:21" x14ac:dyDescent="0.3">
      <c r="A30" s="13"/>
      <c r="B30" s="68"/>
      <c r="C30" s="71"/>
      <c r="D30" s="5" t="s">
        <v>25</v>
      </c>
      <c r="E30" s="5">
        <f t="shared" ref="E30" si="12">SUM(E28:E29)</f>
        <v>0</v>
      </c>
      <c r="F30" s="5">
        <f t="shared" ref="F30:T30" si="13">SUM(F28:F29)</f>
        <v>0</v>
      </c>
      <c r="G30" s="5">
        <f t="shared" si="13"/>
        <v>0</v>
      </c>
      <c r="H30" s="5">
        <f t="shared" si="13"/>
        <v>0</v>
      </c>
      <c r="I30" s="5">
        <f t="shared" si="13"/>
        <v>0</v>
      </c>
      <c r="J30" s="5">
        <f t="shared" si="13"/>
        <v>0</v>
      </c>
      <c r="K30" s="5">
        <f t="shared" si="13"/>
        <v>0</v>
      </c>
      <c r="L30" s="5">
        <f t="shared" si="13"/>
        <v>0</v>
      </c>
      <c r="M30" s="5">
        <f t="shared" si="13"/>
        <v>0</v>
      </c>
      <c r="N30" s="5">
        <f t="shared" ref="N30:P30" si="14">SUM(N28:N29)</f>
        <v>0</v>
      </c>
      <c r="O30" s="5">
        <f t="shared" si="14"/>
        <v>0</v>
      </c>
      <c r="P30" s="5">
        <f t="shared" si="14"/>
        <v>0</v>
      </c>
      <c r="Q30" s="5">
        <f t="shared" si="13"/>
        <v>0</v>
      </c>
      <c r="R30" s="5">
        <f t="shared" si="13"/>
        <v>0</v>
      </c>
      <c r="S30" s="5">
        <f t="shared" si="13"/>
        <v>0</v>
      </c>
      <c r="T30" s="5">
        <f t="shared" si="13"/>
        <v>0</v>
      </c>
      <c r="U30" s="5">
        <f t="shared" si="2"/>
        <v>0</v>
      </c>
    </row>
    <row r="31" spans="1:21" x14ac:dyDescent="0.3">
      <c r="A31" s="62"/>
      <c r="B31" s="63"/>
      <c r="C31" s="63"/>
      <c r="D31" s="64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28"/>
    </row>
    <row r="32" spans="1:21" x14ac:dyDescent="0.3">
      <c r="A32" s="14" t="s">
        <v>36</v>
      </c>
      <c r="B32" s="65" t="s">
        <v>37</v>
      </c>
      <c r="C32" s="63"/>
      <c r="D32" s="64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28"/>
    </row>
    <row r="33" spans="1:21" x14ac:dyDescent="0.3">
      <c r="A33" s="6">
        <v>1</v>
      </c>
      <c r="B33" s="76" t="s">
        <v>38</v>
      </c>
      <c r="C33" s="63"/>
      <c r="D33" s="64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5">
        <f>SUM(E33:T33)</f>
        <v>0</v>
      </c>
    </row>
    <row r="34" spans="1:21" x14ac:dyDescent="0.3">
      <c r="A34" s="6">
        <v>2</v>
      </c>
      <c r="B34" s="76" t="s">
        <v>39</v>
      </c>
      <c r="C34" s="63"/>
      <c r="D34" s="6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f>SUM(E34:T34)</f>
        <v>0</v>
      </c>
    </row>
    <row r="35" spans="1:21" x14ac:dyDescent="0.3">
      <c r="A35" s="6">
        <v>3</v>
      </c>
      <c r="B35" s="76" t="s">
        <v>40</v>
      </c>
      <c r="C35" s="63"/>
      <c r="D35" s="64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5">
        <f>SUM(E35:T35)</f>
        <v>0</v>
      </c>
    </row>
    <row r="36" spans="1:21" x14ac:dyDescent="0.3">
      <c r="A36" s="6">
        <v>4</v>
      </c>
      <c r="B36" s="76" t="s">
        <v>41</v>
      </c>
      <c r="C36" s="63"/>
      <c r="D36" s="64"/>
      <c r="E36" s="5">
        <f t="shared" ref="E36:T36" si="15">E33-(E34+E35)</f>
        <v>0</v>
      </c>
      <c r="F36" s="5">
        <f t="shared" si="15"/>
        <v>0</v>
      </c>
      <c r="G36" s="5">
        <f t="shared" si="15"/>
        <v>0</v>
      </c>
      <c r="H36" s="5">
        <f t="shared" si="15"/>
        <v>0</v>
      </c>
      <c r="I36" s="5">
        <f t="shared" si="15"/>
        <v>0</v>
      </c>
      <c r="J36" s="5">
        <f t="shared" si="15"/>
        <v>0</v>
      </c>
      <c r="K36" s="5">
        <f t="shared" si="15"/>
        <v>0</v>
      </c>
      <c r="L36" s="5">
        <f t="shared" si="15"/>
        <v>0</v>
      </c>
      <c r="M36" s="5">
        <f t="shared" si="15"/>
        <v>0</v>
      </c>
      <c r="N36" s="5">
        <f t="shared" ref="N36:P36" si="16">N33-(N34+N35)</f>
        <v>0</v>
      </c>
      <c r="O36" s="5">
        <f t="shared" si="16"/>
        <v>0</v>
      </c>
      <c r="P36" s="5">
        <f t="shared" si="16"/>
        <v>0</v>
      </c>
      <c r="Q36" s="5">
        <f t="shared" si="15"/>
        <v>0</v>
      </c>
      <c r="R36" s="5">
        <f t="shared" si="15"/>
        <v>0</v>
      </c>
      <c r="S36" s="5">
        <f t="shared" si="15"/>
        <v>0</v>
      </c>
      <c r="T36" s="5">
        <f t="shared" si="15"/>
        <v>0</v>
      </c>
      <c r="U36" s="5">
        <f>SUM(E36:T36)</f>
        <v>0</v>
      </c>
    </row>
    <row r="37" spans="1:21" x14ac:dyDescent="0.3">
      <c r="A37" s="62"/>
      <c r="B37" s="63"/>
      <c r="C37" s="63"/>
      <c r="D37" s="63"/>
      <c r="E37" s="62"/>
      <c r="F37" s="103"/>
      <c r="G37" s="103"/>
      <c r="H37" s="103"/>
      <c r="I37" s="104"/>
      <c r="J37" s="6"/>
      <c r="K37" s="6"/>
      <c r="L37" s="6"/>
      <c r="M37" s="6"/>
      <c r="N37" s="10"/>
      <c r="O37" s="26"/>
      <c r="P37" s="26"/>
      <c r="Q37" s="10"/>
      <c r="R37" s="26"/>
      <c r="S37" s="26"/>
      <c r="T37" s="26"/>
      <c r="U37" s="28"/>
    </row>
    <row r="38" spans="1:21" x14ac:dyDescent="0.3">
      <c r="A38" s="16" t="s">
        <v>42</v>
      </c>
      <c r="B38" s="65" t="s">
        <v>43</v>
      </c>
      <c r="C38" s="63"/>
      <c r="D38" s="64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28"/>
    </row>
    <row r="39" spans="1:21" x14ac:dyDescent="0.3">
      <c r="A39" s="11"/>
      <c r="B39" s="80" t="s">
        <v>44</v>
      </c>
      <c r="C39" s="78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5">
        <f>SUM(E39:T39)</f>
        <v>0</v>
      </c>
    </row>
    <row r="40" spans="1:21" x14ac:dyDescent="0.3">
      <c r="A40" s="12"/>
      <c r="B40" s="81"/>
      <c r="C40" s="67"/>
      <c r="D40" s="6" t="s">
        <v>24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5">
        <f>SUM(E40:T40)</f>
        <v>0</v>
      </c>
    </row>
    <row r="41" spans="1:21" x14ac:dyDescent="0.3">
      <c r="A41" s="14"/>
      <c r="B41" s="82"/>
      <c r="C41" s="68"/>
      <c r="D41" s="5" t="s">
        <v>25</v>
      </c>
      <c r="E41" s="5">
        <f t="shared" ref="E41:T41" si="17">SUM(E39:E40)</f>
        <v>0</v>
      </c>
      <c r="F41" s="5">
        <f t="shared" si="17"/>
        <v>0</v>
      </c>
      <c r="G41" s="5">
        <f t="shared" si="17"/>
        <v>0</v>
      </c>
      <c r="H41" s="5">
        <f t="shared" si="17"/>
        <v>0</v>
      </c>
      <c r="I41" s="5">
        <f t="shared" si="17"/>
        <v>0</v>
      </c>
      <c r="J41" s="5">
        <f t="shared" si="17"/>
        <v>0</v>
      </c>
      <c r="K41" s="5">
        <f t="shared" si="17"/>
        <v>0</v>
      </c>
      <c r="L41" s="5">
        <f t="shared" si="17"/>
        <v>0</v>
      </c>
      <c r="M41" s="5">
        <f t="shared" si="17"/>
        <v>0</v>
      </c>
      <c r="N41" s="5">
        <f t="shared" ref="N41:P41" si="18">SUM(N39:N40)</f>
        <v>0</v>
      </c>
      <c r="O41" s="5">
        <f t="shared" si="18"/>
        <v>0</v>
      </c>
      <c r="P41" s="5">
        <f t="shared" si="18"/>
        <v>0</v>
      </c>
      <c r="Q41" s="5">
        <f t="shared" si="17"/>
        <v>0</v>
      </c>
      <c r="R41" s="5">
        <f t="shared" si="17"/>
        <v>0</v>
      </c>
      <c r="S41" s="5">
        <f t="shared" si="17"/>
        <v>0</v>
      </c>
      <c r="T41" s="5">
        <f t="shared" si="17"/>
        <v>0</v>
      </c>
      <c r="U41" s="5">
        <f>SUM(E41:T41)</f>
        <v>0</v>
      </c>
    </row>
    <row r="42" spans="1:21" x14ac:dyDescent="0.3">
      <c r="A42" s="83"/>
      <c r="B42" s="82"/>
      <c r="C42" s="82"/>
      <c r="D42" s="68"/>
      <c r="E42" s="62"/>
      <c r="F42" s="63"/>
      <c r="G42" s="63"/>
      <c r="H42" s="63"/>
      <c r="I42" s="64"/>
      <c r="J42" s="6"/>
      <c r="K42" s="6"/>
      <c r="L42" s="6"/>
      <c r="M42" s="6"/>
      <c r="N42" s="10"/>
      <c r="O42" s="6"/>
      <c r="P42" s="10"/>
      <c r="Q42" s="10"/>
      <c r="R42" s="6"/>
      <c r="S42" s="10"/>
      <c r="T42" s="6"/>
      <c r="U42" s="5"/>
    </row>
    <row r="43" spans="1:21" ht="13.15" customHeight="1" x14ac:dyDescent="0.3">
      <c r="A43" s="16" t="s">
        <v>45</v>
      </c>
      <c r="B43" s="65" t="s">
        <v>46</v>
      </c>
      <c r="C43" s="63"/>
      <c r="D43" s="6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15"/>
      <c r="R43" s="5"/>
      <c r="S43" s="15"/>
      <c r="T43" s="5"/>
      <c r="U43" s="5"/>
    </row>
    <row r="44" spans="1:21" ht="13.15" customHeight="1" x14ac:dyDescent="0.3">
      <c r="A44" s="80" t="s">
        <v>47</v>
      </c>
      <c r="B44" s="85"/>
      <c r="C44" s="85"/>
      <c r="D44" s="78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10"/>
      <c r="R44" s="6"/>
      <c r="S44" s="10"/>
      <c r="T44" s="6"/>
      <c r="U44" s="5"/>
    </row>
    <row r="45" spans="1:21" x14ac:dyDescent="0.3">
      <c r="A45" s="11" t="s">
        <v>48</v>
      </c>
      <c r="B45" s="17" t="s">
        <v>28</v>
      </c>
      <c r="C45" s="86" t="s">
        <v>49</v>
      </c>
      <c r="D45" s="64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5">
        <f t="shared" ref="U45:U54" si="19">SUM(E45:T45)</f>
        <v>0</v>
      </c>
    </row>
    <row r="46" spans="1:21" x14ac:dyDescent="0.3">
      <c r="A46" s="11" t="s">
        <v>50</v>
      </c>
      <c r="B46" s="50"/>
      <c r="C46" s="24" t="s">
        <v>115</v>
      </c>
      <c r="D46" s="49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5">
        <f t="shared" si="19"/>
        <v>0</v>
      </c>
    </row>
    <row r="47" spans="1:21" x14ac:dyDescent="0.3">
      <c r="A47" s="7"/>
      <c r="B47" s="50"/>
      <c r="C47" s="24" t="s">
        <v>116</v>
      </c>
      <c r="D47" s="49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5">
        <f t="shared" si="19"/>
        <v>0</v>
      </c>
    </row>
    <row r="48" spans="1:21" x14ac:dyDescent="0.3">
      <c r="A48" s="7"/>
      <c r="B48" s="50"/>
      <c r="C48" s="24" t="s">
        <v>117</v>
      </c>
      <c r="D48" s="49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5">
        <f t="shared" si="19"/>
        <v>0</v>
      </c>
    </row>
    <row r="49" spans="1:21" x14ac:dyDescent="0.3">
      <c r="A49" s="7"/>
      <c r="B49" s="50"/>
      <c r="C49" s="24" t="s">
        <v>118</v>
      </c>
      <c r="D49" s="49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5">
        <f t="shared" si="19"/>
        <v>0</v>
      </c>
    </row>
    <row r="50" spans="1:21" x14ac:dyDescent="0.3">
      <c r="A50" s="7"/>
      <c r="B50" s="50"/>
      <c r="C50" s="24" t="s">
        <v>119</v>
      </c>
      <c r="D50" s="49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5">
        <f t="shared" si="19"/>
        <v>0</v>
      </c>
    </row>
    <row r="51" spans="1:21" x14ac:dyDescent="0.3">
      <c r="A51" s="7"/>
      <c r="B51" s="50"/>
      <c r="C51" s="24" t="s">
        <v>120</v>
      </c>
      <c r="D51" s="49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5">
        <f t="shared" si="19"/>
        <v>0</v>
      </c>
    </row>
    <row r="52" spans="1:21" ht="13.15" customHeight="1" x14ac:dyDescent="0.3">
      <c r="A52" s="7"/>
      <c r="B52" s="50"/>
      <c r="C52" s="24" t="s">
        <v>121</v>
      </c>
      <c r="D52" s="49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5">
        <f t="shared" si="19"/>
        <v>0</v>
      </c>
    </row>
    <row r="53" spans="1:21" ht="13.15" customHeight="1" x14ac:dyDescent="0.3">
      <c r="A53" s="7"/>
      <c r="B53" s="50"/>
      <c r="C53" s="24" t="s">
        <v>122</v>
      </c>
      <c r="D53" s="51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5">
        <f t="shared" si="19"/>
        <v>0</v>
      </c>
    </row>
    <row r="54" spans="1:21" ht="13.15" customHeight="1" x14ac:dyDescent="0.3">
      <c r="A54" s="7"/>
      <c r="B54" s="50"/>
      <c r="C54" s="24" t="s">
        <v>123</v>
      </c>
      <c r="D54" s="49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5">
        <f t="shared" si="19"/>
        <v>0</v>
      </c>
    </row>
    <row r="55" spans="1:21" x14ac:dyDescent="0.3">
      <c r="A55" s="6" t="s">
        <v>26</v>
      </c>
      <c r="B55" s="84" t="s">
        <v>51</v>
      </c>
      <c r="C55" s="63"/>
      <c r="D55" s="64"/>
      <c r="E55" s="5">
        <f>SUM(E45:E54)</f>
        <v>0</v>
      </c>
      <c r="F55" s="5">
        <f t="shared" ref="F55:U55" si="20">SUM(F45:F54)</f>
        <v>0</v>
      </c>
      <c r="G55" s="5">
        <f t="shared" si="20"/>
        <v>0</v>
      </c>
      <c r="H55" s="5">
        <f t="shared" si="20"/>
        <v>0</v>
      </c>
      <c r="I55" s="5">
        <f t="shared" si="20"/>
        <v>0</v>
      </c>
      <c r="J55" s="5">
        <f t="shared" si="20"/>
        <v>0</v>
      </c>
      <c r="K55" s="5">
        <f t="shared" si="20"/>
        <v>0</v>
      </c>
      <c r="L55" s="5">
        <f t="shared" si="20"/>
        <v>0</v>
      </c>
      <c r="M55" s="5">
        <f t="shared" si="20"/>
        <v>0</v>
      </c>
      <c r="N55" s="5">
        <f t="shared" ref="N55:P55" si="21">SUM(N45:N54)</f>
        <v>0</v>
      </c>
      <c r="O55" s="5">
        <f t="shared" si="21"/>
        <v>0</v>
      </c>
      <c r="P55" s="5">
        <f t="shared" si="21"/>
        <v>0</v>
      </c>
      <c r="Q55" s="5">
        <f t="shared" si="20"/>
        <v>0</v>
      </c>
      <c r="R55" s="5">
        <f t="shared" si="20"/>
        <v>0</v>
      </c>
      <c r="S55" s="5">
        <f t="shared" si="20"/>
        <v>0</v>
      </c>
      <c r="T55" s="5">
        <f t="shared" si="20"/>
        <v>0</v>
      </c>
      <c r="U55" s="5">
        <f t="shared" si="20"/>
        <v>0</v>
      </c>
    </row>
    <row r="56" spans="1:21" x14ac:dyDescent="0.3">
      <c r="A56" s="83"/>
      <c r="B56" s="82"/>
      <c r="C56" s="82"/>
      <c r="D56" s="82"/>
      <c r="E56" s="82"/>
      <c r="U56" s="5"/>
    </row>
    <row r="57" spans="1:21" x14ac:dyDescent="0.3">
      <c r="A57" s="11" t="s">
        <v>48</v>
      </c>
      <c r="B57" s="17" t="s">
        <v>30</v>
      </c>
      <c r="C57" s="86" t="s">
        <v>52</v>
      </c>
      <c r="D57" s="64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5">
        <f t="shared" ref="U57:U66" si="22">SUM(E57:T57)</f>
        <v>0</v>
      </c>
    </row>
    <row r="58" spans="1:21" x14ac:dyDescent="0.3">
      <c r="A58" s="11" t="s">
        <v>50</v>
      </c>
      <c r="B58" s="50"/>
      <c r="C58" s="24" t="s">
        <v>124</v>
      </c>
      <c r="D58" s="49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5">
        <f t="shared" si="22"/>
        <v>0</v>
      </c>
    </row>
    <row r="59" spans="1:21" x14ac:dyDescent="0.3">
      <c r="A59" s="7"/>
      <c r="B59" s="50"/>
      <c r="C59" s="24" t="s">
        <v>125</v>
      </c>
      <c r="D59" s="49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5">
        <f t="shared" si="22"/>
        <v>0</v>
      </c>
    </row>
    <row r="60" spans="1:21" x14ac:dyDescent="0.3">
      <c r="A60" s="7"/>
      <c r="B60" s="50"/>
      <c r="C60" s="24" t="s">
        <v>126</v>
      </c>
      <c r="D60" s="49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">
        <f t="shared" si="22"/>
        <v>0</v>
      </c>
    </row>
    <row r="61" spans="1:21" x14ac:dyDescent="0.3">
      <c r="A61" s="7"/>
      <c r="B61" s="50"/>
      <c r="C61" s="24" t="s">
        <v>127</v>
      </c>
      <c r="D61" s="49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5">
        <f t="shared" si="22"/>
        <v>0</v>
      </c>
    </row>
    <row r="62" spans="1:21" x14ac:dyDescent="0.3">
      <c r="A62" s="7"/>
      <c r="B62" s="50"/>
      <c r="C62" s="24" t="s">
        <v>128</v>
      </c>
      <c r="D62" s="49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5">
        <f t="shared" si="22"/>
        <v>0</v>
      </c>
    </row>
    <row r="63" spans="1:21" ht="13.15" customHeight="1" x14ac:dyDescent="0.3">
      <c r="A63" s="7"/>
      <c r="B63" s="50"/>
      <c r="C63" s="24" t="s">
        <v>129</v>
      </c>
      <c r="D63" s="49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5">
        <f t="shared" si="22"/>
        <v>0</v>
      </c>
    </row>
    <row r="64" spans="1:21" x14ac:dyDescent="0.3">
      <c r="A64" s="7"/>
      <c r="B64" s="50"/>
      <c r="C64" s="24" t="s">
        <v>130</v>
      </c>
      <c r="D64" s="49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5">
        <f t="shared" si="22"/>
        <v>0</v>
      </c>
    </row>
    <row r="65" spans="1:21" x14ac:dyDescent="0.3">
      <c r="A65" s="7"/>
      <c r="B65" s="50"/>
      <c r="C65" s="24" t="s">
        <v>131</v>
      </c>
      <c r="D65" s="49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5">
        <f t="shared" si="22"/>
        <v>0</v>
      </c>
    </row>
    <row r="66" spans="1:21" x14ac:dyDescent="0.3">
      <c r="A66" s="7"/>
      <c r="B66" s="50"/>
      <c r="C66" s="24" t="s">
        <v>132</v>
      </c>
      <c r="D66" s="49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5">
        <f t="shared" si="22"/>
        <v>0</v>
      </c>
    </row>
    <row r="67" spans="1:21" x14ac:dyDescent="0.3">
      <c r="A67" s="6" t="s">
        <v>26</v>
      </c>
      <c r="B67" s="84" t="s">
        <v>51</v>
      </c>
      <c r="C67" s="63"/>
      <c r="D67" s="64"/>
      <c r="E67" s="5">
        <f t="shared" ref="E67:U67" si="23">SUM(E57:E66)</f>
        <v>0</v>
      </c>
      <c r="F67" s="5">
        <f t="shared" si="23"/>
        <v>0</v>
      </c>
      <c r="G67" s="5">
        <f t="shared" si="23"/>
        <v>0</v>
      </c>
      <c r="H67" s="5">
        <f t="shared" si="23"/>
        <v>0</v>
      </c>
      <c r="I67" s="5">
        <f t="shared" si="23"/>
        <v>0</v>
      </c>
      <c r="J67" s="5">
        <f t="shared" si="23"/>
        <v>0</v>
      </c>
      <c r="K67" s="5">
        <f t="shared" si="23"/>
        <v>0</v>
      </c>
      <c r="L67" s="5">
        <f t="shared" si="23"/>
        <v>0</v>
      </c>
      <c r="M67" s="5">
        <f t="shared" si="23"/>
        <v>0</v>
      </c>
      <c r="N67" s="5">
        <f t="shared" ref="N67:P67" si="24">SUM(N57:N66)</f>
        <v>0</v>
      </c>
      <c r="O67" s="5">
        <f t="shared" si="24"/>
        <v>0</v>
      </c>
      <c r="P67" s="5">
        <f t="shared" si="24"/>
        <v>0</v>
      </c>
      <c r="Q67" s="5">
        <f t="shared" si="23"/>
        <v>0</v>
      </c>
      <c r="R67" s="5">
        <f t="shared" si="23"/>
        <v>0</v>
      </c>
      <c r="S67" s="5">
        <f t="shared" si="23"/>
        <v>0</v>
      </c>
      <c r="T67" s="5">
        <f t="shared" si="23"/>
        <v>0</v>
      </c>
      <c r="U67" s="5">
        <f t="shared" si="23"/>
        <v>0</v>
      </c>
    </row>
    <row r="68" spans="1:21" x14ac:dyDescent="0.3">
      <c r="A68" s="83"/>
      <c r="B68" s="82"/>
      <c r="C68" s="82"/>
      <c r="D68" s="82"/>
      <c r="E68" s="82"/>
    </row>
    <row r="69" spans="1:21" x14ac:dyDescent="0.3">
      <c r="A69" s="11" t="s">
        <v>48</v>
      </c>
      <c r="B69" s="17" t="s">
        <v>32</v>
      </c>
      <c r="C69" s="86" t="s">
        <v>53</v>
      </c>
      <c r="D69" s="64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5">
        <f t="shared" ref="U69:U78" si="25">SUM(E69:T69)</f>
        <v>0</v>
      </c>
    </row>
    <row r="70" spans="1:21" x14ac:dyDescent="0.3">
      <c r="A70" s="11" t="s">
        <v>50</v>
      </c>
      <c r="B70" s="50"/>
      <c r="C70" s="24" t="s">
        <v>133</v>
      </c>
      <c r="D70" s="49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5">
        <f t="shared" si="25"/>
        <v>0</v>
      </c>
    </row>
    <row r="71" spans="1:21" x14ac:dyDescent="0.3">
      <c r="A71" s="7"/>
      <c r="B71" s="50"/>
      <c r="C71" s="24" t="s">
        <v>134</v>
      </c>
      <c r="D71" s="49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5">
        <f t="shared" si="25"/>
        <v>0</v>
      </c>
    </row>
    <row r="72" spans="1:21" x14ac:dyDescent="0.3">
      <c r="A72" s="7"/>
      <c r="B72" s="50"/>
      <c r="C72" s="24" t="s">
        <v>135</v>
      </c>
      <c r="D72" s="49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5">
        <f t="shared" si="25"/>
        <v>0</v>
      </c>
    </row>
    <row r="73" spans="1:21" x14ac:dyDescent="0.3">
      <c r="A73" s="7"/>
      <c r="B73" s="50"/>
      <c r="C73" s="24" t="s">
        <v>136</v>
      </c>
      <c r="D73" s="49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5">
        <f t="shared" si="25"/>
        <v>0</v>
      </c>
    </row>
    <row r="74" spans="1:21" ht="13.15" customHeight="1" x14ac:dyDescent="0.3">
      <c r="A74" s="7"/>
      <c r="B74" s="50"/>
      <c r="C74" s="24" t="s">
        <v>137</v>
      </c>
      <c r="D74" s="49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5">
        <f t="shared" si="25"/>
        <v>0</v>
      </c>
    </row>
    <row r="75" spans="1:21" x14ac:dyDescent="0.3">
      <c r="A75" s="7"/>
      <c r="B75" s="50"/>
      <c r="C75" s="24" t="s">
        <v>138</v>
      </c>
      <c r="D75" s="49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5">
        <f t="shared" si="25"/>
        <v>0</v>
      </c>
    </row>
    <row r="76" spans="1:21" x14ac:dyDescent="0.3">
      <c r="A76" s="7"/>
      <c r="B76" s="50"/>
      <c r="C76" s="24" t="s">
        <v>139</v>
      </c>
      <c r="D76" s="49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5">
        <f t="shared" si="25"/>
        <v>0</v>
      </c>
    </row>
    <row r="77" spans="1:21" x14ac:dyDescent="0.3">
      <c r="A77" s="7"/>
      <c r="B77" s="50"/>
      <c r="C77" s="24" t="s">
        <v>140</v>
      </c>
      <c r="D77" s="49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5">
        <f t="shared" si="25"/>
        <v>0</v>
      </c>
    </row>
    <row r="78" spans="1:21" x14ac:dyDescent="0.3">
      <c r="A78" s="7"/>
      <c r="B78" s="50"/>
      <c r="C78" s="24" t="s">
        <v>141</v>
      </c>
      <c r="D78" s="49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5">
        <f t="shared" si="25"/>
        <v>0</v>
      </c>
    </row>
    <row r="79" spans="1:21" x14ac:dyDescent="0.3">
      <c r="A79" s="6" t="s">
        <v>26</v>
      </c>
      <c r="B79" s="84" t="s">
        <v>51</v>
      </c>
      <c r="C79" s="63"/>
      <c r="D79" s="64"/>
      <c r="E79" s="5">
        <f t="shared" ref="E79:U79" si="26">SUM(E69:E78)</f>
        <v>0</v>
      </c>
      <c r="F79" s="5">
        <f t="shared" si="26"/>
        <v>0</v>
      </c>
      <c r="G79" s="5">
        <f t="shared" si="26"/>
        <v>0</v>
      </c>
      <c r="H79" s="5">
        <f t="shared" si="26"/>
        <v>0</v>
      </c>
      <c r="I79" s="5">
        <f t="shared" si="26"/>
        <v>0</v>
      </c>
      <c r="J79" s="5">
        <f t="shared" si="26"/>
        <v>0</v>
      </c>
      <c r="K79" s="5">
        <f t="shared" si="26"/>
        <v>0</v>
      </c>
      <c r="L79" s="5">
        <f t="shared" si="26"/>
        <v>0</v>
      </c>
      <c r="M79" s="5">
        <f t="shared" si="26"/>
        <v>0</v>
      </c>
      <c r="N79" s="5">
        <f t="shared" ref="N79:P79" si="27">SUM(N69:N78)</f>
        <v>0</v>
      </c>
      <c r="O79" s="5">
        <f t="shared" si="27"/>
        <v>0</v>
      </c>
      <c r="P79" s="5">
        <f t="shared" si="27"/>
        <v>0</v>
      </c>
      <c r="Q79" s="5">
        <f t="shared" si="26"/>
        <v>0</v>
      </c>
      <c r="R79" s="5">
        <f t="shared" si="26"/>
        <v>0</v>
      </c>
      <c r="S79" s="5">
        <f t="shared" si="26"/>
        <v>0</v>
      </c>
      <c r="T79" s="5">
        <f t="shared" si="26"/>
        <v>0</v>
      </c>
      <c r="U79" s="5">
        <f t="shared" si="26"/>
        <v>0</v>
      </c>
    </row>
    <row r="80" spans="1:21" x14ac:dyDescent="0.3">
      <c r="A80" s="83"/>
      <c r="B80" s="82"/>
      <c r="C80" s="82"/>
      <c r="D80" s="82"/>
      <c r="E80" s="82"/>
    </row>
    <row r="81" spans="1:21" x14ac:dyDescent="0.3">
      <c r="A81" s="11" t="s">
        <v>48</v>
      </c>
      <c r="B81" s="17" t="s">
        <v>34</v>
      </c>
      <c r="C81" s="86" t="s">
        <v>54</v>
      </c>
      <c r="D81" s="64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5">
        <f t="shared" ref="U81:U90" si="28">SUM(E81:T81)</f>
        <v>0</v>
      </c>
    </row>
    <row r="82" spans="1:21" x14ac:dyDescent="0.3">
      <c r="A82" s="11" t="s">
        <v>50</v>
      </c>
      <c r="B82" s="50"/>
      <c r="C82" s="24" t="s">
        <v>142</v>
      </c>
      <c r="D82" s="49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5">
        <f t="shared" si="28"/>
        <v>0</v>
      </c>
    </row>
    <row r="83" spans="1:21" x14ac:dyDescent="0.3">
      <c r="A83" s="7"/>
      <c r="B83" s="50"/>
      <c r="C83" s="24" t="s">
        <v>143</v>
      </c>
      <c r="D83" s="49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5">
        <f t="shared" si="28"/>
        <v>0</v>
      </c>
    </row>
    <row r="84" spans="1:21" x14ac:dyDescent="0.3">
      <c r="A84" s="7"/>
      <c r="B84" s="50"/>
      <c r="C84" s="24" t="s">
        <v>144</v>
      </c>
      <c r="D84" s="49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5">
        <f t="shared" si="28"/>
        <v>0</v>
      </c>
    </row>
    <row r="85" spans="1:21" ht="13.15" customHeight="1" x14ac:dyDescent="0.3">
      <c r="A85" s="7"/>
      <c r="B85" s="50"/>
      <c r="C85" s="24" t="s">
        <v>145</v>
      </c>
      <c r="D85" s="49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5">
        <f t="shared" si="28"/>
        <v>0</v>
      </c>
    </row>
    <row r="86" spans="1:21" x14ac:dyDescent="0.3">
      <c r="A86" s="7"/>
      <c r="B86" s="50"/>
      <c r="C86" s="24" t="s">
        <v>146</v>
      </c>
      <c r="D86" s="49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5">
        <f t="shared" si="28"/>
        <v>0</v>
      </c>
    </row>
    <row r="87" spans="1:21" x14ac:dyDescent="0.3">
      <c r="A87" s="7"/>
      <c r="B87" s="50"/>
      <c r="C87" s="24" t="s">
        <v>147</v>
      </c>
      <c r="D87" s="49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5">
        <f t="shared" si="28"/>
        <v>0</v>
      </c>
    </row>
    <row r="88" spans="1:21" x14ac:dyDescent="0.3">
      <c r="A88" s="7"/>
      <c r="B88" s="50"/>
      <c r="C88" s="24" t="s">
        <v>148</v>
      </c>
      <c r="D88" s="49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5">
        <f t="shared" si="28"/>
        <v>0</v>
      </c>
    </row>
    <row r="89" spans="1:21" x14ac:dyDescent="0.3">
      <c r="A89" s="7"/>
      <c r="B89" s="50"/>
      <c r="C89" s="24" t="s">
        <v>149</v>
      </c>
      <c r="D89" s="49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5">
        <f t="shared" si="28"/>
        <v>0</v>
      </c>
    </row>
    <row r="90" spans="1:21" x14ac:dyDescent="0.3">
      <c r="A90" s="7"/>
      <c r="B90" s="50"/>
      <c r="C90" s="24" t="s">
        <v>150</v>
      </c>
      <c r="D90" s="49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5">
        <f t="shared" si="28"/>
        <v>0</v>
      </c>
    </row>
    <row r="91" spans="1:21" x14ac:dyDescent="0.3">
      <c r="A91" s="6" t="s">
        <v>26</v>
      </c>
      <c r="B91" s="84" t="s">
        <v>51</v>
      </c>
      <c r="C91" s="63"/>
      <c r="D91" s="64"/>
      <c r="E91" s="5">
        <f t="shared" ref="E91:U91" si="29">SUM(E81:E90)</f>
        <v>0</v>
      </c>
      <c r="F91" s="5">
        <f t="shared" si="29"/>
        <v>0</v>
      </c>
      <c r="G91" s="5">
        <f t="shared" si="29"/>
        <v>0</v>
      </c>
      <c r="H91" s="5">
        <f t="shared" si="29"/>
        <v>0</v>
      </c>
      <c r="I91" s="5">
        <f t="shared" si="29"/>
        <v>0</v>
      </c>
      <c r="J91" s="5">
        <f t="shared" si="29"/>
        <v>0</v>
      </c>
      <c r="K91" s="5">
        <f t="shared" si="29"/>
        <v>0</v>
      </c>
      <c r="L91" s="5">
        <f t="shared" si="29"/>
        <v>0</v>
      </c>
      <c r="M91" s="5">
        <f t="shared" si="29"/>
        <v>0</v>
      </c>
      <c r="N91" s="5">
        <f t="shared" ref="N91:P91" si="30">SUM(N81:N90)</f>
        <v>0</v>
      </c>
      <c r="O91" s="5">
        <f t="shared" si="30"/>
        <v>0</v>
      </c>
      <c r="P91" s="5">
        <f t="shared" si="30"/>
        <v>0</v>
      </c>
      <c r="Q91" s="5">
        <f t="shared" si="29"/>
        <v>0</v>
      </c>
      <c r="R91" s="5">
        <f t="shared" si="29"/>
        <v>0</v>
      </c>
      <c r="S91" s="5">
        <f t="shared" si="29"/>
        <v>0</v>
      </c>
      <c r="T91" s="5">
        <f t="shared" si="29"/>
        <v>0</v>
      </c>
      <c r="U91" s="5">
        <f t="shared" si="29"/>
        <v>0</v>
      </c>
    </row>
    <row r="92" spans="1:21" x14ac:dyDescent="0.3">
      <c r="A92" s="83"/>
      <c r="B92" s="82"/>
      <c r="C92" s="82"/>
      <c r="D92" s="82"/>
      <c r="E92" s="82"/>
    </row>
    <row r="93" spans="1:21" x14ac:dyDescent="0.3">
      <c r="A93" s="11" t="s">
        <v>48</v>
      </c>
      <c r="B93" s="17" t="s">
        <v>55</v>
      </c>
      <c r="C93" s="86" t="s">
        <v>56</v>
      </c>
      <c r="D93" s="64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5">
        <f t="shared" ref="U93:U102" si="31">SUM(E93:T93)</f>
        <v>0</v>
      </c>
    </row>
    <row r="94" spans="1:21" x14ac:dyDescent="0.3">
      <c r="A94" s="11" t="s">
        <v>50</v>
      </c>
      <c r="B94" s="50"/>
      <c r="C94" s="24" t="s">
        <v>151</v>
      </c>
      <c r="D94" s="51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5">
        <f t="shared" si="31"/>
        <v>0</v>
      </c>
    </row>
    <row r="95" spans="1:21" x14ac:dyDescent="0.3">
      <c r="A95" s="7"/>
      <c r="B95" s="50"/>
      <c r="C95" s="24" t="s">
        <v>152</v>
      </c>
      <c r="D95" s="51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5">
        <f t="shared" si="31"/>
        <v>0</v>
      </c>
    </row>
    <row r="96" spans="1:21" ht="13.15" customHeight="1" x14ac:dyDescent="0.3">
      <c r="A96" s="7"/>
      <c r="B96" s="50"/>
      <c r="C96" s="24" t="s">
        <v>153</v>
      </c>
      <c r="D96" s="51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5">
        <f t="shared" si="31"/>
        <v>0</v>
      </c>
    </row>
    <row r="97" spans="1:21" x14ac:dyDescent="0.3">
      <c r="A97" s="7"/>
      <c r="B97" s="50"/>
      <c r="C97" s="24" t="s">
        <v>154</v>
      </c>
      <c r="D97" s="51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5">
        <f t="shared" si="31"/>
        <v>0</v>
      </c>
    </row>
    <row r="98" spans="1:21" x14ac:dyDescent="0.3">
      <c r="A98" s="7"/>
      <c r="B98" s="50"/>
      <c r="C98" s="24" t="s">
        <v>155</v>
      </c>
      <c r="D98" s="49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5">
        <f t="shared" si="31"/>
        <v>0</v>
      </c>
    </row>
    <row r="99" spans="1:21" x14ac:dyDescent="0.3">
      <c r="A99" s="7"/>
      <c r="B99" s="50"/>
      <c r="C99" s="24" t="s">
        <v>156</v>
      </c>
      <c r="D99" s="49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5">
        <f t="shared" si="31"/>
        <v>0</v>
      </c>
    </row>
    <row r="100" spans="1:21" x14ac:dyDescent="0.3">
      <c r="A100" s="7"/>
      <c r="B100" s="50"/>
      <c r="C100" s="24" t="s">
        <v>157</v>
      </c>
      <c r="D100" s="51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5">
        <f t="shared" si="31"/>
        <v>0</v>
      </c>
    </row>
    <row r="101" spans="1:21" x14ac:dyDescent="0.3">
      <c r="A101" s="7"/>
      <c r="B101" s="50"/>
      <c r="C101" s="24" t="s">
        <v>158</v>
      </c>
      <c r="D101" s="51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5">
        <f t="shared" si="31"/>
        <v>0</v>
      </c>
    </row>
    <row r="102" spans="1:21" x14ac:dyDescent="0.3">
      <c r="A102" s="7"/>
      <c r="B102" s="50"/>
      <c r="C102" s="24" t="s">
        <v>159</v>
      </c>
      <c r="D102" s="51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5">
        <f t="shared" si="31"/>
        <v>0</v>
      </c>
    </row>
    <row r="103" spans="1:21" x14ac:dyDescent="0.3">
      <c r="A103" s="6" t="s">
        <v>26</v>
      </c>
      <c r="B103" s="84" t="s">
        <v>51</v>
      </c>
      <c r="C103" s="63"/>
      <c r="D103" s="64"/>
      <c r="E103" s="5">
        <f t="shared" ref="E103:U103" si="32">SUM(E93:E102)</f>
        <v>0</v>
      </c>
      <c r="F103" s="5">
        <f t="shared" si="32"/>
        <v>0</v>
      </c>
      <c r="G103" s="5">
        <f t="shared" si="32"/>
        <v>0</v>
      </c>
      <c r="H103" s="5">
        <f t="shared" si="32"/>
        <v>0</v>
      </c>
      <c r="I103" s="5">
        <f t="shared" si="32"/>
        <v>0</v>
      </c>
      <c r="J103" s="5">
        <f t="shared" si="32"/>
        <v>0</v>
      </c>
      <c r="K103" s="5">
        <f t="shared" si="32"/>
        <v>0</v>
      </c>
      <c r="L103" s="5">
        <f t="shared" si="32"/>
        <v>0</v>
      </c>
      <c r="M103" s="5">
        <f t="shared" si="32"/>
        <v>0</v>
      </c>
      <c r="N103" s="5">
        <f t="shared" ref="N103:P103" si="33">SUM(N93:N102)</f>
        <v>0</v>
      </c>
      <c r="O103" s="5">
        <f t="shared" si="33"/>
        <v>0</v>
      </c>
      <c r="P103" s="5">
        <f t="shared" si="33"/>
        <v>0</v>
      </c>
      <c r="Q103" s="5">
        <f t="shared" si="32"/>
        <v>0</v>
      </c>
      <c r="R103" s="5">
        <f t="shared" si="32"/>
        <v>0</v>
      </c>
      <c r="S103" s="5">
        <f t="shared" si="32"/>
        <v>0</v>
      </c>
      <c r="T103" s="5">
        <f t="shared" si="32"/>
        <v>0</v>
      </c>
      <c r="U103" s="5">
        <f t="shared" si="32"/>
        <v>0</v>
      </c>
    </row>
    <row r="104" spans="1:21" x14ac:dyDescent="0.3">
      <c r="A104" s="83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</row>
    <row r="105" spans="1:21" x14ac:dyDescent="0.3">
      <c r="A105" s="11" t="s">
        <v>48</v>
      </c>
      <c r="B105" s="17" t="s">
        <v>57</v>
      </c>
      <c r="C105" s="86" t="s">
        <v>58</v>
      </c>
      <c r="D105" s="64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5">
        <f>SUM(E105:T105)</f>
        <v>0</v>
      </c>
    </row>
    <row r="106" spans="1:21" x14ac:dyDescent="0.3">
      <c r="A106" s="11" t="s">
        <v>50</v>
      </c>
      <c r="B106" s="50"/>
      <c r="C106" s="24" t="s">
        <v>160</v>
      </c>
      <c r="D106" s="49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5">
        <f>SUM(E106:T106)</f>
        <v>0</v>
      </c>
    </row>
    <row r="107" spans="1:21" ht="13.15" customHeight="1" x14ac:dyDescent="0.3">
      <c r="A107" s="7"/>
      <c r="B107" s="50"/>
      <c r="C107" s="24" t="s">
        <v>161</v>
      </c>
      <c r="D107" s="49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5">
        <f t="shared" ref="U107:U114" si="34">SUM(E107:T107)</f>
        <v>0</v>
      </c>
    </row>
    <row r="108" spans="1:21" x14ac:dyDescent="0.3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5">
        <f t="shared" si="34"/>
        <v>0</v>
      </c>
    </row>
    <row r="109" spans="1:21" x14ac:dyDescent="0.3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5">
        <f t="shared" si="34"/>
        <v>0</v>
      </c>
    </row>
    <row r="110" spans="1:21" x14ac:dyDescent="0.3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5">
        <f t="shared" si="34"/>
        <v>0</v>
      </c>
    </row>
    <row r="111" spans="1:21" x14ac:dyDescent="0.3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5">
        <f t="shared" si="34"/>
        <v>0</v>
      </c>
    </row>
    <row r="112" spans="1:21" x14ac:dyDescent="0.3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5">
        <f t="shared" si="34"/>
        <v>0</v>
      </c>
    </row>
    <row r="113" spans="1:21" x14ac:dyDescent="0.3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5">
        <f t="shared" si="34"/>
        <v>0</v>
      </c>
    </row>
    <row r="114" spans="1:21" x14ac:dyDescent="0.3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5">
        <f t="shared" si="34"/>
        <v>0</v>
      </c>
    </row>
    <row r="115" spans="1:21" ht="13.15" customHeight="1" x14ac:dyDescent="0.3">
      <c r="A115" s="6" t="s">
        <v>26</v>
      </c>
      <c r="B115" s="84" t="s">
        <v>51</v>
      </c>
      <c r="C115" s="87"/>
      <c r="D115" s="88"/>
      <c r="E115" s="5">
        <f t="shared" ref="E115:U115" si="35">SUM(E105:E114)</f>
        <v>0</v>
      </c>
      <c r="F115" s="5">
        <f t="shared" si="35"/>
        <v>0</v>
      </c>
      <c r="G115" s="5">
        <f t="shared" si="35"/>
        <v>0</v>
      </c>
      <c r="H115" s="5">
        <f t="shared" si="35"/>
        <v>0</v>
      </c>
      <c r="I115" s="5">
        <f t="shared" si="35"/>
        <v>0</v>
      </c>
      <c r="J115" s="5">
        <f t="shared" si="35"/>
        <v>0</v>
      </c>
      <c r="K115" s="5">
        <f t="shared" si="35"/>
        <v>0</v>
      </c>
      <c r="L115" s="5">
        <f t="shared" si="35"/>
        <v>0</v>
      </c>
      <c r="M115" s="5">
        <f t="shared" si="35"/>
        <v>0</v>
      </c>
      <c r="N115" s="5">
        <f t="shared" ref="N115:P115" si="36">SUM(N105:N114)</f>
        <v>0</v>
      </c>
      <c r="O115" s="5">
        <f t="shared" si="36"/>
        <v>0</v>
      </c>
      <c r="P115" s="5">
        <f t="shared" si="36"/>
        <v>0</v>
      </c>
      <c r="Q115" s="5">
        <f t="shared" si="35"/>
        <v>0</v>
      </c>
      <c r="R115" s="5">
        <f t="shared" si="35"/>
        <v>0</v>
      </c>
      <c r="S115" s="5">
        <f t="shared" si="35"/>
        <v>0</v>
      </c>
      <c r="T115" s="5">
        <f t="shared" si="35"/>
        <v>0</v>
      </c>
      <c r="U115" s="5">
        <f t="shared" si="35"/>
        <v>0</v>
      </c>
    </row>
    <row r="116" spans="1:21" x14ac:dyDescent="0.3">
      <c r="A116" s="62"/>
      <c r="B116" s="89"/>
      <c r="C116" s="89"/>
      <c r="D116" s="89"/>
      <c r="E116" s="90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5"/>
    </row>
    <row r="117" spans="1:21" x14ac:dyDescent="0.3">
      <c r="A117" s="11" t="s">
        <v>48</v>
      </c>
      <c r="B117" s="17" t="s">
        <v>59</v>
      </c>
      <c r="C117" s="86" t="s">
        <v>60</v>
      </c>
      <c r="D117" s="64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5">
        <f t="shared" ref="U117:U126" si="37">SUM(E117:T117)</f>
        <v>0</v>
      </c>
    </row>
    <row r="118" spans="1:21" x14ac:dyDescent="0.3">
      <c r="A118" s="11" t="s">
        <v>50</v>
      </c>
      <c r="B118" s="50"/>
      <c r="C118" s="24" t="s">
        <v>162</v>
      </c>
      <c r="D118" s="49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5">
        <f t="shared" si="37"/>
        <v>0</v>
      </c>
    </row>
    <row r="119" spans="1:21" x14ac:dyDescent="0.3">
      <c r="A119" s="7"/>
      <c r="B119" s="50"/>
      <c r="C119" s="24" t="s">
        <v>163</v>
      </c>
      <c r="D119" s="49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5">
        <f t="shared" si="37"/>
        <v>0</v>
      </c>
    </row>
    <row r="120" spans="1:21" x14ac:dyDescent="0.3">
      <c r="A120" s="7"/>
      <c r="B120" s="50"/>
      <c r="C120" s="24" t="s">
        <v>164</v>
      </c>
      <c r="D120" s="49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5">
        <f t="shared" si="37"/>
        <v>0</v>
      </c>
    </row>
    <row r="121" spans="1:21" x14ac:dyDescent="0.3">
      <c r="A121" s="7"/>
      <c r="B121" s="50"/>
      <c r="C121" s="24" t="s">
        <v>165</v>
      </c>
      <c r="D121" s="49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5">
        <f t="shared" si="37"/>
        <v>0</v>
      </c>
    </row>
    <row r="122" spans="1:21" x14ac:dyDescent="0.3">
      <c r="A122" s="7"/>
      <c r="B122" s="50"/>
      <c r="C122" s="24" t="s">
        <v>166</v>
      </c>
      <c r="D122" s="49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5">
        <f t="shared" si="37"/>
        <v>0</v>
      </c>
    </row>
    <row r="123" spans="1:21" x14ac:dyDescent="0.3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5">
        <f t="shared" si="37"/>
        <v>0</v>
      </c>
    </row>
    <row r="124" spans="1:21" x14ac:dyDescent="0.3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5">
        <f t="shared" si="37"/>
        <v>0</v>
      </c>
    </row>
    <row r="125" spans="1:21" x14ac:dyDescent="0.3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5">
        <f t="shared" si="37"/>
        <v>0</v>
      </c>
    </row>
    <row r="126" spans="1:21" x14ac:dyDescent="0.3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5">
        <f t="shared" si="37"/>
        <v>0</v>
      </c>
    </row>
    <row r="127" spans="1:21" x14ac:dyDescent="0.3">
      <c r="A127" s="6" t="s">
        <v>26</v>
      </c>
      <c r="B127" s="84" t="s">
        <v>51</v>
      </c>
      <c r="C127" s="87"/>
      <c r="D127" s="88"/>
      <c r="E127" s="5">
        <f t="shared" ref="E127:U127" si="38">SUM(E117:E126)</f>
        <v>0</v>
      </c>
      <c r="F127" s="5">
        <f t="shared" si="38"/>
        <v>0</v>
      </c>
      <c r="G127" s="5">
        <f t="shared" si="38"/>
        <v>0</v>
      </c>
      <c r="H127" s="5">
        <f t="shared" si="38"/>
        <v>0</v>
      </c>
      <c r="I127" s="5">
        <f t="shared" si="38"/>
        <v>0</v>
      </c>
      <c r="J127" s="5">
        <f t="shared" si="38"/>
        <v>0</v>
      </c>
      <c r="K127" s="5">
        <f t="shared" si="38"/>
        <v>0</v>
      </c>
      <c r="L127" s="5">
        <f t="shared" si="38"/>
        <v>0</v>
      </c>
      <c r="M127" s="5">
        <f t="shared" si="38"/>
        <v>0</v>
      </c>
      <c r="N127" s="5">
        <f t="shared" ref="N127:P127" si="39">SUM(N117:N126)</f>
        <v>0</v>
      </c>
      <c r="O127" s="5">
        <f t="shared" si="39"/>
        <v>0</v>
      </c>
      <c r="P127" s="5">
        <f t="shared" si="39"/>
        <v>0</v>
      </c>
      <c r="Q127" s="5">
        <f t="shared" si="38"/>
        <v>0</v>
      </c>
      <c r="R127" s="5">
        <f t="shared" si="38"/>
        <v>0</v>
      </c>
      <c r="S127" s="5">
        <f t="shared" si="38"/>
        <v>0</v>
      </c>
      <c r="T127" s="5">
        <f t="shared" si="38"/>
        <v>0</v>
      </c>
      <c r="U127" s="5">
        <f t="shared" si="38"/>
        <v>0</v>
      </c>
    </row>
    <row r="128" spans="1:21" x14ac:dyDescent="0.3">
      <c r="A128" s="62"/>
      <c r="B128" s="89"/>
      <c r="C128" s="89"/>
      <c r="D128" s="89"/>
      <c r="E128" s="90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</row>
    <row r="129" spans="1:21" x14ac:dyDescent="0.3">
      <c r="A129" s="11" t="s">
        <v>48</v>
      </c>
      <c r="B129" s="17" t="s">
        <v>61</v>
      </c>
      <c r="C129" s="86" t="s">
        <v>62</v>
      </c>
      <c r="D129" s="64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5">
        <f t="shared" ref="U129:U138" si="40">SUM(E129:T129)</f>
        <v>0</v>
      </c>
    </row>
    <row r="130" spans="1:21" ht="13.15" customHeight="1" x14ac:dyDescent="0.3">
      <c r="A130" s="11" t="s">
        <v>50</v>
      </c>
      <c r="B130" s="50"/>
      <c r="C130" s="24" t="s">
        <v>167</v>
      </c>
      <c r="D130" s="49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5">
        <f t="shared" si="40"/>
        <v>0</v>
      </c>
    </row>
    <row r="131" spans="1:21" x14ac:dyDescent="0.3">
      <c r="A131" s="7"/>
      <c r="B131" s="50"/>
      <c r="C131" s="24" t="s">
        <v>168</v>
      </c>
      <c r="D131" s="49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5">
        <f t="shared" si="40"/>
        <v>0</v>
      </c>
    </row>
    <row r="132" spans="1:21" x14ac:dyDescent="0.3">
      <c r="A132" s="7"/>
      <c r="B132" s="50"/>
      <c r="C132" s="24" t="s">
        <v>169</v>
      </c>
      <c r="D132" s="49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5">
        <f t="shared" si="40"/>
        <v>0</v>
      </c>
    </row>
    <row r="133" spans="1:21" x14ac:dyDescent="0.3">
      <c r="A133" s="7"/>
      <c r="B133" s="50"/>
      <c r="C133" s="24" t="s">
        <v>170</v>
      </c>
      <c r="D133" s="49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5">
        <f t="shared" si="40"/>
        <v>0</v>
      </c>
    </row>
    <row r="134" spans="1:21" x14ac:dyDescent="0.3">
      <c r="A134" s="7"/>
      <c r="B134" s="50"/>
      <c r="C134" s="24" t="s">
        <v>171</v>
      </c>
      <c r="D134" s="49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5">
        <f t="shared" si="40"/>
        <v>0</v>
      </c>
    </row>
    <row r="135" spans="1:21" x14ac:dyDescent="0.3">
      <c r="A135" s="7"/>
      <c r="B135" s="50"/>
      <c r="C135" s="24" t="s">
        <v>172</v>
      </c>
      <c r="D135" s="49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5">
        <f t="shared" si="40"/>
        <v>0</v>
      </c>
    </row>
    <row r="136" spans="1:21" x14ac:dyDescent="0.3">
      <c r="A136" s="7"/>
      <c r="B136" s="50"/>
      <c r="C136" s="24" t="s">
        <v>173</v>
      </c>
      <c r="D136" s="49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5">
        <f t="shared" si="40"/>
        <v>0</v>
      </c>
    </row>
    <row r="137" spans="1:21" x14ac:dyDescent="0.3">
      <c r="A137" s="7"/>
      <c r="B137" s="50"/>
      <c r="C137" s="24" t="s">
        <v>174</v>
      </c>
      <c r="D137" s="49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5">
        <f t="shared" si="40"/>
        <v>0</v>
      </c>
    </row>
    <row r="138" spans="1:21" x14ac:dyDescent="0.3">
      <c r="A138" s="7"/>
      <c r="B138" s="50"/>
      <c r="C138" s="24" t="s">
        <v>175</v>
      </c>
      <c r="D138" s="49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5">
        <f t="shared" si="40"/>
        <v>0</v>
      </c>
    </row>
    <row r="139" spans="1:21" x14ac:dyDescent="0.3">
      <c r="A139" s="6" t="s">
        <v>26</v>
      </c>
      <c r="B139" s="84" t="s">
        <v>51</v>
      </c>
      <c r="C139" s="87"/>
      <c r="D139" s="88"/>
      <c r="E139" s="5">
        <f t="shared" ref="E139:U139" si="41">SUM(E129:E138)</f>
        <v>0</v>
      </c>
      <c r="F139" s="5">
        <f t="shared" si="41"/>
        <v>0</v>
      </c>
      <c r="G139" s="5">
        <f t="shared" si="41"/>
        <v>0</v>
      </c>
      <c r="H139" s="5">
        <f t="shared" si="41"/>
        <v>0</v>
      </c>
      <c r="I139" s="5">
        <f t="shared" si="41"/>
        <v>0</v>
      </c>
      <c r="J139" s="5">
        <f t="shared" si="41"/>
        <v>0</v>
      </c>
      <c r="K139" s="5">
        <f t="shared" si="41"/>
        <v>0</v>
      </c>
      <c r="L139" s="5">
        <f t="shared" si="41"/>
        <v>0</v>
      </c>
      <c r="M139" s="5">
        <f t="shared" si="41"/>
        <v>0</v>
      </c>
      <c r="N139" s="5">
        <f t="shared" ref="N139:P139" si="42">SUM(N129:N138)</f>
        <v>0</v>
      </c>
      <c r="O139" s="5">
        <f t="shared" si="42"/>
        <v>0</v>
      </c>
      <c r="P139" s="5">
        <f t="shared" si="42"/>
        <v>0</v>
      </c>
      <c r="Q139" s="5">
        <f t="shared" si="41"/>
        <v>0</v>
      </c>
      <c r="R139" s="5">
        <f t="shared" si="41"/>
        <v>0</v>
      </c>
      <c r="S139" s="5">
        <f t="shared" si="41"/>
        <v>0</v>
      </c>
      <c r="T139" s="5">
        <f t="shared" si="41"/>
        <v>0</v>
      </c>
      <c r="U139" s="5">
        <f t="shared" si="41"/>
        <v>0</v>
      </c>
    </row>
    <row r="140" spans="1:21" x14ac:dyDescent="0.3">
      <c r="A140" s="62"/>
      <c r="B140" s="89"/>
      <c r="C140" s="89"/>
      <c r="D140" s="89"/>
      <c r="E140" s="90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</row>
    <row r="141" spans="1:21" ht="13.15" customHeight="1" x14ac:dyDescent="0.3">
      <c r="A141" s="11" t="s">
        <v>48</v>
      </c>
      <c r="B141" s="17" t="s">
        <v>63</v>
      </c>
      <c r="C141" s="86" t="s">
        <v>64</v>
      </c>
      <c r="D141" s="64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5">
        <f>SUM(E141:T141)</f>
        <v>0</v>
      </c>
    </row>
    <row r="142" spans="1:21" x14ac:dyDescent="0.3">
      <c r="A142" s="11" t="s">
        <v>50</v>
      </c>
      <c r="B142" s="50"/>
      <c r="C142" s="24" t="s">
        <v>176</v>
      </c>
      <c r="D142" s="49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5">
        <f>SUM(E142:T142)</f>
        <v>0</v>
      </c>
    </row>
    <row r="143" spans="1:21" x14ac:dyDescent="0.3">
      <c r="A143" s="7"/>
      <c r="B143" s="50"/>
      <c r="C143" s="24" t="s">
        <v>177</v>
      </c>
      <c r="D143" s="49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5">
        <f>SUM(E143:T143)</f>
        <v>0</v>
      </c>
    </row>
    <row r="144" spans="1:21" x14ac:dyDescent="0.3">
      <c r="A144" s="7"/>
      <c r="B144" s="50"/>
      <c r="C144" s="24" t="s">
        <v>178</v>
      </c>
      <c r="D144" s="49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5">
        <f t="shared" ref="U144:U150" si="43">SUM(E144:T144)</f>
        <v>0</v>
      </c>
    </row>
    <row r="145" spans="1:21" x14ac:dyDescent="0.3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5">
        <f t="shared" si="43"/>
        <v>0</v>
      </c>
    </row>
    <row r="146" spans="1:21" x14ac:dyDescent="0.3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5">
        <f t="shared" si="43"/>
        <v>0</v>
      </c>
    </row>
    <row r="147" spans="1:21" x14ac:dyDescent="0.3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5">
        <f t="shared" si="43"/>
        <v>0</v>
      </c>
    </row>
    <row r="148" spans="1:21" x14ac:dyDescent="0.3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5">
        <f t="shared" si="43"/>
        <v>0</v>
      </c>
    </row>
    <row r="149" spans="1:21" x14ac:dyDescent="0.3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5">
        <f t="shared" si="43"/>
        <v>0</v>
      </c>
    </row>
    <row r="150" spans="1:21" x14ac:dyDescent="0.3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5">
        <f t="shared" si="43"/>
        <v>0</v>
      </c>
    </row>
    <row r="151" spans="1:21" ht="13.15" customHeight="1" x14ac:dyDescent="0.3">
      <c r="A151" s="6" t="s">
        <v>26</v>
      </c>
      <c r="B151" s="84" t="s">
        <v>51</v>
      </c>
      <c r="C151" s="87"/>
      <c r="D151" s="88"/>
      <c r="E151" s="5">
        <f t="shared" ref="E151:U151" si="44">SUM(E141:E150)</f>
        <v>0</v>
      </c>
      <c r="F151" s="5">
        <f t="shared" si="44"/>
        <v>0</v>
      </c>
      <c r="G151" s="5">
        <f t="shared" si="44"/>
        <v>0</v>
      </c>
      <c r="H151" s="5">
        <f t="shared" si="44"/>
        <v>0</v>
      </c>
      <c r="I151" s="5">
        <f t="shared" si="44"/>
        <v>0</v>
      </c>
      <c r="J151" s="5">
        <f t="shared" si="44"/>
        <v>0</v>
      </c>
      <c r="K151" s="5">
        <f t="shared" si="44"/>
        <v>0</v>
      </c>
      <c r="L151" s="5">
        <f t="shared" si="44"/>
        <v>0</v>
      </c>
      <c r="M151" s="5">
        <f t="shared" si="44"/>
        <v>0</v>
      </c>
      <c r="N151" s="5">
        <f t="shared" ref="N151:P151" si="45">SUM(N141:N150)</f>
        <v>0</v>
      </c>
      <c r="O151" s="5">
        <f t="shared" si="45"/>
        <v>0</v>
      </c>
      <c r="P151" s="5">
        <f t="shared" si="45"/>
        <v>0</v>
      </c>
      <c r="Q151" s="5">
        <f t="shared" si="44"/>
        <v>0</v>
      </c>
      <c r="R151" s="5">
        <f t="shared" si="44"/>
        <v>0</v>
      </c>
      <c r="S151" s="5">
        <f t="shared" si="44"/>
        <v>0</v>
      </c>
      <c r="T151" s="5">
        <f t="shared" si="44"/>
        <v>0</v>
      </c>
      <c r="U151" s="5">
        <f t="shared" si="44"/>
        <v>0</v>
      </c>
    </row>
    <row r="152" spans="1:21" x14ac:dyDescent="0.3">
      <c r="A152" s="62"/>
      <c r="B152" s="89"/>
      <c r="C152" s="89"/>
      <c r="D152" s="89"/>
      <c r="E152" s="90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5"/>
    </row>
    <row r="153" spans="1:21" x14ac:dyDescent="0.3">
      <c r="A153" s="11" t="s">
        <v>48</v>
      </c>
      <c r="B153" s="44" t="s">
        <v>65</v>
      </c>
      <c r="C153" s="91" t="s">
        <v>66</v>
      </c>
      <c r="D153" s="78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5">
        <f>SUM(E154:T154)</f>
        <v>0</v>
      </c>
    </row>
    <row r="154" spans="1:21" x14ac:dyDescent="0.3">
      <c r="A154" s="52" t="s">
        <v>50</v>
      </c>
      <c r="B154" s="50"/>
      <c r="C154" s="24" t="s">
        <v>179</v>
      </c>
      <c r="D154" s="49"/>
      <c r="E154" s="53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5">
        <f>SUM(E155:T155)</f>
        <v>0</v>
      </c>
    </row>
    <row r="155" spans="1:21" x14ac:dyDescent="0.3">
      <c r="A155" s="7"/>
      <c r="B155" s="50"/>
      <c r="C155" s="24" t="s">
        <v>180</v>
      </c>
      <c r="D155" s="49"/>
      <c r="E155" s="53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5">
        <f>SUM(E156:T156)</f>
        <v>0</v>
      </c>
    </row>
    <row r="156" spans="1:21" x14ac:dyDescent="0.3">
      <c r="A156" s="7"/>
      <c r="B156" s="50"/>
      <c r="C156" s="24" t="s">
        <v>181</v>
      </c>
      <c r="D156" s="49"/>
      <c r="E156" s="53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5">
        <f>SUM(E157:T157)</f>
        <v>0</v>
      </c>
    </row>
    <row r="157" spans="1:21" x14ac:dyDescent="0.3">
      <c r="A157" s="7"/>
      <c r="B157" s="50"/>
      <c r="C157" s="24" t="s">
        <v>182</v>
      </c>
      <c r="D157" s="49"/>
      <c r="E157" s="53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5">
        <f>SUM(E163:T163)</f>
        <v>0</v>
      </c>
    </row>
    <row r="158" spans="1:21" x14ac:dyDescent="0.3">
      <c r="A158" s="7"/>
      <c r="B158" s="50"/>
      <c r="C158" s="24" t="s">
        <v>183</v>
      </c>
      <c r="D158" s="49"/>
      <c r="E158" s="53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5">
        <f>SUM(E164:T164)</f>
        <v>0</v>
      </c>
    </row>
    <row r="159" spans="1:21" x14ac:dyDescent="0.3">
      <c r="A159" s="7"/>
      <c r="B159" s="50"/>
      <c r="C159" s="24" t="s">
        <v>184</v>
      </c>
      <c r="D159" s="49"/>
      <c r="E159" s="53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5">
        <f t="shared" ref="U159:U162" si="46">SUM(E165:T165)</f>
        <v>0</v>
      </c>
    </row>
    <row r="160" spans="1:21" x14ac:dyDescent="0.3">
      <c r="A160" s="7"/>
      <c r="B160" s="50"/>
      <c r="C160" s="24" t="s">
        <v>185</v>
      </c>
      <c r="D160" s="49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5">
        <f t="shared" si="46"/>
        <v>0</v>
      </c>
    </row>
    <row r="161" spans="1:21" x14ac:dyDescent="0.3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5">
        <f t="shared" si="46"/>
        <v>0</v>
      </c>
    </row>
    <row r="162" spans="1:21" x14ac:dyDescent="0.3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5">
        <f t="shared" si="46"/>
        <v>0</v>
      </c>
    </row>
    <row r="163" spans="1:21" x14ac:dyDescent="0.3">
      <c r="A163" s="6" t="s">
        <v>26</v>
      </c>
      <c r="B163" s="92" t="s">
        <v>51</v>
      </c>
      <c r="C163" s="93"/>
      <c r="D163" s="94"/>
      <c r="E163" s="5">
        <f t="shared" ref="E163:U163" si="47">SUM(E153:E162)</f>
        <v>0</v>
      </c>
      <c r="F163" s="5">
        <f t="shared" si="47"/>
        <v>0</v>
      </c>
      <c r="G163" s="5">
        <f t="shared" si="47"/>
        <v>0</v>
      </c>
      <c r="H163" s="5">
        <f t="shared" si="47"/>
        <v>0</v>
      </c>
      <c r="I163" s="5">
        <f t="shared" si="47"/>
        <v>0</v>
      </c>
      <c r="J163" s="5">
        <f t="shared" si="47"/>
        <v>0</v>
      </c>
      <c r="K163" s="5">
        <f t="shared" si="47"/>
        <v>0</v>
      </c>
      <c r="L163" s="5">
        <f t="shared" si="47"/>
        <v>0</v>
      </c>
      <c r="M163" s="5">
        <f t="shared" si="47"/>
        <v>0</v>
      </c>
      <c r="N163" s="5">
        <f t="shared" ref="N163:P163" si="48">SUM(N153:N162)</f>
        <v>0</v>
      </c>
      <c r="O163" s="5">
        <f t="shared" si="48"/>
        <v>0</v>
      </c>
      <c r="P163" s="5">
        <f t="shared" si="48"/>
        <v>0</v>
      </c>
      <c r="Q163" s="5">
        <f t="shared" si="47"/>
        <v>0</v>
      </c>
      <c r="R163" s="5">
        <f t="shared" si="47"/>
        <v>0</v>
      </c>
      <c r="S163" s="5">
        <f t="shared" si="47"/>
        <v>0</v>
      </c>
      <c r="T163" s="5">
        <f t="shared" si="47"/>
        <v>0</v>
      </c>
      <c r="U163" s="5">
        <f t="shared" si="47"/>
        <v>0</v>
      </c>
    </row>
    <row r="164" spans="1:21" x14ac:dyDescent="0.3">
      <c r="A164" s="62"/>
      <c r="B164" s="89"/>
      <c r="C164" s="89"/>
      <c r="D164" s="89"/>
      <c r="E164" s="90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</row>
    <row r="165" spans="1:21" ht="13.15" customHeight="1" x14ac:dyDescent="0.3">
      <c r="A165" s="11" t="s">
        <v>48</v>
      </c>
      <c r="B165" s="17" t="s">
        <v>67</v>
      </c>
      <c r="C165" s="86" t="s">
        <v>68</v>
      </c>
      <c r="D165" s="64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5">
        <f>SUM(E165:T165)</f>
        <v>0</v>
      </c>
    </row>
    <row r="166" spans="1:21" x14ac:dyDescent="0.3">
      <c r="A166" s="11" t="s">
        <v>50</v>
      </c>
      <c r="B166" s="50"/>
      <c r="C166" s="24" t="s">
        <v>186</v>
      </c>
      <c r="D166" s="49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5">
        <f>SUM(E166:T166)</f>
        <v>0</v>
      </c>
    </row>
    <row r="167" spans="1:21" x14ac:dyDescent="0.3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5">
        <f t="shared" ref="U167:U174" si="49">SUM(E167:T167)</f>
        <v>0</v>
      </c>
    </row>
    <row r="168" spans="1:21" x14ac:dyDescent="0.3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5">
        <f t="shared" si="49"/>
        <v>0</v>
      </c>
    </row>
    <row r="169" spans="1:21" x14ac:dyDescent="0.3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5">
        <f t="shared" si="49"/>
        <v>0</v>
      </c>
    </row>
    <row r="170" spans="1:21" x14ac:dyDescent="0.3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5">
        <f t="shared" si="49"/>
        <v>0</v>
      </c>
    </row>
    <row r="171" spans="1:21" x14ac:dyDescent="0.3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5">
        <f t="shared" si="49"/>
        <v>0</v>
      </c>
    </row>
    <row r="172" spans="1:21" x14ac:dyDescent="0.3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5">
        <f t="shared" si="49"/>
        <v>0</v>
      </c>
    </row>
    <row r="173" spans="1:21" x14ac:dyDescent="0.3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5">
        <f t="shared" si="49"/>
        <v>0</v>
      </c>
    </row>
    <row r="174" spans="1:21" x14ac:dyDescent="0.3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5">
        <f t="shared" si="49"/>
        <v>0</v>
      </c>
    </row>
    <row r="175" spans="1:21" x14ac:dyDescent="0.3">
      <c r="A175" s="6" t="s">
        <v>26</v>
      </c>
      <c r="B175" s="84" t="s">
        <v>51</v>
      </c>
      <c r="C175" s="87"/>
      <c r="D175" s="88"/>
      <c r="E175" s="5">
        <f t="shared" ref="E175:U175" si="50">SUM(E165:E174)</f>
        <v>0</v>
      </c>
      <c r="F175" s="5">
        <f t="shared" si="50"/>
        <v>0</v>
      </c>
      <c r="G175" s="5">
        <f t="shared" si="50"/>
        <v>0</v>
      </c>
      <c r="H175" s="5">
        <f t="shared" si="50"/>
        <v>0</v>
      </c>
      <c r="I175" s="5">
        <f t="shared" si="50"/>
        <v>0</v>
      </c>
      <c r="J175" s="5">
        <f t="shared" si="50"/>
        <v>0</v>
      </c>
      <c r="K175" s="5">
        <f t="shared" si="50"/>
        <v>0</v>
      </c>
      <c r="L175" s="5">
        <f t="shared" si="50"/>
        <v>0</v>
      </c>
      <c r="M175" s="5">
        <f t="shared" si="50"/>
        <v>0</v>
      </c>
      <c r="N175" s="5">
        <f t="shared" ref="N175:P175" si="51">SUM(N165:N174)</f>
        <v>0</v>
      </c>
      <c r="O175" s="5">
        <f t="shared" si="51"/>
        <v>0</v>
      </c>
      <c r="P175" s="5">
        <f t="shared" si="51"/>
        <v>0</v>
      </c>
      <c r="Q175" s="5">
        <f t="shared" si="50"/>
        <v>0</v>
      </c>
      <c r="R175" s="5">
        <f t="shared" si="50"/>
        <v>0</v>
      </c>
      <c r="S175" s="5">
        <f t="shared" si="50"/>
        <v>0</v>
      </c>
      <c r="T175" s="5">
        <f t="shared" si="50"/>
        <v>0</v>
      </c>
      <c r="U175" s="5">
        <f t="shared" si="50"/>
        <v>0</v>
      </c>
    </row>
    <row r="176" spans="1:21" ht="13.15" customHeight="1" x14ac:dyDescent="0.3">
      <c r="A176" s="62"/>
      <c r="B176" s="89"/>
      <c r="C176" s="89"/>
      <c r="D176" s="89"/>
      <c r="E176" s="90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</row>
    <row r="177" spans="1:21" x14ac:dyDescent="0.3">
      <c r="A177" s="11" t="s">
        <v>48</v>
      </c>
      <c r="B177" s="17" t="s">
        <v>69</v>
      </c>
      <c r="C177" s="86" t="s">
        <v>70</v>
      </c>
      <c r="D177" s="64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5">
        <f t="shared" ref="U177:U186" si="52">SUM(E177:T177)</f>
        <v>0</v>
      </c>
    </row>
    <row r="178" spans="1:21" x14ac:dyDescent="0.3">
      <c r="A178" s="11" t="s">
        <v>50</v>
      </c>
      <c r="B178" s="50"/>
      <c r="C178" s="24" t="s">
        <v>187</v>
      </c>
      <c r="D178" s="49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5">
        <f t="shared" si="52"/>
        <v>0</v>
      </c>
    </row>
    <row r="179" spans="1:21" x14ac:dyDescent="0.3">
      <c r="A179" s="7"/>
      <c r="B179" s="50"/>
      <c r="C179" s="24" t="s">
        <v>188</v>
      </c>
      <c r="D179" s="49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5">
        <f t="shared" si="52"/>
        <v>0</v>
      </c>
    </row>
    <row r="180" spans="1:21" x14ac:dyDescent="0.3">
      <c r="A180" s="7"/>
      <c r="B180" s="50"/>
      <c r="C180" s="24" t="s">
        <v>189</v>
      </c>
      <c r="D180" s="49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5">
        <f t="shared" si="52"/>
        <v>0</v>
      </c>
    </row>
    <row r="181" spans="1:21" x14ac:dyDescent="0.3">
      <c r="A181" s="7"/>
      <c r="B181" s="50"/>
      <c r="C181" s="24" t="s">
        <v>190</v>
      </c>
      <c r="D181" s="49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5">
        <f t="shared" si="52"/>
        <v>0</v>
      </c>
    </row>
    <row r="182" spans="1:21" x14ac:dyDescent="0.3">
      <c r="A182" s="7"/>
      <c r="B182" s="50"/>
      <c r="C182" s="24" t="s">
        <v>191</v>
      </c>
      <c r="D182" s="49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5">
        <f t="shared" si="52"/>
        <v>0</v>
      </c>
    </row>
    <row r="183" spans="1:21" x14ac:dyDescent="0.3">
      <c r="A183" s="7"/>
      <c r="B183" s="50"/>
      <c r="C183" s="24" t="s">
        <v>192</v>
      </c>
      <c r="D183" s="49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5">
        <f t="shared" si="52"/>
        <v>0</v>
      </c>
    </row>
    <row r="184" spans="1:21" x14ac:dyDescent="0.3">
      <c r="A184" s="7"/>
      <c r="B184" s="50"/>
      <c r="C184" s="24" t="s">
        <v>193</v>
      </c>
      <c r="D184" s="49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5">
        <f t="shared" si="52"/>
        <v>0</v>
      </c>
    </row>
    <row r="185" spans="1:21" x14ac:dyDescent="0.3">
      <c r="A185" s="7"/>
      <c r="B185" s="50"/>
      <c r="C185" s="24" t="s">
        <v>194</v>
      </c>
      <c r="D185" s="49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5">
        <f t="shared" si="52"/>
        <v>0</v>
      </c>
    </row>
    <row r="186" spans="1:21" x14ac:dyDescent="0.3">
      <c r="A186" s="7"/>
      <c r="B186" s="50"/>
      <c r="C186" s="24" t="s">
        <v>195</v>
      </c>
      <c r="D186" s="49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5">
        <f t="shared" si="52"/>
        <v>0</v>
      </c>
    </row>
    <row r="187" spans="1:21" ht="13.15" customHeight="1" x14ac:dyDescent="0.3">
      <c r="A187" s="6" t="s">
        <v>26</v>
      </c>
      <c r="B187" s="84" t="s">
        <v>51</v>
      </c>
      <c r="C187" s="87"/>
      <c r="D187" s="88"/>
      <c r="E187" s="5">
        <f t="shared" ref="E187:U187" si="53">SUM(E177:E186)</f>
        <v>0</v>
      </c>
      <c r="F187" s="5">
        <f t="shared" si="53"/>
        <v>0</v>
      </c>
      <c r="G187" s="5">
        <f t="shared" si="53"/>
        <v>0</v>
      </c>
      <c r="H187" s="5">
        <f t="shared" si="53"/>
        <v>0</v>
      </c>
      <c r="I187" s="5">
        <f t="shared" si="53"/>
        <v>0</v>
      </c>
      <c r="J187" s="5">
        <f t="shared" si="53"/>
        <v>0</v>
      </c>
      <c r="K187" s="5">
        <f t="shared" si="53"/>
        <v>0</v>
      </c>
      <c r="L187" s="5">
        <f t="shared" si="53"/>
        <v>0</v>
      </c>
      <c r="M187" s="5">
        <f t="shared" si="53"/>
        <v>0</v>
      </c>
      <c r="N187" s="5">
        <f t="shared" ref="N187:P187" si="54">SUM(N177:N186)</f>
        <v>0</v>
      </c>
      <c r="O187" s="5">
        <f t="shared" si="54"/>
        <v>0</v>
      </c>
      <c r="P187" s="5">
        <f t="shared" si="54"/>
        <v>0</v>
      </c>
      <c r="Q187" s="5">
        <f t="shared" si="53"/>
        <v>0</v>
      </c>
      <c r="R187" s="5">
        <f t="shared" si="53"/>
        <v>0</v>
      </c>
      <c r="S187" s="5">
        <f t="shared" si="53"/>
        <v>0</v>
      </c>
      <c r="T187" s="5">
        <f t="shared" si="53"/>
        <v>0</v>
      </c>
      <c r="U187" s="5">
        <f t="shared" si="53"/>
        <v>0</v>
      </c>
    </row>
    <row r="188" spans="1:21" x14ac:dyDescent="0.3">
      <c r="A188" s="62"/>
      <c r="B188" s="89"/>
      <c r="C188" s="89"/>
      <c r="D188" s="89"/>
      <c r="E188" s="90"/>
      <c r="F188" s="18"/>
      <c r="G188" s="18"/>
      <c r="H188" s="18"/>
      <c r="I188" s="18"/>
      <c r="J188" s="18"/>
      <c r="K188" s="18"/>
      <c r="L188" s="18"/>
      <c r="M188" s="18"/>
      <c r="N188" s="18"/>
      <c r="Q188" s="18"/>
      <c r="U188" s="5"/>
    </row>
    <row r="189" spans="1:21" x14ac:dyDescent="0.3">
      <c r="A189" s="11" t="s">
        <v>48</v>
      </c>
      <c r="B189" s="17" t="s">
        <v>71</v>
      </c>
      <c r="C189" s="86" t="s">
        <v>72</v>
      </c>
      <c r="D189" s="64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5">
        <f t="shared" ref="U189:U198" si="55">SUM(E189:T189)</f>
        <v>0</v>
      </c>
    </row>
    <row r="190" spans="1:21" x14ac:dyDescent="0.3">
      <c r="A190" s="11" t="s">
        <v>50</v>
      </c>
      <c r="B190" s="50"/>
      <c r="C190" s="24" t="s">
        <v>196</v>
      </c>
      <c r="D190" s="49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5">
        <f t="shared" si="55"/>
        <v>0</v>
      </c>
    </row>
    <row r="191" spans="1:21" x14ac:dyDescent="0.3">
      <c r="A191" s="7"/>
      <c r="B191" s="50"/>
      <c r="C191" s="24" t="s">
        <v>197</v>
      </c>
      <c r="D191" s="49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5">
        <f t="shared" si="55"/>
        <v>0</v>
      </c>
    </row>
    <row r="192" spans="1:21" x14ac:dyDescent="0.3">
      <c r="A192" s="7"/>
      <c r="B192" s="50"/>
      <c r="C192" s="24" t="s">
        <v>198</v>
      </c>
      <c r="D192" s="49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5">
        <f t="shared" si="55"/>
        <v>0</v>
      </c>
    </row>
    <row r="193" spans="1:21" x14ac:dyDescent="0.3">
      <c r="A193" s="7"/>
      <c r="B193" s="50"/>
      <c r="C193" s="24" t="s">
        <v>199</v>
      </c>
      <c r="D193" s="49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5">
        <f t="shared" si="55"/>
        <v>0</v>
      </c>
    </row>
    <row r="194" spans="1:21" x14ac:dyDescent="0.3">
      <c r="A194" s="7"/>
      <c r="B194" s="50"/>
      <c r="C194" s="24" t="s">
        <v>200</v>
      </c>
      <c r="D194" s="49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5">
        <f t="shared" si="55"/>
        <v>0</v>
      </c>
    </row>
    <row r="195" spans="1:21" x14ac:dyDescent="0.3">
      <c r="A195" s="7"/>
      <c r="B195" s="50"/>
      <c r="C195" s="24" t="s">
        <v>201</v>
      </c>
      <c r="D195" s="49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5">
        <f t="shared" si="55"/>
        <v>0</v>
      </c>
    </row>
    <row r="196" spans="1:21" ht="13.15" customHeight="1" x14ac:dyDescent="0.3">
      <c r="A196" s="7"/>
      <c r="B196" s="50"/>
      <c r="C196" s="24" t="s">
        <v>202</v>
      </c>
      <c r="D196" s="49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5">
        <f t="shared" si="55"/>
        <v>0</v>
      </c>
    </row>
    <row r="197" spans="1:21" ht="13.15" customHeight="1" x14ac:dyDescent="0.3">
      <c r="A197" s="7"/>
      <c r="B197" s="50"/>
      <c r="C197" s="24" t="s">
        <v>203</v>
      </c>
      <c r="D197" s="49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5">
        <f t="shared" si="55"/>
        <v>0</v>
      </c>
    </row>
    <row r="198" spans="1:21" ht="13.15" customHeight="1" x14ac:dyDescent="0.3">
      <c r="A198" s="7"/>
      <c r="B198" s="50"/>
      <c r="C198" s="24" t="s">
        <v>204</v>
      </c>
      <c r="D198" s="49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5">
        <f t="shared" si="55"/>
        <v>0</v>
      </c>
    </row>
    <row r="199" spans="1:21" x14ac:dyDescent="0.3">
      <c r="A199" s="6" t="s">
        <v>26</v>
      </c>
      <c r="B199" s="84" t="s">
        <v>51</v>
      </c>
      <c r="C199" s="87"/>
      <c r="D199" s="88"/>
      <c r="E199" s="5">
        <f t="shared" ref="E199:U199" si="56">SUM(E189:E198)</f>
        <v>0</v>
      </c>
      <c r="F199" s="5">
        <f t="shared" si="56"/>
        <v>0</v>
      </c>
      <c r="G199" s="5">
        <f t="shared" si="56"/>
        <v>0</v>
      </c>
      <c r="H199" s="5">
        <f t="shared" si="56"/>
        <v>0</v>
      </c>
      <c r="I199" s="5">
        <f t="shared" si="56"/>
        <v>0</v>
      </c>
      <c r="J199" s="5">
        <f t="shared" si="56"/>
        <v>0</v>
      </c>
      <c r="K199" s="5">
        <f t="shared" si="56"/>
        <v>0</v>
      </c>
      <c r="L199" s="5">
        <f t="shared" si="56"/>
        <v>0</v>
      </c>
      <c r="M199" s="5">
        <f t="shared" si="56"/>
        <v>0</v>
      </c>
      <c r="N199" s="5">
        <f t="shared" ref="N199:P199" si="57">SUM(N189:N198)</f>
        <v>0</v>
      </c>
      <c r="O199" s="5">
        <f t="shared" si="57"/>
        <v>0</v>
      </c>
      <c r="P199" s="5">
        <f t="shared" si="57"/>
        <v>0</v>
      </c>
      <c r="Q199" s="5">
        <f t="shared" si="56"/>
        <v>0</v>
      </c>
      <c r="R199" s="5">
        <f t="shared" si="56"/>
        <v>0</v>
      </c>
      <c r="S199" s="5">
        <f t="shared" si="56"/>
        <v>0</v>
      </c>
      <c r="T199" s="5">
        <f t="shared" si="56"/>
        <v>0</v>
      </c>
      <c r="U199" s="5">
        <f t="shared" si="56"/>
        <v>0</v>
      </c>
    </row>
    <row r="200" spans="1:21" x14ac:dyDescent="0.3">
      <c r="A200" s="62"/>
      <c r="B200" s="89"/>
      <c r="C200" s="89"/>
      <c r="D200" s="89"/>
      <c r="E200" s="90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</row>
    <row r="201" spans="1:21" x14ac:dyDescent="0.3">
      <c r="A201" s="11" t="s">
        <v>48</v>
      </c>
      <c r="B201" s="17" t="s">
        <v>73</v>
      </c>
      <c r="C201" s="86" t="s">
        <v>74</v>
      </c>
      <c r="D201" s="64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5">
        <f t="shared" ref="U201:U210" si="58">SUM(E201:T201)</f>
        <v>0</v>
      </c>
    </row>
    <row r="202" spans="1:21" x14ac:dyDescent="0.3">
      <c r="A202" s="11" t="s">
        <v>50</v>
      </c>
      <c r="B202" s="50"/>
      <c r="C202" s="24" t="s">
        <v>205</v>
      </c>
      <c r="D202" s="49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5">
        <f t="shared" si="58"/>
        <v>0</v>
      </c>
    </row>
    <row r="203" spans="1:21" x14ac:dyDescent="0.3">
      <c r="A203" s="7"/>
      <c r="B203" s="50"/>
      <c r="C203" s="24" t="s">
        <v>206</v>
      </c>
      <c r="D203" s="49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5">
        <f t="shared" si="58"/>
        <v>0</v>
      </c>
    </row>
    <row r="204" spans="1:21" x14ac:dyDescent="0.3">
      <c r="A204" s="7"/>
      <c r="B204" s="50"/>
      <c r="C204" s="24" t="s">
        <v>207</v>
      </c>
      <c r="D204" s="49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5">
        <f t="shared" si="58"/>
        <v>0</v>
      </c>
    </row>
    <row r="205" spans="1:21" x14ac:dyDescent="0.3">
      <c r="A205" s="7"/>
      <c r="B205" s="50"/>
      <c r="C205" s="24" t="s">
        <v>208</v>
      </c>
      <c r="D205" s="49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5">
        <f t="shared" si="58"/>
        <v>0</v>
      </c>
    </row>
    <row r="206" spans="1:21" x14ac:dyDescent="0.3">
      <c r="A206" s="7"/>
      <c r="B206" s="50"/>
      <c r="C206" s="24" t="s">
        <v>209</v>
      </c>
      <c r="D206" s="49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5">
        <f t="shared" si="58"/>
        <v>0</v>
      </c>
    </row>
    <row r="207" spans="1:21" ht="13.15" customHeight="1" x14ac:dyDescent="0.3">
      <c r="A207" s="7"/>
      <c r="B207" s="50"/>
      <c r="C207" s="24" t="s">
        <v>210</v>
      </c>
      <c r="D207" s="49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5">
        <f t="shared" si="58"/>
        <v>0</v>
      </c>
    </row>
    <row r="208" spans="1:21" x14ac:dyDescent="0.3">
      <c r="A208" s="7"/>
      <c r="B208" s="50"/>
      <c r="C208" s="24" t="s">
        <v>211</v>
      </c>
      <c r="D208" s="49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5">
        <f t="shared" si="58"/>
        <v>0</v>
      </c>
    </row>
    <row r="209" spans="1:21" x14ac:dyDescent="0.3">
      <c r="A209" s="7"/>
      <c r="B209" s="50"/>
      <c r="C209" s="24" t="s">
        <v>212</v>
      </c>
      <c r="D209" s="49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5">
        <f t="shared" si="58"/>
        <v>0</v>
      </c>
    </row>
    <row r="210" spans="1:21" x14ac:dyDescent="0.3">
      <c r="A210" s="7"/>
      <c r="B210" s="50"/>
      <c r="C210" s="24" t="s">
        <v>213</v>
      </c>
      <c r="D210" s="49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5">
        <f t="shared" si="58"/>
        <v>0</v>
      </c>
    </row>
    <row r="211" spans="1:21" x14ac:dyDescent="0.3">
      <c r="A211" s="6" t="s">
        <v>26</v>
      </c>
      <c r="B211" s="84" t="s">
        <v>51</v>
      </c>
      <c r="C211" s="87"/>
      <c r="D211" s="88"/>
      <c r="E211" s="5">
        <f t="shared" ref="E211:U211" si="59">SUM(E201:E210)</f>
        <v>0</v>
      </c>
      <c r="F211" s="5">
        <f t="shared" si="59"/>
        <v>0</v>
      </c>
      <c r="G211" s="5">
        <f t="shared" si="59"/>
        <v>0</v>
      </c>
      <c r="H211" s="5">
        <f t="shared" si="59"/>
        <v>0</v>
      </c>
      <c r="I211" s="5">
        <f t="shared" si="59"/>
        <v>0</v>
      </c>
      <c r="J211" s="5">
        <f t="shared" si="59"/>
        <v>0</v>
      </c>
      <c r="K211" s="5">
        <f t="shared" si="59"/>
        <v>0</v>
      </c>
      <c r="L211" s="5">
        <f t="shared" si="59"/>
        <v>0</v>
      </c>
      <c r="M211" s="5">
        <f t="shared" si="59"/>
        <v>0</v>
      </c>
      <c r="N211" s="5">
        <f t="shared" ref="N211:P211" si="60">SUM(N201:N210)</f>
        <v>0</v>
      </c>
      <c r="O211" s="5">
        <f t="shared" si="60"/>
        <v>0</v>
      </c>
      <c r="P211" s="5">
        <f t="shared" si="60"/>
        <v>0</v>
      </c>
      <c r="Q211" s="5">
        <f t="shared" si="59"/>
        <v>0</v>
      </c>
      <c r="R211" s="5">
        <f t="shared" si="59"/>
        <v>0</v>
      </c>
      <c r="S211" s="5">
        <f t="shared" si="59"/>
        <v>0</v>
      </c>
      <c r="T211" s="5">
        <f t="shared" si="59"/>
        <v>0</v>
      </c>
      <c r="U211" s="5">
        <f t="shared" si="59"/>
        <v>0</v>
      </c>
    </row>
    <row r="212" spans="1:21" x14ac:dyDescent="0.3">
      <c r="A212" s="62"/>
      <c r="B212" s="89"/>
      <c r="C212" s="89"/>
      <c r="D212" s="89"/>
      <c r="E212" s="90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</row>
    <row r="213" spans="1:21" x14ac:dyDescent="0.3">
      <c r="A213" s="11" t="s">
        <v>48</v>
      </c>
      <c r="B213" s="17" t="s">
        <v>75</v>
      </c>
      <c r="C213" s="86" t="s">
        <v>76</v>
      </c>
      <c r="D213" s="64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5">
        <f>SUM(E213:T213)</f>
        <v>0</v>
      </c>
    </row>
    <row r="214" spans="1:21" x14ac:dyDescent="0.3">
      <c r="A214" s="11" t="s">
        <v>50</v>
      </c>
      <c r="B214" s="50"/>
      <c r="C214" s="24" t="s">
        <v>214</v>
      </c>
      <c r="D214" s="49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5">
        <f>SUM(E214:T214)</f>
        <v>0</v>
      </c>
    </row>
    <row r="215" spans="1:21" x14ac:dyDescent="0.3">
      <c r="A215" s="7"/>
      <c r="B215" s="50"/>
      <c r="C215" s="24" t="s">
        <v>215</v>
      </c>
      <c r="D215" s="49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5">
        <f>SUM(E215:T215)</f>
        <v>0</v>
      </c>
    </row>
    <row r="216" spans="1:21" x14ac:dyDescent="0.3">
      <c r="A216" s="7"/>
      <c r="B216" s="50"/>
      <c r="C216" s="24" t="s">
        <v>216</v>
      </c>
      <c r="D216" s="49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5">
        <f t="shared" ref="U216:U222" si="61">SUM(E216:T216)</f>
        <v>0</v>
      </c>
    </row>
    <row r="217" spans="1:21" x14ac:dyDescent="0.3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5">
        <f t="shared" si="61"/>
        <v>0</v>
      </c>
    </row>
    <row r="218" spans="1:21" ht="13.15" customHeight="1" x14ac:dyDescent="0.3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5">
        <f t="shared" si="61"/>
        <v>0</v>
      </c>
    </row>
    <row r="219" spans="1:21" x14ac:dyDescent="0.3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5">
        <f t="shared" si="61"/>
        <v>0</v>
      </c>
    </row>
    <row r="220" spans="1:21" x14ac:dyDescent="0.3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5">
        <f t="shared" si="61"/>
        <v>0</v>
      </c>
    </row>
    <row r="221" spans="1:21" x14ac:dyDescent="0.3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5">
        <f t="shared" si="61"/>
        <v>0</v>
      </c>
    </row>
    <row r="222" spans="1:21" x14ac:dyDescent="0.3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5">
        <f t="shared" si="61"/>
        <v>0</v>
      </c>
    </row>
    <row r="223" spans="1:21" x14ac:dyDescent="0.3">
      <c r="A223" s="6" t="s">
        <v>26</v>
      </c>
      <c r="B223" s="84" t="s">
        <v>51</v>
      </c>
      <c r="C223" s="87"/>
      <c r="D223" s="88"/>
      <c r="E223" s="5">
        <f t="shared" ref="E223:U223" si="62">SUM(E213:E222)</f>
        <v>0</v>
      </c>
      <c r="F223" s="5">
        <f t="shared" si="62"/>
        <v>0</v>
      </c>
      <c r="G223" s="5">
        <f t="shared" si="62"/>
        <v>0</v>
      </c>
      <c r="H223" s="5">
        <f t="shared" si="62"/>
        <v>0</v>
      </c>
      <c r="I223" s="5">
        <f t="shared" si="62"/>
        <v>0</v>
      </c>
      <c r="J223" s="5">
        <f t="shared" si="62"/>
        <v>0</v>
      </c>
      <c r="K223" s="5">
        <f t="shared" si="62"/>
        <v>0</v>
      </c>
      <c r="L223" s="5">
        <f t="shared" si="62"/>
        <v>0</v>
      </c>
      <c r="M223" s="5">
        <f t="shared" si="62"/>
        <v>0</v>
      </c>
      <c r="N223" s="5">
        <f t="shared" ref="N223:P223" si="63">SUM(N213:N222)</f>
        <v>0</v>
      </c>
      <c r="O223" s="5">
        <f t="shared" si="63"/>
        <v>0</v>
      </c>
      <c r="P223" s="5">
        <f t="shared" si="63"/>
        <v>0</v>
      </c>
      <c r="Q223" s="5">
        <f t="shared" si="62"/>
        <v>0</v>
      </c>
      <c r="R223" s="5">
        <f t="shared" si="62"/>
        <v>0</v>
      </c>
      <c r="S223" s="5">
        <f t="shared" si="62"/>
        <v>0</v>
      </c>
      <c r="T223" s="5">
        <f t="shared" si="62"/>
        <v>0</v>
      </c>
      <c r="U223" s="5">
        <f t="shared" si="62"/>
        <v>0</v>
      </c>
    </row>
    <row r="224" spans="1:21" x14ac:dyDescent="0.3">
      <c r="A224" s="62"/>
      <c r="B224" s="89"/>
      <c r="C224" s="89"/>
      <c r="D224" s="89"/>
      <c r="E224" s="90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</row>
    <row r="225" spans="1:21" x14ac:dyDescent="0.3">
      <c r="A225" s="11" t="s">
        <v>48</v>
      </c>
      <c r="B225" s="17" t="s">
        <v>77</v>
      </c>
      <c r="C225" s="86" t="s">
        <v>78</v>
      </c>
      <c r="D225" s="64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5">
        <f>SUM(E225:T225)</f>
        <v>0</v>
      </c>
    </row>
    <row r="226" spans="1:21" x14ac:dyDescent="0.3">
      <c r="A226" s="11" t="s">
        <v>50</v>
      </c>
      <c r="B226" s="50"/>
      <c r="C226" s="24" t="s">
        <v>217</v>
      </c>
      <c r="D226" s="49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5">
        <f>SUM(E226:T226)</f>
        <v>0</v>
      </c>
    </row>
    <row r="227" spans="1:21" x14ac:dyDescent="0.3">
      <c r="A227" s="7"/>
      <c r="B227" s="50"/>
      <c r="C227" s="24" t="s">
        <v>218</v>
      </c>
      <c r="D227" s="49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5">
        <f>SUM(E227:T227)</f>
        <v>0</v>
      </c>
    </row>
    <row r="228" spans="1:21" x14ac:dyDescent="0.3">
      <c r="A228" s="7"/>
      <c r="B228" s="50"/>
      <c r="C228" s="24" t="s">
        <v>219</v>
      </c>
      <c r="D228" s="49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5">
        <f>SUM(E228:T228)</f>
        <v>0</v>
      </c>
    </row>
    <row r="229" spans="1:21" ht="13.15" customHeight="1" x14ac:dyDescent="0.3">
      <c r="A229" s="7"/>
      <c r="B229" s="50"/>
      <c r="C229" s="24" t="s">
        <v>220</v>
      </c>
      <c r="D229" s="49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5">
        <f t="shared" ref="U229:U234" si="64">SUM(E229:T229)</f>
        <v>0</v>
      </c>
    </row>
    <row r="230" spans="1:21" x14ac:dyDescent="0.3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5">
        <f t="shared" si="64"/>
        <v>0</v>
      </c>
    </row>
    <row r="231" spans="1:21" x14ac:dyDescent="0.3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5">
        <f t="shared" si="64"/>
        <v>0</v>
      </c>
    </row>
    <row r="232" spans="1:21" x14ac:dyDescent="0.3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5">
        <f t="shared" si="64"/>
        <v>0</v>
      </c>
    </row>
    <row r="233" spans="1:21" x14ac:dyDescent="0.3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5">
        <f t="shared" si="64"/>
        <v>0</v>
      </c>
    </row>
    <row r="234" spans="1:21" x14ac:dyDescent="0.3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5">
        <f t="shared" si="64"/>
        <v>0</v>
      </c>
    </row>
    <row r="235" spans="1:21" x14ac:dyDescent="0.3">
      <c r="A235" s="6" t="s">
        <v>26</v>
      </c>
      <c r="B235" s="84" t="s">
        <v>51</v>
      </c>
      <c r="C235" s="87"/>
      <c r="D235" s="88"/>
      <c r="E235" s="5">
        <f t="shared" ref="E235:U235" si="65">SUM(E225:E234)</f>
        <v>0</v>
      </c>
      <c r="F235" s="5">
        <f t="shared" si="65"/>
        <v>0</v>
      </c>
      <c r="G235" s="5">
        <f t="shared" si="65"/>
        <v>0</v>
      </c>
      <c r="H235" s="5">
        <f t="shared" si="65"/>
        <v>0</v>
      </c>
      <c r="I235" s="5">
        <f t="shared" si="65"/>
        <v>0</v>
      </c>
      <c r="J235" s="5">
        <f t="shared" si="65"/>
        <v>0</v>
      </c>
      <c r="K235" s="5">
        <f t="shared" si="65"/>
        <v>0</v>
      </c>
      <c r="L235" s="5">
        <f t="shared" si="65"/>
        <v>0</v>
      </c>
      <c r="M235" s="5">
        <f t="shared" si="65"/>
        <v>0</v>
      </c>
      <c r="N235" s="5">
        <f t="shared" ref="N235:P235" si="66">SUM(N225:N234)</f>
        <v>0</v>
      </c>
      <c r="O235" s="5">
        <f t="shared" si="66"/>
        <v>0</v>
      </c>
      <c r="P235" s="5">
        <f t="shared" si="66"/>
        <v>0</v>
      </c>
      <c r="Q235" s="5">
        <f t="shared" si="65"/>
        <v>0</v>
      </c>
      <c r="R235" s="5">
        <f t="shared" si="65"/>
        <v>0</v>
      </c>
      <c r="S235" s="5">
        <f t="shared" si="65"/>
        <v>0</v>
      </c>
      <c r="T235" s="5">
        <f t="shared" si="65"/>
        <v>0</v>
      </c>
      <c r="U235" s="5">
        <f t="shared" si="65"/>
        <v>0</v>
      </c>
    </row>
    <row r="236" spans="1:21" x14ac:dyDescent="0.3">
      <c r="A236" s="62"/>
      <c r="B236" s="89"/>
      <c r="C236" s="89"/>
      <c r="D236" s="89"/>
      <c r="E236" s="90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</row>
    <row r="237" spans="1:21" x14ac:dyDescent="0.3">
      <c r="A237" s="11" t="s">
        <v>48</v>
      </c>
      <c r="B237" s="17" t="s">
        <v>79</v>
      </c>
      <c r="C237" s="86" t="s">
        <v>80</v>
      </c>
      <c r="D237" s="64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5">
        <f t="shared" ref="U237:U246" si="67">SUM(E237:T237)</f>
        <v>0</v>
      </c>
    </row>
    <row r="238" spans="1:21" x14ac:dyDescent="0.3">
      <c r="A238" s="11" t="s">
        <v>50</v>
      </c>
      <c r="B238" s="50"/>
      <c r="C238" s="24" t="s">
        <v>221</v>
      </c>
      <c r="D238" s="49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5">
        <f t="shared" si="67"/>
        <v>0</v>
      </c>
    </row>
    <row r="239" spans="1:21" x14ac:dyDescent="0.3">
      <c r="A239" s="7"/>
      <c r="B239" s="50"/>
      <c r="C239" s="24" t="s">
        <v>222</v>
      </c>
      <c r="D239" s="49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5">
        <f t="shared" si="67"/>
        <v>0</v>
      </c>
    </row>
    <row r="240" spans="1:21" ht="13.15" customHeight="1" x14ac:dyDescent="0.3">
      <c r="A240" s="7"/>
      <c r="B240" s="50"/>
      <c r="C240" s="24" t="s">
        <v>223</v>
      </c>
      <c r="D240" s="49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5">
        <f t="shared" si="67"/>
        <v>0</v>
      </c>
    </row>
    <row r="241" spans="1:21" x14ac:dyDescent="0.3">
      <c r="A241" s="7"/>
      <c r="B241" s="50"/>
      <c r="C241" s="24" t="s">
        <v>224</v>
      </c>
      <c r="D241" s="49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5">
        <f t="shared" si="67"/>
        <v>0</v>
      </c>
    </row>
    <row r="242" spans="1:21" ht="12.75" customHeight="1" x14ac:dyDescent="0.3">
      <c r="A242" s="7"/>
      <c r="B242" s="50"/>
      <c r="C242" s="24" t="s">
        <v>225</v>
      </c>
      <c r="D242" s="49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5">
        <f t="shared" si="67"/>
        <v>0</v>
      </c>
    </row>
    <row r="243" spans="1:21" x14ac:dyDescent="0.3">
      <c r="A243" s="7"/>
      <c r="B243" s="50"/>
      <c r="C243" s="24" t="s">
        <v>226</v>
      </c>
      <c r="D243" s="49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5">
        <f t="shared" si="67"/>
        <v>0</v>
      </c>
    </row>
    <row r="244" spans="1:21" x14ac:dyDescent="0.3">
      <c r="A244" s="7"/>
      <c r="B244" s="50"/>
      <c r="C244" s="24" t="s">
        <v>227</v>
      </c>
      <c r="D244" s="49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5">
        <f t="shared" si="67"/>
        <v>0</v>
      </c>
    </row>
    <row r="245" spans="1:21" x14ac:dyDescent="0.3">
      <c r="A245" s="7"/>
      <c r="B245" s="50"/>
      <c r="C245" s="24" t="s">
        <v>228</v>
      </c>
      <c r="D245" s="49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5">
        <f t="shared" si="67"/>
        <v>0</v>
      </c>
    </row>
    <row r="246" spans="1:21" x14ac:dyDescent="0.3">
      <c r="A246" s="7"/>
      <c r="B246" s="50"/>
      <c r="C246" s="24" t="s">
        <v>229</v>
      </c>
      <c r="D246" s="49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5">
        <f t="shared" si="67"/>
        <v>0</v>
      </c>
    </row>
    <row r="247" spans="1:21" ht="12.75" customHeight="1" x14ac:dyDescent="0.3">
      <c r="A247" s="6" t="s">
        <v>26</v>
      </c>
      <c r="B247" s="84" t="s">
        <v>51</v>
      </c>
      <c r="C247" s="87"/>
      <c r="D247" s="88"/>
      <c r="E247" s="5">
        <f t="shared" ref="E247:U247" si="68">SUM(E237:E246)</f>
        <v>0</v>
      </c>
      <c r="F247" s="5">
        <f t="shared" si="68"/>
        <v>0</v>
      </c>
      <c r="G247" s="5">
        <f t="shared" si="68"/>
        <v>0</v>
      </c>
      <c r="H247" s="5">
        <f t="shared" si="68"/>
        <v>0</v>
      </c>
      <c r="I247" s="5">
        <f t="shared" si="68"/>
        <v>0</v>
      </c>
      <c r="J247" s="5">
        <f t="shared" si="68"/>
        <v>0</v>
      </c>
      <c r="K247" s="5">
        <f t="shared" si="68"/>
        <v>0</v>
      </c>
      <c r="L247" s="5">
        <f t="shared" si="68"/>
        <v>0</v>
      </c>
      <c r="M247" s="5">
        <f t="shared" si="68"/>
        <v>0</v>
      </c>
      <c r="N247" s="5">
        <f t="shared" ref="N247:P247" si="69">SUM(N237:N246)</f>
        <v>0</v>
      </c>
      <c r="O247" s="5">
        <f t="shared" si="69"/>
        <v>0</v>
      </c>
      <c r="P247" s="5">
        <f t="shared" si="69"/>
        <v>0</v>
      </c>
      <c r="Q247" s="5">
        <f t="shared" si="68"/>
        <v>0</v>
      </c>
      <c r="R247" s="5">
        <f t="shared" si="68"/>
        <v>0</v>
      </c>
      <c r="S247" s="5">
        <f t="shared" si="68"/>
        <v>0</v>
      </c>
      <c r="T247" s="5">
        <f t="shared" si="68"/>
        <v>0</v>
      </c>
      <c r="U247" s="5">
        <f t="shared" si="68"/>
        <v>0</v>
      </c>
    </row>
    <row r="248" spans="1:21" x14ac:dyDescent="0.3">
      <c r="A248" s="62"/>
      <c r="B248" s="89"/>
      <c r="C248" s="89"/>
      <c r="D248" s="89"/>
      <c r="E248" s="90"/>
    </row>
    <row r="249" spans="1:21" x14ac:dyDescent="0.3">
      <c r="A249" s="11" t="s">
        <v>48</v>
      </c>
      <c r="B249" s="17" t="s">
        <v>81</v>
      </c>
      <c r="C249" s="86" t="s">
        <v>82</v>
      </c>
      <c r="D249" s="64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5">
        <f>SUM(E249:T249)</f>
        <v>0</v>
      </c>
    </row>
    <row r="250" spans="1:21" x14ac:dyDescent="0.3">
      <c r="A250" s="11" t="s">
        <v>50</v>
      </c>
      <c r="B250" s="50"/>
      <c r="C250" s="24" t="s">
        <v>230</v>
      </c>
      <c r="D250" s="49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5">
        <f>SUM(E250:T250)</f>
        <v>0</v>
      </c>
    </row>
    <row r="251" spans="1:21" x14ac:dyDescent="0.3">
      <c r="A251" s="7"/>
      <c r="B251" s="50"/>
      <c r="C251" s="24" t="s">
        <v>231</v>
      </c>
      <c r="D251" s="49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5">
        <f>SUM(E251:T251)</f>
        <v>0</v>
      </c>
    </row>
    <row r="252" spans="1:21" x14ac:dyDescent="0.3">
      <c r="A252" s="7"/>
      <c r="B252" s="50"/>
      <c r="C252" s="24" t="s">
        <v>232</v>
      </c>
      <c r="D252" s="49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5">
        <f t="shared" ref="U252:U258" si="70">SUM(E252:T252)</f>
        <v>0</v>
      </c>
    </row>
    <row r="253" spans="1:21" x14ac:dyDescent="0.3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5">
        <f t="shared" si="70"/>
        <v>0</v>
      </c>
    </row>
    <row r="254" spans="1:21" x14ac:dyDescent="0.3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5">
        <f t="shared" si="70"/>
        <v>0</v>
      </c>
    </row>
    <row r="255" spans="1:21" x14ac:dyDescent="0.3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5">
        <f t="shared" si="70"/>
        <v>0</v>
      </c>
    </row>
    <row r="256" spans="1:21" x14ac:dyDescent="0.3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5">
        <f t="shared" si="70"/>
        <v>0</v>
      </c>
    </row>
    <row r="257" spans="1:21" x14ac:dyDescent="0.3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5">
        <f t="shared" si="70"/>
        <v>0</v>
      </c>
    </row>
    <row r="258" spans="1:21" x14ac:dyDescent="0.3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5">
        <f t="shared" si="70"/>
        <v>0</v>
      </c>
    </row>
    <row r="259" spans="1:21" x14ac:dyDescent="0.3">
      <c r="A259" s="6" t="s">
        <v>26</v>
      </c>
      <c r="B259" s="84" t="s">
        <v>51</v>
      </c>
      <c r="C259" s="87"/>
      <c r="D259" s="88"/>
      <c r="E259" s="5">
        <f t="shared" ref="E259:U259" si="71">SUM(E249:E258)</f>
        <v>0</v>
      </c>
      <c r="F259" s="5">
        <f t="shared" si="71"/>
        <v>0</v>
      </c>
      <c r="G259" s="5">
        <f t="shared" si="71"/>
        <v>0</v>
      </c>
      <c r="H259" s="5">
        <f t="shared" si="71"/>
        <v>0</v>
      </c>
      <c r="I259" s="5">
        <f t="shared" si="71"/>
        <v>0</v>
      </c>
      <c r="J259" s="5">
        <f t="shared" si="71"/>
        <v>0</v>
      </c>
      <c r="K259" s="5">
        <f t="shared" si="71"/>
        <v>0</v>
      </c>
      <c r="L259" s="5">
        <f t="shared" si="71"/>
        <v>0</v>
      </c>
      <c r="M259" s="5">
        <f t="shared" si="71"/>
        <v>0</v>
      </c>
      <c r="N259" s="5">
        <f t="shared" ref="N259:P259" si="72">SUM(N249:N258)</f>
        <v>0</v>
      </c>
      <c r="O259" s="5">
        <f t="shared" si="72"/>
        <v>0</v>
      </c>
      <c r="P259" s="5">
        <f t="shared" si="72"/>
        <v>0</v>
      </c>
      <c r="Q259" s="5">
        <f t="shared" si="71"/>
        <v>0</v>
      </c>
      <c r="R259" s="5">
        <f t="shared" si="71"/>
        <v>0</v>
      </c>
      <c r="S259" s="5">
        <f t="shared" si="71"/>
        <v>0</v>
      </c>
      <c r="T259" s="5">
        <f t="shared" si="71"/>
        <v>0</v>
      </c>
      <c r="U259" s="5">
        <f t="shared" si="71"/>
        <v>0</v>
      </c>
    </row>
    <row r="261" spans="1:21" x14ac:dyDescent="0.3">
      <c r="A261" s="16" t="s">
        <v>83</v>
      </c>
      <c r="B261" s="65" t="s">
        <v>84</v>
      </c>
      <c r="C261" s="97"/>
      <c r="D261" s="98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15"/>
      <c r="T261" s="15"/>
      <c r="U261" s="5"/>
    </row>
    <row r="262" spans="1:21" x14ac:dyDescent="0.3">
      <c r="A262" s="16"/>
      <c r="B262" s="19" t="s">
        <v>85</v>
      </c>
      <c r="C262" s="95" t="s">
        <v>86</v>
      </c>
      <c r="D262" s="96"/>
      <c r="E262" s="6">
        <f>E55+E67+E79+E91+E103+E115+E127+E139+E151+E163+E175+E187+E199+E211+E223+E235+E247+E259</f>
        <v>0</v>
      </c>
      <c r="F262" s="6">
        <f t="shared" ref="F262:T262" si="73">F55+F67+F79+F91+F103+F115+F127+F139+F151+F163+F175+F187+F199+F211+F223+F235+F247+F259</f>
        <v>0</v>
      </c>
      <c r="G262" s="6">
        <f t="shared" si="73"/>
        <v>0</v>
      </c>
      <c r="H262" s="6">
        <f t="shared" si="73"/>
        <v>0</v>
      </c>
      <c r="I262" s="6">
        <f t="shared" si="73"/>
        <v>0</v>
      </c>
      <c r="J262" s="6">
        <f t="shared" si="73"/>
        <v>0</v>
      </c>
      <c r="K262" s="6">
        <f t="shared" si="73"/>
        <v>0</v>
      </c>
      <c r="L262" s="6">
        <f t="shared" si="73"/>
        <v>0</v>
      </c>
      <c r="M262" s="6">
        <f t="shared" si="73"/>
        <v>0</v>
      </c>
      <c r="N262" s="6">
        <f t="shared" ref="N262:P262" si="74">N55+N67+N79+N91+N103+N115+N127+N139+N151+N163+N175+N187+N199+N211+N223+N235+N247+N259</f>
        <v>0</v>
      </c>
      <c r="O262" s="6">
        <f t="shared" si="74"/>
        <v>0</v>
      </c>
      <c r="P262" s="6">
        <f t="shared" si="74"/>
        <v>0</v>
      </c>
      <c r="Q262" s="6">
        <f t="shared" si="73"/>
        <v>0</v>
      </c>
      <c r="R262" s="6">
        <f t="shared" si="73"/>
        <v>0</v>
      </c>
      <c r="S262" s="6">
        <f t="shared" si="73"/>
        <v>0</v>
      </c>
      <c r="T262" s="6">
        <f t="shared" si="73"/>
        <v>0</v>
      </c>
      <c r="U262" s="5">
        <f>SUM(E262:T262)</f>
        <v>0</v>
      </c>
    </row>
    <row r="263" spans="1:21" x14ac:dyDescent="0.3">
      <c r="A263" s="13"/>
      <c r="B263" s="19" t="s">
        <v>87</v>
      </c>
      <c r="C263" s="95" t="s">
        <v>88</v>
      </c>
      <c r="D263" s="9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5">
        <f>SUM(E263:T263)</f>
        <v>0</v>
      </c>
    </row>
    <row r="264" spans="1:21" x14ac:dyDescent="0.3">
      <c r="A264" s="14"/>
      <c r="B264" s="19" t="s">
        <v>89</v>
      </c>
      <c r="C264" s="95" t="s">
        <v>90</v>
      </c>
      <c r="D264" s="96"/>
      <c r="E264" s="5">
        <f>SUM(E262:E263)</f>
        <v>0</v>
      </c>
      <c r="F264" s="5">
        <f t="shared" ref="F264:T264" si="75">SUM(F262:F263)</f>
        <v>0</v>
      </c>
      <c r="G264" s="5">
        <f t="shared" si="75"/>
        <v>0</v>
      </c>
      <c r="H264" s="5">
        <f t="shared" si="75"/>
        <v>0</v>
      </c>
      <c r="I264" s="5">
        <f t="shared" si="75"/>
        <v>0</v>
      </c>
      <c r="J264" s="5">
        <f t="shared" si="75"/>
        <v>0</v>
      </c>
      <c r="K264" s="5">
        <f t="shared" si="75"/>
        <v>0</v>
      </c>
      <c r="L264" s="5">
        <f t="shared" si="75"/>
        <v>0</v>
      </c>
      <c r="M264" s="5">
        <f t="shared" si="75"/>
        <v>0</v>
      </c>
      <c r="N264" s="5">
        <f t="shared" ref="N264:P264" si="76">SUM(N262:N263)</f>
        <v>0</v>
      </c>
      <c r="O264" s="5">
        <f t="shared" si="76"/>
        <v>0</v>
      </c>
      <c r="P264" s="5">
        <f t="shared" si="76"/>
        <v>0</v>
      </c>
      <c r="Q264" s="5">
        <f t="shared" si="75"/>
        <v>0</v>
      </c>
      <c r="R264" s="5">
        <f t="shared" si="75"/>
        <v>0</v>
      </c>
      <c r="S264" s="5">
        <f t="shared" si="75"/>
        <v>0</v>
      </c>
      <c r="T264" s="5">
        <f t="shared" si="75"/>
        <v>0</v>
      </c>
      <c r="U264" s="5">
        <f>SUM(E264:T264)</f>
        <v>0</v>
      </c>
    </row>
  </sheetData>
  <mergeCells count="86">
    <mergeCell ref="B25:B27"/>
    <mergeCell ref="C25:C27"/>
    <mergeCell ref="B28:B30"/>
    <mergeCell ref="B18:D18"/>
    <mergeCell ref="B19:B21"/>
    <mergeCell ref="C19:C21"/>
    <mergeCell ref="B22:B24"/>
    <mergeCell ref="C22:C24"/>
    <mergeCell ref="C28:C30"/>
    <mergeCell ref="A17:D17"/>
    <mergeCell ref="B12:D12"/>
    <mergeCell ref="E12:T12"/>
    <mergeCell ref="U12:U13"/>
    <mergeCell ref="B13:D13"/>
    <mergeCell ref="B14:C16"/>
    <mergeCell ref="A31:D31"/>
    <mergeCell ref="B32:D32"/>
    <mergeCell ref="B33:D33"/>
    <mergeCell ref="B55:D55"/>
    <mergeCell ref="B35:D35"/>
    <mergeCell ref="B36:D36"/>
    <mergeCell ref="A37:D37"/>
    <mergeCell ref="B43:D43"/>
    <mergeCell ref="A44:D44"/>
    <mergeCell ref="C45:D45"/>
    <mergeCell ref="B34:D34"/>
    <mergeCell ref="E37:I37"/>
    <mergeCell ref="B38:D38"/>
    <mergeCell ref="B39:C41"/>
    <mergeCell ref="A42:D42"/>
    <mergeCell ref="E42:I42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C264:D264"/>
    <mergeCell ref="A248:E248"/>
    <mergeCell ref="C249:D249"/>
    <mergeCell ref="B259:D259"/>
    <mergeCell ref="B261:D261"/>
    <mergeCell ref="C262:D262"/>
    <mergeCell ref="C263:D263"/>
  </mergeCells>
  <phoneticPr fontId="9" type="noConversion"/>
  <conditionalFormatting sqref="E14:T15">
    <cfRule type="containsBlanks" dxfId="168" priority="20">
      <formula>LEN(TRIM(E14))=0</formula>
    </cfRule>
  </conditionalFormatting>
  <conditionalFormatting sqref="E19:T20">
    <cfRule type="containsBlanks" dxfId="167" priority="23">
      <formula>LEN(TRIM(E19))=0</formula>
    </cfRule>
  </conditionalFormatting>
  <conditionalFormatting sqref="E22:T23 E25:T26 E33:T33 E35:T35 E39:T40">
    <cfRule type="containsBlanks" dxfId="166" priority="24">
      <formula>LEN(TRIM(E22))=0</formula>
    </cfRule>
  </conditionalFormatting>
  <conditionalFormatting sqref="E30:T30">
    <cfRule type="expression" dxfId="165" priority="25">
      <formula>E30&lt;&gt;E47</formula>
    </cfRule>
    <cfRule type="expression" dxfId="164" priority="26">
      <formula>E30&lt;&gt;E34</formula>
    </cfRule>
  </conditionalFormatting>
  <conditionalFormatting sqref="E34:T34">
    <cfRule type="expression" dxfId="163" priority="21">
      <formula>E30&lt;&gt;E34</formula>
    </cfRule>
    <cfRule type="expression" dxfId="162" priority="22">
      <formula>E30=E34</formula>
    </cfRule>
    <cfRule type="expression" dxfId="161" priority="27">
      <formula>E34&lt;&gt;E30</formula>
    </cfRule>
    <cfRule type="expression" dxfId="160" priority="29">
      <formula>E34&lt;&gt;E64</formula>
    </cfRule>
  </conditionalFormatting>
  <conditionalFormatting sqref="E45:T54">
    <cfRule type="containsBlanks" dxfId="159" priority="19">
      <formula>LEN(TRIM(E45))=0</formula>
    </cfRule>
  </conditionalFormatting>
  <conditionalFormatting sqref="E57:T66">
    <cfRule type="containsBlanks" dxfId="158" priority="18">
      <formula>LEN(TRIM(E57))=0</formula>
    </cfRule>
  </conditionalFormatting>
  <conditionalFormatting sqref="E69:T78">
    <cfRule type="containsBlanks" dxfId="157" priority="17">
      <formula>LEN(TRIM(E69))=0</formula>
    </cfRule>
  </conditionalFormatting>
  <conditionalFormatting sqref="E81:T90">
    <cfRule type="containsBlanks" dxfId="156" priority="16">
      <formula>LEN(TRIM(E81))=0</formula>
    </cfRule>
  </conditionalFormatting>
  <conditionalFormatting sqref="E93:T102">
    <cfRule type="containsBlanks" dxfId="155" priority="15">
      <formula>LEN(TRIM(E93))=0</formula>
    </cfRule>
  </conditionalFormatting>
  <conditionalFormatting sqref="E105:T114">
    <cfRule type="containsBlanks" dxfId="154" priority="14">
      <formula>LEN(TRIM(E105))=0</formula>
    </cfRule>
  </conditionalFormatting>
  <conditionalFormatting sqref="E117:T126">
    <cfRule type="containsBlanks" dxfId="153" priority="1">
      <formula>LEN(TRIM(E117))=0</formula>
    </cfRule>
  </conditionalFormatting>
  <conditionalFormatting sqref="E129:T138">
    <cfRule type="containsBlanks" dxfId="152" priority="13">
      <formula>LEN(TRIM(E129))=0</formula>
    </cfRule>
  </conditionalFormatting>
  <conditionalFormatting sqref="E141:T150">
    <cfRule type="containsBlanks" dxfId="151" priority="12">
      <formula>LEN(TRIM(E141))=0</formula>
    </cfRule>
  </conditionalFormatting>
  <conditionalFormatting sqref="E153:T162">
    <cfRule type="containsBlanks" dxfId="150" priority="3">
      <formula>LEN(TRIM(E153))=0</formula>
    </cfRule>
  </conditionalFormatting>
  <conditionalFormatting sqref="E165:T174">
    <cfRule type="containsBlanks" dxfId="149" priority="11">
      <formula>LEN(TRIM(E165))=0</formula>
    </cfRule>
  </conditionalFormatting>
  <conditionalFormatting sqref="E177:T186">
    <cfRule type="containsBlanks" dxfId="148" priority="10">
      <formula>LEN(TRIM(E177))=0</formula>
    </cfRule>
  </conditionalFormatting>
  <conditionalFormatting sqref="E189:T198">
    <cfRule type="containsBlanks" dxfId="147" priority="9">
      <formula>LEN(TRIM(E189))=0</formula>
    </cfRule>
  </conditionalFormatting>
  <conditionalFormatting sqref="E201:T210">
    <cfRule type="containsBlanks" dxfId="146" priority="8">
      <formula>LEN(TRIM(E201))=0</formula>
    </cfRule>
  </conditionalFormatting>
  <conditionalFormatting sqref="E213:T222">
    <cfRule type="containsBlanks" dxfId="145" priority="7">
      <formula>LEN(TRIM(E213))=0</formula>
    </cfRule>
  </conditionalFormatting>
  <conditionalFormatting sqref="E225:T234">
    <cfRule type="containsBlanks" dxfId="144" priority="6">
      <formula>LEN(TRIM(E225))=0</formula>
    </cfRule>
  </conditionalFormatting>
  <conditionalFormatting sqref="E237:T246">
    <cfRule type="containsBlanks" dxfId="143" priority="5">
      <formula>LEN(TRIM(E237))=0</formula>
    </cfRule>
  </conditionalFormatting>
  <conditionalFormatting sqref="E249:T258">
    <cfRule type="containsBlanks" dxfId="142" priority="4">
      <formula>LEN(TRIM(E249))=0</formula>
    </cfRule>
  </conditionalFormatting>
  <conditionalFormatting sqref="E262:T263">
    <cfRule type="containsBlanks" dxfId="141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96DE-77B2-40E0-9416-4B00F4846EA5}">
  <sheetPr>
    <tabColor rgb="FF00B050"/>
  </sheetPr>
  <dimension ref="A2:Q264"/>
  <sheetViews>
    <sheetView zoomScale="85" zoomScaleNormal="85" workbookViewId="0">
      <selection activeCell="J20" sqref="J20"/>
    </sheetView>
  </sheetViews>
  <sheetFormatPr defaultRowHeight="13" x14ac:dyDescent="0.3"/>
  <cols>
    <col min="3" max="3" width="67.09765625" bestFit="1" customWidth="1"/>
    <col min="4" max="4" width="5.8984375" bestFit="1" customWidth="1"/>
    <col min="17" max="17" width="13.296875" customWidth="1"/>
  </cols>
  <sheetData>
    <row r="2" spans="1:17" x14ac:dyDescent="0.3">
      <c r="C2" s="43" t="s">
        <v>98</v>
      </c>
      <c r="D2" s="43" t="s">
        <v>104</v>
      </c>
    </row>
    <row r="3" spans="1:17" x14ac:dyDescent="0.3">
      <c r="C3" s="43" t="s">
        <v>99</v>
      </c>
      <c r="D3" s="43" t="s">
        <v>100</v>
      </c>
    </row>
    <row r="4" spans="1:17" x14ac:dyDescent="0.3">
      <c r="C4" s="43" t="s">
        <v>101</v>
      </c>
      <c r="D4" s="43" t="s">
        <v>102</v>
      </c>
    </row>
    <row r="5" spans="1:17" x14ac:dyDescent="0.3">
      <c r="C5" s="43"/>
      <c r="D5" s="43"/>
    </row>
    <row r="6" spans="1:17" x14ac:dyDescent="0.3">
      <c r="C6" s="43"/>
      <c r="D6" s="43"/>
    </row>
    <row r="7" spans="1:17" x14ac:dyDescent="0.3">
      <c r="C7" s="43"/>
      <c r="D7" s="43"/>
    </row>
    <row r="8" spans="1:17" x14ac:dyDescent="0.3">
      <c r="C8" s="43"/>
      <c r="D8" s="43"/>
    </row>
    <row r="9" spans="1:17" x14ac:dyDescent="0.3">
      <c r="C9" s="43" t="s">
        <v>103</v>
      </c>
      <c r="D9" s="43" t="s">
        <v>111</v>
      </c>
    </row>
    <row r="11" spans="1:17" x14ac:dyDescent="0.3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17" x14ac:dyDescent="0.3">
      <c r="A12" s="5" t="s">
        <v>0</v>
      </c>
      <c r="B12" s="65" t="s">
        <v>1</v>
      </c>
      <c r="C12" s="63"/>
      <c r="D12" s="64"/>
      <c r="E12" s="99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1" t="s">
        <v>97</v>
      </c>
    </row>
    <row r="13" spans="1:17" x14ac:dyDescent="0.3">
      <c r="A13" s="6" t="s">
        <v>2</v>
      </c>
      <c r="B13" s="76" t="s">
        <v>3</v>
      </c>
      <c r="C13" s="63"/>
      <c r="D13" s="6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102"/>
    </row>
    <row r="14" spans="1:17" x14ac:dyDescent="0.3">
      <c r="A14" s="7"/>
      <c r="B14" s="77" t="s">
        <v>22</v>
      </c>
      <c r="C14" s="78"/>
      <c r="D14" s="6" t="s">
        <v>23</v>
      </c>
      <c r="E14" s="6">
        <v>124</v>
      </c>
      <c r="F14" s="6">
        <v>96</v>
      </c>
      <c r="G14" s="6">
        <v>127</v>
      </c>
      <c r="H14" s="6">
        <v>126</v>
      </c>
      <c r="I14" s="6">
        <v>121</v>
      </c>
      <c r="J14" s="6">
        <v>117</v>
      </c>
      <c r="K14" s="6">
        <v>127</v>
      </c>
      <c r="L14" s="6">
        <v>141</v>
      </c>
      <c r="M14" s="6">
        <v>108</v>
      </c>
      <c r="N14" s="6">
        <v>125</v>
      </c>
      <c r="O14" s="6">
        <v>84</v>
      </c>
      <c r="P14" s="6">
        <v>68</v>
      </c>
      <c r="Q14" s="5">
        <f>SUM(E14:P14)</f>
        <v>1364</v>
      </c>
    </row>
    <row r="15" spans="1:17" x14ac:dyDescent="0.3">
      <c r="A15" s="7"/>
      <c r="B15" s="79"/>
      <c r="C15" s="67"/>
      <c r="D15" s="6" t="s">
        <v>24</v>
      </c>
      <c r="E15" s="6">
        <v>125</v>
      </c>
      <c r="F15" s="6">
        <v>98</v>
      </c>
      <c r="G15" s="6">
        <v>137</v>
      </c>
      <c r="H15" s="6">
        <v>122</v>
      </c>
      <c r="I15" s="6">
        <v>141</v>
      </c>
      <c r="J15" s="6">
        <v>139</v>
      </c>
      <c r="K15" s="6">
        <v>142</v>
      </c>
      <c r="L15" s="6">
        <v>138</v>
      </c>
      <c r="M15" s="6">
        <v>119</v>
      </c>
      <c r="N15" s="6">
        <v>141</v>
      </c>
      <c r="O15" s="6">
        <v>99</v>
      </c>
      <c r="P15" s="6">
        <v>83</v>
      </c>
      <c r="Q15" s="5">
        <f>SUM(E15:P15)</f>
        <v>1484</v>
      </c>
    </row>
    <row r="16" spans="1:17" x14ac:dyDescent="0.3">
      <c r="A16" s="8"/>
      <c r="B16" s="75"/>
      <c r="C16" s="68"/>
      <c r="D16" s="5" t="s">
        <v>25</v>
      </c>
      <c r="E16" s="5">
        <f t="shared" ref="E16:P16" si="0">SUM(E14:E15)</f>
        <v>249</v>
      </c>
      <c r="F16" s="5">
        <f t="shared" si="0"/>
        <v>194</v>
      </c>
      <c r="G16" s="5">
        <f t="shared" si="0"/>
        <v>264</v>
      </c>
      <c r="H16" s="5">
        <f t="shared" si="0"/>
        <v>248</v>
      </c>
      <c r="I16" s="5">
        <f t="shared" si="0"/>
        <v>262</v>
      </c>
      <c r="J16" s="5">
        <f t="shared" si="0"/>
        <v>256</v>
      </c>
      <c r="K16" s="5">
        <f t="shared" si="0"/>
        <v>269</v>
      </c>
      <c r="L16" s="5">
        <f t="shared" si="0"/>
        <v>279</v>
      </c>
      <c r="M16" s="5">
        <f t="shared" si="0"/>
        <v>227</v>
      </c>
      <c r="N16" s="5">
        <f t="shared" si="0"/>
        <v>266</v>
      </c>
      <c r="O16" s="5">
        <f t="shared" si="0"/>
        <v>183</v>
      </c>
      <c r="P16" s="5">
        <f t="shared" si="0"/>
        <v>151</v>
      </c>
      <c r="Q16" s="5">
        <f>SUM(E16:P16)</f>
        <v>2848</v>
      </c>
    </row>
    <row r="17" spans="1:17" x14ac:dyDescent="0.3">
      <c r="A17" s="62"/>
      <c r="B17" s="63"/>
      <c r="C17" s="63"/>
      <c r="D17" s="64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28"/>
    </row>
    <row r="18" spans="1:17" x14ac:dyDescent="0.3">
      <c r="A18" s="11" t="s">
        <v>26</v>
      </c>
      <c r="B18" s="76" t="s">
        <v>27</v>
      </c>
      <c r="C18" s="63"/>
      <c r="D18" s="64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28"/>
    </row>
    <row r="19" spans="1:17" x14ac:dyDescent="0.3">
      <c r="A19" s="11"/>
      <c r="B19" s="66" t="s">
        <v>28</v>
      </c>
      <c r="C19" s="69" t="s">
        <v>29</v>
      </c>
      <c r="D19" s="6" t="s">
        <v>23</v>
      </c>
      <c r="E19" s="6">
        <v>85</v>
      </c>
      <c r="F19" s="6">
        <v>79</v>
      </c>
      <c r="G19" s="6">
        <v>88</v>
      </c>
      <c r="H19" s="6">
        <v>86</v>
      </c>
      <c r="I19" s="6">
        <v>93</v>
      </c>
      <c r="J19" s="6">
        <v>76</v>
      </c>
      <c r="K19" s="6">
        <v>105</v>
      </c>
      <c r="L19" s="6">
        <v>108</v>
      </c>
      <c r="M19" s="6">
        <v>75</v>
      </c>
      <c r="N19" s="6">
        <v>94</v>
      </c>
      <c r="O19" s="6">
        <v>62</v>
      </c>
      <c r="P19" s="6">
        <v>54</v>
      </c>
      <c r="Q19" s="5">
        <f t="shared" ref="Q19:Q30" si="1">SUM(E19:P19)</f>
        <v>1005</v>
      </c>
    </row>
    <row r="20" spans="1:17" x14ac:dyDescent="0.3">
      <c r="A20" s="12"/>
      <c r="B20" s="67"/>
      <c r="C20" s="70"/>
      <c r="D20" s="6" t="s">
        <v>24</v>
      </c>
      <c r="E20" s="6">
        <v>101</v>
      </c>
      <c r="F20" s="6">
        <v>79</v>
      </c>
      <c r="G20" s="6">
        <v>101</v>
      </c>
      <c r="H20" s="6">
        <v>94</v>
      </c>
      <c r="I20" s="6">
        <v>110</v>
      </c>
      <c r="J20" s="6">
        <v>111</v>
      </c>
      <c r="K20" s="6">
        <v>124</v>
      </c>
      <c r="L20" s="6">
        <v>105</v>
      </c>
      <c r="M20" s="6">
        <v>98</v>
      </c>
      <c r="N20" s="6">
        <v>106</v>
      </c>
      <c r="O20" s="6">
        <v>80</v>
      </c>
      <c r="P20" s="6">
        <v>62</v>
      </c>
      <c r="Q20" s="5">
        <f t="shared" si="1"/>
        <v>1171</v>
      </c>
    </row>
    <row r="21" spans="1:17" x14ac:dyDescent="0.3">
      <c r="A21" s="13"/>
      <c r="B21" s="68"/>
      <c r="C21" s="71"/>
      <c r="D21" s="5" t="s">
        <v>25</v>
      </c>
      <c r="E21" s="5">
        <f t="shared" ref="E21:P21" si="2">SUM(E19:E20)</f>
        <v>186</v>
      </c>
      <c r="F21" s="5">
        <f t="shared" si="2"/>
        <v>158</v>
      </c>
      <c r="G21" s="5">
        <f t="shared" si="2"/>
        <v>189</v>
      </c>
      <c r="H21" s="5">
        <f t="shared" si="2"/>
        <v>180</v>
      </c>
      <c r="I21" s="5">
        <f t="shared" si="2"/>
        <v>203</v>
      </c>
      <c r="J21" s="5">
        <f t="shared" si="2"/>
        <v>187</v>
      </c>
      <c r="K21" s="5">
        <f t="shared" si="2"/>
        <v>229</v>
      </c>
      <c r="L21" s="5">
        <f t="shared" si="2"/>
        <v>213</v>
      </c>
      <c r="M21" s="5">
        <f t="shared" si="2"/>
        <v>173</v>
      </c>
      <c r="N21" s="5">
        <f t="shared" si="2"/>
        <v>200</v>
      </c>
      <c r="O21" s="5">
        <f t="shared" si="2"/>
        <v>142</v>
      </c>
      <c r="P21" s="5">
        <f t="shared" si="2"/>
        <v>116</v>
      </c>
      <c r="Q21" s="5">
        <f t="shared" si="1"/>
        <v>2176</v>
      </c>
    </row>
    <row r="22" spans="1:17" x14ac:dyDescent="0.3">
      <c r="A22" s="12"/>
      <c r="B22" s="66" t="s">
        <v>30</v>
      </c>
      <c r="C22" s="69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1</v>
      </c>
      <c r="K22" s="6">
        <v>0</v>
      </c>
      <c r="L22" s="6">
        <v>1</v>
      </c>
      <c r="M22" s="6">
        <v>1</v>
      </c>
      <c r="N22" s="6">
        <v>4</v>
      </c>
      <c r="O22" s="6">
        <v>0</v>
      </c>
      <c r="P22" s="6">
        <v>1</v>
      </c>
      <c r="Q22" s="5">
        <f t="shared" si="1"/>
        <v>8</v>
      </c>
    </row>
    <row r="23" spans="1:17" x14ac:dyDescent="0.3">
      <c r="A23" s="12"/>
      <c r="B23" s="67"/>
      <c r="C23" s="70"/>
      <c r="D23" s="6" t="s">
        <v>24</v>
      </c>
      <c r="E23" s="6">
        <v>0</v>
      </c>
      <c r="F23" s="6">
        <v>1</v>
      </c>
      <c r="G23" s="6">
        <v>0</v>
      </c>
      <c r="H23" s="6">
        <v>0</v>
      </c>
      <c r="I23" s="6">
        <v>0</v>
      </c>
      <c r="J23" s="6">
        <v>1</v>
      </c>
      <c r="K23" s="6">
        <v>0</v>
      </c>
      <c r="L23" s="6">
        <v>0</v>
      </c>
      <c r="M23" s="6">
        <v>0</v>
      </c>
      <c r="N23" s="6">
        <v>3</v>
      </c>
      <c r="O23" s="6">
        <v>0</v>
      </c>
      <c r="P23" s="6">
        <v>0</v>
      </c>
      <c r="Q23" s="5">
        <f t="shared" si="1"/>
        <v>5</v>
      </c>
    </row>
    <row r="24" spans="1:17" x14ac:dyDescent="0.3">
      <c r="A24" s="13"/>
      <c r="B24" s="68"/>
      <c r="C24" s="71"/>
      <c r="D24" s="5" t="s">
        <v>25</v>
      </c>
      <c r="E24" s="5">
        <f t="shared" ref="E24:P24" si="3">SUM(E22:E23)</f>
        <v>0</v>
      </c>
      <c r="F24" s="5">
        <f t="shared" si="3"/>
        <v>1</v>
      </c>
      <c r="G24" s="5">
        <f t="shared" si="3"/>
        <v>0</v>
      </c>
      <c r="H24" s="5">
        <f t="shared" si="3"/>
        <v>0</v>
      </c>
      <c r="I24" s="5">
        <f t="shared" si="3"/>
        <v>0</v>
      </c>
      <c r="J24" s="5">
        <f t="shared" si="3"/>
        <v>2</v>
      </c>
      <c r="K24" s="5">
        <f t="shared" si="3"/>
        <v>0</v>
      </c>
      <c r="L24" s="5">
        <f t="shared" si="3"/>
        <v>1</v>
      </c>
      <c r="M24" s="5">
        <f t="shared" si="3"/>
        <v>1</v>
      </c>
      <c r="N24" s="5">
        <f t="shared" si="3"/>
        <v>7</v>
      </c>
      <c r="O24" s="5">
        <f t="shared" si="3"/>
        <v>0</v>
      </c>
      <c r="P24" s="5">
        <f t="shared" si="3"/>
        <v>1</v>
      </c>
      <c r="Q24" s="5">
        <f t="shared" si="1"/>
        <v>13</v>
      </c>
    </row>
    <row r="25" spans="1:17" x14ac:dyDescent="0.3">
      <c r="A25" s="12"/>
      <c r="B25" s="66" t="s">
        <v>32</v>
      </c>
      <c r="C25" s="69" t="s">
        <v>33</v>
      </c>
      <c r="D25" s="6" t="s">
        <v>23</v>
      </c>
      <c r="E25" s="6">
        <v>0</v>
      </c>
      <c r="F25" s="6">
        <v>2</v>
      </c>
      <c r="G25" s="6">
        <v>2</v>
      </c>
      <c r="H25" s="6">
        <v>1</v>
      </c>
      <c r="I25" s="6">
        <v>0</v>
      </c>
      <c r="J25" s="6">
        <v>1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1</v>
      </c>
      <c r="Q25" s="5">
        <f t="shared" si="1"/>
        <v>7</v>
      </c>
    </row>
    <row r="26" spans="1:17" x14ac:dyDescent="0.3">
      <c r="A26" s="12"/>
      <c r="B26" s="67"/>
      <c r="C26" s="70"/>
      <c r="D26" s="6" t="s">
        <v>24</v>
      </c>
      <c r="E26" s="6">
        <v>0</v>
      </c>
      <c r="F26" s="6">
        <v>0</v>
      </c>
      <c r="G26" s="6">
        <v>2</v>
      </c>
      <c r="H26" s="6">
        <v>0</v>
      </c>
      <c r="I26" s="6">
        <v>0</v>
      </c>
      <c r="J26" s="6">
        <v>1</v>
      </c>
      <c r="K26" s="6">
        <v>1</v>
      </c>
      <c r="L26" s="6">
        <v>0</v>
      </c>
      <c r="M26" s="6">
        <v>1</v>
      </c>
      <c r="N26" s="6">
        <v>0</v>
      </c>
      <c r="O26" s="6">
        <v>2</v>
      </c>
      <c r="P26" s="6">
        <v>1</v>
      </c>
      <c r="Q26" s="5">
        <f t="shared" si="1"/>
        <v>8</v>
      </c>
    </row>
    <row r="27" spans="1:17" x14ac:dyDescent="0.3">
      <c r="A27" s="13"/>
      <c r="B27" s="68"/>
      <c r="C27" s="71"/>
      <c r="D27" s="5" t="s">
        <v>25</v>
      </c>
      <c r="E27" s="5">
        <f t="shared" ref="E27" si="4">SUM(E25:E26)</f>
        <v>0</v>
      </c>
      <c r="F27" s="5">
        <f t="shared" ref="F27:P27" si="5">SUM(F25:F26)</f>
        <v>2</v>
      </c>
      <c r="G27" s="5">
        <f t="shared" si="5"/>
        <v>4</v>
      </c>
      <c r="H27" s="5">
        <f t="shared" si="5"/>
        <v>1</v>
      </c>
      <c r="I27" s="5">
        <f t="shared" si="5"/>
        <v>0</v>
      </c>
      <c r="J27" s="5">
        <f t="shared" si="5"/>
        <v>2</v>
      </c>
      <c r="K27" s="5">
        <f t="shared" si="5"/>
        <v>1</v>
      </c>
      <c r="L27" s="5">
        <f t="shared" si="5"/>
        <v>0</v>
      </c>
      <c r="M27" s="5">
        <f t="shared" si="5"/>
        <v>1</v>
      </c>
      <c r="N27" s="5">
        <f t="shared" si="5"/>
        <v>0</v>
      </c>
      <c r="O27" s="5">
        <f t="shared" si="5"/>
        <v>2</v>
      </c>
      <c r="P27" s="5">
        <f t="shared" si="5"/>
        <v>2</v>
      </c>
      <c r="Q27" s="5">
        <f t="shared" si="1"/>
        <v>15</v>
      </c>
    </row>
    <row r="28" spans="1:17" x14ac:dyDescent="0.3">
      <c r="A28" s="13"/>
      <c r="B28" s="72" t="s">
        <v>34</v>
      </c>
      <c r="C28" s="73" t="s">
        <v>35</v>
      </c>
      <c r="D28" s="5" t="s">
        <v>23</v>
      </c>
      <c r="E28" s="5">
        <f>SUM(E19,E22,E25)</f>
        <v>85</v>
      </c>
      <c r="F28" s="5">
        <f t="shared" ref="F28:P28" si="6">SUM(F19,F22,F25)</f>
        <v>81</v>
      </c>
      <c r="G28" s="5">
        <f t="shared" si="6"/>
        <v>90</v>
      </c>
      <c r="H28" s="5">
        <f t="shared" si="6"/>
        <v>87</v>
      </c>
      <c r="I28" s="5">
        <f t="shared" si="6"/>
        <v>93</v>
      </c>
      <c r="J28" s="5">
        <f t="shared" si="6"/>
        <v>78</v>
      </c>
      <c r="K28" s="5">
        <f t="shared" si="6"/>
        <v>105</v>
      </c>
      <c r="L28" s="5">
        <f t="shared" si="6"/>
        <v>109</v>
      </c>
      <c r="M28" s="5">
        <f t="shared" si="6"/>
        <v>76</v>
      </c>
      <c r="N28" s="5">
        <f t="shared" si="6"/>
        <v>98</v>
      </c>
      <c r="O28" s="5">
        <f t="shared" si="6"/>
        <v>62</v>
      </c>
      <c r="P28" s="5">
        <f t="shared" si="6"/>
        <v>56</v>
      </c>
      <c r="Q28" s="5">
        <f t="shared" si="1"/>
        <v>1020</v>
      </c>
    </row>
    <row r="29" spans="1:17" x14ac:dyDescent="0.3">
      <c r="A29" s="13"/>
      <c r="B29" s="67"/>
      <c r="C29" s="70"/>
      <c r="D29" s="5" t="s">
        <v>24</v>
      </c>
      <c r="E29" s="5">
        <f>SUM(E20,E23,E26)</f>
        <v>101</v>
      </c>
      <c r="F29" s="5">
        <f t="shared" ref="F29:P29" si="7">SUM(F20,F23,F26)</f>
        <v>80</v>
      </c>
      <c r="G29" s="5">
        <f t="shared" si="7"/>
        <v>103</v>
      </c>
      <c r="H29" s="5">
        <f t="shared" si="7"/>
        <v>94</v>
      </c>
      <c r="I29" s="5">
        <f t="shared" si="7"/>
        <v>110</v>
      </c>
      <c r="J29" s="5">
        <f t="shared" si="7"/>
        <v>113</v>
      </c>
      <c r="K29" s="5">
        <f t="shared" si="7"/>
        <v>125</v>
      </c>
      <c r="L29" s="5">
        <f t="shared" si="7"/>
        <v>105</v>
      </c>
      <c r="M29" s="5">
        <f t="shared" si="7"/>
        <v>99</v>
      </c>
      <c r="N29" s="5">
        <f t="shared" si="7"/>
        <v>109</v>
      </c>
      <c r="O29" s="5">
        <f t="shared" si="7"/>
        <v>82</v>
      </c>
      <c r="P29" s="5">
        <f t="shared" si="7"/>
        <v>63</v>
      </c>
      <c r="Q29" s="5">
        <f t="shared" si="1"/>
        <v>1184</v>
      </c>
    </row>
    <row r="30" spans="1:17" x14ac:dyDescent="0.3">
      <c r="A30" s="13"/>
      <c r="B30" s="68"/>
      <c r="C30" s="71"/>
      <c r="D30" s="5" t="s">
        <v>25</v>
      </c>
      <c r="E30" s="5">
        <f t="shared" ref="E30" si="8">SUM(E28:E29)</f>
        <v>186</v>
      </c>
      <c r="F30" s="5">
        <f t="shared" ref="F30:P30" si="9">SUM(F28:F29)</f>
        <v>161</v>
      </c>
      <c r="G30" s="5">
        <f t="shared" si="9"/>
        <v>193</v>
      </c>
      <c r="H30" s="5">
        <f t="shared" si="9"/>
        <v>181</v>
      </c>
      <c r="I30" s="5">
        <f t="shared" si="9"/>
        <v>203</v>
      </c>
      <c r="J30" s="5">
        <f t="shared" si="9"/>
        <v>191</v>
      </c>
      <c r="K30" s="5">
        <f t="shared" si="9"/>
        <v>230</v>
      </c>
      <c r="L30" s="5">
        <f t="shared" si="9"/>
        <v>214</v>
      </c>
      <c r="M30" s="5">
        <f t="shared" si="9"/>
        <v>175</v>
      </c>
      <c r="N30" s="5">
        <f t="shared" si="9"/>
        <v>207</v>
      </c>
      <c r="O30" s="5">
        <f t="shared" si="9"/>
        <v>144</v>
      </c>
      <c r="P30" s="5">
        <f t="shared" si="9"/>
        <v>119</v>
      </c>
      <c r="Q30" s="5">
        <f t="shared" si="1"/>
        <v>2204</v>
      </c>
    </row>
    <row r="31" spans="1:17" x14ac:dyDescent="0.3">
      <c r="A31" s="62"/>
      <c r="B31" s="63"/>
      <c r="C31" s="63"/>
      <c r="D31" s="64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28"/>
    </row>
    <row r="32" spans="1:17" x14ac:dyDescent="0.3">
      <c r="A32" s="14" t="s">
        <v>36</v>
      </c>
      <c r="B32" s="65" t="s">
        <v>37</v>
      </c>
      <c r="C32" s="63"/>
      <c r="D32" s="64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28"/>
    </row>
    <row r="33" spans="1:17" x14ac:dyDescent="0.3">
      <c r="A33" s="6">
        <v>1</v>
      </c>
      <c r="B33" s="76" t="s">
        <v>38</v>
      </c>
      <c r="C33" s="63"/>
      <c r="D33" s="64"/>
      <c r="E33" s="6">
        <v>247</v>
      </c>
      <c r="F33" s="6">
        <v>191</v>
      </c>
      <c r="G33" s="6">
        <v>263</v>
      </c>
      <c r="H33" s="6">
        <v>248</v>
      </c>
      <c r="I33" s="6">
        <v>261</v>
      </c>
      <c r="J33" s="6">
        <v>255</v>
      </c>
      <c r="K33" s="6">
        <v>265</v>
      </c>
      <c r="L33" s="6">
        <v>283</v>
      </c>
      <c r="M33" s="6">
        <v>225</v>
      </c>
      <c r="N33" s="6">
        <v>268</v>
      </c>
      <c r="O33" s="6">
        <v>180</v>
      </c>
      <c r="P33" s="6">
        <v>149</v>
      </c>
      <c r="Q33" s="5">
        <f>SUM(E33:P33)</f>
        <v>2835</v>
      </c>
    </row>
    <row r="34" spans="1:17" x14ac:dyDescent="0.3">
      <c r="A34" s="6">
        <v>2</v>
      </c>
      <c r="B34" s="76" t="s">
        <v>39</v>
      </c>
      <c r="C34" s="63"/>
      <c r="D34" s="64"/>
      <c r="E34" s="5">
        <v>186</v>
      </c>
      <c r="F34" s="5">
        <v>161</v>
      </c>
      <c r="G34" s="5">
        <v>193</v>
      </c>
      <c r="H34" s="5">
        <v>181</v>
      </c>
      <c r="I34" s="5">
        <v>203</v>
      </c>
      <c r="J34" s="5">
        <v>191</v>
      </c>
      <c r="K34" s="5">
        <v>230</v>
      </c>
      <c r="L34" s="5">
        <v>214</v>
      </c>
      <c r="M34" s="5">
        <v>175</v>
      </c>
      <c r="N34" s="5">
        <v>207</v>
      </c>
      <c r="O34" s="5">
        <v>144</v>
      </c>
      <c r="P34" s="5">
        <v>119</v>
      </c>
      <c r="Q34" s="5">
        <f>SUM(E34:P34)</f>
        <v>2204</v>
      </c>
    </row>
    <row r="35" spans="1:17" x14ac:dyDescent="0.3">
      <c r="A35" s="6">
        <v>3</v>
      </c>
      <c r="B35" s="76" t="s">
        <v>40</v>
      </c>
      <c r="C35" s="63"/>
      <c r="D35" s="64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1</v>
      </c>
      <c r="O35" s="6">
        <v>0</v>
      </c>
      <c r="P35" s="6">
        <v>2</v>
      </c>
      <c r="Q35" s="5">
        <f>SUM(E35:P35)</f>
        <v>3</v>
      </c>
    </row>
    <row r="36" spans="1:17" x14ac:dyDescent="0.3">
      <c r="A36" s="6">
        <v>4</v>
      </c>
      <c r="B36" s="76" t="s">
        <v>41</v>
      </c>
      <c r="C36" s="63"/>
      <c r="D36" s="64"/>
      <c r="E36" s="5">
        <f t="shared" ref="E36:P36" si="10">E33-(E34+E35)</f>
        <v>61</v>
      </c>
      <c r="F36" s="5">
        <f t="shared" si="10"/>
        <v>30</v>
      </c>
      <c r="G36" s="5">
        <f t="shared" si="10"/>
        <v>70</v>
      </c>
      <c r="H36" s="5">
        <f t="shared" si="10"/>
        <v>67</v>
      </c>
      <c r="I36" s="5">
        <f t="shared" si="10"/>
        <v>58</v>
      </c>
      <c r="J36" s="5">
        <f t="shared" si="10"/>
        <v>64</v>
      </c>
      <c r="K36" s="5">
        <f t="shared" si="10"/>
        <v>35</v>
      </c>
      <c r="L36" s="5">
        <f t="shared" si="10"/>
        <v>69</v>
      </c>
      <c r="M36" s="5">
        <f t="shared" si="10"/>
        <v>50</v>
      </c>
      <c r="N36" s="5">
        <f t="shared" si="10"/>
        <v>60</v>
      </c>
      <c r="O36" s="5">
        <f t="shared" si="10"/>
        <v>36</v>
      </c>
      <c r="P36" s="5">
        <f t="shared" si="10"/>
        <v>28</v>
      </c>
      <c r="Q36" s="5">
        <f>SUM(E36:P36)</f>
        <v>628</v>
      </c>
    </row>
    <row r="37" spans="1:17" x14ac:dyDescent="0.3">
      <c r="A37" s="62"/>
      <c r="B37" s="63"/>
      <c r="C37" s="63"/>
      <c r="D37" s="63"/>
      <c r="E37" s="62"/>
      <c r="F37" s="103"/>
      <c r="G37" s="103"/>
      <c r="H37" s="103"/>
      <c r="I37" s="104"/>
      <c r="J37" s="6"/>
      <c r="K37" s="6"/>
      <c r="L37" s="6"/>
      <c r="M37" s="6"/>
      <c r="N37" s="10"/>
      <c r="O37" s="26"/>
      <c r="P37" s="26"/>
      <c r="Q37" s="28"/>
    </row>
    <row r="38" spans="1:17" x14ac:dyDescent="0.3">
      <c r="A38" s="16" t="s">
        <v>42</v>
      </c>
      <c r="B38" s="65" t="s">
        <v>43</v>
      </c>
      <c r="C38" s="63"/>
      <c r="D38" s="64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28"/>
    </row>
    <row r="39" spans="1:17" x14ac:dyDescent="0.3">
      <c r="A39" s="11"/>
      <c r="B39" s="80" t="s">
        <v>44</v>
      </c>
      <c r="C39" s="78"/>
      <c r="D39" s="6" t="s">
        <v>23</v>
      </c>
      <c r="E39" s="6">
        <v>0</v>
      </c>
      <c r="F39" s="6">
        <v>2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1</v>
      </c>
      <c r="O39" s="6">
        <v>0</v>
      </c>
      <c r="P39" s="6">
        <v>0</v>
      </c>
      <c r="Q39" s="5">
        <f>SUM(E39:P39)</f>
        <v>3</v>
      </c>
    </row>
    <row r="40" spans="1:17" x14ac:dyDescent="0.3">
      <c r="A40" s="12"/>
      <c r="B40" s="81"/>
      <c r="C40" s="67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4</v>
      </c>
      <c r="K40" s="6">
        <v>0</v>
      </c>
      <c r="L40" s="6">
        <v>0</v>
      </c>
      <c r="M40" s="6">
        <v>0</v>
      </c>
      <c r="N40" s="6">
        <v>4</v>
      </c>
      <c r="O40" s="6">
        <v>0</v>
      </c>
      <c r="P40" s="6">
        <v>0</v>
      </c>
      <c r="Q40" s="5">
        <f>SUM(E40:P40)</f>
        <v>8</v>
      </c>
    </row>
    <row r="41" spans="1:17" x14ac:dyDescent="0.3">
      <c r="A41" s="14"/>
      <c r="B41" s="82"/>
      <c r="C41" s="68"/>
      <c r="D41" s="5" t="s">
        <v>25</v>
      </c>
      <c r="E41" s="5">
        <f t="shared" ref="E41:P41" si="11">SUM(E39:E40)</f>
        <v>0</v>
      </c>
      <c r="F41" s="5">
        <f t="shared" si="11"/>
        <v>2</v>
      </c>
      <c r="G41" s="5">
        <f t="shared" si="11"/>
        <v>0</v>
      </c>
      <c r="H41" s="5">
        <f t="shared" si="11"/>
        <v>0</v>
      </c>
      <c r="I41" s="5">
        <f t="shared" si="11"/>
        <v>0</v>
      </c>
      <c r="J41" s="5">
        <f t="shared" si="11"/>
        <v>4</v>
      </c>
      <c r="K41" s="5">
        <f t="shared" si="11"/>
        <v>0</v>
      </c>
      <c r="L41" s="5">
        <f t="shared" si="11"/>
        <v>0</v>
      </c>
      <c r="M41" s="5">
        <f t="shared" si="11"/>
        <v>0</v>
      </c>
      <c r="N41" s="5">
        <f t="shared" si="11"/>
        <v>5</v>
      </c>
      <c r="O41" s="5">
        <f t="shared" si="11"/>
        <v>0</v>
      </c>
      <c r="P41" s="5">
        <f t="shared" si="11"/>
        <v>0</v>
      </c>
      <c r="Q41" s="5">
        <f>SUM(E41:P41)</f>
        <v>11</v>
      </c>
    </row>
    <row r="42" spans="1:17" x14ac:dyDescent="0.3">
      <c r="A42" s="83"/>
      <c r="B42" s="82"/>
      <c r="C42" s="82"/>
      <c r="D42" s="68"/>
      <c r="E42" s="62"/>
      <c r="F42" s="63"/>
      <c r="G42" s="63"/>
      <c r="H42" s="63"/>
      <c r="I42" s="64"/>
      <c r="J42" s="6"/>
      <c r="K42" s="6"/>
      <c r="L42" s="6"/>
      <c r="M42" s="6"/>
      <c r="N42" s="10"/>
      <c r="O42" s="6"/>
      <c r="P42" s="10"/>
      <c r="Q42" s="5"/>
    </row>
    <row r="43" spans="1:17" ht="13.15" customHeight="1" x14ac:dyDescent="0.3">
      <c r="A43" s="16" t="s">
        <v>45</v>
      </c>
      <c r="B43" s="65" t="s">
        <v>46</v>
      </c>
      <c r="C43" s="63"/>
      <c r="D43" s="6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</row>
    <row r="44" spans="1:17" ht="13.15" customHeight="1" x14ac:dyDescent="0.3">
      <c r="A44" s="80" t="s">
        <v>47</v>
      </c>
      <c r="B44" s="85"/>
      <c r="C44" s="85"/>
      <c r="D44" s="78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5"/>
    </row>
    <row r="45" spans="1:17" x14ac:dyDescent="0.3">
      <c r="A45" s="11" t="s">
        <v>48</v>
      </c>
      <c r="B45" s="17" t="s">
        <v>28</v>
      </c>
      <c r="C45" s="86" t="s">
        <v>49</v>
      </c>
      <c r="D45" s="64"/>
      <c r="E45" s="6">
        <v>7</v>
      </c>
      <c r="F45" s="6">
        <v>9</v>
      </c>
      <c r="G45" s="6">
        <v>5</v>
      </c>
      <c r="H45" s="6">
        <v>5</v>
      </c>
      <c r="I45" s="6">
        <v>9</v>
      </c>
      <c r="J45" s="6">
        <v>10</v>
      </c>
      <c r="K45" s="6">
        <v>13</v>
      </c>
      <c r="L45" s="6">
        <v>4</v>
      </c>
      <c r="M45" s="6">
        <v>9</v>
      </c>
      <c r="N45" s="6">
        <v>12</v>
      </c>
      <c r="O45" s="6">
        <v>3</v>
      </c>
      <c r="P45" s="6">
        <v>8</v>
      </c>
      <c r="Q45" s="5">
        <f t="shared" ref="Q45:Q54" si="12">SUM(E45:P45)</f>
        <v>94</v>
      </c>
    </row>
    <row r="46" spans="1:17" x14ac:dyDescent="0.3">
      <c r="A46" s="11" t="s">
        <v>50</v>
      </c>
      <c r="B46" s="50"/>
      <c r="C46" s="24" t="s">
        <v>115</v>
      </c>
      <c r="D46" s="49"/>
      <c r="E46" s="6">
        <v>8</v>
      </c>
      <c r="F46" s="6">
        <v>8</v>
      </c>
      <c r="G46" s="6">
        <v>8</v>
      </c>
      <c r="H46" s="6">
        <v>6</v>
      </c>
      <c r="I46" s="6">
        <v>14</v>
      </c>
      <c r="J46" s="6">
        <v>9</v>
      </c>
      <c r="K46" s="6">
        <v>7</v>
      </c>
      <c r="L46" s="6">
        <v>10</v>
      </c>
      <c r="M46" s="6">
        <v>20</v>
      </c>
      <c r="N46" s="6">
        <v>25</v>
      </c>
      <c r="O46" s="6">
        <v>6</v>
      </c>
      <c r="P46" s="6">
        <v>8</v>
      </c>
      <c r="Q46" s="5">
        <f t="shared" si="12"/>
        <v>129</v>
      </c>
    </row>
    <row r="47" spans="1:17" x14ac:dyDescent="0.3">
      <c r="A47" s="7"/>
      <c r="B47" s="50"/>
      <c r="C47" s="24" t="s">
        <v>116</v>
      </c>
      <c r="D47" s="49"/>
      <c r="E47" s="6">
        <v>6</v>
      </c>
      <c r="F47" s="6">
        <v>12</v>
      </c>
      <c r="G47" s="6">
        <v>2</v>
      </c>
      <c r="H47" s="6">
        <v>7</v>
      </c>
      <c r="I47" s="6">
        <v>2</v>
      </c>
      <c r="J47" s="6">
        <v>4</v>
      </c>
      <c r="K47" s="6">
        <v>8</v>
      </c>
      <c r="L47" s="6">
        <v>4</v>
      </c>
      <c r="M47" s="6">
        <v>0</v>
      </c>
      <c r="N47" s="6">
        <v>8</v>
      </c>
      <c r="O47" s="6">
        <v>1</v>
      </c>
      <c r="P47" s="6">
        <v>1</v>
      </c>
      <c r="Q47" s="5">
        <f t="shared" si="12"/>
        <v>55</v>
      </c>
    </row>
    <row r="48" spans="1:17" x14ac:dyDescent="0.3">
      <c r="A48" s="7"/>
      <c r="B48" s="50"/>
      <c r="C48" s="24" t="s">
        <v>117</v>
      </c>
      <c r="D48" s="49"/>
      <c r="E48" s="6">
        <v>0</v>
      </c>
      <c r="F48" s="6">
        <v>1</v>
      </c>
      <c r="G48" s="6">
        <v>0</v>
      </c>
      <c r="H48" s="6">
        <v>0</v>
      </c>
      <c r="I48" s="6">
        <v>1</v>
      </c>
      <c r="J48" s="6">
        <v>0</v>
      </c>
      <c r="K48" s="6">
        <v>1</v>
      </c>
      <c r="L48" s="6">
        <v>2</v>
      </c>
      <c r="M48" s="6">
        <v>3</v>
      </c>
      <c r="N48" s="6">
        <v>0</v>
      </c>
      <c r="O48" s="6">
        <v>0</v>
      </c>
      <c r="P48" s="6">
        <v>0</v>
      </c>
      <c r="Q48" s="5">
        <f t="shared" si="12"/>
        <v>8</v>
      </c>
    </row>
    <row r="49" spans="1:17" x14ac:dyDescent="0.3">
      <c r="A49" s="7"/>
      <c r="B49" s="50"/>
      <c r="C49" s="24" t="s">
        <v>118</v>
      </c>
      <c r="D49" s="49"/>
      <c r="E49" s="6">
        <v>0</v>
      </c>
      <c r="F49" s="6">
        <v>1</v>
      </c>
      <c r="G49" s="6">
        <v>2</v>
      </c>
      <c r="H49" s="6">
        <v>0</v>
      </c>
      <c r="I49" s="6">
        <v>0</v>
      </c>
      <c r="J49" s="6">
        <v>2</v>
      </c>
      <c r="K49" s="6">
        <v>2</v>
      </c>
      <c r="L49" s="6">
        <v>1</v>
      </c>
      <c r="M49" s="6">
        <v>2</v>
      </c>
      <c r="N49" s="6">
        <v>2</v>
      </c>
      <c r="O49" s="6">
        <v>0</v>
      </c>
      <c r="P49" s="6">
        <v>1</v>
      </c>
      <c r="Q49" s="5">
        <f t="shared" si="12"/>
        <v>13</v>
      </c>
    </row>
    <row r="50" spans="1:17" x14ac:dyDescent="0.3">
      <c r="A50" s="7"/>
      <c r="B50" s="50"/>
      <c r="C50" s="24" t="s">
        <v>119</v>
      </c>
      <c r="D50" s="49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2</v>
      </c>
      <c r="K50" s="6">
        <v>0</v>
      </c>
      <c r="L50" s="6">
        <v>0</v>
      </c>
      <c r="M50" s="6">
        <v>0</v>
      </c>
      <c r="N50" s="6">
        <v>1</v>
      </c>
      <c r="O50" s="6">
        <v>0</v>
      </c>
      <c r="P50" s="6">
        <v>0</v>
      </c>
      <c r="Q50" s="5">
        <f t="shared" si="12"/>
        <v>3</v>
      </c>
    </row>
    <row r="51" spans="1:17" x14ac:dyDescent="0.3">
      <c r="A51" s="7"/>
      <c r="B51" s="50"/>
      <c r="C51" s="24" t="s">
        <v>120</v>
      </c>
      <c r="D51" s="49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1</v>
      </c>
      <c r="O51" s="6">
        <v>0</v>
      </c>
      <c r="P51" s="6">
        <v>0</v>
      </c>
      <c r="Q51" s="5">
        <f t="shared" si="12"/>
        <v>1</v>
      </c>
    </row>
    <row r="52" spans="1:17" ht="13.15" customHeight="1" x14ac:dyDescent="0.3">
      <c r="A52" s="7"/>
      <c r="B52" s="50"/>
      <c r="C52" s="24" t="s">
        <v>121</v>
      </c>
      <c r="D52" s="49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1</v>
      </c>
      <c r="P52" s="6">
        <v>0</v>
      </c>
      <c r="Q52" s="5">
        <f t="shared" si="12"/>
        <v>1</v>
      </c>
    </row>
    <row r="53" spans="1:17" ht="13.15" customHeight="1" x14ac:dyDescent="0.3">
      <c r="A53" s="7"/>
      <c r="B53" s="50"/>
      <c r="C53" s="24" t="s">
        <v>122</v>
      </c>
      <c r="D53" s="51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1</v>
      </c>
      <c r="N53" s="6">
        <v>0</v>
      </c>
      <c r="O53" s="6">
        <v>0</v>
      </c>
      <c r="P53" s="6">
        <v>0</v>
      </c>
      <c r="Q53" s="5">
        <f t="shared" si="12"/>
        <v>1</v>
      </c>
    </row>
    <row r="54" spans="1:17" ht="13.15" customHeight="1" x14ac:dyDescent="0.3">
      <c r="A54" s="7"/>
      <c r="B54" s="50"/>
      <c r="C54" s="24" t="s">
        <v>123</v>
      </c>
      <c r="D54" s="49"/>
      <c r="E54" s="6">
        <v>1</v>
      </c>
      <c r="F54" s="6">
        <v>0</v>
      </c>
      <c r="G54" s="6">
        <v>1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1</v>
      </c>
      <c r="N54" s="6">
        <v>0</v>
      </c>
      <c r="O54" s="6">
        <v>0</v>
      </c>
      <c r="P54" s="6">
        <v>0</v>
      </c>
      <c r="Q54" s="5">
        <f t="shared" si="12"/>
        <v>3</v>
      </c>
    </row>
    <row r="55" spans="1:17" x14ac:dyDescent="0.3">
      <c r="A55" s="6" t="s">
        <v>26</v>
      </c>
      <c r="B55" s="84" t="s">
        <v>51</v>
      </c>
      <c r="C55" s="63"/>
      <c r="D55" s="64"/>
      <c r="E55" s="5">
        <f>SUM(E45:E54)</f>
        <v>22</v>
      </c>
      <c r="F55" s="5">
        <f t="shared" ref="F55:Q55" si="13">SUM(F45:F54)</f>
        <v>31</v>
      </c>
      <c r="G55" s="5">
        <f t="shared" si="13"/>
        <v>18</v>
      </c>
      <c r="H55" s="5">
        <f t="shared" si="13"/>
        <v>18</v>
      </c>
      <c r="I55" s="5">
        <f t="shared" si="13"/>
        <v>26</v>
      </c>
      <c r="J55" s="5">
        <f t="shared" si="13"/>
        <v>27</v>
      </c>
      <c r="K55" s="5">
        <f t="shared" si="13"/>
        <v>31</v>
      </c>
      <c r="L55" s="5">
        <f t="shared" si="13"/>
        <v>21</v>
      </c>
      <c r="M55" s="5">
        <f t="shared" si="13"/>
        <v>36</v>
      </c>
      <c r="N55" s="5">
        <f t="shared" si="13"/>
        <v>49</v>
      </c>
      <c r="O55" s="5">
        <f t="shared" si="13"/>
        <v>11</v>
      </c>
      <c r="P55" s="5">
        <f t="shared" si="13"/>
        <v>18</v>
      </c>
      <c r="Q55" s="5">
        <f t="shared" si="13"/>
        <v>308</v>
      </c>
    </row>
    <row r="56" spans="1:17" x14ac:dyDescent="0.3">
      <c r="A56" s="83"/>
      <c r="B56" s="82"/>
      <c r="C56" s="82"/>
      <c r="D56" s="82"/>
      <c r="E56" s="82"/>
      <c r="Q56" s="5"/>
    </row>
    <row r="57" spans="1:17" x14ac:dyDescent="0.3">
      <c r="A57" s="11" t="s">
        <v>48</v>
      </c>
      <c r="B57" s="17" t="s">
        <v>30</v>
      </c>
      <c r="C57" s="86" t="s">
        <v>52</v>
      </c>
      <c r="D57" s="64"/>
      <c r="E57" s="6">
        <v>23</v>
      </c>
      <c r="F57" s="6">
        <v>19</v>
      </c>
      <c r="G57" s="6">
        <v>14</v>
      </c>
      <c r="H57" s="6">
        <v>16</v>
      </c>
      <c r="I57" s="6">
        <v>6</v>
      </c>
      <c r="J57" s="6">
        <v>26</v>
      </c>
      <c r="K57" s="6">
        <v>18</v>
      </c>
      <c r="L57" s="6">
        <v>5</v>
      </c>
      <c r="M57" s="6">
        <v>17</v>
      </c>
      <c r="N57" s="6">
        <v>17</v>
      </c>
      <c r="O57" s="6">
        <v>3</v>
      </c>
      <c r="P57" s="6">
        <v>6</v>
      </c>
      <c r="Q57" s="5">
        <f t="shared" ref="Q57:Q66" si="14">SUM(E57:P57)</f>
        <v>170</v>
      </c>
    </row>
    <row r="58" spans="1:17" x14ac:dyDescent="0.3">
      <c r="A58" s="11" t="s">
        <v>50</v>
      </c>
      <c r="B58" s="50"/>
      <c r="C58" s="24" t="s">
        <v>124</v>
      </c>
      <c r="D58" s="49"/>
      <c r="E58" s="6">
        <v>2</v>
      </c>
      <c r="F58" s="6">
        <v>5</v>
      </c>
      <c r="G58" s="6">
        <v>10</v>
      </c>
      <c r="H58" s="6">
        <v>11</v>
      </c>
      <c r="I58" s="6">
        <v>8</v>
      </c>
      <c r="J58" s="6">
        <v>11</v>
      </c>
      <c r="K58" s="6">
        <v>9</v>
      </c>
      <c r="L58" s="6">
        <v>3</v>
      </c>
      <c r="M58" s="6">
        <v>7</v>
      </c>
      <c r="N58" s="6">
        <v>7</v>
      </c>
      <c r="O58" s="6">
        <v>5</v>
      </c>
      <c r="P58" s="6">
        <v>4</v>
      </c>
      <c r="Q58" s="5">
        <f t="shared" si="14"/>
        <v>82</v>
      </c>
    </row>
    <row r="59" spans="1:17" x14ac:dyDescent="0.3">
      <c r="A59" s="7"/>
      <c r="B59" s="50"/>
      <c r="C59" s="24" t="s">
        <v>125</v>
      </c>
      <c r="D59" s="49"/>
      <c r="E59" s="6">
        <v>8</v>
      </c>
      <c r="F59" s="6">
        <v>8</v>
      </c>
      <c r="G59" s="6">
        <v>11</v>
      </c>
      <c r="H59" s="6">
        <v>9</v>
      </c>
      <c r="I59" s="6">
        <v>9</v>
      </c>
      <c r="J59" s="6">
        <v>10</v>
      </c>
      <c r="K59" s="6">
        <v>20</v>
      </c>
      <c r="L59" s="6">
        <v>11</v>
      </c>
      <c r="M59" s="6">
        <v>10</v>
      </c>
      <c r="N59" s="6">
        <v>10</v>
      </c>
      <c r="O59" s="6">
        <v>6</v>
      </c>
      <c r="P59" s="6">
        <v>4</v>
      </c>
      <c r="Q59" s="5">
        <f t="shared" si="14"/>
        <v>116</v>
      </c>
    </row>
    <row r="60" spans="1:17" x14ac:dyDescent="0.3">
      <c r="A60" s="7"/>
      <c r="B60" s="50"/>
      <c r="C60" s="24" t="s">
        <v>126</v>
      </c>
      <c r="D60" s="49"/>
      <c r="E60" s="6">
        <v>3</v>
      </c>
      <c r="F60" s="6">
        <v>5</v>
      </c>
      <c r="G60" s="6">
        <v>1</v>
      </c>
      <c r="H60" s="6">
        <v>3</v>
      </c>
      <c r="I60" s="6">
        <v>0</v>
      </c>
      <c r="J60" s="6">
        <v>2</v>
      </c>
      <c r="K60" s="6">
        <v>4</v>
      </c>
      <c r="L60" s="6">
        <v>1</v>
      </c>
      <c r="M60" s="6">
        <v>4</v>
      </c>
      <c r="N60" s="6">
        <v>0</v>
      </c>
      <c r="O60" s="6">
        <v>2</v>
      </c>
      <c r="P60" s="6">
        <v>1</v>
      </c>
      <c r="Q60" s="5">
        <f t="shared" si="14"/>
        <v>26</v>
      </c>
    </row>
    <row r="61" spans="1:17" x14ac:dyDescent="0.3">
      <c r="A61" s="7"/>
      <c r="B61" s="50"/>
      <c r="C61" s="24" t="s">
        <v>127</v>
      </c>
      <c r="D61" s="49"/>
      <c r="E61" s="6">
        <v>9</v>
      </c>
      <c r="F61" s="6">
        <v>3</v>
      </c>
      <c r="G61" s="6">
        <v>11</v>
      </c>
      <c r="H61" s="6">
        <v>1</v>
      </c>
      <c r="I61" s="6">
        <v>12</v>
      </c>
      <c r="J61" s="6">
        <v>8</v>
      </c>
      <c r="K61" s="6">
        <v>2</v>
      </c>
      <c r="L61" s="6">
        <v>1</v>
      </c>
      <c r="M61" s="6">
        <v>4</v>
      </c>
      <c r="N61" s="6">
        <v>6</v>
      </c>
      <c r="O61" s="6">
        <v>1</v>
      </c>
      <c r="P61" s="6">
        <v>2</v>
      </c>
      <c r="Q61" s="5">
        <f t="shared" si="14"/>
        <v>60</v>
      </c>
    </row>
    <row r="62" spans="1:17" x14ac:dyDescent="0.3">
      <c r="A62" s="7"/>
      <c r="B62" s="50"/>
      <c r="C62" s="24" t="s">
        <v>128</v>
      </c>
      <c r="D62" s="49"/>
      <c r="E62" s="6">
        <v>1</v>
      </c>
      <c r="F62" s="6">
        <v>2</v>
      </c>
      <c r="G62" s="6">
        <v>1</v>
      </c>
      <c r="H62" s="6">
        <v>0</v>
      </c>
      <c r="I62" s="6">
        <v>1</v>
      </c>
      <c r="J62" s="6">
        <v>1</v>
      </c>
      <c r="K62" s="6">
        <v>4</v>
      </c>
      <c r="L62" s="6">
        <v>0</v>
      </c>
      <c r="M62" s="6">
        <v>1</v>
      </c>
      <c r="N62" s="6">
        <v>2</v>
      </c>
      <c r="O62" s="6">
        <v>0</v>
      </c>
      <c r="P62" s="6">
        <v>1</v>
      </c>
      <c r="Q62" s="5">
        <f t="shared" si="14"/>
        <v>14</v>
      </c>
    </row>
    <row r="63" spans="1:17" ht="13.15" customHeight="1" x14ac:dyDescent="0.3">
      <c r="A63" s="7"/>
      <c r="B63" s="50"/>
      <c r="C63" s="24" t="s">
        <v>129</v>
      </c>
      <c r="D63" s="49"/>
      <c r="E63" s="6">
        <v>1</v>
      </c>
      <c r="F63" s="6">
        <v>0</v>
      </c>
      <c r="G63" s="6">
        <v>0</v>
      </c>
      <c r="H63" s="6">
        <v>0</v>
      </c>
      <c r="I63" s="6">
        <v>0</v>
      </c>
      <c r="J63" s="6">
        <v>1</v>
      </c>
      <c r="K63" s="6">
        <v>0</v>
      </c>
      <c r="L63" s="6">
        <v>0</v>
      </c>
      <c r="M63" s="6">
        <v>2</v>
      </c>
      <c r="N63" s="6">
        <v>0</v>
      </c>
      <c r="O63" s="6">
        <v>0</v>
      </c>
      <c r="P63" s="6">
        <v>0</v>
      </c>
      <c r="Q63" s="5">
        <f t="shared" si="14"/>
        <v>4</v>
      </c>
    </row>
    <row r="64" spans="1:17" x14ac:dyDescent="0.3">
      <c r="A64" s="7"/>
      <c r="B64" s="50"/>
      <c r="C64" s="24" t="s">
        <v>130</v>
      </c>
      <c r="D64" s="49"/>
      <c r="E64" s="6">
        <v>1</v>
      </c>
      <c r="F64" s="6">
        <v>0</v>
      </c>
      <c r="G64" s="6">
        <v>0</v>
      </c>
      <c r="H64" s="6">
        <v>0</v>
      </c>
      <c r="I64" s="6">
        <v>1</v>
      </c>
      <c r="J64" s="6">
        <v>0</v>
      </c>
      <c r="K64" s="6">
        <v>0</v>
      </c>
      <c r="L64" s="6">
        <v>0</v>
      </c>
      <c r="M64" s="6">
        <v>0</v>
      </c>
      <c r="N64" s="6">
        <v>1</v>
      </c>
      <c r="O64" s="6">
        <v>0</v>
      </c>
      <c r="P64" s="6">
        <v>0</v>
      </c>
      <c r="Q64" s="5">
        <f t="shared" si="14"/>
        <v>3</v>
      </c>
    </row>
    <row r="65" spans="1:17" x14ac:dyDescent="0.3">
      <c r="A65" s="7"/>
      <c r="B65" s="50"/>
      <c r="C65" s="24" t="s">
        <v>131</v>
      </c>
      <c r="D65" s="49"/>
      <c r="E65" s="6">
        <v>0</v>
      </c>
      <c r="F65" s="6">
        <v>1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5">
        <f t="shared" si="14"/>
        <v>1</v>
      </c>
    </row>
    <row r="66" spans="1:17" x14ac:dyDescent="0.3">
      <c r="A66" s="7"/>
      <c r="B66" s="50"/>
      <c r="C66" s="24" t="s">
        <v>132</v>
      </c>
      <c r="D66" s="49"/>
      <c r="E66" s="6">
        <v>0</v>
      </c>
      <c r="F66" s="6">
        <v>1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5">
        <f t="shared" si="14"/>
        <v>1</v>
      </c>
    </row>
    <row r="67" spans="1:17" x14ac:dyDescent="0.3">
      <c r="A67" s="6" t="s">
        <v>26</v>
      </c>
      <c r="B67" s="84" t="s">
        <v>51</v>
      </c>
      <c r="C67" s="63"/>
      <c r="D67" s="64"/>
      <c r="E67" s="5">
        <f t="shared" ref="E67:Q67" si="15">SUM(E57:E66)</f>
        <v>48</v>
      </c>
      <c r="F67" s="5">
        <f t="shared" si="15"/>
        <v>44</v>
      </c>
      <c r="G67" s="5">
        <f t="shared" si="15"/>
        <v>48</v>
      </c>
      <c r="H67" s="5">
        <f t="shared" si="15"/>
        <v>40</v>
      </c>
      <c r="I67" s="5">
        <f t="shared" si="15"/>
        <v>37</v>
      </c>
      <c r="J67" s="5">
        <f t="shared" si="15"/>
        <v>59</v>
      </c>
      <c r="K67" s="5">
        <f t="shared" si="15"/>
        <v>57</v>
      </c>
      <c r="L67" s="5">
        <f t="shared" si="15"/>
        <v>21</v>
      </c>
      <c r="M67" s="5">
        <f t="shared" si="15"/>
        <v>45</v>
      </c>
      <c r="N67" s="5">
        <f t="shared" si="15"/>
        <v>43</v>
      </c>
      <c r="O67" s="5">
        <f t="shared" si="15"/>
        <v>17</v>
      </c>
      <c r="P67" s="5">
        <f t="shared" si="15"/>
        <v>18</v>
      </c>
      <c r="Q67" s="5">
        <f t="shared" si="15"/>
        <v>477</v>
      </c>
    </row>
    <row r="68" spans="1:17" x14ac:dyDescent="0.3">
      <c r="A68" s="83"/>
      <c r="B68" s="82"/>
      <c r="C68" s="82"/>
      <c r="D68" s="82"/>
      <c r="E68" s="82"/>
    </row>
    <row r="69" spans="1:17" x14ac:dyDescent="0.3">
      <c r="A69" s="11" t="s">
        <v>48</v>
      </c>
      <c r="B69" s="17" t="s">
        <v>32</v>
      </c>
      <c r="C69" s="86" t="s">
        <v>53</v>
      </c>
      <c r="D69" s="64"/>
      <c r="E69" s="6">
        <v>7</v>
      </c>
      <c r="F69" s="6">
        <v>5</v>
      </c>
      <c r="G69" s="6">
        <v>13</v>
      </c>
      <c r="H69" s="6">
        <v>16</v>
      </c>
      <c r="I69" s="6">
        <v>10</v>
      </c>
      <c r="J69" s="6">
        <v>10</v>
      </c>
      <c r="K69" s="6">
        <v>22</v>
      </c>
      <c r="L69" s="6">
        <v>18</v>
      </c>
      <c r="M69" s="6">
        <v>7</v>
      </c>
      <c r="N69" s="6">
        <v>14</v>
      </c>
      <c r="O69" s="6">
        <v>12</v>
      </c>
      <c r="P69" s="6">
        <v>4</v>
      </c>
      <c r="Q69" s="5">
        <f t="shared" ref="Q69:Q78" si="16">SUM(E69:P69)</f>
        <v>138</v>
      </c>
    </row>
    <row r="70" spans="1:17" x14ac:dyDescent="0.3">
      <c r="A70" s="11" t="s">
        <v>50</v>
      </c>
      <c r="B70" s="50"/>
      <c r="C70" s="24" t="s">
        <v>133</v>
      </c>
      <c r="D70" s="49"/>
      <c r="E70" s="6">
        <v>2</v>
      </c>
      <c r="F70" s="6">
        <v>2</v>
      </c>
      <c r="G70" s="6">
        <v>7</v>
      </c>
      <c r="H70" s="6">
        <v>6</v>
      </c>
      <c r="I70" s="6">
        <v>7</v>
      </c>
      <c r="J70" s="6">
        <v>5</v>
      </c>
      <c r="K70" s="6">
        <v>13</v>
      </c>
      <c r="L70" s="6">
        <v>23</v>
      </c>
      <c r="M70" s="6">
        <v>5</v>
      </c>
      <c r="N70" s="6">
        <v>5</v>
      </c>
      <c r="O70" s="6">
        <v>5</v>
      </c>
      <c r="P70" s="6">
        <v>5</v>
      </c>
      <c r="Q70" s="5">
        <f t="shared" si="16"/>
        <v>85</v>
      </c>
    </row>
    <row r="71" spans="1:17" x14ac:dyDescent="0.3">
      <c r="A71" s="7"/>
      <c r="B71" s="50"/>
      <c r="C71" s="24" t="s">
        <v>134</v>
      </c>
      <c r="D71" s="49"/>
      <c r="E71" s="6">
        <v>10</v>
      </c>
      <c r="F71" s="6">
        <v>3</v>
      </c>
      <c r="G71" s="6">
        <v>5</v>
      </c>
      <c r="H71" s="6">
        <v>10</v>
      </c>
      <c r="I71" s="6">
        <v>14</v>
      </c>
      <c r="J71" s="6">
        <v>7</v>
      </c>
      <c r="K71" s="6">
        <v>5</v>
      </c>
      <c r="L71" s="6">
        <v>31</v>
      </c>
      <c r="M71" s="6">
        <v>1</v>
      </c>
      <c r="N71" s="6">
        <v>3</v>
      </c>
      <c r="O71" s="6">
        <v>52</v>
      </c>
      <c r="P71" s="6">
        <v>15</v>
      </c>
      <c r="Q71" s="5">
        <f t="shared" si="16"/>
        <v>156</v>
      </c>
    </row>
    <row r="72" spans="1:17" x14ac:dyDescent="0.3">
      <c r="A72" s="7"/>
      <c r="B72" s="50"/>
      <c r="C72" s="24" t="s">
        <v>135</v>
      </c>
      <c r="D72" s="49"/>
      <c r="E72" s="6">
        <v>4</v>
      </c>
      <c r="F72" s="6">
        <v>2</v>
      </c>
      <c r="G72" s="6">
        <v>3</v>
      </c>
      <c r="H72" s="6">
        <v>4</v>
      </c>
      <c r="I72" s="6">
        <v>4</v>
      </c>
      <c r="J72" s="6">
        <v>5</v>
      </c>
      <c r="K72" s="6">
        <v>5</v>
      </c>
      <c r="L72" s="6">
        <v>7</v>
      </c>
      <c r="M72" s="6">
        <v>4</v>
      </c>
      <c r="N72" s="6">
        <v>4</v>
      </c>
      <c r="O72" s="6">
        <v>0</v>
      </c>
      <c r="P72" s="6">
        <v>1</v>
      </c>
      <c r="Q72" s="5">
        <f t="shared" si="16"/>
        <v>43</v>
      </c>
    </row>
    <row r="73" spans="1:17" x14ac:dyDescent="0.3">
      <c r="A73" s="7"/>
      <c r="B73" s="50"/>
      <c r="C73" s="24" t="s">
        <v>136</v>
      </c>
      <c r="D73" s="49"/>
      <c r="E73" s="6">
        <v>0</v>
      </c>
      <c r="F73" s="6">
        <v>1</v>
      </c>
      <c r="G73" s="6">
        <v>5</v>
      </c>
      <c r="H73" s="6">
        <v>2</v>
      </c>
      <c r="I73" s="6">
        <v>6</v>
      </c>
      <c r="J73" s="6">
        <v>2</v>
      </c>
      <c r="K73" s="6">
        <v>4</v>
      </c>
      <c r="L73" s="6">
        <v>2</v>
      </c>
      <c r="M73" s="6">
        <v>2</v>
      </c>
      <c r="N73" s="6">
        <v>1</v>
      </c>
      <c r="O73" s="6">
        <v>5</v>
      </c>
      <c r="P73" s="6">
        <v>0</v>
      </c>
      <c r="Q73" s="5">
        <f t="shared" si="16"/>
        <v>30</v>
      </c>
    </row>
    <row r="74" spans="1:17" ht="13.15" customHeight="1" x14ac:dyDescent="0.3">
      <c r="A74" s="7"/>
      <c r="B74" s="50"/>
      <c r="C74" s="24" t="s">
        <v>137</v>
      </c>
      <c r="D74" s="49"/>
      <c r="E74" s="6">
        <v>1</v>
      </c>
      <c r="F74" s="6">
        <v>1</v>
      </c>
      <c r="G74" s="6">
        <v>1</v>
      </c>
      <c r="H74" s="6">
        <v>3</v>
      </c>
      <c r="I74" s="6">
        <v>0</v>
      </c>
      <c r="J74" s="6">
        <v>0</v>
      </c>
      <c r="K74" s="6">
        <v>2</v>
      </c>
      <c r="L74" s="6">
        <v>1</v>
      </c>
      <c r="M74" s="6">
        <v>0</v>
      </c>
      <c r="N74" s="6">
        <v>2</v>
      </c>
      <c r="O74" s="6">
        <v>0</v>
      </c>
      <c r="P74" s="6">
        <v>0</v>
      </c>
      <c r="Q74" s="5">
        <f t="shared" si="16"/>
        <v>11</v>
      </c>
    </row>
    <row r="75" spans="1:17" x14ac:dyDescent="0.3">
      <c r="A75" s="7"/>
      <c r="B75" s="50"/>
      <c r="C75" s="24" t="s">
        <v>138</v>
      </c>
      <c r="D75" s="49"/>
      <c r="E75" s="6">
        <v>0</v>
      </c>
      <c r="F75" s="6">
        <v>0</v>
      </c>
      <c r="G75" s="6">
        <v>1</v>
      </c>
      <c r="H75" s="6">
        <v>2</v>
      </c>
      <c r="I75" s="6">
        <v>1</v>
      </c>
      <c r="J75" s="6">
        <v>1</v>
      </c>
      <c r="K75" s="6">
        <v>0</v>
      </c>
      <c r="L75" s="6">
        <v>1</v>
      </c>
      <c r="M75" s="6">
        <v>0</v>
      </c>
      <c r="N75" s="6">
        <v>0</v>
      </c>
      <c r="O75" s="6">
        <v>0</v>
      </c>
      <c r="P75" s="6">
        <v>1</v>
      </c>
      <c r="Q75" s="5">
        <f t="shared" si="16"/>
        <v>7</v>
      </c>
    </row>
    <row r="76" spans="1:17" x14ac:dyDescent="0.3">
      <c r="A76" s="7"/>
      <c r="B76" s="50"/>
      <c r="C76" s="24" t="s">
        <v>139</v>
      </c>
      <c r="D76" s="49"/>
      <c r="E76" s="6">
        <v>0</v>
      </c>
      <c r="F76" s="6">
        <v>0</v>
      </c>
      <c r="G76" s="6">
        <v>1</v>
      </c>
      <c r="H76" s="6">
        <v>0</v>
      </c>
      <c r="I76" s="6">
        <v>0</v>
      </c>
      <c r="J76" s="6">
        <v>0</v>
      </c>
      <c r="K76" s="6">
        <v>1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5">
        <f t="shared" si="16"/>
        <v>2</v>
      </c>
    </row>
    <row r="77" spans="1:17" x14ac:dyDescent="0.3">
      <c r="A77" s="7"/>
      <c r="B77" s="50"/>
      <c r="C77" s="24" t="s">
        <v>140</v>
      </c>
      <c r="D77" s="49"/>
      <c r="E77" s="6">
        <v>1</v>
      </c>
      <c r="F77" s="6">
        <v>1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2</v>
      </c>
      <c r="N77" s="6">
        <v>0</v>
      </c>
      <c r="O77" s="6">
        <v>0</v>
      </c>
      <c r="P77" s="6">
        <v>0</v>
      </c>
      <c r="Q77" s="5">
        <f t="shared" si="16"/>
        <v>4</v>
      </c>
    </row>
    <row r="78" spans="1:17" x14ac:dyDescent="0.3">
      <c r="A78" s="7"/>
      <c r="B78" s="50"/>
      <c r="C78" s="24" t="s">
        <v>141</v>
      </c>
      <c r="D78" s="49"/>
      <c r="E78" s="6">
        <v>1</v>
      </c>
      <c r="F78" s="6">
        <v>0</v>
      </c>
      <c r="G78" s="6">
        <v>1</v>
      </c>
      <c r="H78" s="6">
        <v>0</v>
      </c>
      <c r="I78" s="6">
        <v>2</v>
      </c>
      <c r="J78" s="6">
        <v>2</v>
      </c>
      <c r="K78" s="6">
        <v>0</v>
      </c>
      <c r="L78" s="6">
        <v>2</v>
      </c>
      <c r="M78" s="6">
        <v>1</v>
      </c>
      <c r="N78" s="6">
        <v>0</v>
      </c>
      <c r="O78" s="6">
        <v>0</v>
      </c>
      <c r="P78" s="6">
        <v>0</v>
      </c>
      <c r="Q78" s="5">
        <f t="shared" si="16"/>
        <v>9</v>
      </c>
    </row>
    <row r="79" spans="1:17" x14ac:dyDescent="0.3">
      <c r="A79" s="6" t="s">
        <v>26</v>
      </c>
      <c r="B79" s="84" t="s">
        <v>51</v>
      </c>
      <c r="C79" s="63"/>
      <c r="D79" s="64"/>
      <c r="E79" s="5">
        <f t="shared" ref="E79:Q79" si="17">SUM(E69:E78)</f>
        <v>26</v>
      </c>
      <c r="F79" s="5">
        <f t="shared" si="17"/>
        <v>15</v>
      </c>
      <c r="G79" s="5">
        <f t="shared" si="17"/>
        <v>37</v>
      </c>
      <c r="H79" s="5">
        <f t="shared" si="17"/>
        <v>43</v>
      </c>
      <c r="I79" s="5">
        <f t="shared" si="17"/>
        <v>44</v>
      </c>
      <c r="J79" s="5">
        <f t="shared" si="17"/>
        <v>32</v>
      </c>
      <c r="K79" s="5">
        <f t="shared" si="17"/>
        <v>52</v>
      </c>
      <c r="L79" s="5">
        <f t="shared" si="17"/>
        <v>85</v>
      </c>
      <c r="M79" s="5">
        <f t="shared" si="17"/>
        <v>22</v>
      </c>
      <c r="N79" s="5">
        <f t="shared" si="17"/>
        <v>29</v>
      </c>
      <c r="O79" s="5">
        <f t="shared" si="17"/>
        <v>74</v>
      </c>
      <c r="P79" s="5">
        <f t="shared" si="17"/>
        <v>26</v>
      </c>
      <c r="Q79" s="5">
        <f t="shared" si="17"/>
        <v>485</v>
      </c>
    </row>
    <row r="80" spans="1:17" x14ac:dyDescent="0.3">
      <c r="A80" s="83"/>
      <c r="B80" s="82"/>
      <c r="C80" s="82"/>
      <c r="D80" s="82"/>
      <c r="E80" s="82"/>
    </row>
    <row r="81" spans="1:17" x14ac:dyDescent="0.3">
      <c r="A81" s="11" t="s">
        <v>48</v>
      </c>
      <c r="B81" s="17" t="s">
        <v>34</v>
      </c>
      <c r="C81" s="86" t="s">
        <v>54</v>
      </c>
      <c r="D81" s="64"/>
      <c r="E81" s="6">
        <v>2</v>
      </c>
      <c r="F81" s="6">
        <v>3</v>
      </c>
      <c r="G81" s="6">
        <v>4</v>
      </c>
      <c r="H81" s="6">
        <v>5</v>
      </c>
      <c r="I81" s="6">
        <v>5</v>
      </c>
      <c r="J81" s="6">
        <v>6</v>
      </c>
      <c r="K81" s="6">
        <v>1</v>
      </c>
      <c r="L81" s="6">
        <v>4</v>
      </c>
      <c r="M81" s="6">
        <v>1</v>
      </c>
      <c r="N81" s="6">
        <v>5</v>
      </c>
      <c r="O81" s="6">
        <v>0</v>
      </c>
      <c r="P81" s="6">
        <v>4</v>
      </c>
      <c r="Q81" s="5">
        <f t="shared" ref="Q81:Q90" si="18">SUM(E81:P81)</f>
        <v>40</v>
      </c>
    </row>
    <row r="82" spans="1:17" x14ac:dyDescent="0.3">
      <c r="A82" s="11" t="s">
        <v>50</v>
      </c>
      <c r="B82" s="50"/>
      <c r="C82" s="24" t="s">
        <v>142</v>
      </c>
      <c r="D82" s="49"/>
      <c r="E82" s="6">
        <v>4</v>
      </c>
      <c r="F82" s="6">
        <v>2</v>
      </c>
      <c r="G82" s="6">
        <v>8</v>
      </c>
      <c r="H82" s="6">
        <v>4</v>
      </c>
      <c r="I82" s="6">
        <v>2</v>
      </c>
      <c r="J82" s="6">
        <v>9</v>
      </c>
      <c r="K82" s="6">
        <v>3</v>
      </c>
      <c r="L82" s="6">
        <v>3</v>
      </c>
      <c r="M82" s="6">
        <v>1</v>
      </c>
      <c r="N82" s="6">
        <v>2</v>
      </c>
      <c r="O82" s="6">
        <v>2</v>
      </c>
      <c r="P82" s="6">
        <v>4</v>
      </c>
      <c r="Q82" s="5">
        <f t="shared" si="18"/>
        <v>44</v>
      </c>
    </row>
    <row r="83" spans="1:17" x14ac:dyDescent="0.3">
      <c r="A83" s="7"/>
      <c r="B83" s="50"/>
      <c r="C83" s="24" t="s">
        <v>143</v>
      </c>
      <c r="D83" s="49"/>
      <c r="E83" s="6">
        <v>2</v>
      </c>
      <c r="F83" s="6">
        <v>0</v>
      </c>
      <c r="G83" s="6">
        <v>3</v>
      </c>
      <c r="H83" s="6">
        <v>1</v>
      </c>
      <c r="I83" s="6">
        <v>1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1</v>
      </c>
      <c r="P83" s="6">
        <v>0</v>
      </c>
      <c r="Q83" s="5">
        <f t="shared" si="18"/>
        <v>8</v>
      </c>
    </row>
    <row r="84" spans="1:17" x14ac:dyDescent="0.3">
      <c r="A84" s="7"/>
      <c r="B84" s="50"/>
      <c r="C84" s="24" t="s">
        <v>144</v>
      </c>
      <c r="D84" s="49"/>
      <c r="E84" s="6">
        <v>0</v>
      </c>
      <c r="F84" s="6">
        <v>1</v>
      </c>
      <c r="G84" s="6">
        <v>0</v>
      </c>
      <c r="H84" s="6">
        <v>0</v>
      </c>
      <c r="I84" s="6">
        <v>2</v>
      </c>
      <c r="J84" s="6">
        <v>0</v>
      </c>
      <c r="K84" s="6">
        <v>0</v>
      </c>
      <c r="L84" s="6">
        <v>0</v>
      </c>
      <c r="M84" s="6">
        <v>3</v>
      </c>
      <c r="N84" s="6">
        <v>2</v>
      </c>
      <c r="O84" s="6">
        <v>0</v>
      </c>
      <c r="P84" s="6">
        <v>0</v>
      </c>
      <c r="Q84" s="5">
        <f t="shared" si="18"/>
        <v>8</v>
      </c>
    </row>
    <row r="85" spans="1:17" ht="13.15" customHeight="1" x14ac:dyDescent="0.3">
      <c r="A85" s="7"/>
      <c r="B85" s="50"/>
      <c r="C85" s="24" t="s">
        <v>145</v>
      </c>
      <c r="D85" s="49"/>
      <c r="E85" s="6">
        <v>1</v>
      </c>
      <c r="F85" s="6">
        <v>0</v>
      </c>
      <c r="G85" s="6">
        <v>1</v>
      </c>
      <c r="H85" s="6">
        <v>0</v>
      </c>
      <c r="I85" s="6">
        <v>0</v>
      </c>
      <c r="J85" s="6">
        <v>1</v>
      </c>
      <c r="K85" s="6">
        <v>3</v>
      </c>
      <c r="L85" s="6">
        <v>0</v>
      </c>
      <c r="M85" s="6">
        <v>0</v>
      </c>
      <c r="N85" s="6">
        <v>1</v>
      </c>
      <c r="O85" s="6">
        <v>1</v>
      </c>
      <c r="P85" s="6">
        <v>0</v>
      </c>
      <c r="Q85" s="5">
        <f t="shared" si="18"/>
        <v>8</v>
      </c>
    </row>
    <row r="86" spans="1:17" x14ac:dyDescent="0.3">
      <c r="A86" s="7"/>
      <c r="B86" s="50"/>
      <c r="C86" s="24" t="s">
        <v>146</v>
      </c>
      <c r="D86" s="49"/>
      <c r="E86" s="6">
        <v>3</v>
      </c>
      <c r="F86" s="6">
        <v>0</v>
      </c>
      <c r="G86" s="6">
        <v>3</v>
      </c>
      <c r="H86" s="6">
        <v>5</v>
      </c>
      <c r="I86" s="6">
        <v>10</v>
      </c>
      <c r="J86" s="6">
        <v>3</v>
      </c>
      <c r="K86" s="6">
        <v>4</v>
      </c>
      <c r="L86" s="6">
        <v>15</v>
      </c>
      <c r="M86" s="6">
        <v>16</v>
      </c>
      <c r="N86" s="6">
        <v>14</v>
      </c>
      <c r="O86" s="6">
        <v>0</v>
      </c>
      <c r="P86" s="6">
        <v>1</v>
      </c>
      <c r="Q86" s="5">
        <f t="shared" si="18"/>
        <v>74</v>
      </c>
    </row>
    <row r="87" spans="1:17" x14ac:dyDescent="0.3">
      <c r="A87" s="7"/>
      <c r="B87" s="50"/>
      <c r="C87" s="24" t="s">
        <v>147</v>
      </c>
      <c r="D87" s="49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5">
        <f t="shared" si="18"/>
        <v>0</v>
      </c>
    </row>
    <row r="88" spans="1:17" x14ac:dyDescent="0.3">
      <c r="A88" s="7"/>
      <c r="B88" s="50"/>
      <c r="C88" s="24" t="s">
        <v>148</v>
      </c>
      <c r="D88" s="49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5">
        <f t="shared" si="18"/>
        <v>0</v>
      </c>
    </row>
    <row r="89" spans="1:17" x14ac:dyDescent="0.3">
      <c r="A89" s="7"/>
      <c r="B89" s="50"/>
      <c r="C89" s="24" t="s">
        <v>149</v>
      </c>
      <c r="D89" s="49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5">
        <f t="shared" si="18"/>
        <v>0</v>
      </c>
    </row>
    <row r="90" spans="1:17" x14ac:dyDescent="0.3">
      <c r="A90" s="7"/>
      <c r="B90" s="50"/>
      <c r="C90" s="24" t="s">
        <v>150</v>
      </c>
      <c r="D90" s="49"/>
      <c r="E90" s="6">
        <v>1</v>
      </c>
      <c r="F90" s="6">
        <v>0</v>
      </c>
      <c r="G90" s="6">
        <v>0</v>
      </c>
      <c r="H90" s="6">
        <v>0</v>
      </c>
      <c r="I90" s="6">
        <v>1</v>
      </c>
      <c r="J90" s="6">
        <v>1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1</v>
      </c>
      <c r="Q90" s="5">
        <f t="shared" si="18"/>
        <v>4</v>
      </c>
    </row>
    <row r="91" spans="1:17" x14ac:dyDescent="0.3">
      <c r="A91" s="6" t="s">
        <v>26</v>
      </c>
      <c r="B91" s="84" t="s">
        <v>51</v>
      </c>
      <c r="C91" s="63"/>
      <c r="D91" s="64"/>
      <c r="E91" s="5">
        <f t="shared" ref="E91:Q91" si="19">SUM(E81:E90)</f>
        <v>13</v>
      </c>
      <c r="F91" s="5">
        <f t="shared" si="19"/>
        <v>6</v>
      </c>
      <c r="G91" s="5">
        <f t="shared" si="19"/>
        <v>19</v>
      </c>
      <c r="H91" s="5">
        <f t="shared" si="19"/>
        <v>15</v>
      </c>
      <c r="I91" s="5">
        <f t="shared" si="19"/>
        <v>21</v>
      </c>
      <c r="J91" s="5">
        <f t="shared" si="19"/>
        <v>20</v>
      </c>
      <c r="K91" s="5">
        <f t="shared" si="19"/>
        <v>11</v>
      </c>
      <c r="L91" s="5">
        <f t="shared" si="19"/>
        <v>22</v>
      </c>
      <c r="M91" s="5">
        <f t="shared" si="19"/>
        <v>21</v>
      </c>
      <c r="N91" s="5">
        <f t="shared" si="19"/>
        <v>24</v>
      </c>
      <c r="O91" s="5">
        <f t="shared" si="19"/>
        <v>4</v>
      </c>
      <c r="P91" s="5">
        <f t="shared" si="19"/>
        <v>10</v>
      </c>
      <c r="Q91" s="5">
        <f t="shared" si="19"/>
        <v>186</v>
      </c>
    </row>
    <row r="92" spans="1:17" x14ac:dyDescent="0.3">
      <c r="A92" s="83"/>
      <c r="B92" s="82"/>
      <c r="C92" s="82"/>
      <c r="D92" s="82"/>
      <c r="E92" s="82"/>
    </row>
    <row r="93" spans="1:17" x14ac:dyDescent="0.3">
      <c r="A93" s="11" t="s">
        <v>48</v>
      </c>
      <c r="B93" s="17" t="s">
        <v>55</v>
      </c>
      <c r="C93" s="86" t="s">
        <v>56</v>
      </c>
      <c r="D93" s="64"/>
      <c r="E93" s="6">
        <v>2</v>
      </c>
      <c r="F93" s="6">
        <v>1</v>
      </c>
      <c r="G93" s="6">
        <v>0</v>
      </c>
      <c r="H93" s="6">
        <v>2</v>
      </c>
      <c r="I93" s="6">
        <v>0</v>
      </c>
      <c r="J93" s="6">
        <v>1</v>
      </c>
      <c r="K93" s="6">
        <v>1</v>
      </c>
      <c r="L93" s="6">
        <v>0</v>
      </c>
      <c r="M93" s="6">
        <v>0</v>
      </c>
      <c r="N93" s="6">
        <v>1</v>
      </c>
      <c r="O93" s="6">
        <v>0</v>
      </c>
      <c r="P93" s="6">
        <v>3</v>
      </c>
      <c r="Q93" s="5">
        <f t="shared" ref="Q93:Q102" si="20">SUM(E93:P93)</f>
        <v>11</v>
      </c>
    </row>
    <row r="94" spans="1:17" x14ac:dyDescent="0.3">
      <c r="A94" s="11" t="s">
        <v>50</v>
      </c>
      <c r="B94" s="50"/>
      <c r="C94" s="24" t="s">
        <v>151</v>
      </c>
      <c r="D94" s="51"/>
      <c r="E94" s="6">
        <v>1</v>
      </c>
      <c r="F94" s="6">
        <v>0</v>
      </c>
      <c r="G94" s="6">
        <v>9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1</v>
      </c>
      <c r="O94" s="6">
        <v>0</v>
      </c>
      <c r="P94" s="6">
        <v>0</v>
      </c>
      <c r="Q94" s="5">
        <f t="shared" si="20"/>
        <v>11</v>
      </c>
    </row>
    <row r="95" spans="1:17" x14ac:dyDescent="0.3">
      <c r="A95" s="7"/>
      <c r="B95" s="50"/>
      <c r="C95" s="24" t="s">
        <v>152</v>
      </c>
      <c r="D95" s="51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5">
        <f t="shared" si="20"/>
        <v>0</v>
      </c>
    </row>
    <row r="96" spans="1:17" ht="13.15" customHeight="1" x14ac:dyDescent="0.3">
      <c r="A96" s="7"/>
      <c r="B96" s="50"/>
      <c r="C96" s="24" t="s">
        <v>153</v>
      </c>
      <c r="D96" s="51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5">
        <f t="shared" si="20"/>
        <v>0</v>
      </c>
    </row>
    <row r="97" spans="1:17" x14ac:dyDescent="0.3">
      <c r="A97" s="7"/>
      <c r="B97" s="50"/>
      <c r="C97" s="24" t="s">
        <v>154</v>
      </c>
      <c r="D97" s="51"/>
      <c r="E97" s="6">
        <v>0</v>
      </c>
      <c r="F97" s="6">
        <v>0</v>
      </c>
      <c r="G97" s="6">
        <v>0</v>
      </c>
      <c r="H97" s="6">
        <v>0</v>
      </c>
      <c r="I97" s="6">
        <v>1</v>
      </c>
      <c r="J97" s="6">
        <v>0</v>
      </c>
      <c r="K97" s="6">
        <v>0</v>
      </c>
      <c r="L97" s="6">
        <v>0</v>
      </c>
      <c r="M97" s="6">
        <v>1</v>
      </c>
      <c r="N97" s="6">
        <v>0</v>
      </c>
      <c r="O97" s="6">
        <v>0</v>
      </c>
      <c r="P97" s="6">
        <v>0</v>
      </c>
      <c r="Q97" s="5">
        <f t="shared" si="20"/>
        <v>2</v>
      </c>
    </row>
    <row r="98" spans="1:17" x14ac:dyDescent="0.3">
      <c r="A98" s="7"/>
      <c r="B98" s="50"/>
      <c r="C98" s="24" t="s">
        <v>155</v>
      </c>
      <c r="D98" s="49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1</v>
      </c>
      <c r="K98" s="6">
        <v>1</v>
      </c>
      <c r="L98" s="6">
        <v>0</v>
      </c>
      <c r="M98" s="6">
        <v>0</v>
      </c>
      <c r="N98" s="6">
        <v>1</v>
      </c>
      <c r="O98" s="6">
        <v>0</v>
      </c>
      <c r="P98" s="6">
        <v>0</v>
      </c>
      <c r="Q98" s="5">
        <f t="shared" si="20"/>
        <v>3</v>
      </c>
    </row>
    <row r="99" spans="1:17" x14ac:dyDescent="0.3">
      <c r="A99" s="7"/>
      <c r="B99" s="50"/>
      <c r="C99" s="24" t="s">
        <v>156</v>
      </c>
      <c r="D99" s="49"/>
      <c r="E99" s="6">
        <v>0</v>
      </c>
      <c r="F99" s="6">
        <v>0</v>
      </c>
      <c r="G99" s="6">
        <v>0</v>
      </c>
      <c r="H99" s="6">
        <v>0</v>
      </c>
      <c r="I99" s="6">
        <v>1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5">
        <f t="shared" si="20"/>
        <v>1</v>
      </c>
    </row>
    <row r="100" spans="1:17" x14ac:dyDescent="0.3">
      <c r="A100" s="7"/>
      <c r="B100" s="50"/>
      <c r="C100" s="24" t="s">
        <v>157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5">
        <f t="shared" si="20"/>
        <v>0</v>
      </c>
    </row>
    <row r="101" spans="1:17" x14ac:dyDescent="0.3">
      <c r="A101" s="7"/>
      <c r="B101" s="50"/>
      <c r="C101" s="24" t="s">
        <v>158</v>
      </c>
      <c r="D101" s="51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5">
        <f t="shared" si="20"/>
        <v>0</v>
      </c>
    </row>
    <row r="102" spans="1:17" x14ac:dyDescent="0.3">
      <c r="A102" s="7"/>
      <c r="B102" s="50"/>
      <c r="C102" s="24" t="s">
        <v>159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5">
        <f t="shared" si="20"/>
        <v>0</v>
      </c>
    </row>
    <row r="103" spans="1:17" x14ac:dyDescent="0.3">
      <c r="A103" s="6" t="s">
        <v>26</v>
      </c>
      <c r="B103" s="84" t="s">
        <v>51</v>
      </c>
      <c r="C103" s="63"/>
      <c r="D103" s="64"/>
      <c r="E103" s="5">
        <f t="shared" ref="E103:Q103" si="21">SUM(E93:E102)</f>
        <v>3</v>
      </c>
      <c r="F103" s="5">
        <f t="shared" si="21"/>
        <v>1</v>
      </c>
      <c r="G103" s="5">
        <f t="shared" si="21"/>
        <v>9</v>
      </c>
      <c r="H103" s="5">
        <f t="shared" si="21"/>
        <v>2</v>
      </c>
      <c r="I103" s="5">
        <f t="shared" si="21"/>
        <v>2</v>
      </c>
      <c r="J103" s="5">
        <f t="shared" si="21"/>
        <v>2</v>
      </c>
      <c r="K103" s="5">
        <f t="shared" si="21"/>
        <v>2</v>
      </c>
      <c r="L103" s="5">
        <f t="shared" si="21"/>
        <v>0</v>
      </c>
      <c r="M103" s="5">
        <f t="shared" si="21"/>
        <v>1</v>
      </c>
      <c r="N103" s="5">
        <f t="shared" si="21"/>
        <v>3</v>
      </c>
      <c r="O103" s="5">
        <f t="shared" si="21"/>
        <v>0</v>
      </c>
      <c r="P103" s="5">
        <f t="shared" si="21"/>
        <v>3</v>
      </c>
      <c r="Q103" s="5">
        <f t="shared" si="21"/>
        <v>28</v>
      </c>
    </row>
    <row r="104" spans="1:17" x14ac:dyDescent="0.3">
      <c r="A104" s="83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</row>
    <row r="105" spans="1:17" x14ac:dyDescent="0.3">
      <c r="A105" s="11" t="s">
        <v>48</v>
      </c>
      <c r="B105" s="17" t="s">
        <v>57</v>
      </c>
      <c r="C105" s="86" t="s">
        <v>58</v>
      </c>
      <c r="D105" s="64"/>
      <c r="E105" s="6">
        <v>1</v>
      </c>
      <c r="F105" s="6">
        <v>1</v>
      </c>
      <c r="G105" s="6">
        <v>0</v>
      </c>
      <c r="H105" s="6">
        <v>3</v>
      </c>
      <c r="I105" s="6">
        <v>2</v>
      </c>
      <c r="J105" s="6">
        <v>0</v>
      </c>
      <c r="K105" s="6">
        <v>1</v>
      </c>
      <c r="L105" s="6">
        <v>0</v>
      </c>
      <c r="M105" s="6">
        <v>2</v>
      </c>
      <c r="N105" s="6">
        <v>1</v>
      </c>
      <c r="O105" s="6">
        <v>0</v>
      </c>
      <c r="P105" s="6">
        <v>0</v>
      </c>
      <c r="Q105" s="5">
        <f t="shared" ref="Q105:Q114" si="22">SUM(E105:P105)</f>
        <v>11</v>
      </c>
    </row>
    <row r="106" spans="1:17" x14ac:dyDescent="0.3">
      <c r="A106" s="11" t="s">
        <v>50</v>
      </c>
      <c r="B106" s="50"/>
      <c r="C106" s="24" t="s">
        <v>160</v>
      </c>
      <c r="D106" s="49"/>
      <c r="E106" s="6">
        <v>0</v>
      </c>
      <c r="F106" s="6">
        <v>0</v>
      </c>
      <c r="G106" s="6">
        <v>0</v>
      </c>
      <c r="H106" s="6">
        <v>0</v>
      </c>
      <c r="I106" s="6">
        <v>1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5">
        <f t="shared" si="22"/>
        <v>1</v>
      </c>
    </row>
    <row r="107" spans="1:17" ht="13.15" customHeight="1" x14ac:dyDescent="0.3">
      <c r="A107" s="7"/>
      <c r="B107" s="50"/>
      <c r="C107" s="24" t="s">
        <v>161</v>
      </c>
      <c r="D107" s="49"/>
      <c r="E107" s="6">
        <v>1</v>
      </c>
      <c r="F107" s="6">
        <v>0</v>
      </c>
      <c r="G107" s="6">
        <v>0</v>
      </c>
      <c r="H107" s="6">
        <v>0</v>
      </c>
      <c r="I107" s="6">
        <v>0</v>
      </c>
      <c r="J107" s="6">
        <v>1</v>
      </c>
      <c r="K107" s="6">
        <v>0</v>
      </c>
      <c r="L107" s="6">
        <v>0</v>
      </c>
      <c r="M107" s="6">
        <v>1</v>
      </c>
      <c r="N107" s="6">
        <v>0</v>
      </c>
      <c r="O107" s="6">
        <v>0</v>
      </c>
      <c r="P107" s="6">
        <v>1</v>
      </c>
      <c r="Q107" s="5">
        <f t="shared" si="22"/>
        <v>4</v>
      </c>
    </row>
    <row r="108" spans="1:17" x14ac:dyDescent="0.3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5">
        <f t="shared" si="22"/>
        <v>0</v>
      </c>
    </row>
    <row r="109" spans="1:17" x14ac:dyDescent="0.3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5">
        <f t="shared" si="22"/>
        <v>0</v>
      </c>
    </row>
    <row r="110" spans="1:17" x14ac:dyDescent="0.3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5">
        <f t="shared" si="22"/>
        <v>0</v>
      </c>
    </row>
    <row r="111" spans="1:17" x14ac:dyDescent="0.3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5">
        <f t="shared" si="22"/>
        <v>0</v>
      </c>
    </row>
    <row r="112" spans="1:17" x14ac:dyDescent="0.3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5">
        <f t="shared" si="22"/>
        <v>0</v>
      </c>
    </row>
    <row r="113" spans="1:17" x14ac:dyDescent="0.3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5">
        <f t="shared" si="22"/>
        <v>0</v>
      </c>
    </row>
    <row r="114" spans="1:17" x14ac:dyDescent="0.3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5">
        <f t="shared" si="22"/>
        <v>0</v>
      </c>
    </row>
    <row r="115" spans="1:17" ht="13.15" customHeight="1" x14ac:dyDescent="0.3">
      <c r="A115" s="6" t="s">
        <v>26</v>
      </c>
      <c r="B115" s="84" t="s">
        <v>51</v>
      </c>
      <c r="C115" s="87"/>
      <c r="D115" s="88"/>
      <c r="E115" s="5">
        <f t="shared" ref="E115:Q115" si="23">SUM(E105:E114)</f>
        <v>2</v>
      </c>
      <c r="F115" s="5">
        <f t="shared" si="23"/>
        <v>1</v>
      </c>
      <c r="G115" s="5">
        <f t="shared" si="23"/>
        <v>0</v>
      </c>
      <c r="H115" s="5">
        <f t="shared" si="23"/>
        <v>3</v>
      </c>
      <c r="I115" s="5">
        <f t="shared" si="23"/>
        <v>3</v>
      </c>
      <c r="J115" s="5">
        <f t="shared" si="23"/>
        <v>1</v>
      </c>
      <c r="K115" s="5">
        <f t="shared" si="23"/>
        <v>1</v>
      </c>
      <c r="L115" s="5">
        <f t="shared" si="23"/>
        <v>0</v>
      </c>
      <c r="M115" s="5">
        <f t="shared" si="23"/>
        <v>3</v>
      </c>
      <c r="N115" s="5">
        <f t="shared" si="23"/>
        <v>1</v>
      </c>
      <c r="O115" s="5">
        <f t="shared" si="23"/>
        <v>0</v>
      </c>
      <c r="P115" s="5">
        <f t="shared" si="23"/>
        <v>1</v>
      </c>
      <c r="Q115" s="5">
        <f t="shared" si="23"/>
        <v>16</v>
      </c>
    </row>
    <row r="116" spans="1:17" x14ac:dyDescent="0.3">
      <c r="A116" s="62"/>
      <c r="B116" s="89"/>
      <c r="C116" s="89"/>
      <c r="D116" s="89"/>
      <c r="E116" s="90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5"/>
    </row>
    <row r="117" spans="1:17" x14ac:dyDescent="0.3">
      <c r="A117" s="11" t="s">
        <v>48</v>
      </c>
      <c r="B117" s="17" t="s">
        <v>59</v>
      </c>
      <c r="C117" s="86" t="s">
        <v>60</v>
      </c>
      <c r="D117" s="64"/>
      <c r="E117" s="6">
        <v>0</v>
      </c>
      <c r="F117" s="6">
        <v>2</v>
      </c>
      <c r="G117" s="6">
        <v>1</v>
      </c>
      <c r="H117" s="6">
        <v>1</v>
      </c>
      <c r="I117" s="6">
        <v>0</v>
      </c>
      <c r="J117" s="6">
        <v>0</v>
      </c>
      <c r="K117" s="6">
        <v>0</v>
      </c>
      <c r="L117" s="6">
        <v>0</v>
      </c>
      <c r="M117" s="6">
        <v>1</v>
      </c>
      <c r="N117" s="6">
        <v>0</v>
      </c>
      <c r="O117" s="6">
        <v>1</v>
      </c>
      <c r="P117" s="6">
        <v>0</v>
      </c>
      <c r="Q117" s="5">
        <f t="shared" ref="Q117:Q126" si="24">SUM(E117:P117)</f>
        <v>6</v>
      </c>
    </row>
    <row r="118" spans="1:17" x14ac:dyDescent="0.3">
      <c r="A118" s="11" t="s">
        <v>50</v>
      </c>
      <c r="B118" s="50"/>
      <c r="C118" s="24" t="s">
        <v>162</v>
      </c>
      <c r="D118" s="49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5">
        <f t="shared" si="24"/>
        <v>0</v>
      </c>
    </row>
    <row r="119" spans="1:17" x14ac:dyDescent="0.3">
      <c r="A119" s="7"/>
      <c r="B119" s="50"/>
      <c r="C119" s="24" t="s">
        <v>163</v>
      </c>
      <c r="D119" s="49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5">
        <f t="shared" si="24"/>
        <v>0</v>
      </c>
    </row>
    <row r="120" spans="1:17" x14ac:dyDescent="0.3">
      <c r="A120" s="7"/>
      <c r="B120" s="50"/>
      <c r="C120" s="24" t="s">
        <v>164</v>
      </c>
      <c r="D120" s="49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1</v>
      </c>
      <c r="Q120" s="5">
        <f t="shared" si="24"/>
        <v>1</v>
      </c>
    </row>
    <row r="121" spans="1:17" x14ac:dyDescent="0.3">
      <c r="A121" s="7"/>
      <c r="B121" s="50"/>
      <c r="C121" s="24" t="s">
        <v>165</v>
      </c>
      <c r="D121" s="49"/>
      <c r="E121" s="6">
        <v>0</v>
      </c>
      <c r="F121" s="6">
        <v>1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5">
        <f t="shared" si="24"/>
        <v>1</v>
      </c>
    </row>
    <row r="122" spans="1:17" x14ac:dyDescent="0.3">
      <c r="A122" s="7"/>
      <c r="B122" s="50"/>
      <c r="C122" s="24" t="s">
        <v>166</v>
      </c>
      <c r="D122" s="49"/>
      <c r="E122" s="6">
        <v>0</v>
      </c>
      <c r="F122" s="6">
        <v>0</v>
      </c>
      <c r="G122" s="6">
        <v>1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5">
        <f t="shared" si="24"/>
        <v>1</v>
      </c>
    </row>
    <row r="123" spans="1:17" x14ac:dyDescent="0.3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5">
        <f t="shared" si="24"/>
        <v>0</v>
      </c>
    </row>
    <row r="124" spans="1:17" x14ac:dyDescent="0.3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5">
        <f t="shared" si="24"/>
        <v>0</v>
      </c>
    </row>
    <row r="125" spans="1:17" x14ac:dyDescent="0.3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5">
        <f t="shared" si="24"/>
        <v>0</v>
      </c>
    </row>
    <row r="126" spans="1:17" x14ac:dyDescent="0.3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5">
        <f t="shared" si="24"/>
        <v>0</v>
      </c>
    </row>
    <row r="127" spans="1:17" x14ac:dyDescent="0.3">
      <c r="A127" s="6" t="s">
        <v>26</v>
      </c>
      <c r="B127" s="84" t="s">
        <v>51</v>
      </c>
      <c r="C127" s="87"/>
      <c r="D127" s="88"/>
      <c r="E127" s="5">
        <f t="shared" ref="E127:Q127" si="25">SUM(E117:E126)</f>
        <v>0</v>
      </c>
      <c r="F127" s="5">
        <f t="shared" si="25"/>
        <v>3</v>
      </c>
      <c r="G127" s="5">
        <f t="shared" si="25"/>
        <v>2</v>
      </c>
      <c r="H127" s="5">
        <f t="shared" si="25"/>
        <v>1</v>
      </c>
      <c r="I127" s="5">
        <f t="shared" si="25"/>
        <v>0</v>
      </c>
      <c r="J127" s="5">
        <f t="shared" si="25"/>
        <v>0</v>
      </c>
      <c r="K127" s="5">
        <f t="shared" si="25"/>
        <v>0</v>
      </c>
      <c r="L127" s="5">
        <f t="shared" si="25"/>
        <v>0</v>
      </c>
      <c r="M127" s="5">
        <f t="shared" si="25"/>
        <v>1</v>
      </c>
      <c r="N127" s="5">
        <f t="shared" si="25"/>
        <v>0</v>
      </c>
      <c r="O127" s="5">
        <f t="shared" si="25"/>
        <v>1</v>
      </c>
      <c r="P127" s="5">
        <f t="shared" si="25"/>
        <v>1</v>
      </c>
      <c r="Q127" s="5">
        <f t="shared" si="25"/>
        <v>9</v>
      </c>
    </row>
    <row r="128" spans="1:17" x14ac:dyDescent="0.3">
      <c r="A128" s="62"/>
      <c r="B128" s="89"/>
      <c r="C128" s="89"/>
      <c r="D128" s="89"/>
      <c r="E128" s="90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</row>
    <row r="129" spans="1:17" x14ac:dyDescent="0.3">
      <c r="A129" s="11" t="s">
        <v>48</v>
      </c>
      <c r="B129" s="17" t="s">
        <v>61</v>
      </c>
      <c r="C129" s="86" t="s">
        <v>62</v>
      </c>
      <c r="D129" s="64"/>
      <c r="E129" s="6">
        <v>1</v>
      </c>
      <c r="F129" s="6">
        <v>0</v>
      </c>
      <c r="G129" s="6">
        <v>1</v>
      </c>
      <c r="H129" s="6">
        <v>0</v>
      </c>
      <c r="I129" s="6">
        <v>4</v>
      </c>
      <c r="J129" s="6">
        <v>0</v>
      </c>
      <c r="K129" s="6">
        <v>1</v>
      </c>
      <c r="L129" s="6">
        <v>1</v>
      </c>
      <c r="M129" s="6">
        <v>2</v>
      </c>
      <c r="N129" s="6">
        <v>1</v>
      </c>
      <c r="O129" s="6">
        <v>1</v>
      </c>
      <c r="P129" s="6">
        <v>1</v>
      </c>
      <c r="Q129" s="5">
        <f t="shared" ref="Q129:Q138" si="26">SUM(E129:P129)</f>
        <v>13</v>
      </c>
    </row>
    <row r="130" spans="1:17" ht="13.15" customHeight="1" x14ac:dyDescent="0.3">
      <c r="A130" s="11" t="s">
        <v>50</v>
      </c>
      <c r="B130" s="50"/>
      <c r="C130" s="24" t="s">
        <v>167</v>
      </c>
      <c r="D130" s="49"/>
      <c r="E130" s="6">
        <v>0</v>
      </c>
      <c r="F130" s="6">
        <v>1</v>
      </c>
      <c r="G130" s="6">
        <v>0</v>
      </c>
      <c r="H130" s="6">
        <v>0</v>
      </c>
      <c r="I130" s="6">
        <v>1</v>
      </c>
      <c r="J130" s="6">
        <v>1</v>
      </c>
      <c r="K130" s="6">
        <v>0</v>
      </c>
      <c r="L130" s="6">
        <v>3</v>
      </c>
      <c r="M130" s="6">
        <v>2</v>
      </c>
      <c r="N130" s="6">
        <v>1</v>
      </c>
      <c r="O130" s="6">
        <v>2</v>
      </c>
      <c r="P130" s="6">
        <v>2</v>
      </c>
      <c r="Q130" s="5">
        <f t="shared" si="26"/>
        <v>13</v>
      </c>
    </row>
    <row r="131" spans="1:17" x14ac:dyDescent="0.3">
      <c r="A131" s="7"/>
      <c r="B131" s="50"/>
      <c r="C131" s="24" t="s">
        <v>168</v>
      </c>
      <c r="D131" s="49"/>
      <c r="E131" s="6">
        <v>0</v>
      </c>
      <c r="F131" s="6">
        <v>0</v>
      </c>
      <c r="G131" s="6">
        <v>0</v>
      </c>
      <c r="H131" s="6">
        <v>1</v>
      </c>
      <c r="I131" s="6">
        <v>0</v>
      </c>
      <c r="J131" s="6">
        <v>0</v>
      </c>
      <c r="K131" s="6">
        <v>1</v>
      </c>
      <c r="L131" s="6">
        <v>0</v>
      </c>
      <c r="M131" s="6">
        <v>1</v>
      </c>
      <c r="N131" s="6">
        <v>1</v>
      </c>
      <c r="O131" s="6">
        <v>0</v>
      </c>
      <c r="P131" s="6">
        <v>0</v>
      </c>
      <c r="Q131" s="5">
        <f t="shared" si="26"/>
        <v>4</v>
      </c>
    </row>
    <row r="132" spans="1:17" x14ac:dyDescent="0.3">
      <c r="A132" s="7"/>
      <c r="B132" s="50"/>
      <c r="C132" s="24" t="s">
        <v>169</v>
      </c>
      <c r="D132" s="49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2</v>
      </c>
      <c r="O132" s="6">
        <v>0</v>
      </c>
      <c r="P132" s="6">
        <v>0</v>
      </c>
      <c r="Q132" s="5">
        <f t="shared" si="26"/>
        <v>2</v>
      </c>
    </row>
    <row r="133" spans="1:17" x14ac:dyDescent="0.3">
      <c r="A133" s="7"/>
      <c r="B133" s="50"/>
      <c r="C133" s="24" t="s">
        <v>170</v>
      </c>
      <c r="D133" s="49"/>
      <c r="E133" s="6">
        <v>0</v>
      </c>
      <c r="F133" s="6">
        <v>1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5">
        <f t="shared" si="26"/>
        <v>1</v>
      </c>
    </row>
    <row r="134" spans="1:17" x14ac:dyDescent="0.3">
      <c r="A134" s="7"/>
      <c r="B134" s="50"/>
      <c r="C134" s="24" t="s">
        <v>171</v>
      </c>
      <c r="D134" s="49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1</v>
      </c>
      <c r="K134" s="6">
        <v>0</v>
      </c>
      <c r="L134" s="6">
        <v>2</v>
      </c>
      <c r="M134" s="6">
        <v>0</v>
      </c>
      <c r="N134" s="6">
        <v>0</v>
      </c>
      <c r="O134" s="6">
        <v>0</v>
      </c>
      <c r="P134" s="6">
        <v>2</v>
      </c>
      <c r="Q134" s="5">
        <f t="shared" si="26"/>
        <v>5</v>
      </c>
    </row>
    <row r="135" spans="1:17" x14ac:dyDescent="0.3">
      <c r="A135" s="7"/>
      <c r="B135" s="50"/>
      <c r="C135" s="24" t="s">
        <v>172</v>
      </c>
      <c r="D135" s="49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5">
        <f t="shared" si="26"/>
        <v>0</v>
      </c>
    </row>
    <row r="136" spans="1:17" x14ac:dyDescent="0.3">
      <c r="A136" s="7"/>
      <c r="B136" s="50"/>
      <c r="C136" s="24" t="s">
        <v>173</v>
      </c>
      <c r="D136" s="49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5">
        <f t="shared" si="26"/>
        <v>0</v>
      </c>
    </row>
    <row r="137" spans="1:17" x14ac:dyDescent="0.3">
      <c r="A137" s="7"/>
      <c r="B137" s="50"/>
      <c r="C137" s="24" t="s">
        <v>174</v>
      </c>
      <c r="D137" s="49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5">
        <f t="shared" si="26"/>
        <v>0</v>
      </c>
    </row>
    <row r="138" spans="1:17" x14ac:dyDescent="0.3">
      <c r="A138" s="7"/>
      <c r="B138" s="50"/>
      <c r="C138" s="24" t="s">
        <v>175</v>
      </c>
      <c r="D138" s="49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5">
        <f t="shared" si="26"/>
        <v>0</v>
      </c>
    </row>
    <row r="139" spans="1:17" x14ac:dyDescent="0.3">
      <c r="A139" s="6" t="s">
        <v>26</v>
      </c>
      <c r="B139" s="84" t="s">
        <v>51</v>
      </c>
      <c r="C139" s="87"/>
      <c r="D139" s="88"/>
      <c r="E139" s="5">
        <f t="shared" ref="E139:Q139" si="27">SUM(E129:E138)</f>
        <v>1</v>
      </c>
      <c r="F139" s="5">
        <f t="shared" si="27"/>
        <v>2</v>
      </c>
      <c r="G139" s="5">
        <f t="shared" si="27"/>
        <v>1</v>
      </c>
      <c r="H139" s="5">
        <f t="shared" si="27"/>
        <v>1</v>
      </c>
      <c r="I139" s="5">
        <f t="shared" si="27"/>
        <v>5</v>
      </c>
      <c r="J139" s="5">
        <f t="shared" si="27"/>
        <v>2</v>
      </c>
      <c r="K139" s="5">
        <f t="shared" si="27"/>
        <v>2</v>
      </c>
      <c r="L139" s="5">
        <f t="shared" si="27"/>
        <v>6</v>
      </c>
      <c r="M139" s="5">
        <f t="shared" si="27"/>
        <v>5</v>
      </c>
      <c r="N139" s="5">
        <f t="shared" si="27"/>
        <v>5</v>
      </c>
      <c r="O139" s="5">
        <f t="shared" si="27"/>
        <v>3</v>
      </c>
      <c r="P139" s="5">
        <f t="shared" si="27"/>
        <v>5</v>
      </c>
      <c r="Q139" s="5">
        <f t="shared" si="27"/>
        <v>38</v>
      </c>
    </row>
    <row r="140" spans="1:17" x14ac:dyDescent="0.3">
      <c r="A140" s="62"/>
      <c r="B140" s="89"/>
      <c r="C140" s="89"/>
      <c r="D140" s="89"/>
      <c r="E140" s="90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</row>
    <row r="141" spans="1:17" ht="13.15" customHeight="1" x14ac:dyDescent="0.3">
      <c r="A141" s="11" t="s">
        <v>48</v>
      </c>
      <c r="B141" s="17" t="s">
        <v>63</v>
      </c>
      <c r="C141" s="86" t="s">
        <v>64</v>
      </c>
      <c r="D141" s="64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1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5">
        <f t="shared" ref="Q141:Q150" si="28">SUM(E141:P141)</f>
        <v>1</v>
      </c>
    </row>
    <row r="142" spans="1:17" x14ac:dyDescent="0.3">
      <c r="A142" s="11" t="s">
        <v>50</v>
      </c>
      <c r="B142" s="50"/>
      <c r="C142" s="24" t="s">
        <v>176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3</v>
      </c>
      <c r="Q142" s="5">
        <f t="shared" si="28"/>
        <v>3</v>
      </c>
    </row>
    <row r="143" spans="1:17" x14ac:dyDescent="0.3">
      <c r="A143" s="7"/>
      <c r="B143" s="50"/>
      <c r="C143" s="24" t="s">
        <v>177</v>
      </c>
      <c r="D143" s="49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5">
        <f t="shared" si="28"/>
        <v>0</v>
      </c>
    </row>
    <row r="144" spans="1:17" x14ac:dyDescent="0.3">
      <c r="A144" s="7"/>
      <c r="B144" s="50"/>
      <c r="C144" s="24" t="s">
        <v>178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5">
        <f t="shared" si="28"/>
        <v>0</v>
      </c>
    </row>
    <row r="145" spans="1:17" x14ac:dyDescent="0.3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5">
        <f t="shared" si="28"/>
        <v>0</v>
      </c>
    </row>
    <row r="146" spans="1:17" x14ac:dyDescent="0.3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5">
        <f t="shared" si="28"/>
        <v>0</v>
      </c>
    </row>
    <row r="147" spans="1:17" x14ac:dyDescent="0.3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5">
        <f t="shared" si="28"/>
        <v>0</v>
      </c>
    </row>
    <row r="148" spans="1:17" x14ac:dyDescent="0.3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5">
        <f t="shared" si="28"/>
        <v>0</v>
      </c>
    </row>
    <row r="149" spans="1:17" x14ac:dyDescent="0.3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5">
        <f t="shared" si="28"/>
        <v>0</v>
      </c>
    </row>
    <row r="150" spans="1:17" x14ac:dyDescent="0.3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5">
        <f t="shared" si="28"/>
        <v>0</v>
      </c>
    </row>
    <row r="151" spans="1:17" ht="13.15" customHeight="1" x14ac:dyDescent="0.3">
      <c r="A151" s="6" t="s">
        <v>26</v>
      </c>
      <c r="B151" s="84" t="s">
        <v>51</v>
      </c>
      <c r="C151" s="87"/>
      <c r="D151" s="88"/>
      <c r="E151" s="5">
        <f t="shared" ref="E151:Q151" si="29">SUM(E141:E150)</f>
        <v>0</v>
      </c>
      <c r="F151" s="5">
        <f t="shared" si="29"/>
        <v>0</v>
      </c>
      <c r="G151" s="5">
        <f t="shared" si="29"/>
        <v>0</v>
      </c>
      <c r="H151" s="5">
        <f t="shared" si="29"/>
        <v>0</v>
      </c>
      <c r="I151" s="5">
        <f t="shared" si="29"/>
        <v>0</v>
      </c>
      <c r="J151" s="5">
        <f t="shared" si="29"/>
        <v>1</v>
      </c>
      <c r="K151" s="5">
        <f t="shared" si="29"/>
        <v>0</v>
      </c>
      <c r="L151" s="5">
        <f t="shared" si="29"/>
        <v>0</v>
      </c>
      <c r="M151" s="5">
        <f t="shared" si="29"/>
        <v>0</v>
      </c>
      <c r="N151" s="5">
        <f t="shared" si="29"/>
        <v>0</v>
      </c>
      <c r="O151" s="5">
        <f t="shared" si="29"/>
        <v>0</v>
      </c>
      <c r="P151" s="5">
        <f t="shared" si="29"/>
        <v>3</v>
      </c>
      <c r="Q151" s="5">
        <f t="shared" si="29"/>
        <v>4</v>
      </c>
    </row>
    <row r="152" spans="1:17" x14ac:dyDescent="0.3">
      <c r="A152" s="62"/>
      <c r="B152" s="89"/>
      <c r="C152" s="89"/>
      <c r="D152" s="89"/>
      <c r="E152" s="90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5"/>
    </row>
    <row r="153" spans="1:17" x14ac:dyDescent="0.3">
      <c r="A153" s="11" t="s">
        <v>48</v>
      </c>
      <c r="B153" s="44" t="s">
        <v>65</v>
      </c>
      <c r="C153" s="91" t="s">
        <v>66</v>
      </c>
      <c r="D153" s="78"/>
      <c r="E153" s="6">
        <v>0</v>
      </c>
      <c r="F153" s="6">
        <v>0</v>
      </c>
      <c r="G153" s="6">
        <v>2</v>
      </c>
      <c r="H153" s="6">
        <v>0</v>
      </c>
      <c r="I153" s="6">
        <v>1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1</v>
      </c>
      <c r="P153" s="6">
        <v>0</v>
      </c>
      <c r="Q153" s="5">
        <f>SUM(E153:P153)</f>
        <v>4</v>
      </c>
    </row>
    <row r="154" spans="1:17" x14ac:dyDescent="0.3">
      <c r="A154" s="52" t="s">
        <v>50</v>
      </c>
      <c r="B154" s="50"/>
      <c r="C154" s="24" t="s">
        <v>179</v>
      </c>
      <c r="D154" s="49"/>
      <c r="E154" s="53">
        <v>0</v>
      </c>
      <c r="F154" s="6">
        <v>1</v>
      </c>
      <c r="G154" s="6">
        <v>1</v>
      </c>
      <c r="H154" s="6">
        <v>2</v>
      </c>
      <c r="I154" s="6">
        <v>1</v>
      </c>
      <c r="J154" s="6">
        <v>1</v>
      </c>
      <c r="K154" s="6">
        <v>0</v>
      </c>
      <c r="L154" s="6">
        <v>1</v>
      </c>
      <c r="M154" s="6">
        <v>0</v>
      </c>
      <c r="N154" s="6">
        <v>0</v>
      </c>
      <c r="O154" s="6">
        <v>1</v>
      </c>
      <c r="P154" s="6">
        <v>0</v>
      </c>
      <c r="Q154" s="5">
        <f t="shared" ref="Q154:Q160" si="30">SUM(E154:P154)</f>
        <v>8</v>
      </c>
    </row>
    <row r="155" spans="1:17" x14ac:dyDescent="0.3">
      <c r="A155" s="7"/>
      <c r="B155" s="50"/>
      <c r="C155" s="24" t="s">
        <v>180</v>
      </c>
      <c r="D155" s="49"/>
      <c r="E155" s="53">
        <v>0</v>
      </c>
      <c r="F155" s="6">
        <v>0</v>
      </c>
      <c r="G155" s="6">
        <v>0</v>
      </c>
      <c r="H155" s="6">
        <v>0</v>
      </c>
      <c r="I155" s="6">
        <v>1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5">
        <f t="shared" si="30"/>
        <v>1</v>
      </c>
    </row>
    <row r="156" spans="1:17" x14ac:dyDescent="0.3">
      <c r="A156" s="7"/>
      <c r="B156" s="50"/>
      <c r="C156" s="24" t="s">
        <v>181</v>
      </c>
      <c r="D156" s="49"/>
      <c r="E156" s="53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5">
        <f t="shared" si="30"/>
        <v>0</v>
      </c>
    </row>
    <row r="157" spans="1:17" x14ac:dyDescent="0.3">
      <c r="A157" s="7"/>
      <c r="B157" s="50"/>
      <c r="C157" s="24" t="s">
        <v>182</v>
      </c>
      <c r="D157" s="49"/>
      <c r="E157" s="53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1</v>
      </c>
      <c r="M157" s="6">
        <v>1</v>
      </c>
      <c r="N157" s="6">
        <v>0</v>
      </c>
      <c r="O157" s="6">
        <v>0</v>
      </c>
      <c r="P157" s="6">
        <v>0</v>
      </c>
      <c r="Q157" s="5">
        <f t="shared" si="30"/>
        <v>2</v>
      </c>
    </row>
    <row r="158" spans="1:17" x14ac:dyDescent="0.3">
      <c r="A158" s="7"/>
      <c r="B158" s="50"/>
      <c r="C158" s="24" t="s">
        <v>183</v>
      </c>
      <c r="D158" s="49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1</v>
      </c>
      <c r="Q158" s="5">
        <f t="shared" si="30"/>
        <v>1</v>
      </c>
    </row>
    <row r="159" spans="1:17" x14ac:dyDescent="0.3">
      <c r="A159" s="7"/>
      <c r="B159" s="50"/>
      <c r="C159" s="24" t="s">
        <v>184</v>
      </c>
      <c r="D159" s="49"/>
      <c r="E159" s="53">
        <v>0</v>
      </c>
      <c r="F159" s="6">
        <v>0</v>
      </c>
      <c r="G159" s="6">
        <v>0</v>
      </c>
      <c r="H159" s="6">
        <v>2</v>
      </c>
      <c r="I159" s="6">
        <v>0</v>
      </c>
      <c r="J159" s="6">
        <v>0</v>
      </c>
      <c r="K159" s="6">
        <v>0</v>
      </c>
      <c r="L159" s="6">
        <v>0</v>
      </c>
      <c r="M159" s="6">
        <v>1</v>
      </c>
      <c r="N159" s="6">
        <v>0</v>
      </c>
      <c r="O159" s="6">
        <v>0</v>
      </c>
      <c r="P159" s="6">
        <v>0</v>
      </c>
      <c r="Q159" s="5">
        <f t="shared" si="30"/>
        <v>3</v>
      </c>
    </row>
    <row r="160" spans="1:17" x14ac:dyDescent="0.3">
      <c r="A160" s="7"/>
      <c r="B160" s="50"/>
      <c r="C160" s="24" t="s">
        <v>185</v>
      </c>
      <c r="D160" s="49"/>
      <c r="E160" s="53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5">
        <f t="shared" si="30"/>
        <v>0</v>
      </c>
    </row>
    <row r="161" spans="1:17" x14ac:dyDescent="0.3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5">
        <f t="shared" ref="Q161:Q162" si="31">SUM(E167:P167)</f>
        <v>0</v>
      </c>
    </row>
    <row r="162" spans="1:17" x14ac:dyDescent="0.3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5">
        <f t="shared" si="31"/>
        <v>0</v>
      </c>
    </row>
    <row r="163" spans="1:17" x14ac:dyDescent="0.3">
      <c r="A163" s="6" t="s">
        <v>26</v>
      </c>
      <c r="B163" s="92" t="s">
        <v>51</v>
      </c>
      <c r="C163" s="93"/>
      <c r="D163" s="94"/>
      <c r="E163" s="5">
        <f t="shared" ref="E163:Q163" si="32">SUM(E153:E162)</f>
        <v>0</v>
      </c>
      <c r="F163" s="5">
        <f t="shared" si="32"/>
        <v>1</v>
      </c>
      <c r="G163" s="5">
        <f t="shared" si="32"/>
        <v>3</v>
      </c>
      <c r="H163" s="5">
        <f t="shared" si="32"/>
        <v>4</v>
      </c>
      <c r="I163" s="5">
        <f t="shared" si="32"/>
        <v>3</v>
      </c>
      <c r="J163" s="5">
        <f t="shared" si="32"/>
        <v>1</v>
      </c>
      <c r="K163" s="5">
        <f t="shared" si="32"/>
        <v>0</v>
      </c>
      <c r="L163" s="5">
        <f t="shared" si="32"/>
        <v>2</v>
      </c>
      <c r="M163" s="5">
        <f t="shared" si="32"/>
        <v>2</v>
      </c>
      <c r="N163" s="5">
        <f t="shared" si="32"/>
        <v>0</v>
      </c>
      <c r="O163" s="5">
        <f t="shared" si="32"/>
        <v>2</v>
      </c>
      <c r="P163" s="5">
        <f t="shared" si="32"/>
        <v>1</v>
      </c>
      <c r="Q163" s="5">
        <f t="shared" si="32"/>
        <v>19</v>
      </c>
    </row>
    <row r="164" spans="1:17" x14ac:dyDescent="0.3">
      <c r="A164" s="62"/>
      <c r="B164" s="89"/>
      <c r="C164" s="89"/>
      <c r="D164" s="89"/>
      <c r="E164" s="90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</row>
    <row r="165" spans="1:17" ht="13.15" customHeight="1" x14ac:dyDescent="0.3">
      <c r="A165" s="11" t="s">
        <v>48</v>
      </c>
      <c r="B165" s="17" t="s">
        <v>67</v>
      </c>
      <c r="C165" s="86" t="s">
        <v>68</v>
      </c>
      <c r="D165" s="64"/>
      <c r="E165" s="6">
        <v>0</v>
      </c>
      <c r="F165" s="6">
        <v>1</v>
      </c>
      <c r="G165" s="6">
        <v>0</v>
      </c>
      <c r="H165" s="6">
        <v>0</v>
      </c>
      <c r="I165" s="6">
        <v>1</v>
      </c>
      <c r="J165" s="6">
        <v>1</v>
      </c>
      <c r="K165" s="6">
        <v>0</v>
      </c>
      <c r="L165" s="6">
        <v>0</v>
      </c>
      <c r="M165" s="6">
        <v>1</v>
      </c>
      <c r="N165" s="6">
        <v>1</v>
      </c>
      <c r="O165" s="6">
        <v>0</v>
      </c>
      <c r="P165" s="6">
        <v>0</v>
      </c>
      <c r="Q165" s="5">
        <f t="shared" ref="Q165:Q174" si="33">SUM(E165:P165)</f>
        <v>5</v>
      </c>
    </row>
    <row r="166" spans="1:17" x14ac:dyDescent="0.3">
      <c r="A166" s="11" t="s">
        <v>50</v>
      </c>
      <c r="B166" s="50"/>
      <c r="C166" s="24" t="s">
        <v>186</v>
      </c>
      <c r="D166" s="49"/>
      <c r="E166" s="6">
        <v>2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1</v>
      </c>
      <c r="N166" s="6">
        <v>1</v>
      </c>
      <c r="O166" s="6">
        <v>0</v>
      </c>
      <c r="P166" s="6">
        <v>0</v>
      </c>
      <c r="Q166" s="5">
        <f t="shared" si="33"/>
        <v>4</v>
      </c>
    </row>
    <row r="167" spans="1:17" x14ac:dyDescent="0.3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5">
        <f t="shared" si="33"/>
        <v>0</v>
      </c>
    </row>
    <row r="168" spans="1:17" x14ac:dyDescent="0.3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5">
        <f t="shared" si="33"/>
        <v>0</v>
      </c>
    </row>
    <row r="169" spans="1:17" x14ac:dyDescent="0.3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5">
        <f t="shared" si="33"/>
        <v>0</v>
      </c>
    </row>
    <row r="170" spans="1:17" x14ac:dyDescent="0.3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5">
        <f t="shared" si="33"/>
        <v>0</v>
      </c>
    </row>
    <row r="171" spans="1:17" x14ac:dyDescent="0.3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5">
        <f t="shared" si="33"/>
        <v>0</v>
      </c>
    </row>
    <row r="172" spans="1:17" x14ac:dyDescent="0.3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5">
        <f t="shared" si="33"/>
        <v>0</v>
      </c>
    </row>
    <row r="173" spans="1:17" x14ac:dyDescent="0.3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5">
        <f t="shared" si="33"/>
        <v>0</v>
      </c>
    </row>
    <row r="174" spans="1:17" x14ac:dyDescent="0.3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5">
        <f t="shared" si="33"/>
        <v>0</v>
      </c>
    </row>
    <row r="175" spans="1:17" x14ac:dyDescent="0.3">
      <c r="A175" s="6" t="s">
        <v>26</v>
      </c>
      <c r="B175" s="84" t="s">
        <v>51</v>
      </c>
      <c r="C175" s="87"/>
      <c r="D175" s="88"/>
      <c r="E175" s="5">
        <f t="shared" ref="E175:Q175" si="34">SUM(E165:E174)</f>
        <v>2</v>
      </c>
      <c r="F175" s="5">
        <f t="shared" si="34"/>
        <v>1</v>
      </c>
      <c r="G175" s="5">
        <f t="shared" si="34"/>
        <v>0</v>
      </c>
      <c r="H175" s="5">
        <f t="shared" si="34"/>
        <v>0</v>
      </c>
      <c r="I175" s="5">
        <f t="shared" si="34"/>
        <v>1</v>
      </c>
      <c r="J175" s="5">
        <f t="shared" si="34"/>
        <v>1</v>
      </c>
      <c r="K175" s="5">
        <f t="shared" si="34"/>
        <v>0</v>
      </c>
      <c r="L175" s="5">
        <f t="shared" si="34"/>
        <v>0</v>
      </c>
      <c r="M175" s="5">
        <f t="shared" si="34"/>
        <v>2</v>
      </c>
      <c r="N175" s="5">
        <f t="shared" si="34"/>
        <v>2</v>
      </c>
      <c r="O175" s="5">
        <f t="shared" si="34"/>
        <v>0</v>
      </c>
      <c r="P175" s="5">
        <f t="shared" si="34"/>
        <v>0</v>
      </c>
      <c r="Q175" s="5">
        <f t="shared" si="34"/>
        <v>9</v>
      </c>
    </row>
    <row r="176" spans="1:17" ht="13.15" customHeight="1" x14ac:dyDescent="0.3">
      <c r="A176" s="62"/>
      <c r="B176" s="89"/>
      <c r="C176" s="89"/>
      <c r="D176" s="89"/>
      <c r="E176" s="90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</row>
    <row r="177" spans="1:17" x14ac:dyDescent="0.3">
      <c r="A177" s="11" t="s">
        <v>48</v>
      </c>
      <c r="B177" s="17" t="s">
        <v>69</v>
      </c>
      <c r="C177" s="86" t="s">
        <v>70</v>
      </c>
      <c r="D177" s="64"/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1</v>
      </c>
      <c r="N177" s="6">
        <v>1</v>
      </c>
      <c r="O177" s="6">
        <v>0</v>
      </c>
      <c r="P177" s="6">
        <v>0</v>
      </c>
      <c r="Q177" s="5">
        <f t="shared" ref="Q177:Q186" si="35">SUM(E177:P177)</f>
        <v>2</v>
      </c>
    </row>
    <row r="178" spans="1:17" x14ac:dyDescent="0.3">
      <c r="A178" s="11" t="s">
        <v>50</v>
      </c>
      <c r="B178" s="50"/>
      <c r="C178" s="24" t="s">
        <v>187</v>
      </c>
      <c r="D178" s="49"/>
      <c r="E178" s="6">
        <v>0</v>
      </c>
      <c r="F178" s="6">
        <v>0</v>
      </c>
      <c r="G178" s="6">
        <v>1</v>
      </c>
      <c r="H178" s="6">
        <v>0</v>
      </c>
      <c r="I178" s="6">
        <v>3</v>
      </c>
      <c r="J178" s="6">
        <v>0</v>
      </c>
      <c r="K178" s="6">
        <v>1</v>
      </c>
      <c r="L178" s="6">
        <v>0</v>
      </c>
      <c r="M178" s="6">
        <v>2</v>
      </c>
      <c r="N178" s="6">
        <v>2</v>
      </c>
      <c r="O178" s="6">
        <v>1</v>
      </c>
      <c r="P178" s="6">
        <v>0</v>
      </c>
      <c r="Q178" s="5">
        <f t="shared" si="35"/>
        <v>10</v>
      </c>
    </row>
    <row r="179" spans="1:17" x14ac:dyDescent="0.3">
      <c r="A179" s="7"/>
      <c r="B179" s="50"/>
      <c r="C179" s="24" t="s">
        <v>188</v>
      </c>
      <c r="D179" s="49"/>
      <c r="E179" s="6">
        <v>0</v>
      </c>
      <c r="F179" s="6">
        <v>0</v>
      </c>
      <c r="G179" s="6">
        <v>0</v>
      </c>
      <c r="H179" s="6">
        <v>0</v>
      </c>
      <c r="I179" s="6">
        <v>1</v>
      </c>
      <c r="J179" s="6">
        <v>1</v>
      </c>
      <c r="K179" s="6">
        <v>0</v>
      </c>
      <c r="L179" s="6">
        <v>0</v>
      </c>
      <c r="M179" s="6">
        <v>0</v>
      </c>
      <c r="N179" s="6">
        <v>1</v>
      </c>
      <c r="O179" s="6">
        <v>0</v>
      </c>
      <c r="P179" s="6">
        <v>0</v>
      </c>
      <c r="Q179" s="5">
        <f t="shared" si="35"/>
        <v>3</v>
      </c>
    </row>
    <row r="180" spans="1:17" x14ac:dyDescent="0.3">
      <c r="A180" s="7"/>
      <c r="B180" s="50"/>
      <c r="C180" s="24" t="s">
        <v>189</v>
      </c>
      <c r="D180" s="49"/>
      <c r="E180" s="6">
        <v>0</v>
      </c>
      <c r="F180" s="6">
        <v>0</v>
      </c>
      <c r="G180" s="6">
        <v>0</v>
      </c>
      <c r="H180" s="6">
        <v>2</v>
      </c>
      <c r="I180" s="6">
        <v>0</v>
      </c>
      <c r="J180" s="6">
        <v>0</v>
      </c>
      <c r="K180" s="6">
        <v>0</v>
      </c>
      <c r="L180" s="6">
        <v>1</v>
      </c>
      <c r="M180" s="6">
        <v>1</v>
      </c>
      <c r="N180" s="6">
        <v>1</v>
      </c>
      <c r="O180" s="6">
        <v>0</v>
      </c>
      <c r="P180" s="6">
        <v>0</v>
      </c>
      <c r="Q180" s="5">
        <f t="shared" si="35"/>
        <v>5</v>
      </c>
    </row>
    <row r="181" spans="1:17" x14ac:dyDescent="0.3">
      <c r="A181" s="7"/>
      <c r="B181" s="50"/>
      <c r="C181" s="24" t="s">
        <v>190</v>
      </c>
      <c r="D181" s="49"/>
      <c r="E181" s="6">
        <v>0</v>
      </c>
      <c r="F181" s="6">
        <v>0</v>
      </c>
      <c r="G181" s="6">
        <v>1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5">
        <f t="shared" si="35"/>
        <v>1</v>
      </c>
    </row>
    <row r="182" spans="1:17" x14ac:dyDescent="0.3">
      <c r="A182" s="7"/>
      <c r="B182" s="50"/>
      <c r="C182" s="24" t="s">
        <v>191</v>
      </c>
      <c r="D182" s="49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5">
        <f t="shared" si="35"/>
        <v>0</v>
      </c>
    </row>
    <row r="183" spans="1:17" x14ac:dyDescent="0.3">
      <c r="A183" s="7"/>
      <c r="B183" s="50"/>
      <c r="C183" s="24" t="s">
        <v>192</v>
      </c>
      <c r="D183" s="49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5">
        <f t="shared" si="35"/>
        <v>0</v>
      </c>
    </row>
    <row r="184" spans="1:17" x14ac:dyDescent="0.3">
      <c r="A184" s="7"/>
      <c r="B184" s="50"/>
      <c r="C184" s="24" t="s">
        <v>193</v>
      </c>
      <c r="D184" s="49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5">
        <f t="shared" si="35"/>
        <v>0</v>
      </c>
    </row>
    <row r="185" spans="1:17" x14ac:dyDescent="0.3">
      <c r="A185" s="7"/>
      <c r="B185" s="50"/>
      <c r="C185" s="24" t="s">
        <v>194</v>
      </c>
      <c r="D185" s="49"/>
      <c r="E185" s="6">
        <v>0</v>
      </c>
      <c r="F185" s="6">
        <v>0</v>
      </c>
      <c r="G185" s="6">
        <v>0</v>
      </c>
      <c r="H185" s="6">
        <v>0</v>
      </c>
      <c r="I185" s="6">
        <v>1</v>
      </c>
      <c r="J185" s="6">
        <v>0</v>
      </c>
      <c r="K185" s="6">
        <v>0</v>
      </c>
      <c r="L185" s="6">
        <v>0</v>
      </c>
      <c r="M185" s="6">
        <v>0</v>
      </c>
      <c r="N185" s="6">
        <v>2</v>
      </c>
      <c r="O185" s="6">
        <v>0</v>
      </c>
      <c r="P185" s="6">
        <v>0</v>
      </c>
      <c r="Q185" s="5">
        <f t="shared" si="35"/>
        <v>3</v>
      </c>
    </row>
    <row r="186" spans="1:17" x14ac:dyDescent="0.3">
      <c r="A186" s="7"/>
      <c r="B186" s="50"/>
      <c r="C186" s="24" t="s">
        <v>195</v>
      </c>
      <c r="D186" s="49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5">
        <f t="shared" si="35"/>
        <v>0</v>
      </c>
    </row>
    <row r="187" spans="1:17" ht="13.15" customHeight="1" x14ac:dyDescent="0.3">
      <c r="A187" s="6" t="s">
        <v>26</v>
      </c>
      <c r="B187" s="84" t="s">
        <v>51</v>
      </c>
      <c r="C187" s="87"/>
      <c r="D187" s="88"/>
      <c r="E187" s="5">
        <f t="shared" ref="E187:Q187" si="36">SUM(E177:E186)</f>
        <v>0</v>
      </c>
      <c r="F187" s="5">
        <f t="shared" si="36"/>
        <v>0</v>
      </c>
      <c r="G187" s="5">
        <f t="shared" si="36"/>
        <v>2</v>
      </c>
      <c r="H187" s="5">
        <f t="shared" si="36"/>
        <v>2</v>
      </c>
      <c r="I187" s="5">
        <f t="shared" si="36"/>
        <v>5</v>
      </c>
      <c r="J187" s="5">
        <f t="shared" si="36"/>
        <v>1</v>
      </c>
      <c r="K187" s="5">
        <f t="shared" si="36"/>
        <v>1</v>
      </c>
      <c r="L187" s="5">
        <f t="shared" si="36"/>
        <v>1</v>
      </c>
      <c r="M187" s="5">
        <f t="shared" si="36"/>
        <v>4</v>
      </c>
      <c r="N187" s="5">
        <f t="shared" si="36"/>
        <v>7</v>
      </c>
      <c r="O187" s="5">
        <f t="shared" si="36"/>
        <v>1</v>
      </c>
      <c r="P187" s="5">
        <f t="shared" si="36"/>
        <v>0</v>
      </c>
      <c r="Q187" s="5">
        <f t="shared" si="36"/>
        <v>24</v>
      </c>
    </row>
    <row r="188" spans="1:17" x14ac:dyDescent="0.3">
      <c r="A188" s="62"/>
      <c r="B188" s="89"/>
      <c r="C188" s="89"/>
      <c r="D188" s="89"/>
      <c r="E188" s="90"/>
      <c r="F188" s="18"/>
      <c r="G188" s="18"/>
      <c r="H188" s="18"/>
      <c r="I188" s="18"/>
      <c r="J188" s="18"/>
      <c r="K188" s="18"/>
      <c r="L188" s="18"/>
      <c r="M188" s="18"/>
      <c r="N188" s="18"/>
      <c r="Q188" s="5"/>
    </row>
    <row r="189" spans="1:17" x14ac:dyDescent="0.3">
      <c r="A189" s="11" t="s">
        <v>48</v>
      </c>
      <c r="B189" s="17" t="s">
        <v>71</v>
      </c>
      <c r="C189" s="86" t="s">
        <v>72</v>
      </c>
      <c r="D189" s="64"/>
      <c r="E189" s="6"/>
      <c r="F189" s="6"/>
      <c r="G189" s="6"/>
      <c r="H189" s="6"/>
      <c r="I189" s="6"/>
      <c r="J189" s="6"/>
      <c r="K189" s="6"/>
      <c r="L189" s="6"/>
      <c r="M189" s="6"/>
      <c r="N189" s="6">
        <v>1</v>
      </c>
      <c r="O189" s="6"/>
      <c r="P189" s="6"/>
      <c r="Q189" s="5">
        <f t="shared" ref="Q189:Q198" si="37">SUM(E189:P189)</f>
        <v>1</v>
      </c>
    </row>
    <row r="190" spans="1:17" x14ac:dyDescent="0.3">
      <c r="A190" s="11" t="s">
        <v>50</v>
      </c>
      <c r="B190" s="50"/>
      <c r="C190" s="24" t="s">
        <v>196</v>
      </c>
      <c r="D190" s="49"/>
      <c r="E190" s="6"/>
      <c r="F190" s="6"/>
      <c r="G190" s="6"/>
      <c r="H190" s="6"/>
      <c r="I190" s="6"/>
      <c r="J190" s="6">
        <v>1</v>
      </c>
      <c r="K190" s="6"/>
      <c r="L190" s="6"/>
      <c r="M190" s="6"/>
      <c r="N190" s="6">
        <v>1</v>
      </c>
      <c r="O190" s="6"/>
      <c r="P190" s="6"/>
      <c r="Q190" s="5">
        <f t="shared" si="37"/>
        <v>2</v>
      </c>
    </row>
    <row r="191" spans="1:17" x14ac:dyDescent="0.3">
      <c r="A191" s="7"/>
      <c r="B191" s="50"/>
      <c r="C191" s="24" t="s">
        <v>197</v>
      </c>
      <c r="D191" s="49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5">
        <f t="shared" si="37"/>
        <v>0</v>
      </c>
    </row>
    <row r="192" spans="1:17" x14ac:dyDescent="0.3">
      <c r="A192" s="7"/>
      <c r="B192" s="50"/>
      <c r="C192" s="24" t="s">
        <v>198</v>
      </c>
      <c r="D192" s="49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5">
        <f t="shared" si="37"/>
        <v>0</v>
      </c>
    </row>
    <row r="193" spans="1:17" x14ac:dyDescent="0.3">
      <c r="A193" s="7"/>
      <c r="B193" s="50"/>
      <c r="C193" s="24" t="s">
        <v>199</v>
      </c>
      <c r="D193" s="49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5">
        <f t="shared" si="37"/>
        <v>0</v>
      </c>
    </row>
    <row r="194" spans="1:17" x14ac:dyDescent="0.3">
      <c r="A194" s="7"/>
      <c r="B194" s="50"/>
      <c r="C194" s="24" t="s">
        <v>200</v>
      </c>
      <c r="D194" s="49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5">
        <f t="shared" si="37"/>
        <v>0</v>
      </c>
    </row>
    <row r="195" spans="1:17" x14ac:dyDescent="0.3">
      <c r="A195" s="7"/>
      <c r="B195" s="50"/>
      <c r="C195" s="24" t="s">
        <v>201</v>
      </c>
      <c r="D195" s="49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5">
        <f t="shared" si="37"/>
        <v>0</v>
      </c>
    </row>
    <row r="196" spans="1:17" ht="13.15" customHeight="1" x14ac:dyDescent="0.3">
      <c r="A196" s="7"/>
      <c r="B196" s="50"/>
      <c r="C196" s="24" t="s">
        <v>202</v>
      </c>
      <c r="D196" s="49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5">
        <f t="shared" si="37"/>
        <v>0</v>
      </c>
    </row>
    <row r="197" spans="1:17" ht="13.15" customHeight="1" x14ac:dyDescent="0.3">
      <c r="A197" s="7"/>
      <c r="B197" s="50"/>
      <c r="C197" s="24" t="s">
        <v>203</v>
      </c>
      <c r="D197" s="49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5">
        <f t="shared" si="37"/>
        <v>0</v>
      </c>
    </row>
    <row r="198" spans="1:17" ht="13.15" customHeight="1" x14ac:dyDescent="0.3">
      <c r="A198" s="7"/>
      <c r="B198" s="50"/>
      <c r="C198" s="24" t="s">
        <v>204</v>
      </c>
      <c r="D198" s="49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5">
        <f t="shared" si="37"/>
        <v>0</v>
      </c>
    </row>
    <row r="199" spans="1:17" x14ac:dyDescent="0.3">
      <c r="A199" s="6" t="s">
        <v>26</v>
      </c>
      <c r="B199" s="84" t="s">
        <v>51</v>
      </c>
      <c r="C199" s="87"/>
      <c r="D199" s="88"/>
      <c r="E199" s="5">
        <f t="shared" ref="E199:Q199" si="38">SUM(E189:E198)</f>
        <v>0</v>
      </c>
      <c r="F199" s="5">
        <f t="shared" si="38"/>
        <v>0</v>
      </c>
      <c r="G199" s="5">
        <f t="shared" si="38"/>
        <v>0</v>
      </c>
      <c r="H199" s="5">
        <f t="shared" si="38"/>
        <v>0</v>
      </c>
      <c r="I199" s="5">
        <f t="shared" si="38"/>
        <v>0</v>
      </c>
      <c r="J199" s="5">
        <f t="shared" si="38"/>
        <v>1</v>
      </c>
      <c r="K199" s="5">
        <f t="shared" si="38"/>
        <v>0</v>
      </c>
      <c r="L199" s="5">
        <f t="shared" si="38"/>
        <v>0</v>
      </c>
      <c r="M199" s="5">
        <f t="shared" si="38"/>
        <v>0</v>
      </c>
      <c r="N199" s="5">
        <f t="shared" si="38"/>
        <v>2</v>
      </c>
      <c r="O199" s="5">
        <f t="shared" si="38"/>
        <v>0</v>
      </c>
      <c r="P199" s="5">
        <f t="shared" si="38"/>
        <v>0</v>
      </c>
      <c r="Q199" s="5">
        <f t="shared" si="38"/>
        <v>3</v>
      </c>
    </row>
    <row r="200" spans="1:17" x14ac:dyDescent="0.3">
      <c r="A200" s="62"/>
      <c r="B200" s="89"/>
      <c r="C200" s="89"/>
      <c r="D200" s="89"/>
      <c r="E200" s="90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</row>
    <row r="201" spans="1:17" x14ac:dyDescent="0.3">
      <c r="A201" s="11" t="s">
        <v>48</v>
      </c>
      <c r="B201" s="17" t="s">
        <v>73</v>
      </c>
      <c r="C201" s="86" t="s">
        <v>74</v>
      </c>
      <c r="D201" s="64"/>
      <c r="E201" s="6">
        <v>1</v>
      </c>
      <c r="F201" s="6">
        <v>3</v>
      </c>
      <c r="G201" s="6">
        <v>1</v>
      </c>
      <c r="H201" s="6">
        <v>1</v>
      </c>
      <c r="I201" s="6">
        <v>3</v>
      </c>
      <c r="J201" s="6">
        <v>3</v>
      </c>
      <c r="K201" s="6">
        <v>5</v>
      </c>
      <c r="L201" s="6">
        <v>0</v>
      </c>
      <c r="M201" s="6">
        <v>2</v>
      </c>
      <c r="N201" s="6">
        <v>3</v>
      </c>
      <c r="O201" s="6">
        <v>4</v>
      </c>
      <c r="P201" s="6">
        <v>1</v>
      </c>
      <c r="Q201" s="5">
        <f t="shared" ref="Q201:Q210" si="39">SUM(E201:P201)</f>
        <v>27</v>
      </c>
    </row>
    <row r="202" spans="1:17" x14ac:dyDescent="0.3">
      <c r="A202" s="11" t="s">
        <v>50</v>
      </c>
      <c r="B202" s="50"/>
      <c r="C202" s="24" t="s">
        <v>205</v>
      </c>
      <c r="D202" s="49"/>
      <c r="E202" s="6">
        <v>2</v>
      </c>
      <c r="F202" s="6">
        <v>4</v>
      </c>
      <c r="G202" s="6">
        <v>0</v>
      </c>
      <c r="H202" s="6">
        <v>4</v>
      </c>
      <c r="I202" s="6">
        <v>1</v>
      </c>
      <c r="J202" s="6">
        <v>1</v>
      </c>
      <c r="K202" s="6">
        <v>1</v>
      </c>
      <c r="L202" s="6">
        <v>4</v>
      </c>
      <c r="M202" s="6">
        <v>3</v>
      </c>
      <c r="N202" s="6">
        <v>2</v>
      </c>
      <c r="O202" s="6">
        <v>5</v>
      </c>
      <c r="P202" s="6">
        <v>5</v>
      </c>
      <c r="Q202" s="5">
        <f t="shared" si="39"/>
        <v>32</v>
      </c>
    </row>
    <row r="203" spans="1:17" x14ac:dyDescent="0.3">
      <c r="A203" s="7"/>
      <c r="B203" s="50"/>
      <c r="C203" s="24" t="s">
        <v>206</v>
      </c>
      <c r="D203" s="49"/>
      <c r="E203" s="6">
        <v>0</v>
      </c>
      <c r="F203" s="6">
        <v>1</v>
      </c>
      <c r="G203" s="6">
        <v>0</v>
      </c>
      <c r="H203" s="6">
        <v>2</v>
      </c>
      <c r="I203" s="6">
        <v>0</v>
      </c>
      <c r="J203" s="6">
        <v>0</v>
      </c>
      <c r="K203" s="6">
        <v>2</v>
      </c>
      <c r="L203" s="6">
        <v>1</v>
      </c>
      <c r="M203" s="6">
        <v>1</v>
      </c>
      <c r="N203" s="6">
        <v>1</v>
      </c>
      <c r="O203" s="6">
        <v>0</v>
      </c>
      <c r="P203" s="6">
        <v>2</v>
      </c>
      <c r="Q203" s="5">
        <f t="shared" si="39"/>
        <v>10</v>
      </c>
    </row>
    <row r="204" spans="1:17" x14ac:dyDescent="0.3">
      <c r="A204" s="7"/>
      <c r="B204" s="50"/>
      <c r="C204" s="24" t="s">
        <v>207</v>
      </c>
      <c r="D204" s="49"/>
      <c r="E204" s="6">
        <v>2</v>
      </c>
      <c r="F204" s="6">
        <v>0</v>
      </c>
      <c r="G204" s="6">
        <v>0</v>
      </c>
      <c r="H204" s="6">
        <v>1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5">
        <f t="shared" si="39"/>
        <v>3</v>
      </c>
    </row>
    <row r="205" spans="1:17" x14ac:dyDescent="0.3">
      <c r="A205" s="7"/>
      <c r="B205" s="50"/>
      <c r="C205" s="24" t="s">
        <v>208</v>
      </c>
      <c r="D205" s="49"/>
      <c r="E205" s="6">
        <v>1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1</v>
      </c>
      <c r="Q205" s="5">
        <f t="shared" si="39"/>
        <v>2</v>
      </c>
    </row>
    <row r="206" spans="1:17" x14ac:dyDescent="0.3">
      <c r="A206" s="7"/>
      <c r="B206" s="50"/>
      <c r="C206" s="24" t="s">
        <v>209</v>
      </c>
      <c r="D206" s="49"/>
      <c r="E206" s="6">
        <v>0</v>
      </c>
      <c r="F206" s="6">
        <v>0</v>
      </c>
      <c r="G206" s="6">
        <v>1</v>
      </c>
      <c r="H206" s="6">
        <v>0</v>
      </c>
      <c r="I206" s="6">
        <v>1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5">
        <f t="shared" si="39"/>
        <v>2</v>
      </c>
    </row>
    <row r="207" spans="1:17" ht="13.15" customHeight="1" x14ac:dyDescent="0.3">
      <c r="A207" s="7"/>
      <c r="B207" s="50"/>
      <c r="C207" s="24" t="s">
        <v>210</v>
      </c>
      <c r="D207" s="49"/>
      <c r="E207" s="6">
        <v>0</v>
      </c>
      <c r="F207" s="6">
        <v>0</v>
      </c>
      <c r="G207" s="6">
        <v>0</v>
      </c>
      <c r="H207" s="6">
        <v>1</v>
      </c>
      <c r="I207" s="6">
        <v>2</v>
      </c>
      <c r="J207" s="6">
        <v>1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5">
        <f t="shared" si="39"/>
        <v>4</v>
      </c>
    </row>
    <row r="208" spans="1:17" x14ac:dyDescent="0.3">
      <c r="A208" s="7"/>
      <c r="B208" s="50"/>
      <c r="C208" s="24" t="s">
        <v>211</v>
      </c>
      <c r="D208" s="49"/>
      <c r="E208" s="6">
        <v>0</v>
      </c>
      <c r="F208" s="6">
        <v>0</v>
      </c>
      <c r="G208" s="6">
        <v>0</v>
      </c>
      <c r="H208" s="6">
        <v>0</v>
      </c>
      <c r="I208" s="6">
        <v>1</v>
      </c>
      <c r="J208" s="6">
        <v>0</v>
      </c>
      <c r="K208" s="6">
        <v>1</v>
      </c>
      <c r="L208" s="6">
        <v>0</v>
      </c>
      <c r="M208" s="6">
        <v>0</v>
      </c>
      <c r="N208" s="6">
        <v>1</v>
      </c>
      <c r="O208" s="6">
        <v>0</v>
      </c>
      <c r="P208" s="6">
        <v>0</v>
      </c>
      <c r="Q208" s="5">
        <f t="shared" si="39"/>
        <v>3</v>
      </c>
    </row>
    <row r="209" spans="1:17" x14ac:dyDescent="0.3">
      <c r="A209" s="7"/>
      <c r="B209" s="50"/>
      <c r="C209" s="24" t="s">
        <v>212</v>
      </c>
      <c r="D209" s="49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5">
        <f t="shared" si="39"/>
        <v>0</v>
      </c>
    </row>
    <row r="210" spans="1:17" x14ac:dyDescent="0.3">
      <c r="A210" s="7"/>
      <c r="B210" s="50"/>
      <c r="C210" s="24" t="s">
        <v>213</v>
      </c>
      <c r="D210" s="49"/>
      <c r="E210" s="6">
        <v>0</v>
      </c>
      <c r="F210" s="6">
        <v>0</v>
      </c>
      <c r="G210" s="6">
        <v>0</v>
      </c>
      <c r="H210" s="6">
        <v>1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2</v>
      </c>
      <c r="Q210" s="5">
        <f t="shared" si="39"/>
        <v>3</v>
      </c>
    </row>
    <row r="211" spans="1:17" x14ac:dyDescent="0.3">
      <c r="A211" s="6" t="s">
        <v>26</v>
      </c>
      <c r="B211" s="84" t="s">
        <v>51</v>
      </c>
      <c r="C211" s="87"/>
      <c r="D211" s="88"/>
      <c r="E211" s="5">
        <f t="shared" ref="E211:Q211" si="40">SUM(E201:E210)</f>
        <v>6</v>
      </c>
      <c r="F211" s="5">
        <f t="shared" si="40"/>
        <v>8</v>
      </c>
      <c r="G211" s="5">
        <f t="shared" si="40"/>
        <v>2</v>
      </c>
      <c r="H211" s="5">
        <f t="shared" si="40"/>
        <v>10</v>
      </c>
      <c r="I211" s="5">
        <f t="shared" si="40"/>
        <v>8</v>
      </c>
      <c r="J211" s="5">
        <f t="shared" si="40"/>
        <v>5</v>
      </c>
      <c r="K211" s="5">
        <f t="shared" si="40"/>
        <v>9</v>
      </c>
      <c r="L211" s="5">
        <f t="shared" si="40"/>
        <v>5</v>
      </c>
      <c r="M211" s="5">
        <f t="shared" si="40"/>
        <v>6</v>
      </c>
      <c r="N211" s="5">
        <f t="shared" si="40"/>
        <v>7</v>
      </c>
      <c r="O211" s="5">
        <f t="shared" si="40"/>
        <v>9</v>
      </c>
      <c r="P211" s="5">
        <f t="shared" si="40"/>
        <v>11</v>
      </c>
      <c r="Q211" s="5">
        <f t="shared" si="40"/>
        <v>86</v>
      </c>
    </row>
    <row r="212" spans="1:17" x14ac:dyDescent="0.3">
      <c r="A212" s="62"/>
      <c r="B212" s="89"/>
      <c r="C212" s="89"/>
      <c r="D212" s="89"/>
      <c r="E212" s="90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</row>
    <row r="213" spans="1:17" x14ac:dyDescent="0.3">
      <c r="A213" s="11" t="s">
        <v>48</v>
      </c>
      <c r="B213" s="17" t="s">
        <v>75</v>
      </c>
      <c r="C213" s="86" t="s">
        <v>76</v>
      </c>
      <c r="D213" s="64"/>
      <c r="E213" s="6">
        <v>0</v>
      </c>
      <c r="F213" s="6">
        <v>1</v>
      </c>
      <c r="G213" s="6">
        <v>1</v>
      </c>
      <c r="H213" s="6">
        <v>4</v>
      </c>
      <c r="I213" s="6">
        <v>5</v>
      </c>
      <c r="J213" s="6">
        <v>5</v>
      </c>
      <c r="K213" s="6">
        <v>0</v>
      </c>
      <c r="L213" s="6">
        <v>1</v>
      </c>
      <c r="M213" s="6">
        <v>4</v>
      </c>
      <c r="N213" s="6">
        <v>3</v>
      </c>
      <c r="O213" s="6">
        <v>2</v>
      </c>
      <c r="P213" s="6">
        <v>0</v>
      </c>
      <c r="Q213" s="5">
        <f t="shared" ref="Q213:Q222" si="41">SUM(E213:P213)</f>
        <v>26</v>
      </c>
    </row>
    <row r="214" spans="1:17" x14ac:dyDescent="0.3">
      <c r="A214" s="11" t="s">
        <v>50</v>
      </c>
      <c r="B214" s="50"/>
      <c r="C214" s="24" t="s">
        <v>214</v>
      </c>
      <c r="D214" s="49"/>
      <c r="E214" s="6">
        <v>0</v>
      </c>
      <c r="F214" s="6">
        <v>1</v>
      </c>
      <c r="G214" s="6">
        <v>2</v>
      </c>
      <c r="H214" s="6">
        <v>0</v>
      </c>
      <c r="I214" s="6">
        <v>0</v>
      </c>
      <c r="J214" s="6">
        <v>0</v>
      </c>
      <c r="K214" s="6">
        <v>1</v>
      </c>
      <c r="L214" s="6">
        <v>1</v>
      </c>
      <c r="M214" s="6">
        <v>1</v>
      </c>
      <c r="N214" s="6">
        <v>0</v>
      </c>
      <c r="O214" s="6">
        <v>1</v>
      </c>
      <c r="P214" s="6">
        <v>0</v>
      </c>
      <c r="Q214" s="5">
        <f t="shared" si="41"/>
        <v>7</v>
      </c>
    </row>
    <row r="215" spans="1:17" x14ac:dyDescent="0.3">
      <c r="A215" s="7"/>
      <c r="B215" s="50"/>
      <c r="C215" s="24" t="s">
        <v>215</v>
      </c>
      <c r="D215" s="49"/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1</v>
      </c>
      <c r="K215" s="6">
        <v>2</v>
      </c>
      <c r="L215" s="6">
        <v>0</v>
      </c>
      <c r="M215" s="6">
        <v>1</v>
      </c>
      <c r="N215" s="6">
        <v>2</v>
      </c>
      <c r="O215" s="6">
        <v>0</v>
      </c>
      <c r="P215" s="6">
        <v>1</v>
      </c>
      <c r="Q215" s="5">
        <f t="shared" si="41"/>
        <v>7</v>
      </c>
    </row>
    <row r="216" spans="1:17" x14ac:dyDescent="0.3">
      <c r="A216" s="7"/>
      <c r="B216" s="50"/>
      <c r="C216" s="24" t="s">
        <v>216</v>
      </c>
      <c r="D216" s="49"/>
      <c r="E216" s="6">
        <v>0</v>
      </c>
      <c r="F216" s="6">
        <v>0</v>
      </c>
      <c r="G216" s="6">
        <v>0</v>
      </c>
      <c r="H216" s="6">
        <v>0</v>
      </c>
      <c r="I216" s="6">
        <v>2</v>
      </c>
      <c r="J216" s="6">
        <v>0</v>
      </c>
      <c r="K216" s="6">
        <v>0</v>
      </c>
      <c r="L216" s="6">
        <v>1</v>
      </c>
      <c r="M216" s="6">
        <v>0</v>
      </c>
      <c r="N216" s="6">
        <v>0</v>
      </c>
      <c r="O216" s="6">
        <v>1</v>
      </c>
      <c r="P216" s="6">
        <v>0</v>
      </c>
      <c r="Q216" s="5">
        <f t="shared" si="41"/>
        <v>4</v>
      </c>
    </row>
    <row r="217" spans="1:17" x14ac:dyDescent="0.3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5">
        <f t="shared" si="41"/>
        <v>0</v>
      </c>
    </row>
    <row r="218" spans="1:17" ht="13.15" customHeight="1" x14ac:dyDescent="0.3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5">
        <f t="shared" si="41"/>
        <v>0</v>
      </c>
    </row>
    <row r="219" spans="1:17" x14ac:dyDescent="0.3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5">
        <f t="shared" si="41"/>
        <v>0</v>
      </c>
    </row>
    <row r="220" spans="1:17" x14ac:dyDescent="0.3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5">
        <f t="shared" si="41"/>
        <v>0</v>
      </c>
    </row>
    <row r="221" spans="1:17" x14ac:dyDescent="0.3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5">
        <f t="shared" si="41"/>
        <v>0</v>
      </c>
    </row>
    <row r="222" spans="1:17" x14ac:dyDescent="0.3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5">
        <f t="shared" si="41"/>
        <v>0</v>
      </c>
    </row>
    <row r="223" spans="1:17" x14ac:dyDescent="0.3">
      <c r="A223" s="6" t="s">
        <v>26</v>
      </c>
      <c r="B223" s="84" t="s">
        <v>51</v>
      </c>
      <c r="C223" s="87"/>
      <c r="D223" s="88"/>
      <c r="E223" s="5">
        <f t="shared" ref="E223:Q223" si="42">SUM(E213:E222)</f>
        <v>0</v>
      </c>
      <c r="F223" s="5">
        <f t="shared" si="42"/>
        <v>2</v>
      </c>
      <c r="G223" s="5">
        <f t="shared" si="42"/>
        <v>3</v>
      </c>
      <c r="H223" s="5">
        <f t="shared" si="42"/>
        <v>4</v>
      </c>
      <c r="I223" s="5">
        <f t="shared" si="42"/>
        <v>7</v>
      </c>
      <c r="J223" s="5">
        <f t="shared" si="42"/>
        <v>6</v>
      </c>
      <c r="K223" s="5">
        <f t="shared" si="42"/>
        <v>3</v>
      </c>
      <c r="L223" s="5">
        <f t="shared" si="42"/>
        <v>3</v>
      </c>
      <c r="M223" s="5">
        <f t="shared" si="42"/>
        <v>6</v>
      </c>
      <c r="N223" s="5">
        <f t="shared" si="42"/>
        <v>5</v>
      </c>
      <c r="O223" s="5">
        <f t="shared" si="42"/>
        <v>4</v>
      </c>
      <c r="P223" s="5">
        <f t="shared" si="42"/>
        <v>1</v>
      </c>
      <c r="Q223" s="5">
        <f t="shared" si="42"/>
        <v>44</v>
      </c>
    </row>
    <row r="224" spans="1:17" x14ac:dyDescent="0.3">
      <c r="A224" s="62"/>
      <c r="B224" s="89"/>
      <c r="C224" s="89"/>
      <c r="D224" s="89"/>
      <c r="E224" s="90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</row>
    <row r="225" spans="1:17" x14ac:dyDescent="0.3">
      <c r="A225" s="11" t="s">
        <v>48</v>
      </c>
      <c r="B225" s="17" t="s">
        <v>77</v>
      </c>
      <c r="C225" s="86" t="s">
        <v>78</v>
      </c>
      <c r="D225" s="64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5">
        <f t="shared" ref="Q225:Q234" si="43">SUM(E225:P225)</f>
        <v>0</v>
      </c>
    </row>
    <row r="226" spans="1:17" x14ac:dyDescent="0.3">
      <c r="A226" s="11" t="s">
        <v>50</v>
      </c>
      <c r="B226" s="50"/>
      <c r="C226" s="24" t="s">
        <v>217</v>
      </c>
      <c r="D226" s="49"/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1</v>
      </c>
      <c r="N226" s="6">
        <v>0</v>
      </c>
      <c r="O226" s="6">
        <v>0</v>
      </c>
      <c r="P226" s="6">
        <v>0</v>
      </c>
      <c r="Q226" s="5">
        <f t="shared" si="43"/>
        <v>1</v>
      </c>
    </row>
    <row r="227" spans="1:17" x14ac:dyDescent="0.3">
      <c r="A227" s="7"/>
      <c r="B227" s="50"/>
      <c r="C227" s="24" t="s">
        <v>218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5">
        <f t="shared" si="43"/>
        <v>0</v>
      </c>
    </row>
    <row r="228" spans="1:17" x14ac:dyDescent="0.3">
      <c r="A228" s="7"/>
      <c r="B228" s="50"/>
      <c r="C228" s="24" t="s">
        <v>219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5">
        <f t="shared" si="43"/>
        <v>0</v>
      </c>
    </row>
    <row r="229" spans="1:17" ht="13.15" customHeight="1" x14ac:dyDescent="0.3">
      <c r="A229" s="7"/>
      <c r="B229" s="50"/>
      <c r="C229" s="24" t="s">
        <v>220</v>
      </c>
      <c r="D229" s="49"/>
      <c r="E229" s="6">
        <v>1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5">
        <f t="shared" si="43"/>
        <v>1</v>
      </c>
    </row>
    <row r="230" spans="1:17" x14ac:dyDescent="0.3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5">
        <f t="shared" si="43"/>
        <v>0</v>
      </c>
    </row>
    <row r="231" spans="1:17" x14ac:dyDescent="0.3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5">
        <f t="shared" si="43"/>
        <v>0</v>
      </c>
    </row>
    <row r="232" spans="1:17" x14ac:dyDescent="0.3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5">
        <f t="shared" si="43"/>
        <v>0</v>
      </c>
    </row>
    <row r="233" spans="1:17" x14ac:dyDescent="0.3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5">
        <f t="shared" si="43"/>
        <v>0</v>
      </c>
    </row>
    <row r="234" spans="1:17" x14ac:dyDescent="0.3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5">
        <f t="shared" si="43"/>
        <v>0</v>
      </c>
    </row>
    <row r="235" spans="1:17" x14ac:dyDescent="0.3">
      <c r="A235" s="6" t="s">
        <v>26</v>
      </c>
      <c r="B235" s="84" t="s">
        <v>51</v>
      </c>
      <c r="C235" s="87"/>
      <c r="D235" s="88"/>
      <c r="E235" s="5">
        <f t="shared" ref="E235:Q235" si="44">SUM(E225:E234)</f>
        <v>1</v>
      </c>
      <c r="F235" s="5">
        <f t="shared" si="44"/>
        <v>0</v>
      </c>
      <c r="G235" s="5">
        <f t="shared" si="44"/>
        <v>0</v>
      </c>
      <c r="H235" s="5">
        <f t="shared" si="44"/>
        <v>0</v>
      </c>
      <c r="I235" s="5">
        <f t="shared" si="44"/>
        <v>0</v>
      </c>
      <c r="J235" s="5">
        <f t="shared" si="44"/>
        <v>0</v>
      </c>
      <c r="K235" s="5">
        <f t="shared" si="44"/>
        <v>0</v>
      </c>
      <c r="L235" s="5">
        <f t="shared" si="44"/>
        <v>0</v>
      </c>
      <c r="M235" s="5">
        <f t="shared" si="44"/>
        <v>1</v>
      </c>
      <c r="N235" s="5">
        <f t="shared" si="44"/>
        <v>0</v>
      </c>
      <c r="O235" s="5">
        <f t="shared" si="44"/>
        <v>0</v>
      </c>
      <c r="P235" s="5">
        <f t="shared" si="44"/>
        <v>0</v>
      </c>
      <c r="Q235" s="5">
        <f t="shared" si="44"/>
        <v>2</v>
      </c>
    </row>
    <row r="236" spans="1:17" x14ac:dyDescent="0.3">
      <c r="A236" s="62"/>
      <c r="B236" s="89"/>
      <c r="C236" s="89"/>
      <c r="D236" s="89"/>
      <c r="E236" s="90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</row>
    <row r="237" spans="1:17" x14ac:dyDescent="0.3">
      <c r="A237" s="11" t="s">
        <v>48</v>
      </c>
      <c r="B237" s="17" t="s">
        <v>79</v>
      </c>
      <c r="C237" s="86" t="s">
        <v>80</v>
      </c>
      <c r="D237" s="64"/>
      <c r="E237" s="6">
        <v>1</v>
      </c>
      <c r="F237" s="6">
        <v>1</v>
      </c>
      <c r="G237" s="6">
        <v>0</v>
      </c>
      <c r="H237" s="6">
        <v>0</v>
      </c>
      <c r="I237" s="6">
        <v>4</v>
      </c>
      <c r="J237" s="6">
        <v>1</v>
      </c>
      <c r="K237" s="6">
        <v>2</v>
      </c>
      <c r="L237" s="6">
        <v>0</v>
      </c>
      <c r="M237" s="6">
        <v>1</v>
      </c>
      <c r="N237" s="6">
        <v>0</v>
      </c>
      <c r="O237" s="6">
        <v>0</v>
      </c>
      <c r="P237" s="6">
        <v>0</v>
      </c>
      <c r="Q237" s="5">
        <f t="shared" ref="Q237:Q246" si="45">SUM(E237:P237)</f>
        <v>10</v>
      </c>
    </row>
    <row r="238" spans="1:17" x14ac:dyDescent="0.3">
      <c r="A238" s="11" t="s">
        <v>50</v>
      </c>
      <c r="B238" s="50"/>
      <c r="C238" s="24" t="s">
        <v>221</v>
      </c>
      <c r="D238" s="49"/>
      <c r="E238" s="6">
        <v>3</v>
      </c>
      <c r="F238" s="6">
        <v>0</v>
      </c>
      <c r="G238" s="6">
        <v>1</v>
      </c>
      <c r="H238" s="6">
        <v>0</v>
      </c>
      <c r="I238" s="6">
        <v>1</v>
      </c>
      <c r="J238" s="6">
        <v>0</v>
      </c>
      <c r="K238" s="6">
        <v>2</v>
      </c>
      <c r="L238" s="6">
        <v>0</v>
      </c>
      <c r="M238" s="6">
        <v>0</v>
      </c>
      <c r="N238" s="6">
        <v>1</v>
      </c>
      <c r="O238" s="6">
        <v>0</v>
      </c>
      <c r="P238" s="6">
        <v>1</v>
      </c>
      <c r="Q238" s="5">
        <f t="shared" si="45"/>
        <v>9</v>
      </c>
    </row>
    <row r="239" spans="1:17" x14ac:dyDescent="0.3">
      <c r="A239" s="7"/>
      <c r="B239" s="50"/>
      <c r="C239" s="24" t="s">
        <v>222</v>
      </c>
      <c r="D239" s="49"/>
      <c r="E239" s="6">
        <v>0</v>
      </c>
      <c r="F239" s="6">
        <v>0</v>
      </c>
      <c r="G239" s="6">
        <v>0</v>
      </c>
      <c r="H239" s="6">
        <v>0</v>
      </c>
      <c r="I239" s="6">
        <v>4</v>
      </c>
      <c r="J239" s="6">
        <v>1</v>
      </c>
      <c r="K239" s="6">
        <v>1</v>
      </c>
      <c r="L239" s="6">
        <v>3</v>
      </c>
      <c r="M239" s="6">
        <v>1</v>
      </c>
      <c r="N239" s="6">
        <v>0</v>
      </c>
      <c r="O239" s="6">
        <v>3</v>
      </c>
      <c r="P239" s="6">
        <v>4</v>
      </c>
      <c r="Q239" s="5">
        <f t="shared" si="45"/>
        <v>17</v>
      </c>
    </row>
    <row r="240" spans="1:17" ht="13.15" customHeight="1" x14ac:dyDescent="0.3">
      <c r="A240" s="7"/>
      <c r="B240" s="50"/>
      <c r="C240" s="24" t="s">
        <v>223</v>
      </c>
      <c r="D240" s="49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5">
        <f t="shared" si="45"/>
        <v>0</v>
      </c>
    </row>
    <row r="241" spans="1:17" x14ac:dyDescent="0.3">
      <c r="A241" s="7"/>
      <c r="B241" s="50"/>
      <c r="C241" s="24" t="s">
        <v>224</v>
      </c>
      <c r="D241" s="49"/>
      <c r="E241" s="6">
        <v>0</v>
      </c>
      <c r="F241" s="6">
        <v>0</v>
      </c>
      <c r="G241" s="6">
        <v>0</v>
      </c>
      <c r="H241" s="6">
        <v>0</v>
      </c>
      <c r="I241" s="6">
        <v>1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5">
        <f t="shared" si="45"/>
        <v>1</v>
      </c>
    </row>
    <row r="242" spans="1:17" ht="12.75" customHeight="1" x14ac:dyDescent="0.3">
      <c r="A242" s="7"/>
      <c r="B242" s="50"/>
      <c r="C242" s="24" t="s">
        <v>225</v>
      </c>
      <c r="D242" s="49"/>
      <c r="E242" s="6">
        <v>3</v>
      </c>
      <c r="F242" s="6">
        <v>0</v>
      </c>
      <c r="G242" s="6">
        <v>0</v>
      </c>
      <c r="H242" s="6">
        <v>0</v>
      </c>
      <c r="I242" s="6">
        <v>1</v>
      </c>
      <c r="J242" s="6">
        <v>0</v>
      </c>
      <c r="K242" s="6">
        <v>0</v>
      </c>
      <c r="L242" s="6">
        <v>0</v>
      </c>
      <c r="M242" s="6">
        <v>0</v>
      </c>
      <c r="N242" s="6">
        <v>2</v>
      </c>
      <c r="O242" s="6">
        <v>0</v>
      </c>
      <c r="P242" s="6">
        <v>0</v>
      </c>
      <c r="Q242" s="5">
        <f t="shared" si="45"/>
        <v>6</v>
      </c>
    </row>
    <row r="243" spans="1:17" x14ac:dyDescent="0.3">
      <c r="A243" s="7"/>
      <c r="B243" s="50"/>
      <c r="C243" s="24" t="s">
        <v>226</v>
      </c>
      <c r="D243" s="49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1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5">
        <f t="shared" si="45"/>
        <v>1</v>
      </c>
    </row>
    <row r="244" spans="1:17" x14ac:dyDescent="0.3">
      <c r="A244" s="7"/>
      <c r="B244" s="50"/>
      <c r="C244" s="24" t="s">
        <v>227</v>
      </c>
      <c r="D244" s="49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1</v>
      </c>
      <c r="M244" s="6">
        <v>0</v>
      </c>
      <c r="N244" s="6">
        <v>0</v>
      </c>
      <c r="O244" s="6">
        <v>0</v>
      </c>
      <c r="P244" s="6">
        <v>0</v>
      </c>
      <c r="Q244" s="5">
        <f t="shared" si="45"/>
        <v>1</v>
      </c>
    </row>
    <row r="245" spans="1:17" x14ac:dyDescent="0.3">
      <c r="A245" s="7"/>
      <c r="B245" s="50"/>
      <c r="C245" s="24" t="s">
        <v>228</v>
      </c>
      <c r="D245" s="49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5">
        <f t="shared" si="45"/>
        <v>0</v>
      </c>
    </row>
    <row r="246" spans="1:17" x14ac:dyDescent="0.3">
      <c r="A246" s="7"/>
      <c r="B246" s="50"/>
      <c r="C246" s="24" t="s">
        <v>229</v>
      </c>
      <c r="D246" s="49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1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5">
        <f t="shared" si="45"/>
        <v>1</v>
      </c>
    </row>
    <row r="247" spans="1:17" ht="12.75" customHeight="1" x14ac:dyDescent="0.3">
      <c r="A247" s="6" t="s">
        <v>26</v>
      </c>
      <c r="B247" s="84" t="s">
        <v>51</v>
      </c>
      <c r="C247" s="87"/>
      <c r="D247" s="88"/>
      <c r="E247" s="5">
        <f t="shared" ref="E247:Q247" si="46">SUM(E237:E246)</f>
        <v>7</v>
      </c>
      <c r="F247" s="5">
        <f t="shared" si="46"/>
        <v>1</v>
      </c>
      <c r="G247" s="5">
        <f t="shared" si="46"/>
        <v>1</v>
      </c>
      <c r="H247" s="5">
        <f t="shared" si="46"/>
        <v>0</v>
      </c>
      <c r="I247" s="5">
        <f t="shared" si="46"/>
        <v>11</v>
      </c>
      <c r="J247" s="5">
        <f t="shared" si="46"/>
        <v>3</v>
      </c>
      <c r="K247" s="5">
        <f t="shared" si="46"/>
        <v>6</v>
      </c>
      <c r="L247" s="5">
        <f t="shared" si="46"/>
        <v>4</v>
      </c>
      <c r="M247" s="5">
        <f t="shared" si="46"/>
        <v>2</v>
      </c>
      <c r="N247" s="5">
        <f t="shared" si="46"/>
        <v>3</v>
      </c>
      <c r="O247" s="5">
        <f t="shared" si="46"/>
        <v>3</v>
      </c>
      <c r="P247" s="5">
        <f t="shared" si="46"/>
        <v>5</v>
      </c>
      <c r="Q247" s="5">
        <f t="shared" si="46"/>
        <v>46</v>
      </c>
    </row>
    <row r="248" spans="1:17" x14ac:dyDescent="0.3">
      <c r="A248" s="62"/>
      <c r="B248" s="89"/>
      <c r="C248" s="89"/>
      <c r="D248" s="89"/>
      <c r="E248" s="90"/>
    </row>
    <row r="249" spans="1:17" x14ac:dyDescent="0.3">
      <c r="A249" s="11" t="s">
        <v>48</v>
      </c>
      <c r="B249" s="17" t="s">
        <v>81</v>
      </c>
      <c r="C249" s="86" t="s">
        <v>82</v>
      </c>
      <c r="D249" s="64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5">
        <f t="shared" ref="Q249:Q258" si="47">SUM(E249:P249)</f>
        <v>0</v>
      </c>
    </row>
    <row r="250" spans="1:17" x14ac:dyDescent="0.3">
      <c r="A250" s="11" t="s">
        <v>50</v>
      </c>
      <c r="B250" s="50"/>
      <c r="C250" s="24" t="s">
        <v>230</v>
      </c>
      <c r="D250" s="49"/>
      <c r="E250" s="6">
        <v>0</v>
      </c>
      <c r="F250" s="6">
        <v>0</v>
      </c>
      <c r="G250" s="6">
        <v>0</v>
      </c>
      <c r="H250" s="6">
        <v>1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5">
        <f t="shared" si="47"/>
        <v>1</v>
      </c>
    </row>
    <row r="251" spans="1:17" x14ac:dyDescent="0.3">
      <c r="A251" s="7"/>
      <c r="B251" s="50"/>
      <c r="C251" s="24" t="s">
        <v>231</v>
      </c>
      <c r="D251" s="49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5">
        <f t="shared" si="47"/>
        <v>0</v>
      </c>
    </row>
    <row r="252" spans="1:17" x14ac:dyDescent="0.3">
      <c r="A252" s="7"/>
      <c r="B252" s="50"/>
      <c r="C252" s="24" t="s">
        <v>232</v>
      </c>
      <c r="D252" s="49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5">
        <f t="shared" si="47"/>
        <v>0</v>
      </c>
    </row>
    <row r="253" spans="1:17" x14ac:dyDescent="0.3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5">
        <f t="shared" si="47"/>
        <v>0</v>
      </c>
    </row>
    <row r="254" spans="1:17" x14ac:dyDescent="0.3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5">
        <f t="shared" si="47"/>
        <v>0</v>
      </c>
    </row>
    <row r="255" spans="1:17" x14ac:dyDescent="0.3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5">
        <f t="shared" si="47"/>
        <v>0</v>
      </c>
    </row>
    <row r="256" spans="1:17" x14ac:dyDescent="0.3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5">
        <f t="shared" si="47"/>
        <v>0</v>
      </c>
    </row>
    <row r="257" spans="1:17" x14ac:dyDescent="0.3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5">
        <f t="shared" si="47"/>
        <v>0</v>
      </c>
    </row>
    <row r="258" spans="1:17" x14ac:dyDescent="0.3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5">
        <f t="shared" si="47"/>
        <v>0</v>
      </c>
    </row>
    <row r="259" spans="1:17" x14ac:dyDescent="0.3">
      <c r="A259" s="6" t="s">
        <v>26</v>
      </c>
      <c r="B259" s="84" t="s">
        <v>51</v>
      </c>
      <c r="C259" s="87"/>
      <c r="D259" s="88"/>
      <c r="E259" s="5">
        <f t="shared" ref="E259:Q259" si="48">SUM(E249:E258)</f>
        <v>0</v>
      </c>
      <c r="F259" s="5">
        <f t="shared" si="48"/>
        <v>0</v>
      </c>
      <c r="G259" s="5">
        <f t="shared" si="48"/>
        <v>0</v>
      </c>
      <c r="H259" s="5">
        <f t="shared" si="48"/>
        <v>1</v>
      </c>
      <c r="I259" s="5">
        <f t="shared" si="48"/>
        <v>0</v>
      </c>
      <c r="J259" s="5">
        <f t="shared" si="48"/>
        <v>0</v>
      </c>
      <c r="K259" s="5">
        <f t="shared" si="48"/>
        <v>0</v>
      </c>
      <c r="L259" s="5">
        <f t="shared" si="48"/>
        <v>0</v>
      </c>
      <c r="M259" s="5">
        <f t="shared" si="48"/>
        <v>0</v>
      </c>
      <c r="N259" s="5">
        <f t="shared" si="48"/>
        <v>0</v>
      </c>
      <c r="O259" s="5">
        <f t="shared" si="48"/>
        <v>0</v>
      </c>
      <c r="P259" s="5">
        <f t="shared" si="48"/>
        <v>0</v>
      </c>
      <c r="Q259" s="5">
        <f t="shared" si="48"/>
        <v>1</v>
      </c>
    </row>
    <row r="261" spans="1:17" x14ac:dyDescent="0.3">
      <c r="A261" s="16" t="s">
        <v>83</v>
      </c>
      <c r="B261" s="65" t="s">
        <v>84</v>
      </c>
      <c r="C261" s="97"/>
      <c r="D261" s="98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5"/>
    </row>
    <row r="262" spans="1:17" x14ac:dyDescent="0.3">
      <c r="A262" s="16"/>
      <c r="B262" s="19" t="s">
        <v>85</v>
      </c>
      <c r="C262" s="95" t="s">
        <v>86</v>
      </c>
      <c r="D262" s="96"/>
      <c r="E262" s="6">
        <f>E55+E67+E79+E91+E103+E115+E127+E139+E151+E163+E175+E187+E199+E211+E223+E235+E247+E259</f>
        <v>131</v>
      </c>
      <c r="F262" s="6">
        <f t="shared" ref="F262:P262" si="49">F55+F67+F79+F91+F103+F115+F127+F139+F151+F163+F175+F187+F199+F211+F223+F235+F247+F259</f>
        <v>116</v>
      </c>
      <c r="G262" s="6">
        <f t="shared" si="49"/>
        <v>145</v>
      </c>
      <c r="H262" s="6">
        <f t="shared" si="49"/>
        <v>144</v>
      </c>
      <c r="I262" s="6">
        <f t="shared" si="49"/>
        <v>173</v>
      </c>
      <c r="J262" s="6">
        <f t="shared" si="49"/>
        <v>162</v>
      </c>
      <c r="K262" s="6">
        <f t="shared" si="49"/>
        <v>175</v>
      </c>
      <c r="L262" s="6">
        <f t="shared" si="49"/>
        <v>170</v>
      </c>
      <c r="M262" s="6">
        <f t="shared" si="49"/>
        <v>157</v>
      </c>
      <c r="N262" s="6">
        <f t="shared" si="49"/>
        <v>180</v>
      </c>
      <c r="O262" s="6">
        <f t="shared" si="49"/>
        <v>129</v>
      </c>
      <c r="P262" s="6">
        <f t="shared" si="49"/>
        <v>103</v>
      </c>
      <c r="Q262" s="5">
        <f>SUM(E262:P262)</f>
        <v>1785</v>
      </c>
    </row>
    <row r="263" spans="1:17" x14ac:dyDescent="0.3">
      <c r="A263" s="13"/>
      <c r="B263" s="19" t="s">
        <v>87</v>
      </c>
      <c r="C263" s="95" t="s">
        <v>88</v>
      </c>
      <c r="D263" s="96"/>
      <c r="E263" s="6">
        <v>55</v>
      </c>
      <c r="F263" s="6">
        <v>45</v>
      </c>
      <c r="G263" s="6">
        <v>48</v>
      </c>
      <c r="H263" s="6">
        <v>37</v>
      </c>
      <c r="I263" s="6">
        <v>30</v>
      </c>
      <c r="J263" s="6">
        <v>29</v>
      </c>
      <c r="K263" s="6">
        <v>55</v>
      </c>
      <c r="L263" s="6">
        <v>44</v>
      </c>
      <c r="M263" s="6">
        <v>18</v>
      </c>
      <c r="N263" s="6">
        <v>27</v>
      </c>
      <c r="O263" s="6">
        <v>15</v>
      </c>
      <c r="P263" s="6">
        <v>16</v>
      </c>
      <c r="Q263" s="5">
        <f>SUM(E263:P263)</f>
        <v>419</v>
      </c>
    </row>
    <row r="264" spans="1:17" x14ac:dyDescent="0.3">
      <c r="A264" s="14"/>
      <c r="B264" s="19" t="s">
        <v>89</v>
      </c>
      <c r="C264" s="95" t="s">
        <v>90</v>
      </c>
      <c r="D264" s="96"/>
      <c r="E264" s="5">
        <f>SUM(E262:E263)</f>
        <v>186</v>
      </c>
      <c r="F264" s="5">
        <f t="shared" ref="F264:P264" si="50">SUM(F262:F263)</f>
        <v>161</v>
      </c>
      <c r="G264" s="5">
        <f t="shared" si="50"/>
        <v>193</v>
      </c>
      <c r="H264" s="5">
        <f t="shared" si="50"/>
        <v>181</v>
      </c>
      <c r="I264" s="5">
        <f t="shared" si="50"/>
        <v>203</v>
      </c>
      <c r="J264" s="5">
        <f t="shared" si="50"/>
        <v>191</v>
      </c>
      <c r="K264" s="5">
        <f t="shared" si="50"/>
        <v>230</v>
      </c>
      <c r="L264" s="5">
        <f t="shared" si="50"/>
        <v>214</v>
      </c>
      <c r="M264" s="5">
        <f t="shared" si="50"/>
        <v>175</v>
      </c>
      <c r="N264" s="5">
        <f t="shared" si="50"/>
        <v>207</v>
      </c>
      <c r="O264" s="5">
        <f t="shared" si="50"/>
        <v>144</v>
      </c>
      <c r="P264" s="5">
        <f t="shared" si="50"/>
        <v>119</v>
      </c>
      <c r="Q264" s="5">
        <f>SUM(E264:P264)</f>
        <v>2204</v>
      </c>
    </row>
  </sheetData>
  <mergeCells count="86"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63:D263"/>
    <mergeCell ref="C264:D264"/>
    <mergeCell ref="B247:D247"/>
    <mergeCell ref="A248:E248"/>
    <mergeCell ref="C249:D249"/>
    <mergeCell ref="B259:D259"/>
    <mergeCell ref="B261:D261"/>
    <mergeCell ref="C262:D262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A44:D44"/>
    <mergeCell ref="C45:D45"/>
    <mergeCell ref="B39:C41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E37:I37"/>
    <mergeCell ref="B38:D38"/>
    <mergeCell ref="A42:D42"/>
    <mergeCell ref="E42:I42"/>
    <mergeCell ref="B43:D43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B12:D12"/>
    <mergeCell ref="E12:P12"/>
    <mergeCell ref="Q12:Q13"/>
    <mergeCell ref="B13:D13"/>
    <mergeCell ref="B14:C16"/>
    <mergeCell ref="A17:D17"/>
    <mergeCell ref="B18:D18"/>
    <mergeCell ref="B19:B21"/>
    <mergeCell ref="C19:C21"/>
    <mergeCell ref="B22:B24"/>
    <mergeCell ref="C22:C24"/>
  </mergeCells>
  <conditionalFormatting sqref="E14:P15">
    <cfRule type="containsBlanks" dxfId="140" priority="21">
      <formula>LEN(TRIM(E14))=0</formula>
    </cfRule>
  </conditionalFormatting>
  <conditionalFormatting sqref="E19:P20">
    <cfRule type="containsBlanks" dxfId="139" priority="24">
      <formula>LEN(TRIM(E19))=0</formula>
    </cfRule>
  </conditionalFormatting>
  <conditionalFormatting sqref="E22:P23 E25:P26 E33:P33 E35:P35 E39:P40">
    <cfRule type="containsBlanks" dxfId="138" priority="25">
      <formula>LEN(TRIM(E22))=0</formula>
    </cfRule>
  </conditionalFormatting>
  <conditionalFormatting sqref="E30:P30">
    <cfRule type="expression" dxfId="137" priority="26">
      <formula>E30&lt;&gt;E47</formula>
    </cfRule>
    <cfRule type="expression" dxfId="136" priority="27">
      <formula>E30&lt;&gt;E34</formula>
    </cfRule>
  </conditionalFormatting>
  <conditionalFormatting sqref="E34:P34">
    <cfRule type="expression" dxfId="135" priority="22">
      <formula>E30&lt;&gt;E34</formula>
    </cfRule>
    <cfRule type="expression" dxfId="134" priority="23">
      <formula>E30=E34</formula>
    </cfRule>
    <cfRule type="expression" dxfId="133" priority="28">
      <formula>E34&lt;&gt;E30</formula>
    </cfRule>
    <cfRule type="expression" dxfId="132" priority="30">
      <formula>E34&lt;&gt;E64</formula>
    </cfRule>
  </conditionalFormatting>
  <conditionalFormatting sqref="E45:P54">
    <cfRule type="containsBlanks" dxfId="131" priority="20">
      <formula>LEN(TRIM(E45))=0</formula>
    </cfRule>
  </conditionalFormatting>
  <conditionalFormatting sqref="E57:P66">
    <cfRule type="containsBlanks" dxfId="130" priority="19">
      <formula>LEN(TRIM(E57))=0</formula>
    </cfRule>
  </conditionalFormatting>
  <conditionalFormatting sqref="E69:P78">
    <cfRule type="containsBlanks" dxfId="129" priority="18">
      <formula>LEN(TRIM(E69))=0</formula>
    </cfRule>
  </conditionalFormatting>
  <conditionalFormatting sqref="E81:P90">
    <cfRule type="containsBlanks" dxfId="128" priority="17">
      <formula>LEN(TRIM(E81))=0</formula>
    </cfRule>
  </conditionalFormatting>
  <conditionalFormatting sqref="E93:P102">
    <cfRule type="containsBlanks" dxfId="127" priority="16">
      <formula>LEN(TRIM(E93))=0</formula>
    </cfRule>
  </conditionalFormatting>
  <conditionalFormatting sqref="E105:P114">
    <cfRule type="containsBlanks" dxfId="126" priority="15">
      <formula>LEN(TRIM(E105))=0</formula>
    </cfRule>
  </conditionalFormatting>
  <conditionalFormatting sqref="E117:P126">
    <cfRule type="containsBlanks" dxfId="125" priority="1">
      <formula>LEN(TRIM(E117))=0</formula>
    </cfRule>
  </conditionalFormatting>
  <conditionalFormatting sqref="E129:P138">
    <cfRule type="containsBlanks" dxfId="124" priority="14">
      <formula>LEN(TRIM(E129))=0</formula>
    </cfRule>
  </conditionalFormatting>
  <conditionalFormatting sqref="E141:P150">
    <cfRule type="containsBlanks" dxfId="123" priority="13">
      <formula>LEN(TRIM(E141))=0</formula>
    </cfRule>
  </conditionalFormatting>
  <conditionalFormatting sqref="E153:P162">
    <cfRule type="containsBlanks" dxfId="122" priority="3">
      <formula>LEN(TRIM(E153))=0</formula>
    </cfRule>
  </conditionalFormatting>
  <conditionalFormatting sqref="E165:P174">
    <cfRule type="containsBlanks" dxfId="121" priority="12">
      <formula>LEN(TRIM(E165))=0</formula>
    </cfRule>
  </conditionalFormatting>
  <conditionalFormatting sqref="E177:P186">
    <cfRule type="containsBlanks" dxfId="120" priority="11">
      <formula>LEN(TRIM(E177))=0</formula>
    </cfRule>
  </conditionalFormatting>
  <conditionalFormatting sqref="E189:P198">
    <cfRule type="containsBlanks" dxfId="119" priority="10">
      <formula>LEN(TRIM(E189))=0</formula>
    </cfRule>
  </conditionalFormatting>
  <conditionalFormatting sqref="E201:P210">
    <cfRule type="containsBlanks" dxfId="118" priority="9">
      <formula>LEN(TRIM(E201))=0</formula>
    </cfRule>
  </conditionalFormatting>
  <conditionalFormatting sqref="E213:P222">
    <cfRule type="containsBlanks" dxfId="117" priority="8">
      <formula>LEN(TRIM(E213))=0</formula>
    </cfRule>
  </conditionalFormatting>
  <conditionalFormatting sqref="E225:P234">
    <cfRule type="containsBlanks" dxfId="116" priority="7">
      <formula>LEN(TRIM(E225))=0</formula>
    </cfRule>
  </conditionalFormatting>
  <conditionalFormatting sqref="E237:P246">
    <cfRule type="containsBlanks" dxfId="115" priority="6">
      <formula>LEN(TRIM(E237))=0</formula>
    </cfRule>
  </conditionalFormatting>
  <conditionalFormatting sqref="E249:P258">
    <cfRule type="containsBlanks" dxfId="114" priority="4">
      <formula>LEN(TRIM(E249))=0</formula>
    </cfRule>
  </conditionalFormatting>
  <conditionalFormatting sqref="E262:P263">
    <cfRule type="containsBlanks" dxfId="113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ADC3E-C802-4EDF-840F-8E9CD6EFC90E}">
  <sheetPr>
    <tabColor rgb="FF00B050"/>
  </sheetPr>
  <dimension ref="A2:Q264"/>
  <sheetViews>
    <sheetView zoomScale="85" zoomScaleNormal="85" workbookViewId="0">
      <selection activeCell="J8" sqref="J8"/>
    </sheetView>
  </sheetViews>
  <sheetFormatPr defaultRowHeight="13" x14ac:dyDescent="0.3"/>
  <cols>
    <col min="3" max="3" width="67.09765625" bestFit="1" customWidth="1"/>
    <col min="4" max="4" width="5.8984375" bestFit="1" customWidth="1"/>
    <col min="17" max="17" width="13.296875" customWidth="1"/>
  </cols>
  <sheetData>
    <row r="2" spans="1:17" x14ac:dyDescent="0.3">
      <c r="C2" s="43" t="s">
        <v>98</v>
      </c>
      <c r="D2" s="43" t="s">
        <v>104</v>
      </c>
    </row>
    <row r="3" spans="1:17" x14ac:dyDescent="0.3">
      <c r="C3" s="43" t="s">
        <v>99</v>
      </c>
      <c r="D3" s="43" t="s">
        <v>100</v>
      </c>
    </row>
    <row r="4" spans="1:17" x14ac:dyDescent="0.3">
      <c r="C4" s="43" t="s">
        <v>101</v>
      </c>
      <c r="D4" s="43" t="s">
        <v>102</v>
      </c>
    </row>
    <row r="5" spans="1:17" x14ac:dyDescent="0.3">
      <c r="C5" s="43"/>
      <c r="D5" s="43"/>
    </row>
    <row r="6" spans="1:17" x14ac:dyDescent="0.3">
      <c r="C6" s="43"/>
      <c r="D6" s="43"/>
    </row>
    <row r="7" spans="1:17" x14ac:dyDescent="0.3">
      <c r="C7" s="43"/>
      <c r="D7" s="43"/>
    </row>
    <row r="8" spans="1:17" x14ac:dyDescent="0.3">
      <c r="C8" s="43"/>
      <c r="D8" s="43"/>
    </row>
    <row r="9" spans="1:17" x14ac:dyDescent="0.3">
      <c r="C9" s="43" t="s">
        <v>103</v>
      </c>
      <c r="D9" s="43" t="s">
        <v>112</v>
      </c>
    </row>
    <row r="11" spans="1:17" x14ac:dyDescent="0.3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3"/>
    </row>
    <row r="12" spans="1:17" x14ac:dyDescent="0.3">
      <c r="A12" s="5" t="s">
        <v>0</v>
      </c>
      <c r="B12" s="65" t="s">
        <v>1</v>
      </c>
      <c r="C12" s="63"/>
      <c r="D12" s="64"/>
      <c r="E12" s="99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1" t="s">
        <v>97</v>
      </c>
    </row>
    <row r="13" spans="1:17" x14ac:dyDescent="0.3">
      <c r="A13" s="6" t="s">
        <v>2</v>
      </c>
      <c r="B13" s="76" t="s">
        <v>3</v>
      </c>
      <c r="C13" s="63"/>
      <c r="D13" s="6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102"/>
    </row>
    <row r="14" spans="1:17" x14ac:dyDescent="0.3">
      <c r="A14" s="7"/>
      <c r="B14" s="77" t="s">
        <v>22</v>
      </c>
      <c r="C14" s="78"/>
      <c r="D14" s="6" t="s">
        <v>23</v>
      </c>
      <c r="E14" s="6">
        <v>139</v>
      </c>
      <c r="F14" s="6">
        <v>134</v>
      </c>
      <c r="G14" s="6">
        <v>138</v>
      </c>
      <c r="H14" s="6">
        <v>136</v>
      </c>
      <c r="I14" s="6">
        <v>114</v>
      </c>
      <c r="J14" s="6">
        <v>128</v>
      </c>
      <c r="K14" s="6">
        <v>115</v>
      </c>
      <c r="L14" s="6">
        <v>133</v>
      </c>
      <c r="M14" s="6">
        <v>112</v>
      </c>
      <c r="N14" s="6">
        <v>135</v>
      </c>
      <c r="O14" s="6">
        <v>124</v>
      </c>
      <c r="P14" s="6">
        <v>119</v>
      </c>
      <c r="Q14" s="5">
        <f>SUM(E14:P14)</f>
        <v>1527</v>
      </c>
    </row>
    <row r="15" spans="1:17" x14ac:dyDescent="0.3">
      <c r="A15" s="7"/>
      <c r="B15" s="79"/>
      <c r="C15" s="67"/>
      <c r="D15" s="6" t="s">
        <v>24</v>
      </c>
      <c r="E15" s="6">
        <v>140</v>
      </c>
      <c r="F15" s="6">
        <v>129</v>
      </c>
      <c r="G15" s="6">
        <v>141</v>
      </c>
      <c r="H15" s="6">
        <v>137</v>
      </c>
      <c r="I15" s="6">
        <v>124</v>
      </c>
      <c r="J15" s="6">
        <v>138</v>
      </c>
      <c r="K15" s="6">
        <v>118</v>
      </c>
      <c r="L15" s="6">
        <v>138</v>
      </c>
      <c r="M15" s="6">
        <v>118</v>
      </c>
      <c r="N15" s="6">
        <v>146</v>
      </c>
      <c r="O15" s="6">
        <v>138</v>
      </c>
      <c r="P15" s="6">
        <v>120</v>
      </c>
      <c r="Q15" s="5">
        <f>SUM(E15:P15)</f>
        <v>1587</v>
      </c>
    </row>
    <row r="16" spans="1:17" x14ac:dyDescent="0.3">
      <c r="A16" s="8"/>
      <c r="B16" s="75"/>
      <c r="C16" s="68"/>
      <c r="D16" s="5" t="s">
        <v>25</v>
      </c>
      <c r="E16" s="5">
        <f t="shared" ref="E16:P16" si="0">SUM(E14:E15)</f>
        <v>279</v>
      </c>
      <c r="F16" s="5">
        <f t="shared" si="0"/>
        <v>263</v>
      </c>
      <c r="G16" s="5">
        <f t="shared" si="0"/>
        <v>279</v>
      </c>
      <c r="H16" s="5">
        <f t="shared" si="0"/>
        <v>273</v>
      </c>
      <c r="I16" s="5">
        <f t="shared" si="0"/>
        <v>238</v>
      </c>
      <c r="J16" s="5">
        <f t="shared" si="0"/>
        <v>266</v>
      </c>
      <c r="K16" s="5">
        <f t="shared" si="0"/>
        <v>233</v>
      </c>
      <c r="L16" s="5">
        <f t="shared" si="0"/>
        <v>271</v>
      </c>
      <c r="M16" s="5">
        <f t="shared" si="0"/>
        <v>230</v>
      </c>
      <c r="N16" s="5">
        <f t="shared" ref="N16" si="1">SUM(N14:N15)</f>
        <v>281</v>
      </c>
      <c r="O16" s="5">
        <f t="shared" si="0"/>
        <v>262</v>
      </c>
      <c r="P16" s="5">
        <f t="shared" si="0"/>
        <v>239</v>
      </c>
      <c r="Q16" s="5">
        <f>SUM(E16:P16)</f>
        <v>3114</v>
      </c>
    </row>
    <row r="17" spans="1:17" x14ac:dyDescent="0.3">
      <c r="A17" s="62"/>
      <c r="B17" s="63"/>
      <c r="C17" s="63"/>
      <c r="D17" s="64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28"/>
    </row>
    <row r="18" spans="1:17" x14ac:dyDescent="0.3">
      <c r="A18" s="11" t="s">
        <v>26</v>
      </c>
      <c r="B18" s="76" t="s">
        <v>27</v>
      </c>
      <c r="C18" s="63"/>
      <c r="D18" s="64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28"/>
    </row>
    <row r="19" spans="1:17" x14ac:dyDescent="0.3">
      <c r="A19" s="11"/>
      <c r="B19" s="66" t="s">
        <v>28</v>
      </c>
      <c r="C19" s="69" t="s">
        <v>29</v>
      </c>
      <c r="D19" s="6" t="s">
        <v>23</v>
      </c>
      <c r="E19" s="6">
        <v>120</v>
      </c>
      <c r="F19" s="6">
        <v>107</v>
      </c>
      <c r="G19" s="6">
        <v>100</v>
      </c>
      <c r="H19" s="6">
        <v>100</v>
      </c>
      <c r="I19" s="6">
        <v>93</v>
      </c>
      <c r="J19" s="6">
        <v>107</v>
      </c>
      <c r="K19" s="6">
        <v>90</v>
      </c>
      <c r="L19" s="6">
        <v>110</v>
      </c>
      <c r="M19" s="6">
        <v>88</v>
      </c>
      <c r="N19" s="6">
        <v>100</v>
      </c>
      <c r="O19" s="6">
        <v>88</v>
      </c>
      <c r="P19" s="6">
        <v>90</v>
      </c>
      <c r="Q19" s="5">
        <f t="shared" ref="Q19:Q30" si="2">SUM(E19:P19)</f>
        <v>1193</v>
      </c>
    </row>
    <row r="20" spans="1:17" x14ac:dyDescent="0.3">
      <c r="A20" s="12"/>
      <c r="B20" s="67"/>
      <c r="C20" s="70"/>
      <c r="D20" s="6" t="s">
        <v>24</v>
      </c>
      <c r="E20" s="6">
        <v>116</v>
      </c>
      <c r="F20" s="6">
        <v>115</v>
      </c>
      <c r="G20" s="6">
        <v>111</v>
      </c>
      <c r="H20" s="6">
        <v>109</v>
      </c>
      <c r="I20" s="6">
        <v>113</v>
      </c>
      <c r="J20" s="6">
        <v>120</v>
      </c>
      <c r="K20" s="6">
        <v>102</v>
      </c>
      <c r="L20" s="6">
        <v>119</v>
      </c>
      <c r="M20" s="6">
        <v>95</v>
      </c>
      <c r="N20" s="6">
        <v>107</v>
      </c>
      <c r="O20" s="6">
        <v>110</v>
      </c>
      <c r="P20" s="6">
        <v>97</v>
      </c>
      <c r="Q20" s="5">
        <f t="shared" si="2"/>
        <v>1314</v>
      </c>
    </row>
    <row r="21" spans="1:17" x14ac:dyDescent="0.3">
      <c r="A21" s="13"/>
      <c r="B21" s="68"/>
      <c r="C21" s="71"/>
      <c r="D21" s="5" t="s">
        <v>25</v>
      </c>
      <c r="E21" s="5">
        <f t="shared" ref="E21:P21" si="3">SUM(E19:E20)</f>
        <v>236</v>
      </c>
      <c r="F21" s="5">
        <f t="shared" si="3"/>
        <v>222</v>
      </c>
      <c r="G21" s="5">
        <f t="shared" si="3"/>
        <v>211</v>
      </c>
      <c r="H21" s="5">
        <f t="shared" si="3"/>
        <v>209</v>
      </c>
      <c r="I21" s="5">
        <f t="shared" si="3"/>
        <v>206</v>
      </c>
      <c r="J21" s="5">
        <f t="shared" si="3"/>
        <v>227</v>
      </c>
      <c r="K21" s="5">
        <f t="shared" si="3"/>
        <v>192</v>
      </c>
      <c r="L21" s="5">
        <f t="shared" si="3"/>
        <v>229</v>
      </c>
      <c r="M21" s="5">
        <f t="shared" si="3"/>
        <v>183</v>
      </c>
      <c r="N21" s="5">
        <f t="shared" ref="N21" si="4">SUM(N19:N20)</f>
        <v>207</v>
      </c>
      <c r="O21" s="5">
        <f t="shared" si="3"/>
        <v>198</v>
      </c>
      <c r="P21" s="5">
        <f t="shared" si="3"/>
        <v>187</v>
      </c>
      <c r="Q21" s="5">
        <f t="shared" si="2"/>
        <v>2507</v>
      </c>
    </row>
    <row r="22" spans="1:17" x14ac:dyDescent="0.3">
      <c r="A22" s="12"/>
      <c r="B22" s="66" t="s">
        <v>30</v>
      </c>
      <c r="C22" s="69" t="s">
        <v>31</v>
      </c>
      <c r="D22" s="6" t="s">
        <v>23</v>
      </c>
      <c r="E22" s="6">
        <v>2</v>
      </c>
      <c r="F22" s="6">
        <v>0</v>
      </c>
      <c r="G22" s="6">
        <v>1</v>
      </c>
      <c r="H22" s="6">
        <v>0</v>
      </c>
      <c r="I22" s="6">
        <v>0</v>
      </c>
      <c r="J22" s="6">
        <v>1</v>
      </c>
      <c r="K22" s="6">
        <v>1</v>
      </c>
      <c r="L22" s="6">
        <v>0</v>
      </c>
      <c r="M22" s="6">
        <v>0</v>
      </c>
      <c r="N22" s="6">
        <v>0</v>
      </c>
      <c r="O22" s="6">
        <v>0</v>
      </c>
      <c r="P22" s="6">
        <v>2</v>
      </c>
      <c r="Q22" s="5">
        <f t="shared" si="2"/>
        <v>7</v>
      </c>
    </row>
    <row r="23" spans="1:17" x14ac:dyDescent="0.3">
      <c r="A23" s="12"/>
      <c r="B23" s="67"/>
      <c r="C23" s="70"/>
      <c r="D23" s="6" t="s">
        <v>24</v>
      </c>
      <c r="E23" s="6">
        <v>3</v>
      </c>
      <c r="F23" s="6">
        <v>2</v>
      </c>
      <c r="G23" s="6">
        <v>0</v>
      </c>
      <c r="H23" s="6">
        <v>1</v>
      </c>
      <c r="I23" s="6">
        <v>0</v>
      </c>
      <c r="J23" s="6">
        <v>0</v>
      </c>
      <c r="K23" s="6">
        <v>0</v>
      </c>
      <c r="L23" s="6">
        <v>0</v>
      </c>
      <c r="M23" s="6">
        <v>1</v>
      </c>
      <c r="N23" s="6">
        <v>1</v>
      </c>
      <c r="O23" s="6">
        <v>0</v>
      </c>
      <c r="P23" s="6"/>
      <c r="Q23" s="5">
        <f t="shared" si="2"/>
        <v>8</v>
      </c>
    </row>
    <row r="24" spans="1:17" x14ac:dyDescent="0.3">
      <c r="A24" s="13"/>
      <c r="B24" s="68"/>
      <c r="C24" s="71"/>
      <c r="D24" s="5" t="s">
        <v>25</v>
      </c>
      <c r="E24" s="5">
        <f t="shared" ref="E24:P24" si="5">SUM(E22:E23)</f>
        <v>5</v>
      </c>
      <c r="F24" s="5">
        <f t="shared" si="5"/>
        <v>2</v>
      </c>
      <c r="G24" s="5">
        <f t="shared" si="5"/>
        <v>1</v>
      </c>
      <c r="H24" s="5">
        <f t="shared" si="5"/>
        <v>1</v>
      </c>
      <c r="I24" s="5">
        <f t="shared" si="5"/>
        <v>0</v>
      </c>
      <c r="J24" s="5">
        <f t="shared" si="5"/>
        <v>1</v>
      </c>
      <c r="K24" s="5">
        <f t="shared" si="5"/>
        <v>1</v>
      </c>
      <c r="L24" s="5">
        <f t="shared" si="5"/>
        <v>0</v>
      </c>
      <c r="M24" s="5">
        <f t="shared" si="5"/>
        <v>1</v>
      </c>
      <c r="N24" s="5">
        <f t="shared" ref="N24" si="6">SUM(N22:N23)</f>
        <v>1</v>
      </c>
      <c r="O24" s="5">
        <f t="shared" si="5"/>
        <v>0</v>
      </c>
      <c r="P24" s="5">
        <f t="shared" si="5"/>
        <v>2</v>
      </c>
      <c r="Q24" s="5">
        <f t="shared" si="2"/>
        <v>15</v>
      </c>
    </row>
    <row r="25" spans="1:17" x14ac:dyDescent="0.3">
      <c r="A25" s="12"/>
      <c r="B25" s="66" t="s">
        <v>32</v>
      </c>
      <c r="C25" s="69" t="s">
        <v>33</v>
      </c>
      <c r="D25" s="6" t="s">
        <v>23</v>
      </c>
      <c r="E25" s="6">
        <v>0</v>
      </c>
      <c r="F25" s="6">
        <v>1</v>
      </c>
      <c r="G25" s="6">
        <v>0</v>
      </c>
      <c r="H25" s="6">
        <v>1</v>
      </c>
      <c r="I25" s="6">
        <v>2</v>
      </c>
      <c r="J25" s="6">
        <v>0</v>
      </c>
      <c r="K25" s="6">
        <v>1</v>
      </c>
      <c r="L25" s="6">
        <v>2</v>
      </c>
      <c r="M25" s="6">
        <v>0</v>
      </c>
      <c r="N25" s="6">
        <v>2</v>
      </c>
      <c r="O25" s="6">
        <v>1</v>
      </c>
      <c r="P25" s="6">
        <v>2</v>
      </c>
      <c r="Q25" s="5">
        <f t="shared" si="2"/>
        <v>12</v>
      </c>
    </row>
    <row r="26" spans="1:17" x14ac:dyDescent="0.3">
      <c r="A26" s="12"/>
      <c r="B26" s="67"/>
      <c r="C26" s="70"/>
      <c r="D26" s="6" t="s">
        <v>24</v>
      </c>
      <c r="E26" s="6">
        <v>0</v>
      </c>
      <c r="F26" s="6">
        <v>0</v>
      </c>
      <c r="G26" s="6">
        <v>0</v>
      </c>
      <c r="H26" s="6">
        <v>2</v>
      </c>
      <c r="I26" s="6">
        <v>2</v>
      </c>
      <c r="J26" s="6">
        <v>1</v>
      </c>
      <c r="K26" s="6">
        <v>3</v>
      </c>
      <c r="L26" s="6">
        <v>2</v>
      </c>
      <c r="M26" s="6">
        <v>0</v>
      </c>
      <c r="N26" s="6">
        <v>1</v>
      </c>
      <c r="O26" s="6">
        <v>3</v>
      </c>
      <c r="P26" s="6"/>
      <c r="Q26" s="5">
        <f t="shared" si="2"/>
        <v>14</v>
      </c>
    </row>
    <row r="27" spans="1:17" x14ac:dyDescent="0.3">
      <c r="A27" s="13"/>
      <c r="B27" s="68"/>
      <c r="C27" s="71"/>
      <c r="D27" s="5" t="s">
        <v>25</v>
      </c>
      <c r="E27" s="5">
        <f t="shared" ref="E27:P27" si="7">SUM(E25:E26)</f>
        <v>0</v>
      </c>
      <c r="F27" s="5">
        <f t="shared" si="7"/>
        <v>1</v>
      </c>
      <c r="G27" s="5">
        <f t="shared" si="7"/>
        <v>0</v>
      </c>
      <c r="H27" s="5">
        <f t="shared" si="7"/>
        <v>3</v>
      </c>
      <c r="I27" s="5">
        <f t="shared" si="7"/>
        <v>4</v>
      </c>
      <c r="J27" s="5">
        <f t="shared" si="7"/>
        <v>1</v>
      </c>
      <c r="K27" s="5">
        <f t="shared" si="7"/>
        <v>4</v>
      </c>
      <c r="L27" s="5">
        <f t="shared" si="7"/>
        <v>4</v>
      </c>
      <c r="M27" s="5">
        <f t="shared" si="7"/>
        <v>0</v>
      </c>
      <c r="N27" s="5">
        <f t="shared" ref="N27" si="8">SUM(N25:N26)</f>
        <v>3</v>
      </c>
      <c r="O27" s="5">
        <f t="shared" si="7"/>
        <v>4</v>
      </c>
      <c r="P27" s="5">
        <f t="shared" si="7"/>
        <v>2</v>
      </c>
      <c r="Q27" s="5">
        <f t="shared" si="2"/>
        <v>26</v>
      </c>
    </row>
    <row r="28" spans="1:17" x14ac:dyDescent="0.3">
      <c r="A28" s="13"/>
      <c r="B28" s="72" t="s">
        <v>34</v>
      </c>
      <c r="C28" s="73" t="s">
        <v>35</v>
      </c>
      <c r="D28" s="5" t="s">
        <v>23</v>
      </c>
      <c r="E28" s="5">
        <f>SUM(E19,E22,E25)</f>
        <v>122</v>
      </c>
      <c r="F28" s="5">
        <f t="shared" ref="F28:P29" si="9">SUM(F19,F22,F25)</f>
        <v>108</v>
      </c>
      <c r="G28" s="5">
        <f t="shared" si="9"/>
        <v>101</v>
      </c>
      <c r="H28" s="5">
        <f t="shared" si="9"/>
        <v>101</v>
      </c>
      <c r="I28" s="5">
        <f t="shared" si="9"/>
        <v>95</v>
      </c>
      <c r="J28" s="5">
        <f t="shared" si="9"/>
        <v>108</v>
      </c>
      <c r="K28" s="5">
        <f t="shared" si="9"/>
        <v>92</v>
      </c>
      <c r="L28" s="5">
        <f t="shared" si="9"/>
        <v>112</v>
      </c>
      <c r="M28" s="5">
        <f t="shared" si="9"/>
        <v>88</v>
      </c>
      <c r="N28" s="5">
        <f t="shared" ref="N28" si="10">SUM(N19,N22,N25)</f>
        <v>102</v>
      </c>
      <c r="O28" s="5">
        <f t="shared" si="9"/>
        <v>89</v>
      </c>
      <c r="P28" s="5">
        <f t="shared" si="9"/>
        <v>94</v>
      </c>
      <c r="Q28" s="5">
        <f t="shared" si="2"/>
        <v>1212</v>
      </c>
    </row>
    <row r="29" spans="1:17" x14ac:dyDescent="0.3">
      <c r="A29" s="13"/>
      <c r="B29" s="67"/>
      <c r="C29" s="70"/>
      <c r="D29" s="5" t="s">
        <v>24</v>
      </c>
      <c r="E29" s="5">
        <f>SUM(E20,E23,E26)</f>
        <v>119</v>
      </c>
      <c r="F29" s="5">
        <f t="shared" si="9"/>
        <v>117</v>
      </c>
      <c r="G29" s="5">
        <f t="shared" si="9"/>
        <v>111</v>
      </c>
      <c r="H29" s="5">
        <f t="shared" si="9"/>
        <v>112</v>
      </c>
      <c r="I29" s="5">
        <f t="shared" si="9"/>
        <v>115</v>
      </c>
      <c r="J29" s="5">
        <f t="shared" si="9"/>
        <v>121</v>
      </c>
      <c r="K29" s="5">
        <f t="shared" si="9"/>
        <v>105</v>
      </c>
      <c r="L29" s="5">
        <f t="shared" si="9"/>
        <v>121</v>
      </c>
      <c r="M29" s="5">
        <f t="shared" si="9"/>
        <v>96</v>
      </c>
      <c r="N29" s="5">
        <f t="shared" ref="N29" si="11">SUM(N20,N23,N26)</f>
        <v>109</v>
      </c>
      <c r="O29" s="5">
        <f t="shared" si="9"/>
        <v>113</v>
      </c>
      <c r="P29" s="5">
        <f t="shared" si="9"/>
        <v>97</v>
      </c>
      <c r="Q29" s="5">
        <f t="shared" si="2"/>
        <v>1336</v>
      </c>
    </row>
    <row r="30" spans="1:17" x14ac:dyDescent="0.3">
      <c r="A30" s="13"/>
      <c r="B30" s="68"/>
      <c r="C30" s="71"/>
      <c r="D30" s="5" t="s">
        <v>25</v>
      </c>
      <c r="E30" s="5">
        <f t="shared" ref="E30" si="12">SUM(E28:E29)</f>
        <v>241</v>
      </c>
      <c r="F30" s="5">
        <f t="shared" ref="F30:P30" si="13">SUM(F28:F29)</f>
        <v>225</v>
      </c>
      <c r="G30" s="5">
        <f t="shared" si="13"/>
        <v>212</v>
      </c>
      <c r="H30" s="5">
        <f t="shared" si="13"/>
        <v>213</v>
      </c>
      <c r="I30" s="5">
        <f t="shared" si="13"/>
        <v>210</v>
      </c>
      <c r="J30" s="5">
        <f t="shared" si="13"/>
        <v>229</v>
      </c>
      <c r="K30" s="5">
        <f t="shared" si="13"/>
        <v>197</v>
      </c>
      <c r="L30" s="5">
        <f t="shared" si="13"/>
        <v>233</v>
      </c>
      <c r="M30" s="5">
        <f t="shared" si="13"/>
        <v>184</v>
      </c>
      <c r="N30" s="5">
        <f t="shared" ref="N30" si="14">SUM(N28:N29)</f>
        <v>211</v>
      </c>
      <c r="O30" s="5">
        <f t="shared" si="13"/>
        <v>202</v>
      </c>
      <c r="P30" s="5">
        <f t="shared" si="13"/>
        <v>191</v>
      </c>
      <c r="Q30" s="5">
        <f t="shared" si="2"/>
        <v>2548</v>
      </c>
    </row>
    <row r="31" spans="1:17" x14ac:dyDescent="0.3">
      <c r="A31" s="62"/>
      <c r="B31" s="63"/>
      <c r="C31" s="63"/>
      <c r="D31" s="64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28"/>
    </row>
    <row r="32" spans="1:17" x14ac:dyDescent="0.3">
      <c r="A32" s="14" t="s">
        <v>36</v>
      </c>
      <c r="B32" s="65" t="s">
        <v>37</v>
      </c>
      <c r="C32" s="63"/>
      <c r="D32" s="64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28"/>
    </row>
    <row r="33" spans="1:17" x14ac:dyDescent="0.3">
      <c r="A33" s="6">
        <v>1</v>
      </c>
      <c r="B33" s="76" t="s">
        <v>38</v>
      </c>
      <c r="C33" s="63"/>
      <c r="D33" s="64"/>
      <c r="E33" s="6">
        <v>282</v>
      </c>
      <c r="F33" s="6">
        <v>266</v>
      </c>
      <c r="G33" s="6">
        <v>282</v>
      </c>
      <c r="H33" s="6">
        <v>267</v>
      </c>
      <c r="I33" s="6">
        <v>240</v>
      </c>
      <c r="J33" s="6">
        <v>272</v>
      </c>
      <c r="K33" s="6">
        <v>225</v>
      </c>
      <c r="L33" s="6">
        <v>275</v>
      </c>
      <c r="M33" s="6">
        <v>222</v>
      </c>
      <c r="N33" s="6">
        <v>284</v>
      </c>
      <c r="O33" s="6">
        <v>266</v>
      </c>
      <c r="P33" s="6">
        <v>241</v>
      </c>
      <c r="Q33" s="5">
        <f>SUM(E33:P33)</f>
        <v>3122</v>
      </c>
    </row>
    <row r="34" spans="1:17" x14ac:dyDescent="0.3">
      <c r="A34" s="6">
        <v>2</v>
      </c>
      <c r="B34" s="76" t="s">
        <v>39</v>
      </c>
      <c r="C34" s="63"/>
      <c r="D34" s="64"/>
      <c r="E34" s="5">
        <v>241</v>
      </c>
      <c r="F34" s="5">
        <v>225</v>
      </c>
      <c r="G34" s="5">
        <v>212</v>
      </c>
      <c r="H34" s="5">
        <v>213</v>
      </c>
      <c r="I34" s="5">
        <v>210</v>
      </c>
      <c r="J34" s="5">
        <v>229</v>
      </c>
      <c r="K34" s="5">
        <v>197</v>
      </c>
      <c r="L34" s="5">
        <v>233</v>
      </c>
      <c r="M34" s="5">
        <v>184</v>
      </c>
      <c r="N34" s="5">
        <v>211</v>
      </c>
      <c r="O34" s="5">
        <v>202</v>
      </c>
      <c r="P34" s="5">
        <v>191</v>
      </c>
      <c r="Q34" s="5">
        <f>SUM(E34:P34)</f>
        <v>2548</v>
      </c>
    </row>
    <row r="35" spans="1:17" x14ac:dyDescent="0.3">
      <c r="A35" s="6">
        <v>3</v>
      </c>
      <c r="B35" s="76" t="s">
        <v>40</v>
      </c>
      <c r="C35" s="63"/>
      <c r="D35" s="64"/>
      <c r="E35" s="6">
        <v>0</v>
      </c>
      <c r="F35" s="6">
        <v>1</v>
      </c>
      <c r="G35" s="6">
        <v>2</v>
      </c>
      <c r="H35" s="6">
        <v>3</v>
      </c>
      <c r="I35" s="6">
        <v>1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5">
        <f>SUM(E35:P35)</f>
        <v>7</v>
      </c>
    </row>
    <row r="36" spans="1:17" x14ac:dyDescent="0.3">
      <c r="A36" s="6">
        <v>4</v>
      </c>
      <c r="B36" s="76" t="s">
        <v>41</v>
      </c>
      <c r="C36" s="63"/>
      <c r="D36" s="64"/>
      <c r="E36" s="5">
        <f t="shared" ref="E36:P36" si="15">E33-(E34+E35)</f>
        <v>41</v>
      </c>
      <c r="F36" s="5">
        <f t="shared" si="15"/>
        <v>40</v>
      </c>
      <c r="G36" s="5">
        <f t="shared" si="15"/>
        <v>68</v>
      </c>
      <c r="H36" s="5">
        <f t="shared" si="15"/>
        <v>51</v>
      </c>
      <c r="I36" s="5">
        <f t="shared" si="15"/>
        <v>29</v>
      </c>
      <c r="J36" s="5">
        <f t="shared" si="15"/>
        <v>43</v>
      </c>
      <c r="K36" s="5">
        <f t="shared" si="15"/>
        <v>28</v>
      </c>
      <c r="L36" s="5">
        <f t="shared" si="15"/>
        <v>42</v>
      </c>
      <c r="M36" s="5">
        <f t="shared" si="15"/>
        <v>38</v>
      </c>
      <c r="N36" s="5">
        <f t="shared" ref="N36" si="16">N33-(N34+N35)</f>
        <v>73</v>
      </c>
      <c r="O36" s="5">
        <f t="shared" si="15"/>
        <v>64</v>
      </c>
      <c r="P36" s="5">
        <f t="shared" si="15"/>
        <v>50</v>
      </c>
      <c r="Q36" s="5">
        <f>SUM(E36:P36)</f>
        <v>567</v>
      </c>
    </row>
    <row r="37" spans="1:17" x14ac:dyDescent="0.3">
      <c r="A37" s="62"/>
      <c r="B37" s="63"/>
      <c r="C37" s="63"/>
      <c r="D37" s="63"/>
      <c r="E37" s="62"/>
      <c r="F37" s="103"/>
      <c r="G37" s="103"/>
      <c r="H37" s="103"/>
      <c r="I37" s="104"/>
      <c r="J37" s="6"/>
      <c r="K37" s="6"/>
      <c r="L37" s="6"/>
      <c r="M37" s="6"/>
      <c r="N37" s="10"/>
      <c r="O37" s="10"/>
      <c r="P37" s="26"/>
      <c r="Q37" s="28"/>
    </row>
    <row r="38" spans="1:17" x14ac:dyDescent="0.3">
      <c r="A38" s="16" t="s">
        <v>42</v>
      </c>
      <c r="B38" s="65" t="s">
        <v>43</v>
      </c>
      <c r="C38" s="63"/>
      <c r="D38" s="64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28"/>
    </row>
    <row r="39" spans="1:17" x14ac:dyDescent="0.3">
      <c r="A39" s="11"/>
      <c r="B39" s="80" t="s">
        <v>44</v>
      </c>
      <c r="C39" s="78"/>
      <c r="D39" s="6" t="s">
        <v>23</v>
      </c>
      <c r="E39" s="6"/>
      <c r="F39" s="6"/>
      <c r="G39" s="6"/>
      <c r="H39" s="6"/>
      <c r="I39" s="6"/>
      <c r="J39" s="6"/>
      <c r="K39" s="6"/>
      <c r="L39" s="6">
        <v>1</v>
      </c>
      <c r="M39" s="6"/>
      <c r="N39" s="6"/>
      <c r="O39" s="6"/>
      <c r="P39" s="6"/>
      <c r="Q39" s="5">
        <f>SUM(E39:P39)</f>
        <v>1</v>
      </c>
    </row>
    <row r="40" spans="1:17" x14ac:dyDescent="0.3">
      <c r="A40" s="12"/>
      <c r="B40" s="81"/>
      <c r="C40" s="67"/>
      <c r="D40" s="6" t="s">
        <v>24</v>
      </c>
      <c r="E40" s="6"/>
      <c r="F40" s="6"/>
      <c r="G40" s="6"/>
      <c r="H40" s="6"/>
      <c r="I40" s="6"/>
      <c r="J40" s="6">
        <v>1</v>
      </c>
      <c r="K40" s="6"/>
      <c r="L40" s="6">
        <v>1</v>
      </c>
      <c r="M40" s="6"/>
      <c r="N40" s="6"/>
      <c r="O40" s="6"/>
      <c r="P40" s="6"/>
      <c r="Q40" s="5">
        <f>SUM(E40:P40)</f>
        <v>2</v>
      </c>
    </row>
    <row r="41" spans="1:17" x14ac:dyDescent="0.3">
      <c r="A41" s="14"/>
      <c r="B41" s="82"/>
      <c r="C41" s="68"/>
      <c r="D41" s="5" t="s">
        <v>25</v>
      </c>
      <c r="E41" s="5">
        <f t="shared" ref="E41:P41" si="17">SUM(E39:E40)</f>
        <v>0</v>
      </c>
      <c r="F41" s="5">
        <f t="shared" si="17"/>
        <v>0</v>
      </c>
      <c r="G41" s="5">
        <f t="shared" si="17"/>
        <v>0</v>
      </c>
      <c r="H41" s="5">
        <f t="shared" si="17"/>
        <v>0</v>
      </c>
      <c r="I41" s="5">
        <f t="shared" si="17"/>
        <v>0</v>
      </c>
      <c r="J41" s="5">
        <f t="shared" si="17"/>
        <v>1</v>
      </c>
      <c r="K41" s="5">
        <f t="shared" si="17"/>
        <v>0</v>
      </c>
      <c r="L41" s="5">
        <f t="shared" si="17"/>
        <v>2</v>
      </c>
      <c r="M41" s="5">
        <f t="shared" si="17"/>
        <v>0</v>
      </c>
      <c r="N41" s="5">
        <f t="shared" ref="N41" si="18">SUM(N39:N40)</f>
        <v>0</v>
      </c>
      <c r="O41" s="5">
        <f t="shared" si="17"/>
        <v>0</v>
      </c>
      <c r="P41" s="5">
        <f t="shared" si="17"/>
        <v>0</v>
      </c>
      <c r="Q41" s="5">
        <f>SUM(E41:P41)</f>
        <v>3</v>
      </c>
    </row>
    <row r="42" spans="1:17" x14ac:dyDescent="0.3">
      <c r="A42" s="83"/>
      <c r="B42" s="82"/>
      <c r="C42" s="82"/>
      <c r="D42" s="68"/>
      <c r="E42" s="62"/>
      <c r="F42" s="63"/>
      <c r="G42" s="63"/>
      <c r="H42" s="63"/>
      <c r="I42" s="64"/>
      <c r="J42" s="6"/>
      <c r="K42" s="6"/>
      <c r="L42" s="6"/>
      <c r="M42" s="6"/>
      <c r="N42" s="10"/>
      <c r="O42" s="10"/>
      <c r="P42" s="6"/>
      <c r="Q42" s="5"/>
    </row>
    <row r="43" spans="1:17" ht="13.15" customHeight="1" x14ac:dyDescent="0.3">
      <c r="A43" s="16" t="s">
        <v>45</v>
      </c>
      <c r="B43" s="65" t="s">
        <v>46</v>
      </c>
      <c r="C43" s="63"/>
      <c r="D43" s="64"/>
      <c r="E43" s="25"/>
      <c r="F43" s="5"/>
      <c r="G43" s="5"/>
      <c r="H43" s="5"/>
      <c r="I43" s="5"/>
      <c r="J43" s="5"/>
      <c r="K43" s="5"/>
      <c r="L43" s="5"/>
      <c r="M43" s="5"/>
      <c r="N43" s="15"/>
      <c r="O43" s="15"/>
      <c r="P43" s="5"/>
      <c r="Q43" s="5"/>
    </row>
    <row r="44" spans="1:17" ht="13.15" customHeight="1" x14ac:dyDescent="0.3">
      <c r="A44" s="80" t="s">
        <v>47</v>
      </c>
      <c r="B44" s="85"/>
      <c r="C44" s="85"/>
      <c r="D44" s="78"/>
      <c r="E44" s="9"/>
      <c r="F44" s="6"/>
      <c r="G44" s="6"/>
      <c r="H44" s="6"/>
      <c r="I44" s="6"/>
      <c r="J44" s="6"/>
      <c r="K44" s="6"/>
      <c r="L44" s="6"/>
      <c r="M44" s="6"/>
      <c r="N44" s="10"/>
      <c r="O44" s="10"/>
      <c r="P44" s="6"/>
      <c r="Q44" s="5"/>
    </row>
    <row r="45" spans="1:17" x14ac:dyDescent="0.3">
      <c r="A45" s="11" t="s">
        <v>48</v>
      </c>
      <c r="B45" s="17" t="s">
        <v>28</v>
      </c>
      <c r="C45" s="86" t="s">
        <v>49</v>
      </c>
      <c r="D45" s="64"/>
      <c r="E45" s="6">
        <v>13</v>
      </c>
      <c r="F45" s="6">
        <v>12</v>
      </c>
      <c r="G45" s="6">
        <v>11</v>
      </c>
      <c r="H45" s="6">
        <v>12</v>
      </c>
      <c r="I45" s="6">
        <v>9</v>
      </c>
      <c r="J45" s="6">
        <v>8</v>
      </c>
      <c r="K45" s="6">
        <v>14</v>
      </c>
      <c r="L45" s="6">
        <v>9</v>
      </c>
      <c r="M45" s="6">
        <v>4</v>
      </c>
      <c r="N45" s="6">
        <v>12</v>
      </c>
      <c r="O45" s="6">
        <v>12</v>
      </c>
      <c r="P45" s="6">
        <v>5</v>
      </c>
      <c r="Q45" s="5">
        <f t="shared" ref="Q45:Q54" si="19">SUM(E45:P45)</f>
        <v>121</v>
      </c>
    </row>
    <row r="46" spans="1:17" x14ac:dyDescent="0.3">
      <c r="A46" s="11" t="s">
        <v>50</v>
      </c>
      <c r="B46" s="50"/>
      <c r="C46" s="24" t="s">
        <v>115</v>
      </c>
      <c r="D46" s="49"/>
      <c r="E46" s="6">
        <v>29</v>
      </c>
      <c r="F46" s="6">
        <v>32</v>
      </c>
      <c r="G46" s="6">
        <v>22</v>
      </c>
      <c r="H46" s="6">
        <v>43</v>
      </c>
      <c r="I46" s="6">
        <v>21</v>
      </c>
      <c r="J46" s="6">
        <v>22</v>
      </c>
      <c r="K46" s="6">
        <v>9</v>
      </c>
      <c r="L46" s="6">
        <v>27</v>
      </c>
      <c r="M46" s="6">
        <v>10</v>
      </c>
      <c r="N46" s="6">
        <v>22</v>
      </c>
      <c r="O46" s="6">
        <v>12</v>
      </c>
      <c r="P46" s="6">
        <v>20</v>
      </c>
      <c r="Q46" s="5">
        <f t="shared" si="19"/>
        <v>269</v>
      </c>
    </row>
    <row r="47" spans="1:17" x14ac:dyDescent="0.3">
      <c r="A47" s="7"/>
      <c r="B47" s="50"/>
      <c r="C47" s="24" t="s">
        <v>116</v>
      </c>
      <c r="D47" s="49"/>
      <c r="E47" s="6">
        <v>4</v>
      </c>
      <c r="F47" s="6">
        <v>5</v>
      </c>
      <c r="G47" s="6">
        <v>6</v>
      </c>
      <c r="H47" s="6">
        <v>2</v>
      </c>
      <c r="I47" s="6">
        <v>2</v>
      </c>
      <c r="J47" s="6">
        <v>5</v>
      </c>
      <c r="K47" s="6">
        <v>4</v>
      </c>
      <c r="L47" s="6">
        <v>1</v>
      </c>
      <c r="M47" s="6">
        <v>2</v>
      </c>
      <c r="N47" s="6">
        <v>3</v>
      </c>
      <c r="O47" s="6">
        <v>6</v>
      </c>
      <c r="P47" s="6">
        <v>4</v>
      </c>
      <c r="Q47" s="5">
        <f t="shared" si="19"/>
        <v>44</v>
      </c>
    </row>
    <row r="48" spans="1:17" x14ac:dyDescent="0.3">
      <c r="A48" s="7"/>
      <c r="B48" s="50"/>
      <c r="C48" s="24" t="s">
        <v>117</v>
      </c>
      <c r="D48" s="49"/>
      <c r="E48" s="6">
        <v>2</v>
      </c>
      <c r="F48" s="6">
        <v>1</v>
      </c>
      <c r="G48" s="6">
        <v>1</v>
      </c>
      <c r="H48" s="6">
        <v>1</v>
      </c>
      <c r="I48" s="6">
        <v>1</v>
      </c>
      <c r="J48" s="6">
        <v>0</v>
      </c>
      <c r="K48" s="6">
        <v>1</v>
      </c>
      <c r="L48" s="6">
        <v>3</v>
      </c>
      <c r="M48" s="6">
        <v>1</v>
      </c>
      <c r="N48" s="6">
        <v>0</v>
      </c>
      <c r="O48" s="6">
        <v>0</v>
      </c>
      <c r="P48" s="6">
        <v>1</v>
      </c>
      <c r="Q48" s="5">
        <f t="shared" si="19"/>
        <v>12</v>
      </c>
    </row>
    <row r="49" spans="1:17" x14ac:dyDescent="0.3">
      <c r="A49" s="7"/>
      <c r="B49" s="50"/>
      <c r="C49" s="24" t="s">
        <v>118</v>
      </c>
      <c r="D49" s="49"/>
      <c r="E49" s="6"/>
      <c r="F49" s="6">
        <v>1</v>
      </c>
      <c r="G49" s="6"/>
      <c r="H49" s="6">
        <v>2</v>
      </c>
      <c r="I49" s="6">
        <v>0</v>
      </c>
      <c r="J49" s="6">
        <v>0</v>
      </c>
      <c r="K49" s="6">
        <v>0</v>
      </c>
      <c r="L49" s="6">
        <v>3</v>
      </c>
      <c r="M49" s="6">
        <v>0</v>
      </c>
      <c r="N49" s="6">
        <v>3</v>
      </c>
      <c r="O49" s="6">
        <v>3</v>
      </c>
      <c r="P49" s="6">
        <v>0</v>
      </c>
      <c r="Q49" s="5">
        <f t="shared" si="19"/>
        <v>12</v>
      </c>
    </row>
    <row r="50" spans="1:17" x14ac:dyDescent="0.3">
      <c r="A50" s="7"/>
      <c r="B50" s="50"/>
      <c r="C50" s="24" t="s">
        <v>119</v>
      </c>
      <c r="D50" s="49"/>
      <c r="E50" s="6">
        <v>1</v>
      </c>
      <c r="F50" s="6">
        <v>0</v>
      </c>
      <c r="G50" s="6"/>
      <c r="H50" s="6">
        <v>1</v>
      </c>
      <c r="I50" s="6">
        <v>0</v>
      </c>
      <c r="J50" s="6">
        <v>0</v>
      </c>
      <c r="K50" s="6">
        <v>1</v>
      </c>
      <c r="L50" s="6">
        <v>1</v>
      </c>
      <c r="M50" s="6">
        <v>0</v>
      </c>
      <c r="N50" s="6">
        <v>0</v>
      </c>
      <c r="O50" s="6">
        <v>1</v>
      </c>
      <c r="P50" s="6">
        <v>1</v>
      </c>
      <c r="Q50" s="5">
        <f t="shared" si="19"/>
        <v>6</v>
      </c>
    </row>
    <row r="51" spans="1:17" x14ac:dyDescent="0.3">
      <c r="A51" s="7"/>
      <c r="B51" s="50"/>
      <c r="C51" s="24" t="s">
        <v>120</v>
      </c>
      <c r="D51" s="49"/>
      <c r="E51" s="6">
        <v>1</v>
      </c>
      <c r="F51" s="6">
        <v>0</v>
      </c>
      <c r="G51" s="6">
        <v>0</v>
      </c>
      <c r="H51" s="6">
        <v>1</v>
      </c>
      <c r="I51" s="6">
        <v>0</v>
      </c>
      <c r="J51" s="6">
        <v>1</v>
      </c>
      <c r="K51" s="6">
        <v>1</v>
      </c>
      <c r="L51" s="6">
        <v>1</v>
      </c>
      <c r="M51" s="6">
        <v>0</v>
      </c>
      <c r="N51" s="6">
        <v>3</v>
      </c>
      <c r="O51" s="6">
        <v>0</v>
      </c>
      <c r="P51" s="6">
        <v>0</v>
      </c>
      <c r="Q51" s="5">
        <f t="shared" si="19"/>
        <v>8</v>
      </c>
    </row>
    <row r="52" spans="1:17" ht="13.15" customHeight="1" x14ac:dyDescent="0.3">
      <c r="A52" s="7"/>
      <c r="B52" s="50"/>
      <c r="C52" s="24" t="s">
        <v>121</v>
      </c>
      <c r="D52" s="49"/>
      <c r="E52" s="6">
        <v>1</v>
      </c>
      <c r="F52" s="6">
        <v>0</v>
      </c>
      <c r="G52" s="6">
        <v>0</v>
      </c>
      <c r="H52" s="6">
        <v>0</v>
      </c>
      <c r="I52" s="6">
        <v>4</v>
      </c>
      <c r="J52" s="6">
        <v>0</v>
      </c>
      <c r="K52" s="6">
        <v>0</v>
      </c>
      <c r="L52" s="6">
        <v>0</v>
      </c>
      <c r="M52" s="6">
        <v>1</v>
      </c>
      <c r="N52" s="6">
        <v>2</v>
      </c>
      <c r="O52" s="6">
        <v>0</v>
      </c>
      <c r="P52" s="6">
        <v>0</v>
      </c>
      <c r="Q52" s="5">
        <f t="shared" si="19"/>
        <v>8</v>
      </c>
    </row>
    <row r="53" spans="1:17" ht="13.15" customHeight="1" x14ac:dyDescent="0.3">
      <c r="A53" s="7"/>
      <c r="B53" s="50"/>
      <c r="C53" s="24" t="s">
        <v>122</v>
      </c>
      <c r="D53" s="51"/>
      <c r="E53" s="6">
        <v>0</v>
      </c>
      <c r="F53" s="6">
        <v>0</v>
      </c>
      <c r="G53" s="6">
        <v>0</v>
      </c>
      <c r="H53" s="6">
        <v>1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1</v>
      </c>
      <c r="O53" s="6">
        <v>0</v>
      </c>
      <c r="P53" s="6">
        <v>0</v>
      </c>
      <c r="Q53" s="5">
        <f t="shared" si="19"/>
        <v>2</v>
      </c>
    </row>
    <row r="54" spans="1:17" ht="13.15" customHeight="1" x14ac:dyDescent="0.3">
      <c r="A54" s="7"/>
      <c r="B54" s="50"/>
      <c r="C54" s="24" t="s">
        <v>123</v>
      </c>
      <c r="D54" s="49"/>
      <c r="E54" s="6">
        <v>0</v>
      </c>
      <c r="F54" s="6">
        <v>0</v>
      </c>
      <c r="G54" s="6">
        <v>0</v>
      </c>
      <c r="H54" s="6">
        <v>0</v>
      </c>
      <c r="I54" s="6">
        <v>1</v>
      </c>
      <c r="J54" s="6">
        <v>1</v>
      </c>
      <c r="K54" s="6">
        <v>1</v>
      </c>
      <c r="L54" s="6">
        <v>1</v>
      </c>
      <c r="M54" s="6">
        <v>0</v>
      </c>
      <c r="N54" s="6">
        <v>1</v>
      </c>
      <c r="O54" s="6">
        <v>0</v>
      </c>
      <c r="P54" s="6">
        <v>0</v>
      </c>
      <c r="Q54" s="5">
        <f t="shared" si="19"/>
        <v>5</v>
      </c>
    </row>
    <row r="55" spans="1:17" x14ac:dyDescent="0.3">
      <c r="A55" s="6" t="s">
        <v>26</v>
      </c>
      <c r="B55" s="84" t="s">
        <v>51</v>
      </c>
      <c r="C55" s="63"/>
      <c r="D55" s="64"/>
      <c r="E55" s="5">
        <f>SUM(E45:E54)</f>
        <v>51</v>
      </c>
      <c r="F55" s="5">
        <f t="shared" ref="F55:Q55" si="20">SUM(F45:F54)</f>
        <v>51</v>
      </c>
      <c r="G55" s="5">
        <f t="shared" si="20"/>
        <v>40</v>
      </c>
      <c r="H55" s="5">
        <f t="shared" si="20"/>
        <v>63</v>
      </c>
      <c r="I55" s="5">
        <f t="shared" si="20"/>
        <v>38</v>
      </c>
      <c r="J55" s="5">
        <f t="shared" si="20"/>
        <v>37</v>
      </c>
      <c r="K55" s="5">
        <f t="shared" si="20"/>
        <v>31</v>
      </c>
      <c r="L55" s="5">
        <f t="shared" si="20"/>
        <v>46</v>
      </c>
      <c r="M55" s="5">
        <f t="shared" si="20"/>
        <v>18</v>
      </c>
      <c r="N55" s="5">
        <f t="shared" ref="N55" si="21">SUM(N45:N54)</f>
        <v>47</v>
      </c>
      <c r="O55" s="5">
        <f t="shared" si="20"/>
        <v>34</v>
      </c>
      <c r="P55" s="5">
        <f t="shared" si="20"/>
        <v>31</v>
      </c>
      <c r="Q55" s="5">
        <f t="shared" si="20"/>
        <v>487</v>
      </c>
    </row>
    <row r="56" spans="1:17" x14ac:dyDescent="0.3">
      <c r="A56" s="83"/>
      <c r="B56" s="82"/>
      <c r="C56" s="82"/>
      <c r="D56" s="82"/>
      <c r="E56" s="82"/>
      <c r="Q56" s="5"/>
    </row>
    <row r="57" spans="1:17" x14ac:dyDescent="0.3">
      <c r="A57" s="11" t="s">
        <v>48</v>
      </c>
      <c r="B57" s="17" t="s">
        <v>30</v>
      </c>
      <c r="C57" s="86" t="s">
        <v>52</v>
      </c>
      <c r="D57" s="64"/>
      <c r="E57" s="6">
        <v>18</v>
      </c>
      <c r="F57" s="6">
        <v>11</v>
      </c>
      <c r="G57" s="6">
        <v>8</v>
      </c>
      <c r="H57" s="6">
        <v>14</v>
      </c>
      <c r="I57" s="6">
        <v>10</v>
      </c>
      <c r="J57" s="6">
        <v>5</v>
      </c>
      <c r="K57" s="6">
        <v>12</v>
      </c>
      <c r="L57" s="6">
        <v>4</v>
      </c>
      <c r="M57" s="6">
        <v>5</v>
      </c>
      <c r="N57" s="6">
        <v>17</v>
      </c>
      <c r="O57" s="6">
        <v>21</v>
      </c>
      <c r="P57" s="6">
        <v>10</v>
      </c>
      <c r="Q57" s="5">
        <f t="shared" ref="Q57:Q66" si="22">SUM(E57:P57)</f>
        <v>135</v>
      </c>
    </row>
    <row r="58" spans="1:17" x14ac:dyDescent="0.3">
      <c r="A58" s="11" t="s">
        <v>50</v>
      </c>
      <c r="B58" s="50"/>
      <c r="C58" s="24" t="s">
        <v>124</v>
      </c>
      <c r="D58" s="49"/>
      <c r="E58" s="6">
        <v>13</v>
      </c>
      <c r="F58" s="6">
        <v>5</v>
      </c>
      <c r="G58" s="6">
        <v>5</v>
      </c>
      <c r="H58" s="6">
        <v>7</v>
      </c>
      <c r="I58" s="6">
        <v>11</v>
      </c>
      <c r="J58" s="6">
        <v>30</v>
      </c>
      <c r="K58" s="6">
        <v>8</v>
      </c>
      <c r="L58" s="6">
        <v>6</v>
      </c>
      <c r="M58" s="6">
        <v>4</v>
      </c>
      <c r="N58" s="6">
        <v>21</v>
      </c>
      <c r="O58" s="6">
        <v>11</v>
      </c>
      <c r="P58" s="6">
        <v>12</v>
      </c>
      <c r="Q58" s="5">
        <f t="shared" si="22"/>
        <v>133</v>
      </c>
    </row>
    <row r="59" spans="1:17" x14ac:dyDescent="0.3">
      <c r="A59" s="7"/>
      <c r="B59" s="50"/>
      <c r="C59" s="24" t="s">
        <v>125</v>
      </c>
      <c r="D59" s="49"/>
      <c r="E59" s="6">
        <v>5</v>
      </c>
      <c r="F59" s="6">
        <v>5</v>
      </c>
      <c r="G59" s="6">
        <v>7</v>
      </c>
      <c r="H59" s="6">
        <v>4</v>
      </c>
      <c r="I59" s="6">
        <v>5</v>
      </c>
      <c r="J59" s="6">
        <v>1</v>
      </c>
      <c r="K59" s="6">
        <v>9</v>
      </c>
      <c r="L59" s="6">
        <v>3</v>
      </c>
      <c r="M59" s="6">
        <v>2</v>
      </c>
      <c r="N59" s="6">
        <v>6</v>
      </c>
      <c r="O59" s="6">
        <v>13</v>
      </c>
      <c r="P59" s="6">
        <v>5</v>
      </c>
      <c r="Q59" s="5">
        <f t="shared" si="22"/>
        <v>65</v>
      </c>
    </row>
    <row r="60" spans="1:17" x14ac:dyDescent="0.3">
      <c r="A60" s="7"/>
      <c r="B60" s="50"/>
      <c r="C60" s="24" t="s">
        <v>126</v>
      </c>
      <c r="D60" s="49"/>
      <c r="E60" s="6">
        <v>3</v>
      </c>
      <c r="F60" s="6">
        <v>1</v>
      </c>
      <c r="G60" s="6">
        <v>2</v>
      </c>
      <c r="H60" s="6">
        <v>1</v>
      </c>
      <c r="I60" s="6">
        <v>0</v>
      </c>
      <c r="J60" s="6">
        <v>1</v>
      </c>
      <c r="K60" s="6">
        <v>1</v>
      </c>
      <c r="L60" s="6">
        <v>0</v>
      </c>
      <c r="M60" s="6">
        <v>0</v>
      </c>
      <c r="N60" s="6">
        <v>2</v>
      </c>
      <c r="O60" s="6">
        <v>6</v>
      </c>
      <c r="P60" s="6">
        <v>1</v>
      </c>
      <c r="Q60" s="5">
        <f t="shared" si="22"/>
        <v>18</v>
      </c>
    </row>
    <row r="61" spans="1:17" x14ac:dyDescent="0.3">
      <c r="A61" s="7"/>
      <c r="B61" s="50"/>
      <c r="C61" s="24" t="s">
        <v>127</v>
      </c>
      <c r="D61" s="49"/>
      <c r="E61" s="6">
        <v>6</v>
      </c>
      <c r="F61" s="6">
        <v>8</v>
      </c>
      <c r="G61" s="6">
        <v>4</v>
      </c>
      <c r="H61" s="6">
        <v>2</v>
      </c>
      <c r="I61" s="6">
        <v>7</v>
      </c>
      <c r="J61" s="6">
        <v>6</v>
      </c>
      <c r="K61" s="6">
        <v>12</v>
      </c>
      <c r="L61" s="6">
        <v>9</v>
      </c>
      <c r="M61" s="6">
        <v>32</v>
      </c>
      <c r="N61" s="6">
        <v>7</v>
      </c>
      <c r="O61" s="6">
        <v>11</v>
      </c>
      <c r="P61" s="6">
        <v>2</v>
      </c>
      <c r="Q61" s="5">
        <f t="shared" si="22"/>
        <v>106</v>
      </c>
    </row>
    <row r="62" spans="1:17" x14ac:dyDescent="0.3">
      <c r="A62" s="7"/>
      <c r="B62" s="50"/>
      <c r="C62" s="24" t="s">
        <v>128</v>
      </c>
      <c r="D62" s="49"/>
      <c r="E62" s="6">
        <v>3</v>
      </c>
      <c r="F62" s="6">
        <v>3</v>
      </c>
      <c r="G62" s="6">
        <v>0</v>
      </c>
      <c r="H62" s="6">
        <v>0</v>
      </c>
      <c r="I62" s="6">
        <v>0</v>
      </c>
      <c r="J62" s="6">
        <v>1</v>
      </c>
      <c r="K62" s="6">
        <v>0</v>
      </c>
      <c r="L62" s="6">
        <v>0</v>
      </c>
      <c r="M62" s="6">
        <v>1</v>
      </c>
      <c r="N62" s="6">
        <v>0</v>
      </c>
      <c r="O62" s="6">
        <v>1</v>
      </c>
      <c r="P62" s="6">
        <v>2</v>
      </c>
      <c r="Q62" s="5">
        <f t="shared" si="22"/>
        <v>11</v>
      </c>
    </row>
    <row r="63" spans="1:17" ht="13.15" customHeight="1" x14ac:dyDescent="0.3">
      <c r="A63" s="7"/>
      <c r="B63" s="50"/>
      <c r="C63" s="24" t="s">
        <v>129</v>
      </c>
      <c r="D63" s="49"/>
      <c r="E63" s="6">
        <v>0</v>
      </c>
      <c r="F63" s="6">
        <v>2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5">
        <f t="shared" si="22"/>
        <v>2</v>
      </c>
    </row>
    <row r="64" spans="1:17" x14ac:dyDescent="0.3">
      <c r="A64" s="7"/>
      <c r="B64" s="50"/>
      <c r="C64" s="24" t="s">
        <v>130</v>
      </c>
      <c r="D64" s="49"/>
      <c r="E64" s="6">
        <v>1</v>
      </c>
      <c r="F64" s="6">
        <v>0</v>
      </c>
      <c r="G64" s="6">
        <v>0</v>
      </c>
      <c r="H64" s="6">
        <v>1</v>
      </c>
      <c r="I64" s="6">
        <v>0</v>
      </c>
      <c r="J64" s="6">
        <v>0</v>
      </c>
      <c r="K64" s="6">
        <v>0</v>
      </c>
      <c r="L64" s="6">
        <v>0</v>
      </c>
      <c r="M64" s="6">
        <v>1</v>
      </c>
      <c r="N64" s="6">
        <v>0</v>
      </c>
      <c r="O64" s="6">
        <v>0</v>
      </c>
      <c r="P64" s="6">
        <v>0</v>
      </c>
      <c r="Q64" s="5">
        <f t="shared" si="22"/>
        <v>3</v>
      </c>
    </row>
    <row r="65" spans="1:17" x14ac:dyDescent="0.3">
      <c r="A65" s="7"/>
      <c r="B65" s="50"/>
      <c r="C65" s="24" t="s">
        <v>131</v>
      </c>
      <c r="D65" s="49"/>
      <c r="E65" s="6">
        <v>1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5">
        <f t="shared" si="22"/>
        <v>1</v>
      </c>
    </row>
    <row r="66" spans="1:17" x14ac:dyDescent="0.3">
      <c r="A66" s="7"/>
      <c r="B66" s="50"/>
      <c r="C66" s="24" t="s">
        <v>132</v>
      </c>
      <c r="D66" s="49"/>
      <c r="E66" s="6">
        <v>2</v>
      </c>
      <c r="F66" s="6">
        <v>0</v>
      </c>
      <c r="G66" s="6">
        <v>1</v>
      </c>
      <c r="H66" s="6">
        <v>0</v>
      </c>
      <c r="I66" s="6">
        <v>1</v>
      </c>
      <c r="J66" s="6">
        <v>0</v>
      </c>
      <c r="K66" s="6">
        <v>0</v>
      </c>
      <c r="L66" s="6">
        <v>0</v>
      </c>
      <c r="M66" s="6">
        <v>0</v>
      </c>
      <c r="N66" s="6">
        <v>1</v>
      </c>
      <c r="O66" s="6">
        <v>0</v>
      </c>
      <c r="P66" s="6">
        <v>0</v>
      </c>
      <c r="Q66" s="5">
        <f t="shared" si="22"/>
        <v>5</v>
      </c>
    </row>
    <row r="67" spans="1:17" x14ac:dyDescent="0.3">
      <c r="A67" s="6" t="s">
        <v>26</v>
      </c>
      <c r="B67" s="84" t="s">
        <v>51</v>
      </c>
      <c r="C67" s="63"/>
      <c r="D67" s="64"/>
      <c r="E67" s="5">
        <f t="shared" ref="E67:Q67" si="23">SUM(E57:E66)</f>
        <v>52</v>
      </c>
      <c r="F67" s="5">
        <f t="shared" si="23"/>
        <v>35</v>
      </c>
      <c r="G67" s="5">
        <f t="shared" si="23"/>
        <v>27</v>
      </c>
      <c r="H67" s="5">
        <f t="shared" si="23"/>
        <v>29</v>
      </c>
      <c r="I67" s="5">
        <f t="shared" si="23"/>
        <v>34</v>
      </c>
      <c r="J67" s="5">
        <f t="shared" si="23"/>
        <v>44</v>
      </c>
      <c r="K67" s="5">
        <f t="shared" si="23"/>
        <v>42</v>
      </c>
      <c r="L67" s="5">
        <f t="shared" si="23"/>
        <v>22</v>
      </c>
      <c r="M67" s="5">
        <f t="shared" si="23"/>
        <v>45</v>
      </c>
      <c r="N67" s="5">
        <f t="shared" ref="N67" si="24">SUM(N57:N66)</f>
        <v>54</v>
      </c>
      <c r="O67" s="5">
        <f t="shared" si="23"/>
        <v>63</v>
      </c>
      <c r="P67" s="5">
        <f t="shared" si="23"/>
        <v>32</v>
      </c>
      <c r="Q67" s="5">
        <f t="shared" si="23"/>
        <v>479</v>
      </c>
    </row>
    <row r="68" spans="1:17" x14ac:dyDescent="0.3">
      <c r="A68" s="83"/>
      <c r="B68" s="82"/>
      <c r="C68" s="82"/>
      <c r="D68" s="82"/>
      <c r="E68" s="82"/>
    </row>
    <row r="69" spans="1:17" x14ac:dyDescent="0.3">
      <c r="A69" s="11" t="s">
        <v>48</v>
      </c>
      <c r="B69" s="17" t="s">
        <v>32</v>
      </c>
      <c r="C69" s="86" t="s">
        <v>53</v>
      </c>
      <c r="D69" s="64"/>
      <c r="E69" s="6">
        <v>6</v>
      </c>
      <c r="F69" s="6">
        <v>6</v>
      </c>
      <c r="G69" s="6">
        <v>3</v>
      </c>
      <c r="H69" s="6">
        <v>9</v>
      </c>
      <c r="I69" s="6">
        <v>5</v>
      </c>
      <c r="J69" s="6">
        <v>2</v>
      </c>
      <c r="K69" s="6">
        <v>5</v>
      </c>
      <c r="L69" s="6">
        <v>5</v>
      </c>
      <c r="M69" s="6">
        <v>3</v>
      </c>
      <c r="N69" s="6">
        <v>6</v>
      </c>
      <c r="O69" s="6">
        <v>16</v>
      </c>
      <c r="P69" s="6">
        <v>8</v>
      </c>
      <c r="Q69" s="5">
        <f t="shared" ref="Q69:Q78" si="25">SUM(E69:P69)</f>
        <v>74</v>
      </c>
    </row>
    <row r="70" spans="1:17" x14ac:dyDescent="0.3">
      <c r="A70" s="11" t="s">
        <v>50</v>
      </c>
      <c r="B70" s="50"/>
      <c r="C70" s="24" t="s">
        <v>133</v>
      </c>
      <c r="D70" s="49"/>
      <c r="E70" s="6">
        <v>9</v>
      </c>
      <c r="F70" s="6">
        <v>18</v>
      </c>
      <c r="G70" s="6">
        <v>33</v>
      </c>
      <c r="H70" s="6">
        <v>24</v>
      </c>
      <c r="I70" s="6">
        <v>27</v>
      </c>
      <c r="J70" s="6">
        <v>17</v>
      </c>
      <c r="K70" s="6">
        <v>30</v>
      </c>
      <c r="L70" s="6">
        <v>79</v>
      </c>
      <c r="M70" s="6">
        <v>33</v>
      </c>
      <c r="N70" s="6">
        <v>21</v>
      </c>
      <c r="O70" s="6">
        <v>20</v>
      </c>
      <c r="P70" s="6">
        <v>56</v>
      </c>
      <c r="Q70" s="5">
        <f t="shared" si="25"/>
        <v>367</v>
      </c>
    </row>
    <row r="71" spans="1:17" x14ac:dyDescent="0.3">
      <c r="A71" s="7"/>
      <c r="B71" s="50"/>
      <c r="C71" s="24" t="s">
        <v>134</v>
      </c>
      <c r="D71" s="49"/>
      <c r="E71" s="6">
        <v>3</v>
      </c>
      <c r="F71" s="6">
        <v>4</v>
      </c>
      <c r="G71" s="6">
        <v>3</v>
      </c>
      <c r="H71" s="6">
        <v>1</v>
      </c>
      <c r="I71" s="6">
        <v>0</v>
      </c>
      <c r="J71" s="6">
        <v>6</v>
      </c>
      <c r="K71" s="6">
        <v>4</v>
      </c>
      <c r="L71" s="6">
        <v>1</v>
      </c>
      <c r="M71" s="6">
        <v>1</v>
      </c>
      <c r="N71" s="6">
        <v>6</v>
      </c>
      <c r="O71" s="6">
        <v>3</v>
      </c>
      <c r="P71" s="6">
        <v>13</v>
      </c>
      <c r="Q71" s="5">
        <f t="shared" si="25"/>
        <v>45</v>
      </c>
    </row>
    <row r="72" spans="1:17" x14ac:dyDescent="0.3">
      <c r="A72" s="7"/>
      <c r="B72" s="50"/>
      <c r="C72" s="24" t="s">
        <v>135</v>
      </c>
      <c r="D72" s="49"/>
      <c r="E72" s="6">
        <v>3</v>
      </c>
      <c r="F72" s="6">
        <v>0</v>
      </c>
      <c r="G72" s="6">
        <v>2</v>
      </c>
      <c r="H72" s="6">
        <v>0</v>
      </c>
      <c r="I72" s="6">
        <v>1</v>
      </c>
      <c r="J72" s="6">
        <v>1</v>
      </c>
      <c r="K72" s="6">
        <v>0</v>
      </c>
      <c r="L72" s="6">
        <v>0</v>
      </c>
      <c r="M72" s="6">
        <v>0</v>
      </c>
      <c r="N72" s="6">
        <v>1</v>
      </c>
      <c r="O72" s="6">
        <v>2</v>
      </c>
      <c r="P72" s="6">
        <v>8</v>
      </c>
      <c r="Q72" s="5">
        <f t="shared" si="25"/>
        <v>18</v>
      </c>
    </row>
    <row r="73" spans="1:17" x14ac:dyDescent="0.3">
      <c r="A73" s="7"/>
      <c r="B73" s="50"/>
      <c r="C73" s="24" t="s">
        <v>136</v>
      </c>
      <c r="D73" s="49"/>
      <c r="E73" s="6">
        <v>2</v>
      </c>
      <c r="F73" s="6">
        <v>4</v>
      </c>
      <c r="G73" s="6">
        <v>2</v>
      </c>
      <c r="H73" s="6">
        <v>4</v>
      </c>
      <c r="I73" s="6">
        <v>4</v>
      </c>
      <c r="J73" s="6">
        <v>7</v>
      </c>
      <c r="K73" s="6">
        <v>2</v>
      </c>
      <c r="L73" s="6">
        <v>0</v>
      </c>
      <c r="M73" s="6">
        <v>2</v>
      </c>
      <c r="N73" s="6">
        <v>2</v>
      </c>
      <c r="O73" s="6">
        <v>1</v>
      </c>
      <c r="P73" s="6">
        <v>1</v>
      </c>
      <c r="Q73" s="5">
        <f t="shared" si="25"/>
        <v>31</v>
      </c>
    </row>
    <row r="74" spans="1:17" ht="13.15" customHeight="1" x14ac:dyDescent="0.3">
      <c r="A74" s="7"/>
      <c r="B74" s="50"/>
      <c r="C74" s="24" t="s">
        <v>137</v>
      </c>
      <c r="D74" s="49"/>
      <c r="E74" s="6">
        <v>1</v>
      </c>
      <c r="F74" s="6">
        <v>1</v>
      </c>
      <c r="G74" s="6">
        <v>0</v>
      </c>
      <c r="H74" s="6">
        <v>1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2</v>
      </c>
      <c r="O74" s="6">
        <v>0</v>
      </c>
      <c r="P74" s="6">
        <v>2</v>
      </c>
      <c r="Q74" s="5">
        <f t="shared" si="25"/>
        <v>7</v>
      </c>
    </row>
    <row r="75" spans="1:17" x14ac:dyDescent="0.3">
      <c r="A75" s="7"/>
      <c r="B75" s="50"/>
      <c r="C75" s="24" t="s">
        <v>138</v>
      </c>
      <c r="D75" s="49"/>
      <c r="E75" s="6">
        <v>1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2</v>
      </c>
      <c r="L75" s="6">
        <v>0</v>
      </c>
      <c r="M75" s="6">
        <v>0</v>
      </c>
      <c r="N75" s="6">
        <v>1</v>
      </c>
      <c r="O75" s="6">
        <v>0</v>
      </c>
      <c r="P75" s="6">
        <v>0</v>
      </c>
      <c r="Q75" s="5">
        <f t="shared" si="25"/>
        <v>4</v>
      </c>
    </row>
    <row r="76" spans="1:17" x14ac:dyDescent="0.3">
      <c r="A76" s="7"/>
      <c r="B76" s="50"/>
      <c r="C76" s="24" t="s">
        <v>139</v>
      </c>
      <c r="D76" s="49"/>
      <c r="E76" s="6">
        <v>0</v>
      </c>
      <c r="F76" s="6">
        <v>1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5">
        <f t="shared" si="25"/>
        <v>1</v>
      </c>
    </row>
    <row r="77" spans="1:17" x14ac:dyDescent="0.3">
      <c r="A77" s="7"/>
      <c r="B77" s="50"/>
      <c r="C77" s="24" t="s">
        <v>140</v>
      </c>
      <c r="D77" s="49"/>
      <c r="E77" s="6">
        <v>0</v>
      </c>
      <c r="F77" s="6">
        <v>1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5">
        <f t="shared" si="25"/>
        <v>1</v>
      </c>
    </row>
    <row r="78" spans="1:17" x14ac:dyDescent="0.3">
      <c r="A78" s="7"/>
      <c r="B78" s="50"/>
      <c r="C78" s="24" t="s">
        <v>141</v>
      </c>
      <c r="D78" s="49"/>
      <c r="E78" s="6">
        <v>1</v>
      </c>
      <c r="F78" s="6">
        <v>1</v>
      </c>
      <c r="G78" s="6">
        <v>0</v>
      </c>
      <c r="H78" s="6">
        <v>1</v>
      </c>
      <c r="I78" s="6">
        <v>0</v>
      </c>
      <c r="J78" s="6">
        <v>1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5">
        <f t="shared" si="25"/>
        <v>4</v>
      </c>
    </row>
    <row r="79" spans="1:17" x14ac:dyDescent="0.3">
      <c r="A79" s="6" t="s">
        <v>26</v>
      </c>
      <c r="B79" s="84" t="s">
        <v>51</v>
      </c>
      <c r="C79" s="63"/>
      <c r="D79" s="64"/>
      <c r="E79" s="5">
        <f t="shared" ref="E79:Q79" si="26">SUM(E69:E78)</f>
        <v>26</v>
      </c>
      <c r="F79" s="5">
        <f t="shared" si="26"/>
        <v>36</v>
      </c>
      <c r="G79" s="5">
        <f t="shared" si="26"/>
        <v>43</v>
      </c>
      <c r="H79" s="5">
        <f t="shared" si="26"/>
        <v>40</v>
      </c>
      <c r="I79" s="5">
        <f t="shared" si="26"/>
        <v>37</v>
      </c>
      <c r="J79" s="5">
        <f t="shared" si="26"/>
        <v>34</v>
      </c>
      <c r="K79" s="5">
        <f t="shared" si="26"/>
        <v>43</v>
      </c>
      <c r="L79" s="5">
        <f t="shared" si="26"/>
        <v>85</v>
      </c>
      <c r="M79" s="5">
        <f t="shared" si="26"/>
        <v>39</v>
      </c>
      <c r="N79" s="5">
        <f t="shared" ref="N79" si="27">SUM(N69:N78)</f>
        <v>39</v>
      </c>
      <c r="O79" s="5">
        <f t="shared" si="26"/>
        <v>42</v>
      </c>
      <c r="P79" s="5">
        <f t="shared" si="26"/>
        <v>88</v>
      </c>
      <c r="Q79" s="5">
        <f t="shared" si="26"/>
        <v>552</v>
      </c>
    </row>
    <row r="80" spans="1:17" x14ac:dyDescent="0.3">
      <c r="A80" s="83"/>
      <c r="B80" s="82"/>
      <c r="C80" s="82"/>
      <c r="D80" s="82"/>
      <c r="E80" s="82"/>
    </row>
    <row r="81" spans="1:17" x14ac:dyDescent="0.3">
      <c r="A81" s="11" t="s">
        <v>48</v>
      </c>
      <c r="B81" s="17" t="s">
        <v>34</v>
      </c>
      <c r="C81" s="86" t="s">
        <v>54</v>
      </c>
      <c r="D81" s="64"/>
      <c r="E81" s="6">
        <v>2</v>
      </c>
      <c r="F81" s="6">
        <v>0</v>
      </c>
      <c r="G81" s="6">
        <v>2</v>
      </c>
      <c r="H81" s="6">
        <v>0</v>
      </c>
      <c r="I81" s="6">
        <v>1</v>
      </c>
      <c r="J81" s="6">
        <v>5</v>
      </c>
      <c r="K81" s="6">
        <v>3</v>
      </c>
      <c r="L81" s="6">
        <v>1</v>
      </c>
      <c r="M81" s="6">
        <v>2</v>
      </c>
      <c r="N81" s="6">
        <v>2</v>
      </c>
      <c r="O81" s="6">
        <v>3</v>
      </c>
      <c r="P81" s="6">
        <v>2</v>
      </c>
      <c r="Q81" s="5">
        <f t="shared" ref="Q81:Q90" si="28">SUM(E81:P81)</f>
        <v>23</v>
      </c>
    </row>
    <row r="82" spans="1:17" x14ac:dyDescent="0.3">
      <c r="A82" s="11" t="s">
        <v>50</v>
      </c>
      <c r="B82" s="50"/>
      <c r="C82" s="24" t="s">
        <v>142</v>
      </c>
      <c r="D82" s="49"/>
      <c r="E82" s="6">
        <v>3</v>
      </c>
      <c r="F82" s="6">
        <v>1</v>
      </c>
      <c r="G82" s="6">
        <v>5</v>
      </c>
      <c r="H82" s="6">
        <v>5</v>
      </c>
      <c r="I82" s="6">
        <v>2</v>
      </c>
      <c r="J82" s="6">
        <v>4</v>
      </c>
      <c r="K82" s="6">
        <v>1</v>
      </c>
      <c r="L82" s="6">
        <v>1</v>
      </c>
      <c r="M82" s="6">
        <v>0</v>
      </c>
      <c r="N82" s="6">
        <v>2</v>
      </c>
      <c r="O82" s="6">
        <v>0</v>
      </c>
      <c r="P82" s="6">
        <v>0</v>
      </c>
      <c r="Q82" s="5">
        <f t="shared" si="28"/>
        <v>24</v>
      </c>
    </row>
    <row r="83" spans="1:17" x14ac:dyDescent="0.3">
      <c r="A83" s="7"/>
      <c r="B83" s="50"/>
      <c r="C83" s="24" t="s">
        <v>143</v>
      </c>
      <c r="D83" s="49"/>
      <c r="E83" s="6">
        <v>0</v>
      </c>
      <c r="F83" s="6">
        <v>0</v>
      </c>
      <c r="G83" s="6">
        <v>1</v>
      </c>
      <c r="H83" s="6">
        <v>1</v>
      </c>
      <c r="I83" s="6">
        <v>0</v>
      </c>
      <c r="J83" s="6">
        <v>0</v>
      </c>
      <c r="K83" s="6">
        <v>0</v>
      </c>
      <c r="L83" s="6">
        <v>1</v>
      </c>
      <c r="M83" s="6">
        <v>1</v>
      </c>
      <c r="N83" s="6">
        <v>0</v>
      </c>
      <c r="O83" s="6">
        <v>0</v>
      </c>
      <c r="P83" s="6">
        <v>0</v>
      </c>
      <c r="Q83" s="5">
        <f t="shared" si="28"/>
        <v>4</v>
      </c>
    </row>
    <row r="84" spans="1:17" x14ac:dyDescent="0.3">
      <c r="A84" s="7"/>
      <c r="B84" s="50"/>
      <c r="C84" s="24" t="s">
        <v>144</v>
      </c>
      <c r="D84" s="49"/>
      <c r="E84" s="6">
        <v>0</v>
      </c>
      <c r="F84" s="6">
        <v>0</v>
      </c>
      <c r="G84" s="6">
        <v>0</v>
      </c>
      <c r="H84" s="6">
        <v>0</v>
      </c>
      <c r="I84" s="6">
        <v>1</v>
      </c>
      <c r="J84" s="6">
        <v>1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5">
        <f t="shared" si="28"/>
        <v>2</v>
      </c>
    </row>
    <row r="85" spans="1:17" ht="13.15" customHeight="1" x14ac:dyDescent="0.3">
      <c r="A85" s="7"/>
      <c r="B85" s="50"/>
      <c r="C85" s="24" t="s">
        <v>145</v>
      </c>
      <c r="D85" s="49"/>
      <c r="E85" s="6">
        <v>1</v>
      </c>
      <c r="F85" s="6">
        <v>1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1</v>
      </c>
      <c r="M85" s="6">
        <v>0</v>
      </c>
      <c r="N85" s="6">
        <v>0</v>
      </c>
      <c r="O85" s="6">
        <v>0</v>
      </c>
      <c r="P85" s="6">
        <v>0</v>
      </c>
      <c r="Q85" s="5">
        <f t="shared" si="28"/>
        <v>3</v>
      </c>
    </row>
    <row r="86" spans="1:17" x14ac:dyDescent="0.3">
      <c r="A86" s="7"/>
      <c r="B86" s="50"/>
      <c r="C86" s="24" t="s">
        <v>146</v>
      </c>
      <c r="D86" s="49"/>
      <c r="E86" s="6">
        <v>0</v>
      </c>
      <c r="F86" s="6">
        <v>0</v>
      </c>
      <c r="G86" s="6">
        <v>2</v>
      </c>
      <c r="H86" s="6">
        <v>0</v>
      </c>
      <c r="I86" s="6">
        <v>0</v>
      </c>
      <c r="J86" s="6">
        <v>2</v>
      </c>
      <c r="K86" s="6">
        <v>0</v>
      </c>
      <c r="L86" s="6">
        <v>0</v>
      </c>
      <c r="M86" s="6">
        <v>1</v>
      </c>
      <c r="N86" s="6">
        <v>5</v>
      </c>
      <c r="O86" s="6">
        <v>0</v>
      </c>
      <c r="P86" s="6">
        <v>1</v>
      </c>
      <c r="Q86" s="5">
        <f t="shared" si="28"/>
        <v>11</v>
      </c>
    </row>
    <row r="87" spans="1:17" x14ac:dyDescent="0.3">
      <c r="A87" s="7"/>
      <c r="B87" s="50"/>
      <c r="C87" s="24" t="s">
        <v>147</v>
      </c>
      <c r="D87" s="49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5">
        <f t="shared" si="28"/>
        <v>0</v>
      </c>
    </row>
    <row r="88" spans="1:17" x14ac:dyDescent="0.3">
      <c r="A88" s="7"/>
      <c r="B88" s="50"/>
      <c r="C88" s="24" t="s">
        <v>148</v>
      </c>
      <c r="D88" s="49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1</v>
      </c>
      <c r="P88" s="6">
        <v>0</v>
      </c>
      <c r="Q88" s="5">
        <f t="shared" si="28"/>
        <v>1</v>
      </c>
    </row>
    <row r="89" spans="1:17" x14ac:dyDescent="0.3">
      <c r="A89" s="7"/>
      <c r="B89" s="50"/>
      <c r="C89" s="24" t="s">
        <v>149</v>
      </c>
      <c r="D89" s="49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5">
        <f t="shared" si="28"/>
        <v>0</v>
      </c>
    </row>
    <row r="90" spans="1:17" x14ac:dyDescent="0.3">
      <c r="A90" s="7"/>
      <c r="B90" s="50"/>
      <c r="C90" s="24" t="s">
        <v>150</v>
      </c>
      <c r="D90" s="49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5">
        <f t="shared" si="28"/>
        <v>0</v>
      </c>
    </row>
    <row r="91" spans="1:17" x14ac:dyDescent="0.3">
      <c r="A91" s="6" t="s">
        <v>26</v>
      </c>
      <c r="B91" s="84" t="s">
        <v>51</v>
      </c>
      <c r="C91" s="63"/>
      <c r="D91" s="64"/>
      <c r="E91" s="5">
        <f t="shared" ref="E91:Q91" si="29">SUM(E81:E90)</f>
        <v>6</v>
      </c>
      <c r="F91" s="5">
        <f t="shared" si="29"/>
        <v>2</v>
      </c>
      <c r="G91" s="5">
        <f t="shared" si="29"/>
        <v>10</v>
      </c>
      <c r="H91" s="5">
        <f t="shared" si="29"/>
        <v>6</v>
      </c>
      <c r="I91" s="5">
        <f t="shared" si="29"/>
        <v>4</v>
      </c>
      <c r="J91" s="5">
        <f t="shared" si="29"/>
        <v>12</v>
      </c>
      <c r="K91" s="5">
        <f t="shared" si="29"/>
        <v>4</v>
      </c>
      <c r="L91" s="5">
        <f t="shared" si="29"/>
        <v>4</v>
      </c>
      <c r="M91" s="5">
        <f t="shared" si="29"/>
        <v>4</v>
      </c>
      <c r="N91" s="5">
        <f t="shared" ref="N91" si="30">SUM(N81:N90)</f>
        <v>9</v>
      </c>
      <c r="O91" s="5">
        <f t="shared" si="29"/>
        <v>4</v>
      </c>
      <c r="P91" s="5">
        <f t="shared" si="29"/>
        <v>3</v>
      </c>
      <c r="Q91" s="5">
        <f t="shared" si="29"/>
        <v>68</v>
      </c>
    </row>
    <row r="92" spans="1:17" x14ac:dyDescent="0.3">
      <c r="A92" s="83"/>
      <c r="B92" s="82"/>
      <c r="C92" s="82"/>
      <c r="D92" s="82"/>
      <c r="E92" s="82"/>
    </row>
    <row r="93" spans="1:17" x14ac:dyDescent="0.3">
      <c r="A93" s="11" t="s">
        <v>48</v>
      </c>
      <c r="B93" s="17" t="s">
        <v>55</v>
      </c>
      <c r="C93" s="86" t="s">
        <v>56</v>
      </c>
      <c r="D93" s="64"/>
      <c r="E93" s="6">
        <v>1</v>
      </c>
      <c r="F93" s="6">
        <v>0</v>
      </c>
      <c r="G93" s="6">
        <v>0</v>
      </c>
      <c r="H93" s="6">
        <v>3</v>
      </c>
      <c r="I93" s="6">
        <v>0</v>
      </c>
      <c r="J93" s="6">
        <v>0</v>
      </c>
      <c r="K93" s="6">
        <v>0</v>
      </c>
      <c r="L93" s="6">
        <v>0</v>
      </c>
      <c r="M93" s="6">
        <v>1</v>
      </c>
      <c r="N93" s="6">
        <v>0</v>
      </c>
      <c r="O93" s="6">
        <v>0</v>
      </c>
      <c r="P93" s="6">
        <v>0</v>
      </c>
      <c r="Q93" s="5">
        <f t="shared" ref="Q93:Q102" si="31">SUM(E93:P93)</f>
        <v>5</v>
      </c>
    </row>
    <row r="94" spans="1:17" x14ac:dyDescent="0.3">
      <c r="A94" s="11" t="s">
        <v>50</v>
      </c>
      <c r="B94" s="50"/>
      <c r="C94" s="24" t="s">
        <v>151</v>
      </c>
      <c r="D94" s="51"/>
      <c r="E94" s="6">
        <v>0</v>
      </c>
      <c r="F94" s="6">
        <v>0</v>
      </c>
      <c r="G94" s="6">
        <v>1</v>
      </c>
      <c r="H94" s="6">
        <v>1</v>
      </c>
      <c r="I94" s="6">
        <v>4</v>
      </c>
      <c r="J94" s="6">
        <v>0</v>
      </c>
      <c r="K94" s="6">
        <v>0</v>
      </c>
      <c r="L94" s="6">
        <v>0</v>
      </c>
      <c r="M94" s="6">
        <v>1</v>
      </c>
      <c r="N94" s="6">
        <v>1</v>
      </c>
      <c r="O94" s="6">
        <v>1</v>
      </c>
      <c r="P94" s="6">
        <v>1</v>
      </c>
      <c r="Q94" s="5">
        <f t="shared" si="31"/>
        <v>10</v>
      </c>
    </row>
    <row r="95" spans="1:17" x14ac:dyDescent="0.3">
      <c r="A95" s="7"/>
      <c r="B95" s="50"/>
      <c r="C95" s="24" t="s">
        <v>152</v>
      </c>
      <c r="D95" s="51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/>
      <c r="P95" s="6"/>
      <c r="Q95" s="5">
        <f t="shared" si="31"/>
        <v>0</v>
      </c>
    </row>
    <row r="96" spans="1:17" ht="13.15" customHeight="1" x14ac:dyDescent="0.3">
      <c r="A96" s="7"/>
      <c r="B96" s="50"/>
      <c r="C96" s="24" t="s">
        <v>153</v>
      </c>
      <c r="D96" s="51"/>
      <c r="E96" s="6">
        <v>1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5">
        <f t="shared" si="31"/>
        <v>1</v>
      </c>
    </row>
    <row r="97" spans="1:17" x14ac:dyDescent="0.3">
      <c r="A97" s="7"/>
      <c r="B97" s="50"/>
      <c r="C97" s="24" t="s">
        <v>154</v>
      </c>
      <c r="D97" s="51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5">
        <f t="shared" si="31"/>
        <v>0</v>
      </c>
    </row>
    <row r="98" spans="1:17" x14ac:dyDescent="0.3">
      <c r="A98" s="7"/>
      <c r="B98" s="50"/>
      <c r="C98" s="24" t="s">
        <v>155</v>
      </c>
      <c r="D98" s="49"/>
      <c r="E98" s="6">
        <v>0</v>
      </c>
      <c r="F98" s="6">
        <v>0</v>
      </c>
      <c r="G98" s="6">
        <v>1</v>
      </c>
      <c r="H98" s="6">
        <v>0</v>
      </c>
      <c r="I98" s="6">
        <v>1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5">
        <f t="shared" si="31"/>
        <v>2</v>
      </c>
    </row>
    <row r="99" spans="1:17" x14ac:dyDescent="0.3">
      <c r="A99" s="7"/>
      <c r="B99" s="50"/>
      <c r="C99" s="24" t="s">
        <v>156</v>
      </c>
      <c r="D99" s="49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5">
        <f t="shared" si="31"/>
        <v>0</v>
      </c>
    </row>
    <row r="100" spans="1:17" x14ac:dyDescent="0.3">
      <c r="A100" s="7"/>
      <c r="B100" s="50"/>
      <c r="C100" s="24" t="s">
        <v>157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1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5">
        <f t="shared" si="31"/>
        <v>1</v>
      </c>
    </row>
    <row r="101" spans="1:17" x14ac:dyDescent="0.3">
      <c r="A101" s="7"/>
      <c r="B101" s="50"/>
      <c r="C101" s="24" t="s">
        <v>158</v>
      </c>
      <c r="D101" s="51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5">
        <f t="shared" si="31"/>
        <v>0</v>
      </c>
    </row>
    <row r="102" spans="1:17" x14ac:dyDescent="0.3">
      <c r="A102" s="7"/>
      <c r="B102" s="50"/>
      <c r="C102" s="24" t="s">
        <v>159</v>
      </c>
      <c r="D102" s="51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5">
        <f t="shared" si="31"/>
        <v>0</v>
      </c>
    </row>
    <row r="103" spans="1:17" x14ac:dyDescent="0.3">
      <c r="A103" s="6" t="s">
        <v>26</v>
      </c>
      <c r="B103" s="84" t="s">
        <v>51</v>
      </c>
      <c r="C103" s="63"/>
      <c r="D103" s="64"/>
      <c r="E103" s="5">
        <f t="shared" ref="E103:Q103" si="32">SUM(E93:E102)</f>
        <v>2</v>
      </c>
      <c r="F103" s="5">
        <f t="shared" si="32"/>
        <v>0</v>
      </c>
      <c r="G103" s="5">
        <f t="shared" si="32"/>
        <v>2</v>
      </c>
      <c r="H103" s="5">
        <f t="shared" si="32"/>
        <v>4</v>
      </c>
      <c r="I103" s="5">
        <f t="shared" si="32"/>
        <v>6</v>
      </c>
      <c r="J103" s="5">
        <f t="shared" si="32"/>
        <v>0</v>
      </c>
      <c r="K103" s="5">
        <f t="shared" si="32"/>
        <v>0</v>
      </c>
      <c r="L103" s="5">
        <f t="shared" si="32"/>
        <v>0</v>
      </c>
      <c r="M103" s="5">
        <f t="shared" si="32"/>
        <v>2</v>
      </c>
      <c r="N103" s="5">
        <f t="shared" ref="N103" si="33">SUM(N93:N102)</f>
        <v>1</v>
      </c>
      <c r="O103" s="5">
        <f t="shared" si="32"/>
        <v>1</v>
      </c>
      <c r="P103" s="5">
        <f t="shared" si="32"/>
        <v>1</v>
      </c>
      <c r="Q103" s="5">
        <f t="shared" si="32"/>
        <v>19</v>
      </c>
    </row>
    <row r="104" spans="1:17" x14ac:dyDescent="0.3">
      <c r="A104" s="83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</row>
    <row r="105" spans="1:17" x14ac:dyDescent="0.3">
      <c r="A105" s="11" t="s">
        <v>48</v>
      </c>
      <c r="B105" s="17" t="s">
        <v>57</v>
      </c>
      <c r="C105" s="86" t="s">
        <v>58</v>
      </c>
      <c r="D105" s="64"/>
      <c r="E105" s="6">
        <v>2</v>
      </c>
      <c r="F105" s="6">
        <v>0</v>
      </c>
      <c r="G105" s="6">
        <v>0</v>
      </c>
      <c r="H105" s="6">
        <v>2</v>
      </c>
      <c r="I105" s="6">
        <v>2</v>
      </c>
      <c r="J105" s="6">
        <v>0</v>
      </c>
      <c r="K105" s="6">
        <v>1</v>
      </c>
      <c r="L105" s="6">
        <v>0</v>
      </c>
      <c r="M105" s="6">
        <v>0</v>
      </c>
      <c r="N105" s="6">
        <v>2</v>
      </c>
      <c r="O105" s="6">
        <v>0</v>
      </c>
      <c r="P105" s="6">
        <v>0</v>
      </c>
      <c r="Q105" s="5">
        <f>SUM(E105:P105)</f>
        <v>9</v>
      </c>
    </row>
    <row r="106" spans="1:17" x14ac:dyDescent="0.3">
      <c r="A106" s="11" t="s">
        <v>50</v>
      </c>
      <c r="B106" s="50"/>
      <c r="C106" s="24" t="s">
        <v>160</v>
      </c>
      <c r="D106" s="49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5">
        <f>SUM(E106:P106)</f>
        <v>0</v>
      </c>
    </row>
    <row r="107" spans="1:17" ht="13.15" customHeight="1" x14ac:dyDescent="0.3">
      <c r="A107" s="7"/>
      <c r="B107" s="50"/>
      <c r="C107" s="24" t="s">
        <v>161</v>
      </c>
      <c r="D107" s="49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5">
        <f t="shared" ref="Q107:Q114" si="34">SUM(E107:P107)</f>
        <v>0</v>
      </c>
    </row>
    <row r="108" spans="1:17" x14ac:dyDescent="0.3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5">
        <f t="shared" si="34"/>
        <v>0</v>
      </c>
    </row>
    <row r="109" spans="1:17" x14ac:dyDescent="0.3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5">
        <f t="shared" si="34"/>
        <v>0</v>
      </c>
    </row>
    <row r="110" spans="1:17" x14ac:dyDescent="0.3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5">
        <f t="shared" si="34"/>
        <v>0</v>
      </c>
    </row>
    <row r="111" spans="1:17" x14ac:dyDescent="0.3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5">
        <f t="shared" si="34"/>
        <v>0</v>
      </c>
    </row>
    <row r="112" spans="1:17" x14ac:dyDescent="0.3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5">
        <f t="shared" si="34"/>
        <v>0</v>
      </c>
    </row>
    <row r="113" spans="1:17" x14ac:dyDescent="0.3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5">
        <f t="shared" si="34"/>
        <v>0</v>
      </c>
    </row>
    <row r="114" spans="1:17" x14ac:dyDescent="0.3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5">
        <f t="shared" si="34"/>
        <v>0</v>
      </c>
    </row>
    <row r="115" spans="1:17" ht="13.15" customHeight="1" x14ac:dyDescent="0.3">
      <c r="A115" s="6" t="s">
        <v>26</v>
      </c>
      <c r="B115" s="84" t="s">
        <v>51</v>
      </c>
      <c r="C115" s="87"/>
      <c r="D115" s="88"/>
      <c r="E115" s="5">
        <f t="shared" ref="E115:Q115" si="35">SUM(E105:E114)</f>
        <v>2</v>
      </c>
      <c r="F115" s="5">
        <f t="shared" si="35"/>
        <v>0</v>
      </c>
      <c r="G115" s="5">
        <f t="shared" si="35"/>
        <v>0</v>
      </c>
      <c r="H115" s="5">
        <f t="shared" si="35"/>
        <v>2</v>
      </c>
      <c r="I115" s="5">
        <f t="shared" si="35"/>
        <v>2</v>
      </c>
      <c r="J115" s="5">
        <f t="shared" si="35"/>
        <v>0</v>
      </c>
      <c r="K115" s="5">
        <f t="shared" si="35"/>
        <v>1</v>
      </c>
      <c r="L115" s="5">
        <f t="shared" si="35"/>
        <v>0</v>
      </c>
      <c r="M115" s="5">
        <f t="shared" si="35"/>
        <v>0</v>
      </c>
      <c r="N115" s="5">
        <f t="shared" ref="N115" si="36">SUM(N105:N114)</f>
        <v>2</v>
      </c>
      <c r="O115" s="5">
        <f t="shared" si="35"/>
        <v>0</v>
      </c>
      <c r="P115" s="5">
        <f t="shared" si="35"/>
        <v>0</v>
      </c>
      <c r="Q115" s="5">
        <f t="shared" si="35"/>
        <v>9</v>
      </c>
    </row>
    <row r="116" spans="1:17" x14ac:dyDescent="0.3">
      <c r="A116" s="62"/>
      <c r="B116" s="89"/>
      <c r="C116" s="89"/>
      <c r="D116" s="89"/>
      <c r="E116" s="90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5"/>
    </row>
    <row r="117" spans="1:17" x14ac:dyDescent="0.3">
      <c r="A117" s="11" t="s">
        <v>48</v>
      </c>
      <c r="B117" s="17" t="s">
        <v>59</v>
      </c>
      <c r="C117" s="86" t="s">
        <v>60</v>
      </c>
      <c r="D117" s="64"/>
      <c r="E117" s="6">
        <v>1</v>
      </c>
      <c r="F117" s="6">
        <v>3</v>
      </c>
      <c r="G117" s="6">
        <v>0</v>
      </c>
      <c r="H117" s="6">
        <v>1</v>
      </c>
      <c r="I117" s="6">
        <v>1</v>
      </c>
      <c r="J117" s="6">
        <v>0</v>
      </c>
      <c r="K117" s="6">
        <v>0</v>
      </c>
      <c r="L117" s="6">
        <v>1</v>
      </c>
      <c r="M117" s="6">
        <v>1</v>
      </c>
      <c r="N117" s="6">
        <v>1</v>
      </c>
      <c r="O117" s="6">
        <v>0</v>
      </c>
      <c r="P117" s="6">
        <v>0</v>
      </c>
      <c r="Q117" s="5">
        <f t="shared" ref="Q117:Q126" si="37">SUM(E117:P117)</f>
        <v>9</v>
      </c>
    </row>
    <row r="118" spans="1:17" x14ac:dyDescent="0.3">
      <c r="A118" s="11" t="s">
        <v>50</v>
      </c>
      <c r="B118" s="50"/>
      <c r="C118" s="24" t="s">
        <v>162</v>
      </c>
      <c r="D118" s="49"/>
      <c r="E118" s="6">
        <v>2</v>
      </c>
      <c r="F118" s="6">
        <v>0</v>
      </c>
      <c r="G118" s="6">
        <v>1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5">
        <f t="shared" si="37"/>
        <v>3</v>
      </c>
    </row>
    <row r="119" spans="1:17" x14ac:dyDescent="0.3">
      <c r="A119" s="7"/>
      <c r="B119" s="50"/>
      <c r="C119" s="24" t="s">
        <v>163</v>
      </c>
      <c r="D119" s="49"/>
      <c r="E119" s="6">
        <v>0</v>
      </c>
      <c r="F119" s="6">
        <v>0</v>
      </c>
      <c r="G119" s="6">
        <v>0</v>
      </c>
      <c r="H119" s="6">
        <v>0</v>
      </c>
      <c r="I119" s="6">
        <v>1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5">
        <f t="shared" si="37"/>
        <v>1</v>
      </c>
    </row>
    <row r="120" spans="1:17" x14ac:dyDescent="0.3">
      <c r="A120" s="7"/>
      <c r="B120" s="50"/>
      <c r="C120" s="24" t="s">
        <v>164</v>
      </c>
      <c r="D120" s="49"/>
      <c r="E120" s="6">
        <v>0</v>
      </c>
      <c r="F120" s="6">
        <v>0</v>
      </c>
      <c r="G120" s="6">
        <v>0</v>
      </c>
      <c r="H120" s="6">
        <v>0</v>
      </c>
      <c r="I120" s="6">
        <v>1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5">
        <f t="shared" si="37"/>
        <v>1</v>
      </c>
    </row>
    <row r="121" spans="1:17" x14ac:dyDescent="0.3">
      <c r="A121" s="7"/>
      <c r="B121" s="50"/>
      <c r="C121" s="24" t="s">
        <v>165</v>
      </c>
      <c r="D121" s="49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1</v>
      </c>
      <c r="Q121" s="5">
        <f t="shared" si="37"/>
        <v>1</v>
      </c>
    </row>
    <row r="122" spans="1:17" x14ac:dyDescent="0.3">
      <c r="A122" s="7"/>
      <c r="B122" s="50"/>
      <c r="C122" s="24" t="s">
        <v>166</v>
      </c>
      <c r="D122" s="49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5">
        <f t="shared" si="37"/>
        <v>0</v>
      </c>
    </row>
    <row r="123" spans="1:17" x14ac:dyDescent="0.3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5">
        <f t="shared" si="37"/>
        <v>0</v>
      </c>
    </row>
    <row r="124" spans="1:17" x14ac:dyDescent="0.3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5">
        <f t="shared" si="37"/>
        <v>0</v>
      </c>
    </row>
    <row r="125" spans="1:17" x14ac:dyDescent="0.3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5">
        <f t="shared" si="37"/>
        <v>0</v>
      </c>
    </row>
    <row r="126" spans="1:17" x14ac:dyDescent="0.3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5">
        <f t="shared" si="37"/>
        <v>0</v>
      </c>
    </row>
    <row r="127" spans="1:17" x14ac:dyDescent="0.3">
      <c r="A127" s="6" t="s">
        <v>26</v>
      </c>
      <c r="B127" s="84" t="s">
        <v>51</v>
      </c>
      <c r="C127" s="87"/>
      <c r="D127" s="88"/>
      <c r="E127" s="5">
        <f t="shared" ref="E127:Q127" si="38">SUM(E117:E126)</f>
        <v>3</v>
      </c>
      <c r="F127" s="5">
        <f t="shared" si="38"/>
        <v>3</v>
      </c>
      <c r="G127" s="5">
        <f t="shared" si="38"/>
        <v>1</v>
      </c>
      <c r="H127" s="5">
        <f t="shared" si="38"/>
        <v>1</v>
      </c>
      <c r="I127" s="5">
        <f t="shared" si="38"/>
        <v>3</v>
      </c>
      <c r="J127" s="5">
        <f t="shared" si="38"/>
        <v>0</v>
      </c>
      <c r="K127" s="5">
        <f t="shared" si="38"/>
        <v>0</v>
      </c>
      <c r="L127" s="5">
        <f t="shared" si="38"/>
        <v>1</v>
      </c>
      <c r="M127" s="5">
        <f t="shared" si="38"/>
        <v>1</v>
      </c>
      <c r="N127" s="5">
        <f t="shared" ref="N127" si="39">SUM(N117:N126)</f>
        <v>1</v>
      </c>
      <c r="O127" s="5">
        <f t="shared" si="38"/>
        <v>0</v>
      </c>
      <c r="P127" s="5">
        <f t="shared" si="38"/>
        <v>1</v>
      </c>
      <c r="Q127" s="5">
        <f t="shared" si="38"/>
        <v>15</v>
      </c>
    </row>
    <row r="128" spans="1:17" x14ac:dyDescent="0.3">
      <c r="A128" s="62"/>
      <c r="B128" s="89"/>
      <c r="C128" s="89"/>
      <c r="D128" s="89"/>
      <c r="E128" s="90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</row>
    <row r="129" spans="1:17" x14ac:dyDescent="0.3">
      <c r="A129" s="11" t="s">
        <v>48</v>
      </c>
      <c r="B129" s="17" t="s">
        <v>61</v>
      </c>
      <c r="C129" s="86" t="s">
        <v>62</v>
      </c>
      <c r="D129" s="64"/>
      <c r="E129" s="6">
        <v>0</v>
      </c>
      <c r="F129" s="6">
        <v>1</v>
      </c>
      <c r="G129" s="6">
        <v>2</v>
      </c>
      <c r="H129" s="6">
        <v>0</v>
      </c>
      <c r="I129" s="6">
        <v>0</v>
      </c>
      <c r="J129" s="6">
        <v>0</v>
      </c>
      <c r="K129" s="6">
        <v>1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5">
        <f t="shared" ref="Q129:Q138" si="40">SUM(E129:P129)</f>
        <v>4</v>
      </c>
    </row>
    <row r="130" spans="1:17" ht="13.15" customHeight="1" x14ac:dyDescent="0.3">
      <c r="A130" s="11" t="s">
        <v>50</v>
      </c>
      <c r="B130" s="50"/>
      <c r="C130" s="24" t="s">
        <v>167</v>
      </c>
      <c r="D130" s="49"/>
      <c r="E130" s="6">
        <v>2</v>
      </c>
      <c r="F130" s="6">
        <v>0</v>
      </c>
      <c r="G130" s="6">
        <v>0</v>
      </c>
      <c r="H130" s="6">
        <v>2</v>
      </c>
      <c r="I130" s="6">
        <v>1</v>
      </c>
      <c r="J130" s="6">
        <v>1</v>
      </c>
      <c r="K130" s="6">
        <v>2</v>
      </c>
      <c r="L130" s="6">
        <v>0</v>
      </c>
      <c r="M130" s="6">
        <v>0</v>
      </c>
      <c r="N130" s="6">
        <v>1</v>
      </c>
      <c r="O130" s="6">
        <v>2</v>
      </c>
      <c r="P130" s="6">
        <v>0</v>
      </c>
      <c r="Q130" s="5">
        <f t="shared" si="40"/>
        <v>11</v>
      </c>
    </row>
    <row r="131" spans="1:17" x14ac:dyDescent="0.3">
      <c r="A131" s="7"/>
      <c r="B131" s="50"/>
      <c r="C131" s="24" t="s">
        <v>168</v>
      </c>
      <c r="D131" s="49"/>
      <c r="E131" s="6">
        <v>1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1</v>
      </c>
      <c r="M131" s="6">
        <v>0</v>
      </c>
      <c r="N131" s="6">
        <v>0</v>
      </c>
      <c r="O131" s="6">
        <v>0</v>
      </c>
      <c r="P131" s="6">
        <v>0</v>
      </c>
      <c r="Q131" s="5">
        <f t="shared" si="40"/>
        <v>2</v>
      </c>
    </row>
    <row r="132" spans="1:17" x14ac:dyDescent="0.3">
      <c r="A132" s="7"/>
      <c r="B132" s="50"/>
      <c r="C132" s="24" t="s">
        <v>169</v>
      </c>
      <c r="D132" s="49"/>
      <c r="E132" s="6">
        <v>0</v>
      </c>
      <c r="F132" s="6">
        <v>0</v>
      </c>
      <c r="G132" s="6">
        <v>0</v>
      </c>
      <c r="H132" s="6">
        <v>0</v>
      </c>
      <c r="I132" s="6">
        <v>1</v>
      </c>
      <c r="J132" s="6">
        <v>0</v>
      </c>
      <c r="K132" s="6">
        <v>0</v>
      </c>
      <c r="L132" s="6">
        <v>0</v>
      </c>
      <c r="M132" s="6">
        <v>0</v>
      </c>
      <c r="N132" s="6">
        <v>1</v>
      </c>
      <c r="O132" s="6">
        <v>0</v>
      </c>
      <c r="P132" s="6">
        <v>0</v>
      </c>
      <c r="Q132" s="5">
        <f t="shared" si="40"/>
        <v>2</v>
      </c>
    </row>
    <row r="133" spans="1:17" x14ac:dyDescent="0.3">
      <c r="A133" s="7"/>
      <c r="B133" s="50"/>
      <c r="C133" s="24" t="s">
        <v>170</v>
      </c>
      <c r="D133" s="49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5">
        <f t="shared" si="40"/>
        <v>0</v>
      </c>
    </row>
    <row r="134" spans="1:17" x14ac:dyDescent="0.3">
      <c r="A134" s="7"/>
      <c r="B134" s="50"/>
      <c r="C134" s="24" t="s">
        <v>171</v>
      </c>
      <c r="D134" s="49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5">
        <f t="shared" si="40"/>
        <v>0</v>
      </c>
    </row>
    <row r="135" spans="1:17" x14ac:dyDescent="0.3">
      <c r="A135" s="7"/>
      <c r="B135" s="50"/>
      <c r="C135" s="24" t="s">
        <v>172</v>
      </c>
      <c r="D135" s="49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5">
        <f t="shared" si="40"/>
        <v>0</v>
      </c>
    </row>
    <row r="136" spans="1:17" x14ac:dyDescent="0.3">
      <c r="A136" s="7"/>
      <c r="B136" s="50"/>
      <c r="C136" s="24" t="s">
        <v>173</v>
      </c>
      <c r="D136" s="49"/>
      <c r="E136" s="6">
        <v>0</v>
      </c>
      <c r="F136" s="6"/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5">
        <f t="shared" si="40"/>
        <v>0</v>
      </c>
    </row>
    <row r="137" spans="1:17" x14ac:dyDescent="0.3">
      <c r="A137" s="7"/>
      <c r="B137" s="50"/>
      <c r="C137" s="24" t="s">
        <v>174</v>
      </c>
      <c r="D137" s="49"/>
      <c r="E137" s="6">
        <v>0</v>
      </c>
      <c r="F137" s="6">
        <v>1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5">
        <f t="shared" si="40"/>
        <v>1</v>
      </c>
    </row>
    <row r="138" spans="1:17" x14ac:dyDescent="0.3">
      <c r="A138" s="7"/>
      <c r="B138" s="50"/>
      <c r="C138" s="24" t="s">
        <v>175</v>
      </c>
      <c r="D138" s="49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5">
        <f t="shared" si="40"/>
        <v>0</v>
      </c>
    </row>
    <row r="139" spans="1:17" x14ac:dyDescent="0.3">
      <c r="A139" s="6" t="s">
        <v>26</v>
      </c>
      <c r="B139" s="84" t="s">
        <v>51</v>
      </c>
      <c r="C139" s="87"/>
      <c r="D139" s="88"/>
      <c r="E139" s="5">
        <f t="shared" ref="E139:Q139" si="41">SUM(E129:E138)</f>
        <v>3</v>
      </c>
      <c r="F139" s="5">
        <f t="shared" si="41"/>
        <v>2</v>
      </c>
      <c r="G139" s="5">
        <f t="shared" si="41"/>
        <v>2</v>
      </c>
      <c r="H139" s="5">
        <f t="shared" si="41"/>
        <v>2</v>
      </c>
      <c r="I139" s="5">
        <f t="shared" si="41"/>
        <v>2</v>
      </c>
      <c r="J139" s="5">
        <f t="shared" si="41"/>
        <v>1</v>
      </c>
      <c r="K139" s="5">
        <f t="shared" si="41"/>
        <v>3</v>
      </c>
      <c r="L139" s="5">
        <f t="shared" si="41"/>
        <v>1</v>
      </c>
      <c r="M139" s="5">
        <f t="shared" si="41"/>
        <v>0</v>
      </c>
      <c r="N139" s="5">
        <f t="shared" ref="N139" si="42">SUM(N129:N138)</f>
        <v>2</v>
      </c>
      <c r="O139" s="5">
        <f t="shared" si="41"/>
        <v>2</v>
      </c>
      <c r="P139" s="5">
        <f t="shared" si="41"/>
        <v>0</v>
      </c>
      <c r="Q139" s="5">
        <f t="shared" si="41"/>
        <v>20</v>
      </c>
    </row>
    <row r="140" spans="1:17" x14ac:dyDescent="0.3">
      <c r="A140" s="62"/>
      <c r="B140" s="89"/>
      <c r="C140" s="89"/>
      <c r="D140" s="89"/>
      <c r="E140" s="90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</row>
    <row r="141" spans="1:17" ht="13.15" customHeight="1" x14ac:dyDescent="0.3">
      <c r="A141" s="11" t="s">
        <v>48</v>
      </c>
      <c r="B141" s="17" t="s">
        <v>63</v>
      </c>
      <c r="C141" s="86" t="s">
        <v>64</v>
      </c>
      <c r="D141" s="64"/>
      <c r="E141" s="6">
        <v>1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5">
        <f>SUM(E141:P141)</f>
        <v>1</v>
      </c>
    </row>
    <row r="142" spans="1:17" x14ac:dyDescent="0.3">
      <c r="A142" s="11" t="s">
        <v>50</v>
      </c>
      <c r="B142" s="50"/>
      <c r="C142" s="24" t="s">
        <v>176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1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5">
        <f>SUM(E142:P142)</f>
        <v>1</v>
      </c>
    </row>
    <row r="143" spans="1:17" x14ac:dyDescent="0.3">
      <c r="A143" s="7"/>
      <c r="B143" s="50"/>
      <c r="C143" s="24" t="s">
        <v>177</v>
      </c>
      <c r="D143" s="49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5">
        <f t="shared" ref="Q143:Q150" si="43">SUM(E143:P143)</f>
        <v>0</v>
      </c>
    </row>
    <row r="144" spans="1:17" x14ac:dyDescent="0.3">
      <c r="A144" s="7"/>
      <c r="B144" s="50"/>
      <c r="C144" s="24" t="s">
        <v>178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1</v>
      </c>
      <c r="P144" s="6">
        <v>0</v>
      </c>
      <c r="Q144" s="5">
        <f t="shared" si="43"/>
        <v>1</v>
      </c>
    </row>
    <row r="145" spans="1:17" x14ac:dyDescent="0.3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5">
        <f t="shared" si="43"/>
        <v>0</v>
      </c>
    </row>
    <row r="146" spans="1:17" x14ac:dyDescent="0.3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5">
        <f t="shared" si="43"/>
        <v>0</v>
      </c>
    </row>
    <row r="147" spans="1:17" x14ac:dyDescent="0.3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5">
        <f t="shared" si="43"/>
        <v>0</v>
      </c>
    </row>
    <row r="148" spans="1:17" x14ac:dyDescent="0.3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5">
        <f t="shared" si="43"/>
        <v>0</v>
      </c>
    </row>
    <row r="149" spans="1:17" x14ac:dyDescent="0.3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5">
        <f t="shared" si="43"/>
        <v>0</v>
      </c>
    </row>
    <row r="150" spans="1:17" x14ac:dyDescent="0.3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5">
        <f t="shared" si="43"/>
        <v>0</v>
      </c>
    </row>
    <row r="151" spans="1:17" ht="13.15" customHeight="1" x14ac:dyDescent="0.3">
      <c r="A151" s="6" t="s">
        <v>26</v>
      </c>
      <c r="B151" s="84" t="s">
        <v>51</v>
      </c>
      <c r="C151" s="87"/>
      <c r="D151" s="88"/>
      <c r="E151" s="5">
        <f t="shared" ref="E151:Q151" si="44">SUM(E141:E150)</f>
        <v>1</v>
      </c>
      <c r="F151" s="5">
        <f t="shared" si="44"/>
        <v>0</v>
      </c>
      <c r="G151" s="5">
        <f t="shared" si="44"/>
        <v>0</v>
      </c>
      <c r="H151" s="5">
        <f t="shared" si="44"/>
        <v>0</v>
      </c>
      <c r="I151" s="5">
        <f t="shared" si="44"/>
        <v>0</v>
      </c>
      <c r="J151" s="5">
        <f t="shared" si="44"/>
        <v>1</v>
      </c>
      <c r="K151" s="5">
        <f t="shared" si="44"/>
        <v>0</v>
      </c>
      <c r="L151" s="5">
        <f t="shared" si="44"/>
        <v>0</v>
      </c>
      <c r="M151" s="5">
        <f t="shared" si="44"/>
        <v>0</v>
      </c>
      <c r="N151" s="5">
        <f t="shared" ref="N151" si="45">SUM(N141:N150)</f>
        <v>0</v>
      </c>
      <c r="O151" s="5">
        <f t="shared" si="44"/>
        <v>1</v>
      </c>
      <c r="P151" s="5">
        <f t="shared" si="44"/>
        <v>0</v>
      </c>
      <c r="Q151" s="5">
        <f t="shared" si="44"/>
        <v>3</v>
      </c>
    </row>
    <row r="152" spans="1:17" x14ac:dyDescent="0.3">
      <c r="A152" s="62"/>
      <c r="B152" s="89"/>
      <c r="C152" s="89"/>
      <c r="D152" s="89"/>
      <c r="E152" s="90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5"/>
    </row>
    <row r="153" spans="1:17" x14ac:dyDescent="0.3">
      <c r="A153" s="11" t="s">
        <v>48</v>
      </c>
      <c r="B153" s="44" t="s">
        <v>65</v>
      </c>
      <c r="C153" s="91" t="s">
        <v>66</v>
      </c>
      <c r="D153" s="78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5">
        <f>SUM(E153:P153)</f>
        <v>0</v>
      </c>
    </row>
    <row r="154" spans="1:17" x14ac:dyDescent="0.3">
      <c r="A154" s="52" t="s">
        <v>50</v>
      </c>
      <c r="B154" s="50"/>
      <c r="C154" s="24" t="s">
        <v>179</v>
      </c>
      <c r="D154" s="49"/>
      <c r="E154" s="53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1</v>
      </c>
      <c r="L154" s="6">
        <v>0</v>
      </c>
      <c r="M154" s="6">
        <v>0</v>
      </c>
      <c r="N154" s="6">
        <v>0</v>
      </c>
      <c r="O154" s="6">
        <v>0</v>
      </c>
      <c r="P154" s="6">
        <v>1</v>
      </c>
      <c r="Q154" s="5">
        <f t="shared" ref="Q154:Q160" si="46">SUM(E154:P154)</f>
        <v>2</v>
      </c>
    </row>
    <row r="155" spans="1:17" x14ac:dyDescent="0.3">
      <c r="A155" s="7"/>
      <c r="B155" s="50"/>
      <c r="C155" s="24" t="s">
        <v>180</v>
      </c>
      <c r="D155" s="49"/>
      <c r="E155" s="53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1</v>
      </c>
      <c r="N155" s="6">
        <v>0</v>
      </c>
      <c r="O155" s="6">
        <v>0</v>
      </c>
      <c r="P155" s="6">
        <v>1</v>
      </c>
      <c r="Q155" s="5">
        <f t="shared" si="46"/>
        <v>2</v>
      </c>
    </row>
    <row r="156" spans="1:17" x14ac:dyDescent="0.3">
      <c r="A156" s="7"/>
      <c r="B156" s="50"/>
      <c r="C156" s="24" t="s">
        <v>181</v>
      </c>
      <c r="D156" s="49"/>
      <c r="E156" s="53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5">
        <f t="shared" si="46"/>
        <v>0</v>
      </c>
    </row>
    <row r="157" spans="1:17" x14ac:dyDescent="0.3">
      <c r="A157" s="7"/>
      <c r="B157" s="50"/>
      <c r="C157" s="24" t="s">
        <v>182</v>
      </c>
      <c r="D157" s="49"/>
      <c r="E157" s="53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5">
        <f t="shared" si="46"/>
        <v>0</v>
      </c>
    </row>
    <row r="158" spans="1:17" x14ac:dyDescent="0.3">
      <c r="A158" s="7"/>
      <c r="B158" s="50"/>
      <c r="C158" s="24" t="s">
        <v>183</v>
      </c>
      <c r="D158" s="49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5">
        <f t="shared" si="46"/>
        <v>0</v>
      </c>
    </row>
    <row r="159" spans="1:17" x14ac:dyDescent="0.3">
      <c r="A159" s="7"/>
      <c r="B159" s="50"/>
      <c r="C159" s="24" t="s">
        <v>184</v>
      </c>
      <c r="D159" s="49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5">
        <f t="shared" si="46"/>
        <v>0</v>
      </c>
    </row>
    <row r="160" spans="1:17" x14ac:dyDescent="0.3">
      <c r="A160" s="7"/>
      <c r="B160" s="50"/>
      <c r="C160" s="24" t="s">
        <v>185</v>
      </c>
      <c r="D160" s="49"/>
      <c r="E160" s="53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5">
        <f t="shared" si="46"/>
        <v>0</v>
      </c>
    </row>
    <row r="161" spans="1:17" x14ac:dyDescent="0.3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5">
        <f t="shared" ref="Q160:Q162" si="47">SUM(E167:P167)</f>
        <v>0</v>
      </c>
    </row>
    <row r="162" spans="1:17" x14ac:dyDescent="0.3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5">
        <f t="shared" si="47"/>
        <v>0</v>
      </c>
    </row>
    <row r="163" spans="1:17" x14ac:dyDescent="0.3">
      <c r="A163" s="6" t="s">
        <v>26</v>
      </c>
      <c r="B163" s="92" t="s">
        <v>51</v>
      </c>
      <c r="C163" s="93"/>
      <c r="D163" s="94"/>
      <c r="E163" s="5">
        <f t="shared" ref="E163:Q163" si="48">SUM(E153:E162)</f>
        <v>0</v>
      </c>
      <c r="F163" s="5">
        <f t="shared" si="48"/>
        <v>0</v>
      </c>
      <c r="G163" s="5">
        <f t="shared" si="48"/>
        <v>0</v>
      </c>
      <c r="H163" s="5">
        <f t="shared" si="48"/>
        <v>0</v>
      </c>
      <c r="I163" s="5">
        <f t="shared" si="48"/>
        <v>0</v>
      </c>
      <c r="J163" s="5">
        <f t="shared" si="48"/>
        <v>0</v>
      </c>
      <c r="K163" s="5">
        <f t="shared" si="48"/>
        <v>1</v>
      </c>
      <c r="L163" s="5">
        <f t="shared" si="48"/>
        <v>0</v>
      </c>
      <c r="M163" s="5">
        <f t="shared" si="48"/>
        <v>1</v>
      </c>
      <c r="N163" s="5">
        <f t="shared" ref="N163" si="49">SUM(N153:N162)</f>
        <v>0</v>
      </c>
      <c r="O163" s="5">
        <f t="shared" si="48"/>
        <v>0</v>
      </c>
      <c r="P163" s="5">
        <f t="shared" si="48"/>
        <v>2</v>
      </c>
      <c r="Q163" s="5">
        <f t="shared" si="48"/>
        <v>4</v>
      </c>
    </row>
    <row r="164" spans="1:17" x14ac:dyDescent="0.3">
      <c r="A164" s="62"/>
      <c r="B164" s="89"/>
      <c r="C164" s="89"/>
      <c r="D164" s="89"/>
      <c r="E164" s="90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</row>
    <row r="165" spans="1:17" ht="13.15" customHeight="1" x14ac:dyDescent="0.3">
      <c r="A165" s="11" t="s">
        <v>48</v>
      </c>
      <c r="B165" s="17" t="s">
        <v>67</v>
      </c>
      <c r="C165" s="86" t="s">
        <v>68</v>
      </c>
      <c r="D165" s="64"/>
      <c r="E165" s="6">
        <v>1</v>
      </c>
      <c r="F165" s="6">
        <v>1</v>
      </c>
      <c r="G165" s="6">
        <v>1</v>
      </c>
      <c r="H165" s="6">
        <v>0</v>
      </c>
      <c r="I165" s="6">
        <v>0</v>
      </c>
      <c r="J165" s="6">
        <v>0</v>
      </c>
      <c r="K165" s="6">
        <v>1</v>
      </c>
      <c r="L165" s="6">
        <v>0</v>
      </c>
      <c r="M165" s="6">
        <v>1</v>
      </c>
      <c r="N165" s="6">
        <v>0</v>
      </c>
      <c r="O165" s="6">
        <v>0</v>
      </c>
      <c r="P165" s="6">
        <v>0</v>
      </c>
      <c r="Q165" s="5">
        <f>SUM(E165:P165)</f>
        <v>5</v>
      </c>
    </row>
    <row r="166" spans="1:17" x14ac:dyDescent="0.3">
      <c r="A166" s="11" t="s">
        <v>50</v>
      </c>
      <c r="B166" s="50"/>
      <c r="C166" s="24" t="s">
        <v>186</v>
      </c>
      <c r="D166" s="49"/>
      <c r="E166" s="6">
        <v>1</v>
      </c>
      <c r="F166" s="6">
        <v>1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5">
        <f>SUM(E166:P166)</f>
        <v>2</v>
      </c>
    </row>
    <row r="167" spans="1:17" x14ac:dyDescent="0.3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5">
        <f t="shared" ref="Q167:Q174" si="50">SUM(E167:P167)</f>
        <v>0</v>
      </c>
    </row>
    <row r="168" spans="1:17" x14ac:dyDescent="0.3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5">
        <f t="shared" si="50"/>
        <v>0</v>
      </c>
    </row>
    <row r="169" spans="1:17" x14ac:dyDescent="0.3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5">
        <f t="shared" si="50"/>
        <v>0</v>
      </c>
    </row>
    <row r="170" spans="1:17" x14ac:dyDescent="0.3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5">
        <f t="shared" si="50"/>
        <v>0</v>
      </c>
    </row>
    <row r="171" spans="1:17" x14ac:dyDescent="0.3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5">
        <f t="shared" si="50"/>
        <v>0</v>
      </c>
    </row>
    <row r="172" spans="1:17" x14ac:dyDescent="0.3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5">
        <f t="shared" si="50"/>
        <v>0</v>
      </c>
    </row>
    <row r="173" spans="1:17" x14ac:dyDescent="0.3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5">
        <f t="shared" si="50"/>
        <v>0</v>
      </c>
    </row>
    <row r="174" spans="1:17" x14ac:dyDescent="0.3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5">
        <f t="shared" si="50"/>
        <v>0</v>
      </c>
    </row>
    <row r="175" spans="1:17" x14ac:dyDescent="0.3">
      <c r="A175" s="6" t="s">
        <v>26</v>
      </c>
      <c r="B175" s="84" t="s">
        <v>51</v>
      </c>
      <c r="C175" s="87"/>
      <c r="D175" s="88"/>
      <c r="E175" s="5">
        <f t="shared" ref="E175:Q175" si="51">SUM(E165:E174)</f>
        <v>2</v>
      </c>
      <c r="F175" s="5">
        <f t="shared" si="51"/>
        <v>2</v>
      </c>
      <c r="G175" s="5">
        <f t="shared" si="51"/>
        <v>1</v>
      </c>
      <c r="H175" s="5">
        <f t="shared" si="51"/>
        <v>0</v>
      </c>
      <c r="I175" s="5">
        <f t="shared" si="51"/>
        <v>0</v>
      </c>
      <c r="J175" s="5">
        <f t="shared" si="51"/>
        <v>0</v>
      </c>
      <c r="K175" s="5">
        <f t="shared" si="51"/>
        <v>1</v>
      </c>
      <c r="L175" s="5">
        <f t="shared" si="51"/>
        <v>0</v>
      </c>
      <c r="M175" s="5">
        <f t="shared" si="51"/>
        <v>1</v>
      </c>
      <c r="N175" s="5">
        <f t="shared" ref="N175" si="52">SUM(N165:N174)</f>
        <v>0</v>
      </c>
      <c r="O175" s="5">
        <f t="shared" si="51"/>
        <v>0</v>
      </c>
      <c r="P175" s="5">
        <f t="shared" si="51"/>
        <v>0</v>
      </c>
      <c r="Q175" s="5">
        <f t="shared" si="51"/>
        <v>7</v>
      </c>
    </row>
    <row r="176" spans="1:17" ht="13.15" customHeight="1" x14ac:dyDescent="0.3">
      <c r="A176" s="62"/>
      <c r="B176" s="89"/>
      <c r="C176" s="89"/>
      <c r="D176" s="89"/>
      <c r="E176" s="90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</row>
    <row r="177" spans="1:17" x14ac:dyDescent="0.3">
      <c r="A177" s="11" t="s">
        <v>48</v>
      </c>
      <c r="B177" s="17" t="s">
        <v>69</v>
      </c>
      <c r="C177" s="86" t="s">
        <v>70</v>
      </c>
      <c r="D177" s="64"/>
      <c r="E177" s="6">
        <v>1</v>
      </c>
      <c r="F177" s="6">
        <v>0</v>
      </c>
      <c r="G177" s="6">
        <v>0</v>
      </c>
      <c r="H177" s="6">
        <v>1</v>
      </c>
      <c r="I177" s="6">
        <v>0</v>
      </c>
      <c r="J177" s="6">
        <v>0</v>
      </c>
      <c r="K177" s="6">
        <v>0</v>
      </c>
      <c r="L177" s="6">
        <v>0</v>
      </c>
      <c r="M177" s="6">
        <v>1</v>
      </c>
      <c r="N177" s="6">
        <v>1</v>
      </c>
      <c r="O177" s="6">
        <v>1</v>
      </c>
      <c r="P177" s="6">
        <v>0</v>
      </c>
      <c r="Q177" s="5">
        <f t="shared" ref="Q177:Q186" si="53">SUM(E177:P177)</f>
        <v>5</v>
      </c>
    </row>
    <row r="178" spans="1:17" x14ac:dyDescent="0.3">
      <c r="A178" s="11" t="s">
        <v>50</v>
      </c>
      <c r="B178" s="50"/>
      <c r="C178" s="24" t="s">
        <v>187</v>
      </c>
      <c r="D178" s="49"/>
      <c r="E178" s="6">
        <v>3</v>
      </c>
      <c r="F178" s="6">
        <v>0</v>
      </c>
      <c r="G178" s="6">
        <v>0</v>
      </c>
      <c r="H178" s="6">
        <v>0</v>
      </c>
      <c r="I178" s="6">
        <v>0</v>
      </c>
      <c r="J178" s="6">
        <v>2</v>
      </c>
      <c r="K178" s="6">
        <v>0</v>
      </c>
      <c r="L178" s="6">
        <v>0</v>
      </c>
      <c r="M178" s="6">
        <v>3</v>
      </c>
      <c r="N178" s="6">
        <v>0</v>
      </c>
      <c r="O178" s="6">
        <v>1</v>
      </c>
      <c r="P178" s="6">
        <v>0</v>
      </c>
      <c r="Q178" s="5">
        <f t="shared" si="53"/>
        <v>9</v>
      </c>
    </row>
    <row r="179" spans="1:17" x14ac:dyDescent="0.3">
      <c r="A179" s="7"/>
      <c r="B179" s="50"/>
      <c r="C179" s="24" t="s">
        <v>188</v>
      </c>
      <c r="D179" s="49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5">
        <f t="shared" si="53"/>
        <v>0</v>
      </c>
    </row>
    <row r="180" spans="1:17" x14ac:dyDescent="0.3">
      <c r="A180" s="7"/>
      <c r="B180" s="50"/>
      <c r="C180" s="24" t="s">
        <v>189</v>
      </c>
      <c r="D180" s="49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5">
        <f t="shared" si="53"/>
        <v>0</v>
      </c>
    </row>
    <row r="181" spans="1:17" x14ac:dyDescent="0.3">
      <c r="A181" s="7"/>
      <c r="B181" s="50"/>
      <c r="C181" s="24" t="s">
        <v>190</v>
      </c>
      <c r="D181" s="49"/>
      <c r="E181" s="6">
        <v>0</v>
      </c>
      <c r="F181" s="6">
        <v>1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1</v>
      </c>
      <c r="M181" s="6">
        <v>0</v>
      </c>
      <c r="N181" s="6">
        <v>0</v>
      </c>
      <c r="O181" s="6">
        <v>0</v>
      </c>
      <c r="P181" s="6">
        <v>1</v>
      </c>
      <c r="Q181" s="5">
        <f t="shared" si="53"/>
        <v>3</v>
      </c>
    </row>
    <row r="182" spans="1:17" x14ac:dyDescent="0.3">
      <c r="A182" s="7"/>
      <c r="B182" s="50"/>
      <c r="C182" s="24" t="s">
        <v>191</v>
      </c>
      <c r="D182" s="49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5">
        <f t="shared" si="53"/>
        <v>0</v>
      </c>
    </row>
    <row r="183" spans="1:17" x14ac:dyDescent="0.3">
      <c r="A183" s="7"/>
      <c r="B183" s="50"/>
      <c r="C183" s="24" t="s">
        <v>192</v>
      </c>
      <c r="D183" s="49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5">
        <f t="shared" si="53"/>
        <v>0</v>
      </c>
    </row>
    <row r="184" spans="1:17" x14ac:dyDescent="0.3">
      <c r="A184" s="7"/>
      <c r="B184" s="50"/>
      <c r="C184" s="24" t="s">
        <v>193</v>
      </c>
      <c r="D184" s="49"/>
      <c r="E184" s="6">
        <v>0</v>
      </c>
      <c r="F184" s="6">
        <v>0</v>
      </c>
      <c r="G184" s="6">
        <v>0</v>
      </c>
      <c r="H184" s="6">
        <v>0</v>
      </c>
      <c r="I184" s="6">
        <v>2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5">
        <f t="shared" si="53"/>
        <v>2</v>
      </c>
    </row>
    <row r="185" spans="1:17" x14ac:dyDescent="0.3">
      <c r="A185" s="7"/>
      <c r="B185" s="50"/>
      <c r="C185" s="24" t="s">
        <v>194</v>
      </c>
      <c r="D185" s="49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5">
        <f t="shared" si="53"/>
        <v>0</v>
      </c>
    </row>
    <row r="186" spans="1:17" x14ac:dyDescent="0.3">
      <c r="A186" s="7"/>
      <c r="B186" s="50"/>
      <c r="C186" s="24" t="s">
        <v>195</v>
      </c>
      <c r="D186" s="49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5">
        <f t="shared" si="53"/>
        <v>0</v>
      </c>
    </row>
    <row r="187" spans="1:17" ht="13.15" customHeight="1" x14ac:dyDescent="0.3">
      <c r="A187" s="6" t="s">
        <v>26</v>
      </c>
      <c r="B187" s="84" t="s">
        <v>51</v>
      </c>
      <c r="C187" s="87"/>
      <c r="D187" s="88"/>
      <c r="E187" s="5">
        <f t="shared" ref="E187:Q187" si="54">SUM(E177:E186)</f>
        <v>4</v>
      </c>
      <c r="F187" s="5">
        <f t="shared" si="54"/>
        <v>1</v>
      </c>
      <c r="G187" s="5">
        <f t="shared" si="54"/>
        <v>0</v>
      </c>
      <c r="H187" s="5">
        <f t="shared" si="54"/>
        <v>1</v>
      </c>
      <c r="I187" s="5">
        <f t="shared" si="54"/>
        <v>2</v>
      </c>
      <c r="J187" s="5">
        <f t="shared" si="54"/>
        <v>2</v>
      </c>
      <c r="K187" s="5">
        <f t="shared" si="54"/>
        <v>0</v>
      </c>
      <c r="L187" s="5">
        <f t="shared" si="54"/>
        <v>1</v>
      </c>
      <c r="M187" s="5">
        <f t="shared" si="54"/>
        <v>4</v>
      </c>
      <c r="N187" s="5">
        <f t="shared" ref="N187" si="55">SUM(N177:N186)</f>
        <v>1</v>
      </c>
      <c r="O187" s="5">
        <f t="shared" si="54"/>
        <v>2</v>
      </c>
      <c r="P187" s="5">
        <f t="shared" si="54"/>
        <v>1</v>
      </c>
      <c r="Q187" s="5">
        <f t="shared" si="54"/>
        <v>19</v>
      </c>
    </row>
    <row r="188" spans="1:17" x14ac:dyDescent="0.3">
      <c r="A188" s="62"/>
      <c r="B188" s="89"/>
      <c r="C188" s="89"/>
      <c r="D188" s="89"/>
      <c r="E188" s="90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Q188" s="5"/>
    </row>
    <row r="189" spans="1:17" x14ac:dyDescent="0.3">
      <c r="A189" s="11" t="s">
        <v>48</v>
      </c>
      <c r="B189" s="17" t="s">
        <v>71</v>
      </c>
      <c r="C189" s="86" t="s">
        <v>72</v>
      </c>
      <c r="D189" s="64"/>
      <c r="E189" s="6">
        <v>0</v>
      </c>
      <c r="F189" s="6">
        <v>0</v>
      </c>
      <c r="G189" s="6">
        <v>2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5">
        <f t="shared" ref="Q189:Q198" si="56">SUM(E189:P189)</f>
        <v>2</v>
      </c>
    </row>
    <row r="190" spans="1:17" x14ac:dyDescent="0.3">
      <c r="A190" s="11" t="s">
        <v>50</v>
      </c>
      <c r="B190" s="50"/>
      <c r="C190" s="24" t="s">
        <v>196</v>
      </c>
      <c r="D190" s="49"/>
      <c r="E190" s="6">
        <v>0</v>
      </c>
      <c r="F190" s="6">
        <v>0</v>
      </c>
      <c r="G190" s="6">
        <v>0</v>
      </c>
      <c r="H190" s="6">
        <v>0</v>
      </c>
      <c r="I190" s="6">
        <v>1</v>
      </c>
      <c r="J190" s="6">
        <v>0</v>
      </c>
      <c r="K190" s="6">
        <v>0</v>
      </c>
      <c r="L190" s="6">
        <v>1</v>
      </c>
      <c r="M190" s="6">
        <v>0</v>
      </c>
      <c r="N190" s="6">
        <v>0</v>
      </c>
      <c r="O190" s="6">
        <v>0</v>
      </c>
      <c r="P190" s="6">
        <v>0</v>
      </c>
      <c r="Q190" s="5">
        <f t="shared" si="56"/>
        <v>2</v>
      </c>
    </row>
    <row r="191" spans="1:17" x14ac:dyDescent="0.3">
      <c r="A191" s="7"/>
      <c r="B191" s="50"/>
      <c r="C191" s="24" t="s">
        <v>197</v>
      </c>
      <c r="D191" s="49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5">
        <f t="shared" si="56"/>
        <v>0</v>
      </c>
    </row>
    <row r="192" spans="1:17" x14ac:dyDescent="0.3">
      <c r="A192" s="7"/>
      <c r="B192" s="50"/>
      <c r="C192" s="24" t="s">
        <v>198</v>
      </c>
      <c r="D192" s="49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5">
        <f t="shared" si="56"/>
        <v>0</v>
      </c>
    </row>
    <row r="193" spans="1:17" x14ac:dyDescent="0.3">
      <c r="A193" s="7"/>
      <c r="B193" s="50"/>
      <c r="C193" s="24" t="s">
        <v>199</v>
      </c>
      <c r="D193" s="49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5">
        <f t="shared" si="56"/>
        <v>0</v>
      </c>
    </row>
    <row r="194" spans="1:17" x14ac:dyDescent="0.3">
      <c r="A194" s="7"/>
      <c r="B194" s="50"/>
      <c r="C194" s="24" t="s">
        <v>200</v>
      </c>
      <c r="D194" s="49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5">
        <f t="shared" si="56"/>
        <v>0</v>
      </c>
    </row>
    <row r="195" spans="1:17" x14ac:dyDescent="0.3">
      <c r="A195" s="7"/>
      <c r="B195" s="50"/>
      <c r="C195" s="24" t="s">
        <v>201</v>
      </c>
      <c r="D195" s="49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5">
        <f t="shared" si="56"/>
        <v>0</v>
      </c>
    </row>
    <row r="196" spans="1:17" ht="13.15" customHeight="1" x14ac:dyDescent="0.3">
      <c r="A196" s="7"/>
      <c r="B196" s="50"/>
      <c r="C196" s="24" t="s">
        <v>202</v>
      </c>
      <c r="D196" s="49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5">
        <f t="shared" si="56"/>
        <v>0</v>
      </c>
    </row>
    <row r="197" spans="1:17" ht="13.15" customHeight="1" x14ac:dyDescent="0.3">
      <c r="A197" s="7"/>
      <c r="B197" s="50"/>
      <c r="C197" s="24" t="s">
        <v>203</v>
      </c>
      <c r="D197" s="49"/>
      <c r="E197" s="6">
        <v>0</v>
      </c>
      <c r="F197" s="6">
        <v>0</v>
      </c>
      <c r="G197" s="6">
        <v>0</v>
      </c>
      <c r="H197" s="6">
        <v>0</v>
      </c>
      <c r="I197" s="6"/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5">
        <f t="shared" si="56"/>
        <v>0</v>
      </c>
    </row>
    <row r="198" spans="1:17" ht="13.15" customHeight="1" x14ac:dyDescent="0.3">
      <c r="A198" s="7"/>
      <c r="B198" s="50"/>
      <c r="C198" s="24" t="s">
        <v>204</v>
      </c>
      <c r="D198" s="49"/>
      <c r="E198" s="6"/>
      <c r="F198" s="6"/>
      <c r="G198" s="6"/>
      <c r="H198" s="6"/>
      <c r="I198" s="6">
        <v>1</v>
      </c>
      <c r="J198" s="6"/>
      <c r="K198" s="6"/>
      <c r="L198" s="6"/>
      <c r="M198" s="6"/>
      <c r="N198" s="6"/>
      <c r="O198" s="6"/>
      <c r="P198" s="6"/>
      <c r="Q198" s="5">
        <f t="shared" si="56"/>
        <v>1</v>
      </c>
    </row>
    <row r="199" spans="1:17" x14ac:dyDescent="0.3">
      <c r="A199" s="6" t="s">
        <v>26</v>
      </c>
      <c r="B199" s="84" t="s">
        <v>51</v>
      </c>
      <c r="C199" s="87"/>
      <c r="D199" s="88"/>
      <c r="E199" s="5">
        <f t="shared" ref="E199:Q199" si="57">SUM(E189:E198)</f>
        <v>0</v>
      </c>
      <c r="F199" s="5">
        <f t="shared" si="57"/>
        <v>0</v>
      </c>
      <c r="G199" s="5">
        <f t="shared" si="57"/>
        <v>2</v>
      </c>
      <c r="H199" s="5">
        <f t="shared" si="57"/>
        <v>0</v>
      </c>
      <c r="I199" s="5">
        <f t="shared" si="57"/>
        <v>2</v>
      </c>
      <c r="J199" s="5">
        <f t="shared" si="57"/>
        <v>0</v>
      </c>
      <c r="K199" s="5">
        <f t="shared" si="57"/>
        <v>0</v>
      </c>
      <c r="L199" s="5">
        <f t="shared" si="57"/>
        <v>1</v>
      </c>
      <c r="M199" s="5">
        <f t="shared" si="57"/>
        <v>0</v>
      </c>
      <c r="N199" s="5">
        <f t="shared" ref="N199" si="58">SUM(N189:N198)</f>
        <v>0</v>
      </c>
      <c r="O199" s="5">
        <f t="shared" si="57"/>
        <v>0</v>
      </c>
      <c r="P199" s="5">
        <f t="shared" si="57"/>
        <v>0</v>
      </c>
      <c r="Q199" s="5">
        <f t="shared" si="57"/>
        <v>5</v>
      </c>
    </row>
    <row r="200" spans="1:17" x14ac:dyDescent="0.3">
      <c r="A200" s="62"/>
      <c r="B200" s="89"/>
      <c r="C200" s="89"/>
      <c r="D200" s="89"/>
      <c r="E200" s="90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</row>
    <row r="201" spans="1:17" x14ac:dyDescent="0.3">
      <c r="A201" s="11" t="s">
        <v>48</v>
      </c>
      <c r="B201" s="17" t="s">
        <v>73</v>
      </c>
      <c r="C201" s="86" t="s">
        <v>74</v>
      </c>
      <c r="D201" s="64"/>
      <c r="E201" s="6">
        <v>4</v>
      </c>
      <c r="F201" s="6">
        <v>4</v>
      </c>
      <c r="G201" s="6">
        <v>4</v>
      </c>
      <c r="H201" s="6">
        <v>2</v>
      </c>
      <c r="I201" s="6">
        <v>3</v>
      </c>
      <c r="J201" s="6">
        <v>4</v>
      </c>
      <c r="K201" s="6">
        <v>1</v>
      </c>
      <c r="L201" s="6">
        <v>2</v>
      </c>
      <c r="M201" s="6">
        <v>6</v>
      </c>
      <c r="N201" s="6">
        <v>0</v>
      </c>
      <c r="O201" s="6">
        <v>4</v>
      </c>
      <c r="P201" s="6">
        <v>2</v>
      </c>
      <c r="Q201" s="5">
        <f t="shared" ref="Q201:Q210" si="59">SUM(E201:P201)</f>
        <v>36</v>
      </c>
    </row>
    <row r="202" spans="1:17" x14ac:dyDescent="0.3">
      <c r="A202" s="11" t="s">
        <v>50</v>
      </c>
      <c r="B202" s="50"/>
      <c r="C202" s="24" t="s">
        <v>205</v>
      </c>
      <c r="D202" s="49"/>
      <c r="E202" s="6">
        <v>6</v>
      </c>
      <c r="F202" s="6">
        <v>4</v>
      </c>
      <c r="G202" s="6">
        <v>3</v>
      </c>
      <c r="H202" s="6">
        <v>2</v>
      </c>
      <c r="I202" s="6">
        <v>1</v>
      </c>
      <c r="J202" s="6">
        <v>6</v>
      </c>
      <c r="K202" s="6">
        <v>0</v>
      </c>
      <c r="L202" s="6">
        <v>4</v>
      </c>
      <c r="M202" s="6">
        <v>2</v>
      </c>
      <c r="N202" s="6">
        <v>7</v>
      </c>
      <c r="O202" s="6">
        <v>2</v>
      </c>
      <c r="P202" s="6">
        <v>2</v>
      </c>
      <c r="Q202" s="5">
        <f t="shared" si="59"/>
        <v>39</v>
      </c>
    </row>
    <row r="203" spans="1:17" x14ac:dyDescent="0.3">
      <c r="A203" s="7"/>
      <c r="B203" s="50"/>
      <c r="C203" s="24" t="s">
        <v>206</v>
      </c>
      <c r="D203" s="49"/>
      <c r="E203" s="6">
        <v>0</v>
      </c>
      <c r="F203" s="6">
        <v>0</v>
      </c>
      <c r="G203" s="6">
        <v>0</v>
      </c>
      <c r="H203" s="6">
        <v>1</v>
      </c>
      <c r="I203" s="6">
        <v>0</v>
      </c>
      <c r="J203" s="6">
        <v>3</v>
      </c>
      <c r="K203" s="6">
        <v>12</v>
      </c>
      <c r="L203" s="6">
        <v>4</v>
      </c>
      <c r="M203" s="6">
        <v>13</v>
      </c>
      <c r="N203" s="6">
        <v>6</v>
      </c>
      <c r="O203" s="6">
        <v>0</v>
      </c>
      <c r="P203" s="6">
        <v>0</v>
      </c>
      <c r="Q203" s="5">
        <f t="shared" si="59"/>
        <v>39</v>
      </c>
    </row>
    <row r="204" spans="1:17" x14ac:dyDescent="0.3">
      <c r="A204" s="7"/>
      <c r="B204" s="50"/>
      <c r="C204" s="24" t="s">
        <v>207</v>
      </c>
      <c r="D204" s="49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1</v>
      </c>
      <c r="K204" s="6">
        <v>1</v>
      </c>
      <c r="L204" s="6">
        <v>0</v>
      </c>
      <c r="M204" s="6">
        <v>1</v>
      </c>
      <c r="N204" s="6">
        <v>0</v>
      </c>
      <c r="O204" s="6">
        <v>0</v>
      </c>
      <c r="P204" s="6">
        <v>0</v>
      </c>
      <c r="Q204" s="5">
        <f t="shared" si="59"/>
        <v>3</v>
      </c>
    </row>
    <row r="205" spans="1:17" x14ac:dyDescent="0.3">
      <c r="A205" s="7"/>
      <c r="B205" s="50"/>
      <c r="C205" s="24" t="s">
        <v>208</v>
      </c>
      <c r="D205" s="49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1</v>
      </c>
      <c r="Q205" s="5">
        <f t="shared" si="59"/>
        <v>1</v>
      </c>
    </row>
    <row r="206" spans="1:17" x14ac:dyDescent="0.3">
      <c r="A206" s="7"/>
      <c r="B206" s="50"/>
      <c r="C206" s="24" t="s">
        <v>209</v>
      </c>
      <c r="D206" s="49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1</v>
      </c>
      <c r="P206" s="6">
        <v>0</v>
      </c>
      <c r="Q206" s="5">
        <f t="shared" si="59"/>
        <v>1</v>
      </c>
    </row>
    <row r="207" spans="1:17" ht="13.15" customHeight="1" x14ac:dyDescent="0.3">
      <c r="A207" s="7"/>
      <c r="B207" s="50"/>
      <c r="C207" s="24" t="s">
        <v>210</v>
      </c>
      <c r="D207" s="49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1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5">
        <f t="shared" si="59"/>
        <v>1</v>
      </c>
    </row>
    <row r="208" spans="1:17" x14ac:dyDescent="0.3">
      <c r="A208" s="7"/>
      <c r="B208" s="50"/>
      <c r="C208" s="24" t="s">
        <v>211</v>
      </c>
      <c r="D208" s="49"/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5">
        <f t="shared" si="59"/>
        <v>0</v>
      </c>
    </row>
    <row r="209" spans="1:17" x14ac:dyDescent="0.3">
      <c r="A209" s="7"/>
      <c r="B209" s="50"/>
      <c r="C209" s="24" t="s">
        <v>212</v>
      </c>
      <c r="D209" s="49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5">
        <f t="shared" si="59"/>
        <v>0</v>
      </c>
    </row>
    <row r="210" spans="1:17" x14ac:dyDescent="0.3">
      <c r="A210" s="7"/>
      <c r="B210" s="50"/>
      <c r="C210" s="24" t="s">
        <v>213</v>
      </c>
      <c r="D210" s="49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5">
        <f t="shared" si="59"/>
        <v>0</v>
      </c>
    </row>
    <row r="211" spans="1:17" x14ac:dyDescent="0.3">
      <c r="A211" s="6" t="s">
        <v>26</v>
      </c>
      <c r="B211" s="84" t="s">
        <v>51</v>
      </c>
      <c r="C211" s="87"/>
      <c r="D211" s="88"/>
      <c r="E211" s="5">
        <f t="shared" ref="E211:Q211" si="60">SUM(E201:E210)</f>
        <v>10</v>
      </c>
      <c r="F211" s="5">
        <f t="shared" si="60"/>
        <v>8</v>
      </c>
      <c r="G211" s="5">
        <f t="shared" si="60"/>
        <v>7</v>
      </c>
      <c r="H211" s="5">
        <f t="shared" si="60"/>
        <v>5</v>
      </c>
      <c r="I211" s="5">
        <f t="shared" si="60"/>
        <v>4</v>
      </c>
      <c r="J211" s="5">
        <f t="shared" si="60"/>
        <v>14</v>
      </c>
      <c r="K211" s="5">
        <f t="shared" si="60"/>
        <v>15</v>
      </c>
      <c r="L211" s="5">
        <f t="shared" si="60"/>
        <v>10</v>
      </c>
      <c r="M211" s="5">
        <f t="shared" si="60"/>
        <v>22</v>
      </c>
      <c r="N211" s="5">
        <f t="shared" ref="N211" si="61">SUM(N201:N210)</f>
        <v>13</v>
      </c>
      <c r="O211" s="5">
        <f t="shared" si="60"/>
        <v>7</v>
      </c>
      <c r="P211" s="5">
        <f t="shared" si="60"/>
        <v>5</v>
      </c>
      <c r="Q211" s="5">
        <f t="shared" si="60"/>
        <v>120</v>
      </c>
    </row>
    <row r="212" spans="1:17" x14ac:dyDescent="0.3">
      <c r="A212" s="62"/>
      <c r="B212" s="89"/>
      <c r="C212" s="89"/>
      <c r="D212" s="89"/>
      <c r="E212" s="90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</row>
    <row r="213" spans="1:17" x14ac:dyDescent="0.3">
      <c r="A213" s="11" t="s">
        <v>48</v>
      </c>
      <c r="B213" s="17" t="s">
        <v>75</v>
      </c>
      <c r="C213" s="86" t="s">
        <v>76</v>
      </c>
      <c r="D213" s="64"/>
      <c r="E213" s="6">
        <v>3</v>
      </c>
      <c r="F213" s="6">
        <v>0</v>
      </c>
      <c r="G213" s="6">
        <v>0</v>
      </c>
      <c r="H213" s="6">
        <v>0</v>
      </c>
      <c r="I213" s="6">
        <v>2</v>
      </c>
      <c r="J213" s="6">
        <v>0</v>
      </c>
      <c r="K213" s="6">
        <v>2</v>
      </c>
      <c r="L213" s="6">
        <v>1</v>
      </c>
      <c r="M213" s="6">
        <v>1</v>
      </c>
      <c r="N213" s="6">
        <v>0</v>
      </c>
      <c r="O213" s="6">
        <v>0</v>
      </c>
      <c r="P213" s="6">
        <v>0</v>
      </c>
      <c r="Q213" s="5">
        <f>SUM(E213:P213)</f>
        <v>9</v>
      </c>
    </row>
    <row r="214" spans="1:17" x14ac:dyDescent="0.3">
      <c r="A214" s="11" t="s">
        <v>50</v>
      </c>
      <c r="B214" s="50"/>
      <c r="C214" s="24" t="s">
        <v>214</v>
      </c>
      <c r="D214" s="49"/>
      <c r="E214" s="6">
        <v>0</v>
      </c>
      <c r="F214" s="6">
        <v>0</v>
      </c>
      <c r="G214" s="6">
        <v>1</v>
      </c>
      <c r="H214" s="6">
        <v>1</v>
      </c>
      <c r="I214" s="6">
        <v>1</v>
      </c>
      <c r="J214" s="6">
        <v>1</v>
      </c>
      <c r="K214" s="6">
        <v>0</v>
      </c>
      <c r="L214" s="6">
        <v>3</v>
      </c>
      <c r="M214" s="6">
        <v>0</v>
      </c>
      <c r="N214" s="6">
        <v>1</v>
      </c>
      <c r="O214" s="6">
        <v>0</v>
      </c>
      <c r="P214" s="6">
        <v>0</v>
      </c>
      <c r="Q214" s="5">
        <f>SUM(E214:P214)</f>
        <v>8</v>
      </c>
    </row>
    <row r="215" spans="1:17" x14ac:dyDescent="0.3">
      <c r="A215" s="7"/>
      <c r="B215" s="50"/>
      <c r="C215" s="24" t="s">
        <v>215</v>
      </c>
      <c r="D215" s="49"/>
      <c r="E215" s="6">
        <v>2</v>
      </c>
      <c r="F215" s="6">
        <v>0</v>
      </c>
      <c r="G215" s="6">
        <v>0</v>
      </c>
      <c r="H215" s="6">
        <v>0</v>
      </c>
      <c r="I215" s="6">
        <v>0</v>
      </c>
      <c r="J215" s="6">
        <v>2</v>
      </c>
      <c r="K215" s="6">
        <v>1</v>
      </c>
      <c r="L215" s="6">
        <v>1</v>
      </c>
      <c r="M215" s="6">
        <v>0</v>
      </c>
      <c r="N215" s="6">
        <v>0</v>
      </c>
      <c r="O215" s="6">
        <v>0</v>
      </c>
      <c r="P215" s="6">
        <v>0</v>
      </c>
      <c r="Q215" s="5">
        <f>SUM(E215:P215)</f>
        <v>6</v>
      </c>
    </row>
    <row r="216" spans="1:17" x14ac:dyDescent="0.3">
      <c r="A216" s="7"/>
      <c r="B216" s="50"/>
      <c r="C216" s="24" t="s">
        <v>216</v>
      </c>
      <c r="D216" s="49"/>
      <c r="E216" s="6">
        <v>2</v>
      </c>
      <c r="F216" s="6">
        <v>0</v>
      </c>
      <c r="G216" s="6">
        <v>1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1</v>
      </c>
      <c r="Q216" s="5">
        <f>SUM(E216:P216)</f>
        <v>4</v>
      </c>
    </row>
    <row r="217" spans="1:17" x14ac:dyDescent="0.3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5">
        <f t="shared" ref="Q217:Q222" si="62">SUM(E217:P217)</f>
        <v>0</v>
      </c>
    </row>
    <row r="218" spans="1:17" ht="13.15" customHeight="1" x14ac:dyDescent="0.3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5">
        <f t="shared" si="62"/>
        <v>0</v>
      </c>
    </row>
    <row r="219" spans="1:17" x14ac:dyDescent="0.3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5">
        <f t="shared" si="62"/>
        <v>0</v>
      </c>
    </row>
    <row r="220" spans="1:17" x14ac:dyDescent="0.3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5">
        <f t="shared" si="62"/>
        <v>0</v>
      </c>
    </row>
    <row r="221" spans="1:17" x14ac:dyDescent="0.3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5">
        <f t="shared" si="62"/>
        <v>0</v>
      </c>
    </row>
    <row r="222" spans="1:17" x14ac:dyDescent="0.3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5">
        <f t="shared" si="62"/>
        <v>0</v>
      </c>
    </row>
    <row r="223" spans="1:17" x14ac:dyDescent="0.3">
      <c r="A223" s="6" t="s">
        <v>26</v>
      </c>
      <c r="B223" s="84" t="s">
        <v>51</v>
      </c>
      <c r="C223" s="87"/>
      <c r="D223" s="88"/>
      <c r="E223" s="5">
        <f t="shared" ref="E223:Q223" si="63">SUM(E213:E222)</f>
        <v>7</v>
      </c>
      <c r="F223" s="5">
        <f t="shared" si="63"/>
        <v>0</v>
      </c>
      <c r="G223" s="5">
        <f t="shared" si="63"/>
        <v>2</v>
      </c>
      <c r="H223" s="5">
        <f t="shared" si="63"/>
        <v>1</v>
      </c>
      <c r="I223" s="5">
        <f t="shared" si="63"/>
        <v>3</v>
      </c>
      <c r="J223" s="5">
        <f t="shared" si="63"/>
        <v>3</v>
      </c>
      <c r="K223" s="5">
        <f t="shared" si="63"/>
        <v>3</v>
      </c>
      <c r="L223" s="5">
        <f t="shared" si="63"/>
        <v>5</v>
      </c>
      <c r="M223" s="5">
        <f t="shared" si="63"/>
        <v>1</v>
      </c>
      <c r="N223" s="5">
        <f t="shared" ref="N223" si="64">SUM(N213:N222)</f>
        <v>1</v>
      </c>
      <c r="O223" s="5">
        <f t="shared" si="63"/>
        <v>0</v>
      </c>
      <c r="P223" s="5">
        <f t="shared" si="63"/>
        <v>1</v>
      </c>
      <c r="Q223" s="5">
        <f t="shared" si="63"/>
        <v>27</v>
      </c>
    </row>
    <row r="224" spans="1:17" x14ac:dyDescent="0.3">
      <c r="A224" s="62"/>
      <c r="B224" s="89"/>
      <c r="C224" s="89"/>
      <c r="D224" s="89"/>
      <c r="E224" s="90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</row>
    <row r="225" spans="1:17" x14ac:dyDescent="0.3">
      <c r="A225" s="11" t="s">
        <v>48</v>
      </c>
      <c r="B225" s="17" t="s">
        <v>77</v>
      </c>
      <c r="C225" s="86" t="s">
        <v>78</v>
      </c>
      <c r="D225" s="64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5">
        <f>SUM(E225:P225)</f>
        <v>0</v>
      </c>
    </row>
    <row r="226" spans="1:17" x14ac:dyDescent="0.3">
      <c r="A226" s="11" t="s">
        <v>50</v>
      </c>
      <c r="B226" s="50"/>
      <c r="C226" s="24" t="s">
        <v>217</v>
      </c>
      <c r="D226" s="49"/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1</v>
      </c>
      <c r="N226" s="6">
        <v>3</v>
      </c>
      <c r="O226" s="6">
        <v>0</v>
      </c>
      <c r="P226" s="6">
        <v>0</v>
      </c>
      <c r="Q226" s="5">
        <f>SUM(E226:P226)</f>
        <v>4</v>
      </c>
    </row>
    <row r="227" spans="1:17" x14ac:dyDescent="0.3">
      <c r="A227" s="7"/>
      <c r="B227" s="50"/>
      <c r="C227" s="24" t="s">
        <v>218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5">
        <f>SUM(E227:P227)</f>
        <v>0</v>
      </c>
    </row>
    <row r="228" spans="1:17" x14ac:dyDescent="0.3">
      <c r="A228" s="7"/>
      <c r="B228" s="50"/>
      <c r="C228" s="24" t="s">
        <v>219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1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5">
        <f>SUM(E228:P228)</f>
        <v>1</v>
      </c>
    </row>
    <row r="229" spans="1:17" ht="13.15" customHeight="1" x14ac:dyDescent="0.3">
      <c r="A229" s="7"/>
      <c r="B229" s="50"/>
      <c r="C229" s="24" t="s">
        <v>220</v>
      </c>
      <c r="D229" s="49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5">
        <f t="shared" ref="Q229:Q234" si="65">SUM(E229:P229)</f>
        <v>0</v>
      </c>
    </row>
    <row r="230" spans="1:17" x14ac:dyDescent="0.3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5">
        <f t="shared" si="65"/>
        <v>0</v>
      </c>
    </row>
    <row r="231" spans="1:17" x14ac:dyDescent="0.3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5">
        <f t="shared" si="65"/>
        <v>0</v>
      </c>
    </row>
    <row r="232" spans="1:17" x14ac:dyDescent="0.3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5">
        <f t="shared" si="65"/>
        <v>0</v>
      </c>
    </row>
    <row r="233" spans="1:17" x14ac:dyDescent="0.3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5">
        <f t="shared" si="65"/>
        <v>0</v>
      </c>
    </row>
    <row r="234" spans="1:17" x14ac:dyDescent="0.3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5">
        <f t="shared" si="65"/>
        <v>0</v>
      </c>
    </row>
    <row r="235" spans="1:17" x14ac:dyDescent="0.3">
      <c r="A235" s="6" t="s">
        <v>26</v>
      </c>
      <c r="B235" s="84" t="s">
        <v>51</v>
      </c>
      <c r="C235" s="87"/>
      <c r="D235" s="88"/>
      <c r="E235" s="5">
        <f t="shared" ref="E235:Q235" si="66">SUM(E225:E234)</f>
        <v>0</v>
      </c>
      <c r="F235" s="5">
        <f t="shared" si="66"/>
        <v>0</v>
      </c>
      <c r="G235" s="5">
        <f t="shared" si="66"/>
        <v>0</v>
      </c>
      <c r="H235" s="5">
        <f t="shared" si="66"/>
        <v>0</v>
      </c>
      <c r="I235" s="5">
        <f t="shared" si="66"/>
        <v>1</v>
      </c>
      <c r="J235" s="5">
        <f t="shared" si="66"/>
        <v>0</v>
      </c>
      <c r="K235" s="5">
        <f t="shared" si="66"/>
        <v>0</v>
      </c>
      <c r="L235" s="5">
        <f t="shared" si="66"/>
        <v>0</v>
      </c>
      <c r="M235" s="5">
        <f t="shared" si="66"/>
        <v>1</v>
      </c>
      <c r="N235" s="5">
        <f t="shared" ref="N235" si="67">SUM(N225:N234)</f>
        <v>3</v>
      </c>
      <c r="O235" s="5">
        <f t="shared" si="66"/>
        <v>0</v>
      </c>
      <c r="P235" s="5">
        <f t="shared" si="66"/>
        <v>0</v>
      </c>
      <c r="Q235" s="5">
        <f t="shared" si="66"/>
        <v>5</v>
      </c>
    </row>
    <row r="236" spans="1:17" x14ac:dyDescent="0.3">
      <c r="A236" s="62"/>
      <c r="B236" s="89"/>
      <c r="C236" s="89"/>
      <c r="D236" s="89"/>
      <c r="E236" s="90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</row>
    <row r="237" spans="1:17" x14ac:dyDescent="0.3">
      <c r="A237" s="11" t="s">
        <v>48</v>
      </c>
      <c r="B237" s="17" t="s">
        <v>79</v>
      </c>
      <c r="C237" s="86" t="s">
        <v>80</v>
      </c>
      <c r="D237" s="64"/>
      <c r="E237" s="6">
        <v>9</v>
      </c>
      <c r="F237" s="6">
        <v>5</v>
      </c>
      <c r="G237" s="6">
        <v>3</v>
      </c>
      <c r="H237" s="6">
        <v>8</v>
      </c>
      <c r="I237" s="6">
        <v>7</v>
      </c>
      <c r="J237" s="6">
        <v>10</v>
      </c>
      <c r="K237" s="6">
        <v>1</v>
      </c>
      <c r="L237" s="6">
        <v>7</v>
      </c>
      <c r="M237" s="6">
        <v>1</v>
      </c>
      <c r="N237" s="6">
        <v>1</v>
      </c>
      <c r="O237" s="6">
        <v>3</v>
      </c>
      <c r="P237" s="6">
        <v>0</v>
      </c>
      <c r="Q237" s="5">
        <f t="shared" ref="Q237:Q246" si="68">SUM(E237:P237)</f>
        <v>55</v>
      </c>
    </row>
    <row r="238" spans="1:17" x14ac:dyDescent="0.3">
      <c r="A238" s="11" t="s">
        <v>50</v>
      </c>
      <c r="B238" s="50"/>
      <c r="C238" s="24" t="s">
        <v>221</v>
      </c>
      <c r="D238" s="49"/>
      <c r="E238" s="6">
        <v>6</v>
      </c>
      <c r="F238" s="6">
        <v>10</v>
      </c>
      <c r="G238" s="6">
        <v>7</v>
      </c>
      <c r="H238" s="6">
        <v>6</v>
      </c>
      <c r="I238" s="6">
        <v>22</v>
      </c>
      <c r="J238" s="6">
        <v>17</v>
      </c>
      <c r="K238" s="6">
        <v>1</v>
      </c>
      <c r="L238" s="6">
        <v>6</v>
      </c>
      <c r="M238" s="6">
        <v>6</v>
      </c>
      <c r="N238" s="6">
        <v>2</v>
      </c>
      <c r="O238" s="6">
        <v>1</v>
      </c>
      <c r="P238" s="6">
        <v>1</v>
      </c>
      <c r="Q238" s="5">
        <f t="shared" si="68"/>
        <v>85</v>
      </c>
    </row>
    <row r="239" spans="1:17" x14ac:dyDescent="0.3">
      <c r="A239" s="7"/>
      <c r="B239" s="50"/>
      <c r="C239" s="24" t="s">
        <v>222</v>
      </c>
      <c r="D239" s="49"/>
      <c r="E239" s="6">
        <v>6</v>
      </c>
      <c r="F239" s="6">
        <v>4</v>
      </c>
      <c r="G239" s="6">
        <v>4</v>
      </c>
      <c r="H239" s="6">
        <v>0</v>
      </c>
      <c r="I239" s="6">
        <v>12</v>
      </c>
      <c r="J239" s="6">
        <v>4</v>
      </c>
      <c r="K239" s="6">
        <v>0</v>
      </c>
      <c r="L239" s="6">
        <v>3</v>
      </c>
      <c r="M239" s="6">
        <v>0</v>
      </c>
      <c r="N239" s="6">
        <v>0</v>
      </c>
      <c r="O239" s="6">
        <v>3</v>
      </c>
      <c r="P239" s="6">
        <v>0</v>
      </c>
      <c r="Q239" s="5">
        <f t="shared" si="68"/>
        <v>36</v>
      </c>
    </row>
    <row r="240" spans="1:17" ht="13.15" customHeight="1" x14ac:dyDescent="0.3">
      <c r="A240" s="7"/>
      <c r="B240" s="50"/>
      <c r="C240" s="24" t="s">
        <v>223</v>
      </c>
      <c r="D240" s="49"/>
      <c r="E240" s="6">
        <v>0</v>
      </c>
      <c r="F240" s="6">
        <v>1</v>
      </c>
      <c r="G240" s="6">
        <v>0</v>
      </c>
      <c r="H240" s="6">
        <v>0</v>
      </c>
      <c r="I240" s="6">
        <v>1</v>
      </c>
      <c r="J240" s="6">
        <v>1</v>
      </c>
      <c r="K240" s="6">
        <v>0</v>
      </c>
      <c r="L240" s="6">
        <v>1</v>
      </c>
      <c r="M240" s="6">
        <v>0</v>
      </c>
      <c r="N240" s="6">
        <v>0</v>
      </c>
      <c r="O240" s="6">
        <v>0</v>
      </c>
      <c r="P240" s="6">
        <v>0</v>
      </c>
      <c r="Q240" s="5">
        <f t="shared" si="68"/>
        <v>4</v>
      </c>
    </row>
    <row r="241" spans="1:17" x14ac:dyDescent="0.3">
      <c r="A241" s="7"/>
      <c r="B241" s="50"/>
      <c r="C241" s="24" t="s">
        <v>224</v>
      </c>
      <c r="D241" s="49"/>
      <c r="E241" s="6">
        <v>1</v>
      </c>
      <c r="F241" s="6">
        <v>1</v>
      </c>
      <c r="G241" s="6">
        <v>0</v>
      </c>
      <c r="H241" s="6">
        <v>2</v>
      </c>
      <c r="I241" s="6">
        <v>1</v>
      </c>
      <c r="J241" s="6">
        <v>1</v>
      </c>
      <c r="K241" s="6">
        <v>0</v>
      </c>
      <c r="L241" s="6">
        <v>0</v>
      </c>
      <c r="M241" s="6">
        <v>0</v>
      </c>
      <c r="N241" s="6">
        <v>2</v>
      </c>
      <c r="O241" s="6">
        <v>0</v>
      </c>
      <c r="P241" s="6">
        <v>0</v>
      </c>
      <c r="Q241" s="5">
        <f t="shared" si="68"/>
        <v>8</v>
      </c>
    </row>
    <row r="242" spans="1:17" ht="12.75" customHeight="1" x14ac:dyDescent="0.3">
      <c r="A242" s="7"/>
      <c r="B242" s="50"/>
      <c r="C242" s="24" t="s">
        <v>225</v>
      </c>
      <c r="D242" s="49"/>
      <c r="E242" s="6">
        <v>2</v>
      </c>
      <c r="F242" s="6">
        <v>6</v>
      </c>
      <c r="G242" s="6">
        <v>8</v>
      </c>
      <c r="H242" s="6">
        <v>3</v>
      </c>
      <c r="I242" s="6">
        <v>2</v>
      </c>
      <c r="J242" s="6">
        <v>0</v>
      </c>
      <c r="K242" s="6">
        <v>7</v>
      </c>
      <c r="L242" s="6">
        <v>12</v>
      </c>
      <c r="M242" s="6">
        <v>6</v>
      </c>
      <c r="N242" s="6">
        <v>2</v>
      </c>
      <c r="O242" s="6">
        <v>0</v>
      </c>
      <c r="P242" s="6">
        <v>0</v>
      </c>
      <c r="Q242" s="5">
        <f t="shared" si="68"/>
        <v>48</v>
      </c>
    </row>
    <row r="243" spans="1:17" x14ac:dyDescent="0.3">
      <c r="A243" s="7"/>
      <c r="B243" s="50"/>
      <c r="C243" s="24" t="s">
        <v>226</v>
      </c>
      <c r="D243" s="49"/>
      <c r="E243" s="6">
        <v>0</v>
      </c>
      <c r="F243" s="6">
        <v>0</v>
      </c>
      <c r="G243" s="6">
        <v>2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5">
        <f t="shared" si="68"/>
        <v>2</v>
      </c>
    </row>
    <row r="244" spans="1:17" x14ac:dyDescent="0.3">
      <c r="A244" s="7"/>
      <c r="B244" s="50"/>
      <c r="C244" s="24" t="s">
        <v>227</v>
      </c>
      <c r="D244" s="49"/>
      <c r="E244" s="6">
        <v>3</v>
      </c>
      <c r="F244" s="6">
        <v>2</v>
      </c>
      <c r="G244" s="6">
        <v>0</v>
      </c>
      <c r="H244" s="6">
        <v>0</v>
      </c>
      <c r="I244" s="6">
        <v>1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5">
        <f t="shared" si="68"/>
        <v>6</v>
      </c>
    </row>
    <row r="245" spans="1:17" x14ac:dyDescent="0.3">
      <c r="A245" s="7"/>
      <c r="B245" s="50"/>
      <c r="C245" s="24" t="s">
        <v>228</v>
      </c>
      <c r="D245" s="49"/>
      <c r="E245" s="6">
        <v>0</v>
      </c>
      <c r="F245" s="6">
        <v>0</v>
      </c>
      <c r="G245" s="6">
        <v>0</v>
      </c>
      <c r="H245" s="6">
        <v>0</v>
      </c>
      <c r="I245" s="6">
        <v>1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5">
        <f t="shared" si="68"/>
        <v>1</v>
      </c>
    </row>
    <row r="246" spans="1:17" x14ac:dyDescent="0.3">
      <c r="A246" s="7"/>
      <c r="B246" s="50"/>
      <c r="C246" s="24" t="s">
        <v>229</v>
      </c>
      <c r="D246" s="49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5">
        <f t="shared" si="68"/>
        <v>0</v>
      </c>
    </row>
    <row r="247" spans="1:17" ht="12.75" customHeight="1" x14ac:dyDescent="0.3">
      <c r="A247" s="6" t="s">
        <v>26</v>
      </c>
      <c r="B247" s="84" t="s">
        <v>51</v>
      </c>
      <c r="C247" s="87"/>
      <c r="D247" s="88"/>
      <c r="E247" s="5">
        <f t="shared" ref="E247:Q247" si="69">SUM(E237:E246)</f>
        <v>27</v>
      </c>
      <c r="F247" s="5">
        <f t="shared" si="69"/>
        <v>29</v>
      </c>
      <c r="G247" s="5">
        <f t="shared" si="69"/>
        <v>24</v>
      </c>
      <c r="H247" s="5">
        <f t="shared" si="69"/>
        <v>19</v>
      </c>
      <c r="I247" s="5">
        <f t="shared" si="69"/>
        <v>47</v>
      </c>
      <c r="J247" s="5">
        <f t="shared" si="69"/>
        <v>33</v>
      </c>
      <c r="K247" s="5">
        <f t="shared" si="69"/>
        <v>9</v>
      </c>
      <c r="L247" s="5">
        <f t="shared" si="69"/>
        <v>29</v>
      </c>
      <c r="M247" s="5">
        <f t="shared" si="69"/>
        <v>13</v>
      </c>
      <c r="N247" s="5">
        <f t="shared" ref="N247" si="70">SUM(N237:N246)</f>
        <v>7</v>
      </c>
      <c r="O247" s="5">
        <f t="shared" si="69"/>
        <v>7</v>
      </c>
      <c r="P247" s="5">
        <f t="shared" si="69"/>
        <v>1</v>
      </c>
      <c r="Q247" s="5">
        <f t="shared" si="69"/>
        <v>245</v>
      </c>
    </row>
    <row r="248" spans="1:17" x14ac:dyDescent="0.3">
      <c r="A248" s="62"/>
      <c r="B248" s="89"/>
      <c r="C248" s="89"/>
      <c r="D248" s="89"/>
      <c r="E248" s="90"/>
    </row>
    <row r="249" spans="1:17" x14ac:dyDescent="0.3">
      <c r="A249" s="11" t="s">
        <v>48</v>
      </c>
      <c r="B249" s="17" t="s">
        <v>81</v>
      </c>
      <c r="C249" s="86" t="s">
        <v>82</v>
      </c>
      <c r="D249" s="64"/>
      <c r="E249" s="6">
        <v>0</v>
      </c>
      <c r="F249" s="6">
        <v>0</v>
      </c>
      <c r="G249" s="6">
        <v>0</v>
      </c>
      <c r="H249" s="6">
        <v>1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1</v>
      </c>
      <c r="P249" s="6">
        <v>0</v>
      </c>
      <c r="Q249" s="5">
        <f>SUM(E249:P249)</f>
        <v>2</v>
      </c>
    </row>
    <row r="250" spans="1:17" x14ac:dyDescent="0.3">
      <c r="A250" s="11" t="s">
        <v>50</v>
      </c>
      <c r="B250" s="50"/>
      <c r="C250" s="24" t="s">
        <v>230</v>
      </c>
      <c r="D250" s="49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5">
        <f>SUM(E250:P250)</f>
        <v>0</v>
      </c>
    </row>
    <row r="251" spans="1:17" x14ac:dyDescent="0.3">
      <c r="A251" s="7"/>
      <c r="B251" s="50"/>
      <c r="C251" s="24" t="s">
        <v>231</v>
      </c>
      <c r="D251" s="49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1</v>
      </c>
      <c r="Q251" s="5">
        <f>SUM(E251:P251)</f>
        <v>1</v>
      </c>
    </row>
    <row r="252" spans="1:17" x14ac:dyDescent="0.3">
      <c r="A252" s="7"/>
      <c r="B252" s="50"/>
      <c r="C252" s="24" t="s">
        <v>232</v>
      </c>
      <c r="D252" s="49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5">
        <f t="shared" ref="Q252:Q258" si="71">SUM(E252:P252)</f>
        <v>0</v>
      </c>
    </row>
    <row r="253" spans="1:17" x14ac:dyDescent="0.3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5">
        <f t="shared" si="71"/>
        <v>0</v>
      </c>
    </row>
    <row r="254" spans="1:17" x14ac:dyDescent="0.3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5">
        <f t="shared" si="71"/>
        <v>0</v>
      </c>
    </row>
    <row r="255" spans="1:17" x14ac:dyDescent="0.3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5">
        <f t="shared" si="71"/>
        <v>0</v>
      </c>
    </row>
    <row r="256" spans="1:17" x14ac:dyDescent="0.3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5">
        <f t="shared" si="71"/>
        <v>0</v>
      </c>
    </row>
    <row r="257" spans="1:17" x14ac:dyDescent="0.3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5">
        <f t="shared" si="71"/>
        <v>0</v>
      </c>
    </row>
    <row r="258" spans="1:17" x14ac:dyDescent="0.3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5">
        <f t="shared" si="71"/>
        <v>0</v>
      </c>
    </row>
    <row r="259" spans="1:17" x14ac:dyDescent="0.3">
      <c r="A259" s="6" t="s">
        <v>26</v>
      </c>
      <c r="B259" s="84" t="s">
        <v>51</v>
      </c>
      <c r="C259" s="87"/>
      <c r="D259" s="88"/>
      <c r="E259" s="5">
        <f t="shared" ref="E259:Q259" si="72">SUM(E249:E258)</f>
        <v>0</v>
      </c>
      <c r="F259" s="5">
        <f t="shared" si="72"/>
        <v>0</v>
      </c>
      <c r="G259" s="5">
        <f t="shared" si="72"/>
        <v>0</v>
      </c>
      <c r="H259" s="5">
        <f t="shared" si="72"/>
        <v>1</v>
      </c>
      <c r="I259" s="5">
        <f t="shared" si="72"/>
        <v>0</v>
      </c>
      <c r="J259" s="5">
        <f t="shared" si="72"/>
        <v>0</v>
      </c>
      <c r="K259" s="5">
        <f t="shared" si="72"/>
        <v>0</v>
      </c>
      <c r="L259" s="5">
        <f t="shared" si="72"/>
        <v>0</v>
      </c>
      <c r="M259" s="5">
        <f t="shared" si="72"/>
        <v>0</v>
      </c>
      <c r="N259" s="5">
        <f t="shared" ref="N259" si="73">SUM(N249:N258)</f>
        <v>0</v>
      </c>
      <c r="O259" s="5">
        <f t="shared" si="72"/>
        <v>1</v>
      </c>
      <c r="P259" s="5">
        <f t="shared" si="72"/>
        <v>1</v>
      </c>
      <c r="Q259" s="5">
        <f t="shared" si="72"/>
        <v>3</v>
      </c>
    </row>
    <row r="261" spans="1:17" x14ac:dyDescent="0.3">
      <c r="A261" s="16" t="s">
        <v>83</v>
      </c>
      <c r="B261" s="65" t="s">
        <v>84</v>
      </c>
      <c r="C261" s="97"/>
      <c r="D261" s="98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5"/>
    </row>
    <row r="262" spans="1:17" x14ac:dyDescent="0.3">
      <c r="A262" s="16"/>
      <c r="B262" s="19" t="s">
        <v>85</v>
      </c>
      <c r="C262" s="95" t="s">
        <v>86</v>
      </c>
      <c r="D262" s="96"/>
      <c r="E262" s="6">
        <f>E55+E67+E79+E91+E103+E115+E127+E139+E151+E163+E175+E187+E199+E211+E223+E235+E247+E259</f>
        <v>196</v>
      </c>
      <c r="F262" s="6">
        <f t="shared" ref="F262:P262" si="74">F55+F67+F79+F91+F103+F115+F127+F139+F151+F163+F175+F187+F199+F211+F223+F235+F247+F259</f>
        <v>169</v>
      </c>
      <c r="G262" s="6">
        <f t="shared" si="74"/>
        <v>161</v>
      </c>
      <c r="H262" s="6">
        <f t="shared" si="74"/>
        <v>174</v>
      </c>
      <c r="I262" s="6">
        <f t="shared" si="74"/>
        <v>185</v>
      </c>
      <c r="J262" s="6">
        <f t="shared" si="74"/>
        <v>181</v>
      </c>
      <c r="K262" s="6">
        <f t="shared" si="74"/>
        <v>153</v>
      </c>
      <c r="L262" s="6">
        <f t="shared" si="74"/>
        <v>205</v>
      </c>
      <c r="M262" s="6">
        <f t="shared" si="74"/>
        <v>152</v>
      </c>
      <c r="N262" s="6">
        <f t="shared" ref="N262" si="75">N55+N67+N79+N91+N103+N115+N127+N139+N151+N163+N175+N187+N199+N211+N223+N235+N247+N259</f>
        <v>180</v>
      </c>
      <c r="O262" s="6">
        <f t="shared" si="74"/>
        <v>164</v>
      </c>
      <c r="P262" s="6">
        <f t="shared" si="74"/>
        <v>167</v>
      </c>
      <c r="Q262" s="5">
        <f>SUM(E262:P262)</f>
        <v>2087</v>
      </c>
    </row>
    <row r="263" spans="1:17" x14ac:dyDescent="0.3">
      <c r="A263" s="13"/>
      <c r="B263" s="19" t="s">
        <v>87</v>
      </c>
      <c r="C263" s="95" t="s">
        <v>88</v>
      </c>
      <c r="D263" s="96"/>
      <c r="E263" s="6">
        <v>45</v>
      </c>
      <c r="F263" s="6">
        <v>56</v>
      </c>
      <c r="G263" s="6">
        <v>51</v>
      </c>
      <c r="H263" s="6">
        <v>39</v>
      </c>
      <c r="I263" s="6">
        <v>25</v>
      </c>
      <c r="J263" s="6">
        <v>48</v>
      </c>
      <c r="K263" s="6">
        <v>44</v>
      </c>
      <c r="L263" s="6">
        <v>28</v>
      </c>
      <c r="M263" s="6">
        <v>32</v>
      </c>
      <c r="N263" s="6">
        <v>31</v>
      </c>
      <c r="O263" s="6">
        <v>38</v>
      </c>
      <c r="P263" s="6">
        <v>24</v>
      </c>
      <c r="Q263" s="5">
        <f>SUM(E263:P263)</f>
        <v>461</v>
      </c>
    </row>
    <row r="264" spans="1:17" x14ac:dyDescent="0.3">
      <c r="A264" s="14"/>
      <c r="B264" s="19" t="s">
        <v>89</v>
      </c>
      <c r="C264" s="95" t="s">
        <v>90</v>
      </c>
      <c r="D264" s="96"/>
      <c r="E264" s="5">
        <f>SUM(E262:E263)</f>
        <v>241</v>
      </c>
      <c r="F264" s="5">
        <f t="shared" ref="F264:P264" si="76">SUM(F262:F263)</f>
        <v>225</v>
      </c>
      <c r="G264" s="5">
        <f t="shared" si="76"/>
        <v>212</v>
      </c>
      <c r="H264" s="5">
        <f t="shared" si="76"/>
        <v>213</v>
      </c>
      <c r="I264" s="5">
        <f t="shared" si="76"/>
        <v>210</v>
      </c>
      <c r="J264" s="5">
        <f t="shared" si="76"/>
        <v>229</v>
      </c>
      <c r="K264" s="5">
        <f t="shared" si="76"/>
        <v>197</v>
      </c>
      <c r="L264" s="5">
        <f t="shared" si="76"/>
        <v>233</v>
      </c>
      <c r="M264" s="5">
        <f t="shared" si="76"/>
        <v>184</v>
      </c>
      <c r="N264" s="5">
        <f t="shared" ref="N264" si="77">SUM(N262:N263)</f>
        <v>211</v>
      </c>
      <c r="O264" s="5">
        <f t="shared" si="76"/>
        <v>202</v>
      </c>
      <c r="P264" s="5">
        <f t="shared" si="76"/>
        <v>191</v>
      </c>
      <c r="Q264" s="5">
        <f>SUM(E264:P264)</f>
        <v>2548</v>
      </c>
    </row>
  </sheetData>
  <mergeCells count="86"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C264:D264"/>
    <mergeCell ref="A248:E248"/>
    <mergeCell ref="C249:D249"/>
    <mergeCell ref="B259:D259"/>
    <mergeCell ref="B261:D261"/>
    <mergeCell ref="C262:D262"/>
    <mergeCell ref="C263:D263"/>
    <mergeCell ref="B199:D199"/>
    <mergeCell ref="B187:D187"/>
    <mergeCell ref="A188:E188"/>
    <mergeCell ref="A152:E152"/>
    <mergeCell ref="C153:D153"/>
    <mergeCell ref="B163:D163"/>
    <mergeCell ref="A164:E164"/>
    <mergeCell ref="C165:D165"/>
    <mergeCell ref="C189:D189"/>
    <mergeCell ref="B175:D175"/>
    <mergeCell ref="A176:E176"/>
    <mergeCell ref="C177:D177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P12"/>
    <mergeCell ref="Q12:Q13"/>
    <mergeCell ref="B13:D13"/>
    <mergeCell ref="B14:C16"/>
  </mergeCells>
  <phoneticPr fontId="9" type="noConversion"/>
  <conditionalFormatting sqref="E14:P15">
    <cfRule type="containsBlanks" dxfId="112" priority="20">
      <formula>LEN(TRIM(E14))=0</formula>
    </cfRule>
  </conditionalFormatting>
  <conditionalFormatting sqref="E19:P20">
    <cfRule type="containsBlanks" dxfId="111" priority="23">
      <formula>LEN(TRIM(E19))=0</formula>
    </cfRule>
  </conditionalFormatting>
  <conditionalFormatting sqref="E22:P23 E25:P26 E33:P33 E35:P35 E39:P40">
    <cfRule type="containsBlanks" dxfId="110" priority="24">
      <formula>LEN(TRIM(E22))=0</formula>
    </cfRule>
  </conditionalFormatting>
  <conditionalFormatting sqref="E30:P30">
    <cfRule type="expression" dxfId="109" priority="25">
      <formula>E30&lt;&gt;E47</formula>
    </cfRule>
    <cfRule type="expression" dxfId="108" priority="26">
      <formula>E30&lt;&gt;E34</formula>
    </cfRule>
  </conditionalFormatting>
  <conditionalFormatting sqref="E34:P34">
    <cfRule type="expression" dxfId="107" priority="21">
      <formula>E30&lt;&gt;E34</formula>
    </cfRule>
    <cfRule type="expression" dxfId="106" priority="22">
      <formula>E30=E34</formula>
    </cfRule>
    <cfRule type="expression" dxfId="105" priority="27">
      <formula>E34&lt;&gt;E30</formula>
    </cfRule>
    <cfRule type="expression" dxfId="104" priority="29">
      <formula>E34&lt;&gt;E64</formula>
    </cfRule>
  </conditionalFormatting>
  <conditionalFormatting sqref="E45:P54">
    <cfRule type="containsBlanks" dxfId="103" priority="19">
      <formula>LEN(TRIM(E45))=0</formula>
    </cfRule>
  </conditionalFormatting>
  <conditionalFormatting sqref="E57:P66">
    <cfRule type="containsBlanks" dxfId="102" priority="18">
      <formula>LEN(TRIM(E57))=0</formula>
    </cfRule>
  </conditionalFormatting>
  <conditionalFormatting sqref="E69:P78">
    <cfRule type="containsBlanks" dxfId="101" priority="17">
      <formula>LEN(TRIM(E69))=0</formula>
    </cfRule>
  </conditionalFormatting>
  <conditionalFormatting sqref="E81:P90">
    <cfRule type="containsBlanks" dxfId="100" priority="16">
      <formula>LEN(TRIM(E81))=0</formula>
    </cfRule>
  </conditionalFormatting>
  <conditionalFormatting sqref="E93:P102">
    <cfRule type="containsBlanks" dxfId="99" priority="15">
      <formula>LEN(TRIM(E93))=0</formula>
    </cfRule>
  </conditionalFormatting>
  <conditionalFormatting sqref="E105:P114">
    <cfRule type="containsBlanks" dxfId="98" priority="14">
      <formula>LEN(TRIM(E105))=0</formula>
    </cfRule>
  </conditionalFormatting>
  <conditionalFormatting sqref="E117:P126">
    <cfRule type="containsBlanks" dxfId="97" priority="1">
      <formula>LEN(TRIM(E117))=0</formula>
    </cfRule>
  </conditionalFormatting>
  <conditionalFormatting sqref="E129:P138">
    <cfRule type="containsBlanks" dxfId="96" priority="13">
      <formula>LEN(TRIM(E129))=0</formula>
    </cfRule>
  </conditionalFormatting>
  <conditionalFormatting sqref="E141:P150">
    <cfRule type="containsBlanks" dxfId="95" priority="12">
      <formula>LEN(TRIM(E141))=0</formula>
    </cfRule>
  </conditionalFormatting>
  <conditionalFormatting sqref="E153:P162">
    <cfRule type="containsBlanks" dxfId="94" priority="3">
      <formula>LEN(TRIM(E153))=0</formula>
    </cfRule>
  </conditionalFormatting>
  <conditionalFormatting sqref="E165:P174">
    <cfRule type="containsBlanks" dxfId="93" priority="11">
      <formula>LEN(TRIM(E165))=0</formula>
    </cfRule>
  </conditionalFormatting>
  <conditionalFormatting sqref="E177:P186">
    <cfRule type="containsBlanks" dxfId="92" priority="10">
      <formula>LEN(TRIM(E177))=0</formula>
    </cfRule>
  </conditionalFormatting>
  <conditionalFormatting sqref="E189:P198">
    <cfRule type="containsBlanks" dxfId="91" priority="9">
      <formula>LEN(TRIM(E189))=0</formula>
    </cfRule>
  </conditionalFormatting>
  <conditionalFormatting sqref="E201:P210">
    <cfRule type="containsBlanks" dxfId="90" priority="8">
      <formula>LEN(TRIM(E201))=0</formula>
    </cfRule>
  </conditionalFormatting>
  <conditionalFormatting sqref="E213:P222">
    <cfRule type="containsBlanks" dxfId="89" priority="7">
      <formula>LEN(TRIM(E213))=0</formula>
    </cfRule>
  </conditionalFormatting>
  <conditionalFormatting sqref="E225:P234">
    <cfRule type="containsBlanks" dxfId="88" priority="6">
      <formula>LEN(TRIM(E225))=0</formula>
    </cfRule>
  </conditionalFormatting>
  <conditionalFormatting sqref="E237:P246">
    <cfRule type="containsBlanks" dxfId="87" priority="5">
      <formula>LEN(TRIM(E237))=0</formula>
    </cfRule>
  </conditionalFormatting>
  <conditionalFormatting sqref="E249:P258">
    <cfRule type="containsBlanks" dxfId="86" priority="4">
      <formula>LEN(TRIM(E249))=0</formula>
    </cfRule>
  </conditionalFormatting>
  <conditionalFormatting sqref="E262:P263">
    <cfRule type="containsBlanks" dxfId="85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2F72-8BA1-4875-952A-C44E59E4A295}">
  <sheetPr>
    <tabColor rgb="FF00B050"/>
  </sheetPr>
  <dimension ref="A2:AC264"/>
  <sheetViews>
    <sheetView topLeftCell="C1" zoomScale="60" zoomScaleNormal="60" workbookViewId="0">
      <selection activeCell="N27" sqref="N27"/>
    </sheetView>
  </sheetViews>
  <sheetFormatPr defaultRowHeight="13" x14ac:dyDescent="0.3"/>
  <cols>
    <col min="3" max="3" width="67.09765625" bestFit="1" customWidth="1"/>
    <col min="4" max="4" width="5.8984375" bestFit="1" customWidth="1"/>
    <col min="29" max="29" width="13.296875" customWidth="1"/>
  </cols>
  <sheetData>
    <row r="2" spans="1:29" x14ac:dyDescent="0.3">
      <c r="C2" s="43" t="s">
        <v>98</v>
      </c>
      <c r="D2" s="43" t="s">
        <v>104</v>
      </c>
    </row>
    <row r="3" spans="1:29" x14ac:dyDescent="0.3">
      <c r="C3" s="43" t="s">
        <v>99</v>
      </c>
      <c r="D3" s="43" t="s">
        <v>100</v>
      </c>
    </row>
    <row r="4" spans="1:29" x14ac:dyDescent="0.3">
      <c r="C4" s="43" t="s">
        <v>101</v>
      </c>
      <c r="D4" s="43" t="s">
        <v>102</v>
      </c>
    </row>
    <row r="5" spans="1:29" x14ac:dyDescent="0.3">
      <c r="C5" s="43"/>
      <c r="D5" s="43"/>
    </row>
    <row r="6" spans="1:29" x14ac:dyDescent="0.3">
      <c r="C6" s="43"/>
      <c r="D6" s="43"/>
    </row>
    <row r="7" spans="1:29" x14ac:dyDescent="0.3">
      <c r="C7" s="43"/>
      <c r="D7" s="43"/>
    </row>
    <row r="8" spans="1:29" x14ac:dyDescent="0.3">
      <c r="C8" s="43"/>
      <c r="D8" s="43"/>
    </row>
    <row r="9" spans="1:29" x14ac:dyDescent="0.3">
      <c r="C9" s="43" t="s">
        <v>103</v>
      </c>
      <c r="D9" s="43" t="s">
        <v>104</v>
      </c>
    </row>
    <row r="11" spans="1:29" x14ac:dyDescent="0.3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9" x14ac:dyDescent="0.3">
      <c r="A12" s="5" t="s">
        <v>0</v>
      </c>
      <c r="B12" s="65" t="s">
        <v>1</v>
      </c>
      <c r="C12" s="63"/>
      <c r="D12" s="64"/>
      <c r="E12" s="99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1" t="s">
        <v>97</v>
      </c>
    </row>
    <row r="13" spans="1:29" x14ac:dyDescent="0.3">
      <c r="A13" s="6" t="s">
        <v>2</v>
      </c>
      <c r="B13" s="76" t="s">
        <v>3</v>
      </c>
      <c r="C13" s="63"/>
      <c r="D13" s="6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102"/>
    </row>
    <row r="14" spans="1:29" x14ac:dyDescent="0.3">
      <c r="A14" s="7"/>
      <c r="B14" s="77" t="s">
        <v>22</v>
      </c>
      <c r="C14" s="78"/>
      <c r="D14" s="6" t="s">
        <v>23</v>
      </c>
      <c r="E14" s="6">
        <v>113</v>
      </c>
      <c r="F14" s="6">
        <v>121</v>
      </c>
      <c r="G14" s="6">
        <v>91</v>
      </c>
      <c r="H14" s="6">
        <v>122</v>
      </c>
      <c r="I14" s="6">
        <v>102</v>
      </c>
      <c r="J14" s="6">
        <v>114</v>
      </c>
      <c r="K14" s="6">
        <v>129</v>
      </c>
      <c r="L14" s="6">
        <v>144</v>
      </c>
      <c r="M14" s="6">
        <v>144</v>
      </c>
      <c r="N14" s="6">
        <v>115</v>
      </c>
      <c r="O14" s="6">
        <v>145</v>
      </c>
      <c r="P14" s="6">
        <v>132</v>
      </c>
      <c r="Q14" s="6">
        <v>129</v>
      </c>
      <c r="R14" s="6">
        <v>131</v>
      </c>
      <c r="S14" s="6">
        <v>129</v>
      </c>
      <c r="T14" s="6">
        <v>129</v>
      </c>
      <c r="U14" s="6">
        <v>131</v>
      </c>
      <c r="V14" s="6">
        <v>138</v>
      </c>
      <c r="W14" s="6">
        <v>133</v>
      </c>
      <c r="X14" s="6">
        <v>132</v>
      </c>
      <c r="Y14" s="6">
        <v>138</v>
      </c>
      <c r="Z14" s="6">
        <v>131</v>
      </c>
      <c r="AA14" s="6">
        <v>137</v>
      </c>
      <c r="AB14" s="6">
        <v>116</v>
      </c>
      <c r="AC14" s="5">
        <f>SUM(E14:AB14)</f>
        <v>3046</v>
      </c>
    </row>
    <row r="15" spans="1:29" x14ac:dyDescent="0.3">
      <c r="A15" s="7"/>
      <c r="B15" s="79"/>
      <c r="C15" s="67"/>
      <c r="D15" s="6" t="s">
        <v>24</v>
      </c>
      <c r="E15" s="6">
        <v>126</v>
      </c>
      <c r="F15" s="6">
        <v>138</v>
      </c>
      <c r="G15" s="6">
        <v>107</v>
      </c>
      <c r="H15" s="6">
        <v>117</v>
      </c>
      <c r="I15" s="6">
        <v>125</v>
      </c>
      <c r="J15" s="6">
        <v>119</v>
      </c>
      <c r="K15" s="6">
        <v>144</v>
      </c>
      <c r="L15" s="6">
        <v>142</v>
      </c>
      <c r="M15" s="6">
        <v>147</v>
      </c>
      <c r="N15" s="6">
        <v>126</v>
      </c>
      <c r="O15" s="6">
        <v>143</v>
      </c>
      <c r="P15" s="6">
        <v>148</v>
      </c>
      <c r="Q15" s="6">
        <v>139</v>
      </c>
      <c r="R15" s="6">
        <v>144</v>
      </c>
      <c r="S15" s="6">
        <v>138</v>
      </c>
      <c r="T15" s="6">
        <v>125</v>
      </c>
      <c r="U15" s="6">
        <v>131</v>
      </c>
      <c r="V15" s="6">
        <v>142</v>
      </c>
      <c r="W15" s="6">
        <v>138</v>
      </c>
      <c r="X15" s="6">
        <v>127</v>
      </c>
      <c r="Y15" s="6">
        <v>128</v>
      </c>
      <c r="Z15" s="6">
        <v>136</v>
      </c>
      <c r="AA15" s="6">
        <v>126</v>
      </c>
      <c r="AB15" s="6">
        <v>112</v>
      </c>
      <c r="AC15" s="5">
        <f>SUM(E15:AB15)</f>
        <v>3168</v>
      </c>
    </row>
    <row r="16" spans="1:29" x14ac:dyDescent="0.3">
      <c r="A16" s="8"/>
      <c r="B16" s="75"/>
      <c r="C16" s="68"/>
      <c r="D16" s="5" t="s">
        <v>25</v>
      </c>
      <c r="E16" s="5">
        <f t="shared" ref="E16:AB16" si="0">SUM(E14:E15)</f>
        <v>239</v>
      </c>
      <c r="F16" s="5">
        <f t="shared" si="0"/>
        <v>259</v>
      </c>
      <c r="G16" s="5">
        <f t="shared" si="0"/>
        <v>198</v>
      </c>
      <c r="H16" s="5">
        <f t="shared" si="0"/>
        <v>239</v>
      </c>
      <c r="I16" s="5">
        <f t="shared" si="0"/>
        <v>227</v>
      </c>
      <c r="J16" s="5">
        <f t="shared" si="0"/>
        <v>233</v>
      </c>
      <c r="K16" s="5">
        <f t="shared" si="0"/>
        <v>273</v>
      </c>
      <c r="L16" s="5">
        <f t="shared" si="0"/>
        <v>286</v>
      </c>
      <c r="M16" s="5">
        <f t="shared" ref="M16:S16" si="1">SUM(M14:M15)</f>
        <v>291</v>
      </c>
      <c r="N16" s="5">
        <f t="shared" si="1"/>
        <v>241</v>
      </c>
      <c r="O16" s="5">
        <f t="shared" si="1"/>
        <v>288</v>
      </c>
      <c r="P16" s="5">
        <f t="shared" si="1"/>
        <v>280</v>
      </c>
      <c r="Q16" s="5">
        <f t="shared" si="1"/>
        <v>268</v>
      </c>
      <c r="R16" s="5">
        <f t="shared" si="1"/>
        <v>275</v>
      </c>
      <c r="S16" s="5">
        <f t="shared" si="1"/>
        <v>267</v>
      </c>
      <c r="T16" s="5">
        <f t="shared" si="0"/>
        <v>254</v>
      </c>
      <c r="U16" s="5">
        <f t="shared" si="0"/>
        <v>262</v>
      </c>
      <c r="V16" s="5">
        <f t="shared" si="0"/>
        <v>280</v>
      </c>
      <c r="W16" s="5">
        <f t="shared" si="0"/>
        <v>271</v>
      </c>
      <c r="X16" s="5">
        <f t="shared" si="0"/>
        <v>259</v>
      </c>
      <c r="Y16" s="5">
        <f t="shared" si="0"/>
        <v>266</v>
      </c>
      <c r="Z16" s="5">
        <f t="shared" ref="Z16" si="2">SUM(Z14:Z15)</f>
        <v>267</v>
      </c>
      <c r="AA16" s="5">
        <f t="shared" si="0"/>
        <v>263</v>
      </c>
      <c r="AB16" s="5">
        <f t="shared" si="0"/>
        <v>228</v>
      </c>
      <c r="AC16" s="5">
        <f>SUM(E16:AB16)</f>
        <v>6214</v>
      </c>
    </row>
    <row r="17" spans="1:29" x14ac:dyDescent="0.3">
      <c r="A17" s="62"/>
      <c r="B17" s="63"/>
      <c r="C17" s="63"/>
      <c r="D17" s="64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28"/>
    </row>
    <row r="18" spans="1:29" x14ac:dyDescent="0.3">
      <c r="A18" s="11" t="s">
        <v>26</v>
      </c>
      <c r="B18" s="76" t="s">
        <v>27</v>
      </c>
      <c r="C18" s="63"/>
      <c r="D18" s="64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28"/>
    </row>
    <row r="19" spans="1:29" x14ac:dyDescent="0.3">
      <c r="A19" s="11"/>
      <c r="B19" s="66" t="s">
        <v>28</v>
      </c>
      <c r="C19" s="69" t="s">
        <v>29</v>
      </c>
      <c r="D19" s="6" t="s">
        <v>23</v>
      </c>
      <c r="E19" s="6">
        <v>76</v>
      </c>
      <c r="F19" s="6">
        <v>93</v>
      </c>
      <c r="G19" s="6">
        <v>61</v>
      </c>
      <c r="H19" s="6">
        <v>98</v>
      </c>
      <c r="I19" s="6">
        <v>76</v>
      </c>
      <c r="J19" s="6">
        <v>84</v>
      </c>
      <c r="K19" s="6">
        <v>88</v>
      </c>
      <c r="L19" s="6">
        <v>138</v>
      </c>
      <c r="M19" s="6">
        <v>123</v>
      </c>
      <c r="N19" s="6">
        <v>95</v>
      </c>
      <c r="O19" s="6">
        <v>113</v>
      </c>
      <c r="P19" s="6">
        <v>95</v>
      </c>
      <c r="Q19" s="6">
        <v>90</v>
      </c>
      <c r="R19" s="6">
        <v>103</v>
      </c>
      <c r="S19" s="6">
        <v>96</v>
      </c>
      <c r="T19" s="6">
        <v>94</v>
      </c>
      <c r="U19" s="6">
        <v>96</v>
      </c>
      <c r="V19" s="6">
        <v>104</v>
      </c>
      <c r="W19" s="6">
        <v>99</v>
      </c>
      <c r="X19" s="6">
        <v>93</v>
      </c>
      <c r="Y19" s="6">
        <v>93</v>
      </c>
      <c r="Z19" s="6">
        <v>86</v>
      </c>
      <c r="AA19" s="6">
        <v>91</v>
      </c>
      <c r="AB19" s="6">
        <v>95</v>
      </c>
      <c r="AC19" s="5">
        <f t="shared" ref="AC19:AC30" si="3">SUM(E19:AB19)</f>
        <v>2280</v>
      </c>
    </row>
    <row r="20" spans="1:29" x14ac:dyDescent="0.3">
      <c r="A20" s="12"/>
      <c r="B20" s="67"/>
      <c r="C20" s="70"/>
      <c r="D20" s="6" t="s">
        <v>24</v>
      </c>
      <c r="E20" s="6">
        <v>100</v>
      </c>
      <c r="F20" s="6">
        <v>115</v>
      </c>
      <c r="G20" s="6">
        <v>83</v>
      </c>
      <c r="H20" s="6">
        <v>106</v>
      </c>
      <c r="I20" s="6">
        <v>104</v>
      </c>
      <c r="J20" s="6">
        <v>92</v>
      </c>
      <c r="K20" s="6">
        <v>104</v>
      </c>
      <c r="L20" s="6">
        <v>96</v>
      </c>
      <c r="M20" s="6">
        <v>129</v>
      </c>
      <c r="N20" s="6">
        <v>107</v>
      </c>
      <c r="O20" s="6">
        <v>124</v>
      </c>
      <c r="P20" s="6">
        <v>118</v>
      </c>
      <c r="Q20" s="6">
        <v>106</v>
      </c>
      <c r="R20" s="6">
        <v>117</v>
      </c>
      <c r="S20" s="6">
        <v>100</v>
      </c>
      <c r="T20" s="6">
        <v>106</v>
      </c>
      <c r="U20" s="6">
        <v>102</v>
      </c>
      <c r="V20" s="6">
        <v>108</v>
      </c>
      <c r="W20" s="6">
        <v>94</v>
      </c>
      <c r="X20" s="6">
        <v>106</v>
      </c>
      <c r="Y20" s="6">
        <v>100</v>
      </c>
      <c r="Z20" s="6">
        <v>109</v>
      </c>
      <c r="AA20" s="6">
        <v>101</v>
      </c>
      <c r="AB20" s="6">
        <v>94</v>
      </c>
      <c r="AC20" s="5">
        <f t="shared" si="3"/>
        <v>2521</v>
      </c>
    </row>
    <row r="21" spans="1:29" x14ac:dyDescent="0.3">
      <c r="A21" s="13"/>
      <c r="B21" s="68"/>
      <c r="C21" s="71"/>
      <c r="D21" s="5" t="s">
        <v>25</v>
      </c>
      <c r="E21" s="5">
        <f t="shared" ref="E21:AB21" si="4">SUM(E19:E20)</f>
        <v>176</v>
      </c>
      <c r="F21" s="5">
        <f t="shared" si="4"/>
        <v>208</v>
      </c>
      <c r="G21" s="5">
        <f t="shared" si="4"/>
        <v>144</v>
      </c>
      <c r="H21" s="5">
        <f t="shared" si="4"/>
        <v>204</v>
      </c>
      <c r="I21" s="5">
        <f t="shared" si="4"/>
        <v>180</v>
      </c>
      <c r="J21" s="5">
        <f t="shared" si="4"/>
        <v>176</v>
      </c>
      <c r="K21" s="5">
        <f t="shared" si="4"/>
        <v>192</v>
      </c>
      <c r="L21" s="5">
        <f t="shared" si="4"/>
        <v>234</v>
      </c>
      <c r="M21" s="5">
        <f t="shared" ref="M21:S21" si="5">SUM(M19:M20)</f>
        <v>252</v>
      </c>
      <c r="N21" s="5">
        <f t="shared" si="5"/>
        <v>202</v>
      </c>
      <c r="O21" s="5">
        <f t="shared" si="5"/>
        <v>237</v>
      </c>
      <c r="P21" s="5">
        <f t="shared" si="5"/>
        <v>213</v>
      </c>
      <c r="Q21" s="5">
        <f t="shared" si="5"/>
        <v>196</v>
      </c>
      <c r="R21" s="5">
        <f t="shared" si="5"/>
        <v>220</v>
      </c>
      <c r="S21" s="5">
        <f t="shared" si="5"/>
        <v>196</v>
      </c>
      <c r="T21" s="5">
        <f t="shared" si="4"/>
        <v>200</v>
      </c>
      <c r="U21" s="5">
        <f t="shared" si="4"/>
        <v>198</v>
      </c>
      <c r="V21" s="5">
        <f t="shared" si="4"/>
        <v>212</v>
      </c>
      <c r="W21" s="5">
        <f t="shared" si="4"/>
        <v>193</v>
      </c>
      <c r="X21" s="5">
        <f t="shared" si="4"/>
        <v>199</v>
      </c>
      <c r="Y21" s="5">
        <f t="shared" si="4"/>
        <v>193</v>
      </c>
      <c r="Z21" s="5">
        <f t="shared" ref="Z21" si="6">SUM(Z19:Z20)</f>
        <v>195</v>
      </c>
      <c r="AA21" s="5">
        <f t="shared" si="4"/>
        <v>192</v>
      </c>
      <c r="AB21" s="5">
        <f t="shared" si="4"/>
        <v>189</v>
      </c>
      <c r="AC21" s="5">
        <f t="shared" si="3"/>
        <v>4801</v>
      </c>
    </row>
    <row r="22" spans="1:29" x14ac:dyDescent="0.3">
      <c r="A22" s="12"/>
      <c r="B22" s="66" t="s">
        <v>30</v>
      </c>
      <c r="C22" s="69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1</v>
      </c>
      <c r="J22" s="6">
        <v>1</v>
      </c>
      <c r="K22" s="6">
        <v>0</v>
      </c>
      <c r="L22" s="6">
        <v>0</v>
      </c>
      <c r="M22" s="6">
        <v>1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1</v>
      </c>
      <c r="X22" s="6">
        <v>1</v>
      </c>
      <c r="Y22" s="6">
        <v>0</v>
      </c>
      <c r="Z22" s="6">
        <v>0</v>
      </c>
      <c r="AA22" s="6">
        <v>0</v>
      </c>
      <c r="AB22" s="6">
        <v>0</v>
      </c>
      <c r="AC22" s="5">
        <f t="shared" si="3"/>
        <v>5</v>
      </c>
    </row>
    <row r="23" spans="1:29" x14ac:dyDescent="0.3">
      <c r="A23" s="12"/>
      <c r="B23" s="67"/>
      <c r="C23" s="70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1</v>
      </c>
      <c r="K23" s="6">
        <v>0</v>
      </c>
      <c r="L23" s="6">
        <v>0</v>
      </c>
      <c r="M23" s="6">
        <v>1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1</v>
      </c>
      <c r="X23" s="6">
        <v>0</v>
      </c>
      <c r="Y23" s="6">
        <v>0</v>
      </c>
      <c r="Z23" s="6">
        <v>0</v>
      </c>
      <c r="AA23" s="6">
        <v>1</v>
      </c>
      <c r="AB23" s="6">
        <v>0</v>
      </c>
      <c r="AC23" s="5">
        <f t="shared" si="3"/>
        <v>4</v>
      </c>
    </row>
    <row r="24" spans="1:29" x14ac:dyDescent="0.3">
      <c r="A24" s="13"/>
      <c r="B24" s="68"/>
      <c r="C24" s="71"/>
      <c r="D24" s="5" t="s">
        <v>25</v>
      </c>
      <c r="E24" s="5">
        <f t="shared" ref="E24:AB24" si="7">SUM(E22:E23)</f>
        <v>0</v>
      </c>
      <c r="F24" s="5">
        <f t="shared" si="7"/>
        <v>0</v>
      </c>
      <c r="G24" s="5">
        <f t="shared" si="7"/>
        <v>0</v>
      </c>
      <c r="H24" s="5">
        <f t="shared" si="7"/>
        <v>0</v>
      </c>
      <c r="I24" s="5">
        <f t="shared" si="7"/>
        <v>1</v>
      </c>
      <c r="J24" s="5">
        <f t="shared" si="7"/>
        <v>2</v>
      </c>
      <c r="K24" s="5">
        <f t="shared" si="7"/>
        <v>0</v>
      </c>
      <c r="L24" s="5">
        <f t="shared" si="7"/>
        <v>0</v>
      </c>
      <c r="M24" s="5">
        <f t="shared" ref="M24:S24" si="8">SUM(M22:M23)</f>
        <v>2</v>
      </c>
      <c r="N24" s="5">
        <f t="shared" si="8"/>
        <v>0</v>
      </c>
      <c r="O24" s="5">
        <f t="shared" si="8"/>
        <v>0</v>
      </c>
      <c r="P24" s="5">
        <f t="shared" si="8"/>
        <v>0</v>
      </c>
      <c r="Q24" s="5">
        <f t="shared" si="8"/>
        <v>0</v>
      </c>
      <c r="R24" s="5">
        <f t="shared" si="8"/>
        <v>0</v>
      </c>
      <c r="S24" s="5">
        <f t="shared" si="8"/>
        <v>0</v>
      </c>
      <c r="T24" s="5">
        <f t="shared" si="7"/>
        <v>0</v>
      </c>
      <c r="U24" s="5">
        <f t="shared" si="7"/>
        <v>0</v>
      </c>
      <c r="V24" s="5">
        <f t="shared" si="7"/>
        <v>0</v>
      </c>
      <c r="W24" s="5">
        <f t="shared" si="7"/>
        <v>2</v>
      </c>
      <c r="X24" s="5">
        <f t="shared" si="7"/>
        <v>1</v>
      </c>
      <c r="Y24" s="5">
        <f t="shared" si="7"/>
        <v>0</v>
      </c>
      <c r="Z24" s="5">
        <f t="shared" ref="Z24" si="9">SUM(Z22:Z23)</f>
        <v>0</v>
      </c>
      <c r="AA24" s="5">
        <f t="shared" si="7"/>
        <v>1</v>
      </c>
      <c r="AB24" s="5">
        <f t="shared" si="7"/>
        <v>0</v>
      </c>
      <c r="AC24" s="5">
        <f t="shared" si="3"/>
        <v>9</v>
      </c>
    </row>
    <row r="25" spans="1:29" x14ac:dyDescent="0.3">
      <c r="A25" s="12"/>
      <c r="B25" s="66" t="s">
        <v>32</v>
      </c>
      <c r="C25" s="69" t="s">
        <v>33</v>
      </c>
      <c r="D25" s="6" t="s">
        <v>23</v>
      </c>
      <c r="E25" s="6"/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2</v>
      </c>
      <c r="L25" s="6">
        <v>2</v>
      </c>
      <c r="M25" s="6">
        <v>1</v>
      </c>
      <c r="N25" s="6">
        <v>0</v>
      </c>
      <c r="O25" s="6">
        <v>2</v>
      </c>
      <c r="P25" s="6">
        <v>1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2</v>
      </c>
      <c r="W25" s="6">
        <v>1</v>
      </c>
      <c r="X25" s="6">
        <v>2</v>
      </c>
      <c r="Y25" s="6">
        <v>1</v>
      </c>
      <c r="Z25" s="6">
        <v>0</v>
      </c>
      <c r="AA25" s="6">
        <v>1</v>
      </c>
      <c r="AB25" s="6">
        <v>0</v>
      </c>
      <c r="AC25" s="5">
        <f t="shared" si="3"/>
        <v>15</v>
      </c>
    </row>
    <row r="26" spans="1:29" x14ac:dyDescent="0.3">
      <c r="A26" s="12"/>
      <c r="B26" s="67"/>
      <c r="C26" s="70"/>
      <c r="D26" s="6" t="s">
        <v>24</v>
      </c>
      <c r="E26" s="6">
        <v>0</v>
      </c>
      <c r="F26" s="6">
        <v>0</v>
      </c>
      <c r="G26" s="6">
        <v>0</v>
      </c>
      <c r="H26" s="6">
        <v>0</v>
      </c>
      <c r="I26" s="6">
        <v>1</v>
      </c>
      <c r="J26" s="6">
        <v>0</v>
      </c>
      <c r="K26" s="6">
        <v>1</v>
      </c>
      <c r="L26" s="6">
        <v>3</v>
      </c>
      <c r="M26" s="6">
        <v>0</v>
      </c>
      <c r="N26" s="6">
        <v>0</v>
      </c>
      <c r="O26" s="6">
        <v>1</v>
      </c>
      <c r="P26" s="6">
        <v>0</v>
      </c>
      <c r="Q26" s="6">
        <v>1</v>
      </c>
      <c r="R26" s="6">
        <v>0</v>
      </c>
      <c r="S26" s="6">
        <v>0</v>
      </c>
      <c r="T26" s="6">
        <v>0</v>
      </c>
      <c r="U26" s="6">
        <v>0</v>
      </c>
      <c r="V26" s="6">
        <v>1</v>
      </c>
      <c r="W26" s="6">
        <v>1</v>
      </c>
      <c r="X26" s="6">
        <v>1</v>
      </c>
      <c r="Y26" s="6">
        <v>0</v>
      </c>
      <c r="Z26" s="6">
        <v>1</v>
      </c>
      <c r="AA26" s="6">
        <v>3</v>
      </c>
      <c r="AB26" s="6">
        <v>0</v>
      </c>
      <c r="AC26" s="5">
        <f t="shared" si="3"/>
        <v>14</v>
      </c>
    </row>
    <row r="27" spans="1:29" x14ac:dyDescent="0.3">
      <c r="A27" s="13"/>
      <c r="B27" s="68"/>
      <c r="C27" s="71"/>
      <c r="D27" s="5" t="s">
        <v>25</v>
      </c>
      <c r="E27" s="5">
        <f t="shared" ref="E27:AB27" si="10">SUM(E25:E26)</f>
        <v>0</v>
      </c>
      <c r="F27" s="5">
        <f t="shared" si="10"/>
        <v>0</v>
      </c>
      <c r="G27" s="5">
        <f t="shared" si="10"/>
        <v>0</v>
      </c>
      <c r="H27" s="5">
        <f t="shared" si="10"/>
        <v>0</v>
      </c>
      <c r="I27" s="5">
        <f t="shared" si="10"/>
        <v>1</v>
      </c>
      <c r="J27" s="5">
        <f t="shared" si="10"/>
        <v>0</v>
      </c>
      <c r="K27" s="5">
        <f t="shared" si="10"/>
        <v>3</v>
      </c>
      <c r="L27" s="5">
        <f t="shared" si="10"/>
        <v>5</v>
      </c>
      <c r="M27" s="5">
        <f t="shared" ref="M27:S27" si="11">SUM(M25:M26)</f>
        <v>1</v>
      </c>
      <c r="N27" s="5">
        <f t="shared" si="11"/>
        <v>0</v>
      </c>
      <c r="O27" s="5">
        <f t="shared" si="11"/>
        <v>3</v>
      </c>
      <c r="P27" s="5">
        <f t="shared" si="11"/>
        <v>1</v>
      </c>
      <c r="Q27" s="5">
        <f t="shared" si="11"/>
        <v>1</v>
      </c>
      <c r="R27" s="5">
        <f t="shared" si="11"/>
        <v>0</v>
      </c>
      <c r="S27" s="5">
        <f t="shared" si="11"/>
        <v>0</v>
      </c>
      <c r="T27" s="5">
        <f t="shared" si="10"/>
        <v>0</v>
      </c>
      <c r="U27" s="5">
        <f t="shared" si="10"/>
        <v>0</v>
      </c>
      <c r="V27" s="5">
        <f t="shared" si="10"/>
        <v>3</v>
      </c>
      <c r="W27" s="5">
        <f t="shared" si="10"/>
        <v>2</v>
      </c>
      <c r="X27" s="5">
        <f t="shared" si="10"/>
        <v>3</v>
      </c>
      <c r="Y27" s="5">
        <f t="shared" si="10"/>
        <v>1</v>
      </c>
      <c r="Z27" s="5">
        <f t="shared" ref="Z27" si="12">SUM(Z25:Z26)</f>
        <v>1</v>
      </c>
      <c r="AA27" s="5">
        <f t="shared" si="10"/>
        <v>4</v>
      </c>
      <c r="AB27" s="5">
        <f t="shared" si="10"/>
        <v>0</v>
      </c>
      <c r="AC27" s="5">
        <f t="shared" si="3"/>
        <v>29</v>
      </c>
    </row>
    <row r="28" spans="1:29" x14ac:dyDescent="0.3">
      <c r="A28" s="13"/>
      <c r="B28" s="72" t="s">
        <v>34</v>
      </c>
      <c r="C28" s="73" t="s">
        <v>35</v>
      </c>
      <c r="D28" s="5" t="s">
        <v>23</v>
      </c>
      <c r="E28" s="5">
        <f>SUM(E19,E22,E25)</f>
        <v>76</v>
      </c>
      <c r="F28" s="5">
        <f t="shared" ref="F28:L28" si="13">SUM(F19,F22,F25)</f>
        <v>93</v>
      </c>
      <c r="G28" s="5">
        <f t="shared" si="13"/>
        <v>61</v>
      </c>
      <c r="H28" s="5">
        <f t="shared" si="13"/>
        <v>98</v>
      </c>
      <c r="I28" s="5">
        <f t="shared" si="13"/>
        <v>77</v>
      </c>
      <c r="J28" s="5">
        <f t="shared" si="13"/>
        <v>85</v>
      </c>
      <c r="K28" s="5">
        <f t="shared" si="13"/>
        <v>90</v>
      </c>
      <c r="L28" s="5">
        <f t="shared" si="13"/>
        <v>140</v>
      </c>
      <c r="M28" s="5">
        <f t="shared" ref="M28:S28" si="14">SUM(M19,M22,M25)</f>
        <v>125</v>
      </c>
      <c r="N28" s="5">
        <f t="shared" si="14"/>
        <v>95</v>
      </c>
      <c r="O28" s="5">
        <f t="shared" si="14"/>
        <v>115</v>
      </c>
      <c r="P28" s="5">
        <f t="shared" si="14"/>
        <v>96</v>
      </c>
      <c r="Q28" s="5">
        <f t="shared" si="14"/>
        <v>90</v>
      </c>
      <c r="R28" s="5">
        <f t="shared" si="14"/>
        <v>103</v>
      </c>
      <c r="S28" s="5">
        <f t="shared" si="14"/>
        <v>96</v>
      </c>
      <c r="T28" s="5">
        <f t="shared" ref="T28:AB29" si="15">SUM(T19,T22,T25)</f>
        <v>94</v>
      </c>
      <c r="U28" s="5">
        <f t="shared" si="15"/>
        <v>96</v>
      </c>
      <c r="V28" s="5">
        <f t="shared" si="15"/>
        <v>106</v>
      </c>
      <c r="W28" s="5">
        <f t="shared" si="15"/>
        <v>101</v>
      </c>
      <c r="X28" s="5">
        <f t="shared" si="15"/>
        <v>96</v>
      </c>
      <c r="Y28" s="5">
        <f t="shared" si="15"/>
        <v>94</v>
      </c>
      <c r="Z28" s="5">
        <f t="shared" ref="Z28" si="16">SUM(Z19,Z22,Z25)</f>
        <v>86</v>
      </c>
      <c r="AA28" s="5">
        <f t="shared" si="15"/>
        <v>92</v>
      </c>
      <c r="AB28" s="5">
        <f t="shared" si="15"/>
        <v>95</v>
      </c>
      <c r="AC28" s="5">
        <f t="shared" si="3"/>
        <v>2300</v>
      </c>
    </row>
    <row r="29" spans="1:29" x14ac:dyDescent="0.3">
      <c r="A29" s="13"/>
      <c r="B29" s="67"/>
      <c r="C29" s="70"/>
      <c r="D29" s="5" t="s">
        <v>24</v>
      </c>
      <c r="E29" s="5">
        <f>SUM(E20,E23,E26)</f>
        <v>100</v>
      </c>
      <c r="F29" s="5">
        <f t="shared" ref="F29:L29" si="17">SUM(F20,F23,F26)</f>
        <v>115</v>
      </c>
      <c r="G29" s="5">
        <f t="shared" si="17"/>
        <v>83</v>
      </c>
      <c r="H29" s="5">
        <f t="shared" si="17"/>
        <v>106</v>
      </c>
      <c r="I29" s="5">
        <f t="shared" si="17"/>
        <v>105</v>
      </c>
      <c r="J29" s="5">
        <f t="shared" si="17"/>
        <v>93</v>
      </c>
      <c r="K29" s="5">
        <f t="shared" si="17"/>
        <v>105</v>
      </c>
      <c r="L29" s="5">
        <f t="shared" si="17"/>
        <v>99</v>
      </c>
      <c r="M29" s="5">
        <f t="shared" ref="M29:S29" si="18">SUM(M20,M23,M26)</f>
        <v>130</v>
      </c>
      <c r="N29" s="5">
        <f t="shared" si="18"/>
        <v>107</v>
      </c>
      <c r="O29" s="5">
        <f t="shared" si="18"/>
        <v>125</v>
      </c>
      <c r="P29" s="5">
        <f t="shared" si="18"/>
        <v>118</v>
      </c>
      <c r="Q29" s="5">
        <f t="shared" si="18"/>
        <v>107</v>
      </c>
      <c r="R29" s="5">
        <f t="shared" si="18"/>
        <v>117</v>
      </c>
      <c r="S29" s="5">
        <f t="shared" si="18"/>
        <v>100</v>
      </c>
      <c r="T29" s="5">
        <f t="shared" si="15"/>
        <v>106</v>
      </c>
      <c r="U29" s="5">
        <f t="shared" si="15"/>
        <v>102</v>
      </c>
      <c r="V29" s="5">
        <f t="shared" si="15"/>
        <v>109</v>
      </c>
      <c r="W29" s="5">
        <f t="shared" si="15"/>
        <v>96</v>
      </c>
      <c r="X29" s="5">
        <f t="shared" si="15"/>
        <v>107</v>
      </c>
      <c r="Y29" s="5">
        <f t="shared" si="15"/>
        <v>100</v>
      </c>
      <c r="Z29" s="5">
        <f t="shared" ref="Z29" si="19">SUM(Z20,Z23,Z26)</f>
        <v>110</v>
      </c>
      <c r="AA29" s="5">
        <f t="shared" si="15"/>
        <v>105</v>
      </c>
      <c r="AB29" s="5">
        <f t="shared" si="15"/>
        <v>94</v>
      </c>
      <c r="AC29" s="5">
        <f t="shared" si="3"/>
        <v>2539</v>
      </c>
    </row>
    <row r="30" spans="1:29" x14ac:dyDescent="0.3">
      <c r="A30" s="13"/>
      <c r="B30" s="68"/>
      <c r="C30" s="71"/>
      <c r="D30" s="5" t="s">
        <v>25</v>
      </c>
      <c r="E30" s="5">
        <f t="shared" ref="E30:S30" si="20">SUM(E28:E29)</f>
        <v>176</v>
      </c>
      <c r="F30" s="5">
        <f t="shared" ref="F30:L30" si="21">SUM(F28:F29)</f>
        <v>208</v>
      </c>
      <c r="G30" s="5">
        <f t="shared" si="21"/>
        <v>144</v>
      </c>
      <c r="H30" s="5">
        <f t="shared" si="21"/>
        <v>204</v>
      </c>
      <c r="I30" s="5">
        <f t="shared" si="21"/>
        <v>182</v>
      </c>
      <c r="J30" s="5">
        <f t="shared" si="21"/>
        <v>178</v>
      </c>
      <c r="K30" s="5">
        <f t="shared" si="21"/>
        <v>195</v>
      </c>
      <c r="L30" s="5">
        <f t="shared" si="21"/>
        <v>239</v>
      </c>
      <c r="M30" s="5">
        <f t="shared" si="20"/>
        <v>255</v>
      </c>
      <c r="N30" s="5">
        <f t="shared" si="20"/>
        <v>202</v>
      </c>
      <c r="O30" s="5">
        <f t="shared" si="20"/>
        <v>240</v>
      </c>
      <c r="P30" s="5">
        <f t="shared" si="20"/>
        <v>214</v>
      </c>
      <c r="Q30" s="5">
        <f t="shared" si="20"/>
        <v>197</v>
      </c>
      <c r="R30" s="5">
        <f t="shared" si="20"/>
        <v>220</v>
      </c>
      <c r="S30" s="5">
        <f t="shared" si="20"/>
        <v>196</v>
      </c>
      <c r="T30" s="5">
        <f t="shared" ref="T30:AB30" si="22">SUM(T28:T29)</f>
        <v>200</v>
      </c>
      <c r="U30" s="5">
        <f t="shared" si="22"/>
        <v>198</v>
      </c>
      <c r="V30" s="5">
        <f t="shared" si="22"/>
        <v>215</v>
      </c>
      <c r="W30" s="5">
        <f t="shared" si="22"/>
        <v>197</v>
      </c>
      <c r="X30" s="5">
        <f t="shared" si="22"/>
        <v>203</v>
      </c>
      <c r="Y30" s="5">
        <f t="shared" si="22"/>
        <v>194</v>
      </c>
      <c r="Z30" s="5">
        <f t="shared" ref="Z30" si="23">SUM(Z28:Z29)</f>
        <v>196</v>
      </c>
      <c r="AA30" s="5">
        <f t="shared" si="22"/>
        <v>197</v>
      </c>
      <c r="AB30" s="5">
        <f t="shared" si="22"/>
        <v>189</v>
      </c>
      <c r="AC30" s="5">
        <f t="shared" si="3"/>
        <v>4839</v>
      </c>
    </row>
    <row r="31" spans="1:29" x14ac:dyDescent="0.3">
      <c r="A31" s="62"/>
      <c r="B31" s="63"/>
      <c r="C31" s="63"/>
      <c r="D31" s="64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28"/>
    </row>
    <row r="32" spans="1:29" x14ac:dyDescent="0.3">
      <c r="A32" s="14" t="s">
        <v>36</v>
      </c>
      <c r="B32" s="65" t="s">
        <v>37</v>
      </c>
      <c r="C32" s="63"/>
      <c r="D32" s="6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28"/>
    </row>
    <row r="33" spans="1:29" x14ac:dyDescent="0.3">
      <c r="A33" s="6">
        <v>1</v>
      </c>
      <c r="B33" s="76" t="s">
        <v>38</v>
      </c>
      <c r="C33" s="63"/>
      <c r="D33" s="64"/>
      <c r="E33" s="6">
        <v>241</v>
      </c>
      <c r="F33" s="6">
        <v>262</v>
      </c>
      <c r="G33" s="6">
        <v>202</v>
      </c>
      <c r="H33" s="6">
        <v>241</v>
      </c>
      <c r="I33" s="6">
        <v>228</v>
      </c>
      <c r="J33" s="6">
        <v>235</v>
      </c>
      <c r="K33" s="6">
        <v>276</v>
      </c>
      <c r="L33" s="6">
        <v>289</v>
      </c>
      <c r="M33" s="6">
        <v>298</v>
      </c>
      <c r="N33" s="6">
        <v>247</v>
      </c>
      <c r="O33" s="6">
        <v>294</v>
      </c>
      <c r="P33" s="6">
        <v>285</v>
      </c>
      <c r="Q33" s="6">
        <v>272</v>
      </c>
      <c r="R33" s="6">
        <v>271</v>
      </c>
      <c r="S33" s="6">
        <v>270</v>
      </c>
      <c r="T33" s="6">
        <v>257</v>
      </c>
      <c r="U33" s="6">
        <v>264</v>
      </c>
      <c r="V33" s="6">
        <v>283</v>
      </c>
      <c r="W33" s="6">
        <v>274</v>
      </c>
      <c r="X33" s="6">
        <v>265</v>
      </c>
      <c r="Y33" s="6">
        <v>270</v>
      </c>
      <c r="Z33" s="6">
        <v>270</v>
      </c>
      <c r="AA33" s="6">
        <v>266</v>
      </c>
      <c r="AB33" s="6">
        <v>233</v>
      </c>
      <c r="AC33" s="5">
        <f>SUM(E33:AB33)</f>
        <v>6293</v>
      </c>
    </row>
    <row r="34" spans="1:29" x14ac:dyDescent="0.3">
      <c r="A34" s="6">
        <v>2</v>
      </c>
      <c r="B34" s="76" t="s">
        <v>39</v>
      </c>
      <c r="C34" s="63"/>
      <c r="D34" s="64"/>
      <c r="E34" s="5">
        <v>176</v>
      </c>
      <c r="F34" s="5">
        <v>208</v>
      </c>
      <c r="G34" s="5">
        <v>144</v>
      </c>
      <c r="H34" s="5">
        <v>204</v>
      </c>
      <c r="I34" s="5">
        <v>182</v>
      </c>
      <c r="J34" s="5">
        <v>178</v>
      </c>
      <c r="K34" s="5">
        <v>195</v>
      </c>
      <c r="L34" s="5">
        <v>239</v>
      </c>
      <c r="M34" s="5">
        <v>255</v>
      </c>
      <c r="N34" s="5">
        <v>202</v>
      </c>
      <c r="O34" s="5">
        <v>240</v>
      </c>
      <c r="P34" s="5">
        <v>214</v>
      </c>
      <c r="Q34" s="5">
        <v>197</v>
      </c>
      <c r="R34" s="5">
        <v>220</v>
      </c>
      <c r="S34" s="5">
        <v>196</v>
      </c>
      <c r="T34" s="5">
        <v>200</v>
      </c>
      <c r="U34" s="5">
        <v>198</v>
      </c>
      <c r="V34" s="5">
        <v>215</v>
      </c>
      <c r="W34" s="5">
        <v>197</v>
      </c>
      <c r="X34" s="5">
        <v>203</v>
      </c>
      <c r="Y34" s="5">
        <v>194</v>
      </c>
      <c r="Z34" s="5">
        <v>196</v>
      </c>
      <c r="AA34" s="5">
        <v>197</v>
      </c>
      <c r="AB34" s="5">
        <v>189</v>
      </c>
      <c r="AC34" s="5">
        <f>SUM(E34:AB34)</f>
        <v>4839</v>
      </c>
    </row>
    <row r="35" spans="1:29" x14ac:dyDescent="0.3">
      <c r="A35" s="6">
        <v>3</v>
      </c>
      <c r="B35" s="76" t="s">
        <v>40</v>
      </c>
      <c r="C35" s="63"/>
      <c r="D35" s="64"/>
      <c r="E35" s="6">
        <v>0</v>
      </c>
      <c r="F35" s="6">
        <v>0</v>
      </c>
      <c r="G35" s="6">
        <v>0</v>
      </c>
      <c r="H35" s="6">
        <v>0</v>
      </c>
      <c r="I35" s="6">
        <v>1</v>
      </c>
      <c r="J35" s="6">
        <v>1</v>
      </c>
      <c r="K35" s="6">
        <v>3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5">
        <f>SUM(E35:AB35)</f>
        <v>5</v>
      </c>
    </row>
    <row r="36" spans="1:29" x14ac:dyDescent="0.3">
      <c r="A36" s="6">
        <v>4</v>
      </c>
      <c r="B36" s="76" t="s">
        <v>41</v>
      </c>
      <c r="C36" s="63"/>
      <c r="D36" s="64"/>
      <c r="E36" s="5">
        <f t="shared" ref="E36:AB36" si="24">E33-(E34+E35)</f>
        <v>65</v>
      </c>
      <c r="F36" s="5">
        <f t="shared" si="24"/>
        <v>54</v>
      </c>
      <c r="G36" s="5">
        <f t="shared" si="24"/>
        <v>58</v>
      </c>
      <c r="H36" s="5">
        <f t="shared" si="24"/>
        <v>37</v>
      </c>
      <c r="I36" s="5">
        <f t="shared" si="24"/>
        <v>45</v>
      </c>
      <c r="J36" s="5">
        <f t="shared" si="24"/>
        <v>56</v>
      </c>
      <c r="K36" s="5">
        <f t="shared" si="24"/>
        <v>78</v>
      </c>
      <c r="L36" s="5">
        <f t="shared" si="24"/>
        <v>50</v>
      </c>
      <c r="M36" s="5">
        <f t="shared" ref="M36:S36" si="25">M33-(M34+M35)</f>
        <v>43</v>
      </c>
      <c r="N36" s="5">
        <f t="shared" si="25"/>
        <v>45</v>
      </c>
      <c r="O36" s="5">
        <f t="shared" si="25"/>
        <v>54</v>
      </c>
      <c r="P36" s="5">
        <f t="shared" si="25"/>
        <v>71</v>
      </c>
      <c r="Q36" s="5">
        <f t="shared" si="25"/>
        <v>75</v>
      </c>
      <c r="R36" s="5">
        <f t="shared" si="25"/>
        <v>51</v>
      </c>
      <c r="S36" s="5">
        <f t="shared" si="25"/>
        <v>74</v>
      </c>
      <c r="T36" s="5">
        <f t="shared" si="24"/>
        <v>57</v>
      </c>
      <c r="U36" s="5">
        <f t="shared" si="24"/>
        <v>66</v>
      </c>
      <c r="V36" s="5">
        <f t="shared" si="24"/>
        <v>68</v>
      </c>
      <c r="W36" s="5">
        <f t="shared" si="24"/>
        <v>77</v>
      </c>
      <c r="X36" s="5">
        <f t="shared" si="24"/>
        <v>62</v>
      </c>
      <c r="Y36" s="5">
        <f t="shared" si="24"/>
        <v>76</v>
      </c>
      <c r="Z36" s="5">
        <f t="shared" ref="Z36" si="26">Z33-(Z34+Z35)</f>
        <v>74</v>
      </c>
      <c r="AA36" s="5">
        <f t="shared" si="24"/>
        <v>69</v>
      </c>
      <c r="AB36" s="5">
        <f t="shared" si="24"/>
        <v>44</v>
      </c>
      <c r="AC36" s="5">
        <f>SUM(E36:AB36)</f>
        <v>1449</v>
      </c>
    </row>
    <row r="37" spans="1:29" x14ac:dyDescent="0.3">
      <c r="A37" s="62"/>
      <c r="B37" s="63"/>
      <c r="C37" s="63"/>
      <c r="D37" s="63"/>
      <c r="E37" s="62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103"/>
      <c r="U37" s="103"/>
      <c r="V37" s="103"/>
      <c r="W37" s="104"/>
      <c r="X37" s="6"/>
      <c r="Y37" s="6"/>
      <c r="Z37" s="6"/>
      <c r="AA37" s="6"/>
      <c r="AB37" s="6"/>
      <c r="AC37" s="28"/>
    </row>
    <row r="38" spans="1:29" x14ac:dyDescent="0.3">
      <c r="A38" s="16" t="s">
        <v>42</v>
      </c>
      <c r="B38" s="65" t="s">
        <v>43</v>
      </c>
      <c r="C38" s="63"/>
      <c r="D38" s="6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28"/>
    </row>
    <row r="39" spans="1:29" x14ac:dyDescent="0.3">
      <c r="A39" s="11"/>
      <c r="B39" s="80" t="s">
        <v>44</v>
      </c>
      <c r="C39" s="78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>
        <v>4</v>
      </c>
      <c r="P39" s="6"/>
      <c r="Q39" s="6"/>
      <c r="R39" s="6">
        <v>1</v>
      </c>
      <c r="S39" s="6"/>
      <c r="T39" s="6"/>
      <c r="U39" s="6">
        <v>1</v>
      </c>
      <c r="V39" s="6"/>
      <c r="W39" s="6"/>
      <c r="X39" s="6">
        <v>1</v>
      </c>
      <c r="Y39" s="6"/>
      <c r="Z39" s="6"/>
      <c r="AA39" s="6"/>
      <c r="AB39" s="6"/>
      <c r="AC39" s="5">
        <f>SUM(E39:AB39)</f>
        <v>7</v>
      </c>
    </row>
    <row r="40" spans="1:29" x14ac:dyDescent="0.3">
      <c r="A40" s="12"/>
      <c r="B40" s="81"/>
      <c r="C40" s="67"/>
      <c r="D40" s="6" t="s">
        <v>24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>
        <v>7</v>
      </c>
      <c r="P40" s="6"/>
      <c r="Q40" s="6"/>
      <c r="R40" s="6">
        <v>1</v>
      </c>
      <c r="S40" s="6"/>
      <c r="T40" s="6"/>
      <c r="U40" s="6">
        <v>3</v>
      </c>
      <c r="V40" s="6"/>
      <c r="W40" s="6"/>
      <c r="X40" s="6">
        <v>1</v>
      </c>
      <c r="Y40" s="6"/>
      <c r="Z40" s="6"/>
      <c r="AA40" s="6"/>
      <c r="AB40" s="6"/>
      <c r="AC40" s="5">
        <f>SUM(E40:AB40)</f>
        <v>12</v>
      </c>
    </row>
    <row r="41" spans="1:29" x14ac:dyDescent="0.3">
      <c r="A41" s="14"/>
      <c r="B41" s="82"/>
      <c r="C41" s="68"/>
      <c r="D41" s="5" t="s">
        <v>25</v>
      </c>
      <c r="E41" s="5">
        <f t="shared" ref="E41:AB41" si="27">SUM(E39:E40)</f>
        <v>0</v>
      </c>
      <c r="F41" s="5">
        <f t="shared" si="27"/>
        <v>0</v>
      </c>
      <c r="G41" s="5">
        <f t="shared" si="27"/>
        <v>0</v>
      </c>
      <c r="H41" s="5">
        <f t="shared" si="27"/>
        <v>0</v>
      </c>
      <c r="I41" s="5">
        <f t="shared" si="27"/>
        <v>0</v>
      </c>
      <c r="J41" s="5">
        <f t="shared" si="27"/>
        <v>0</v>
      </c>
      <c r="K41" s="5">
        <f t="shared" si="27"/>
        <v>0</v>
      </c>
      <c r="L41" s="5">
        <f t="shared" si="27"/>
        <v>0</v>
      </c>
      <c r="M41" s="5">
        <f t="shared" ref="M41:S41" si="28">SUM(M39:M40)</f>
        <v>0</v>
      </c>
      <c r="N41" s="5">
        <f t="shared" si="28"/>
        <v>0</v>
      </c>
      <c r="O41" s="5">
        <f t="shared" si="28"/>
        <v>11</v>
      </c>
      <c r="P41" s="5">
        <f t="shared" si="28"/>
        <v>0</v>
      </c>
      <c r="Q41" s="5">
        <f t="shared" si="28"/>
        <v>0</v>
      </c>
      <c r="R41" s="5">
        <f t="shared" si="28"/>
        <v>2</v>
      </c>
      <c r="S41" s="5">
        <f t="shared" si="28"/>
        <v>0</v>
      </c>
      <c r="T41" s="5">
        <f t="shared" si="27"/>
        <v>0</v>
      </c>
      <c r="U41" s="5">
        <f t="shared" si="27"/>
        <v>4</v>
      </c>
      <c r="V41" s="5">
        <f t="shared" si="27"/>
        <v>0</v>
      </c>
      <c r="W41" s="5">
        <f t="shared" si="27"/>
        <v>0</v>
      </c>
      <c r="X41" s="5">
        <f t="shared" si="27"/>
        <v>2</v>
      </c>
      <c r="Y41" s="5">
        <f t="shared" si="27"/>
        <v>0</v>
      </c>
      <c r="Z41" s="5">
        <f t="shared" ref="Z41" si="29">SUM(Z39:Z40)</f>
        <v>0</v>
      </c>
      <c r="AA41" s="5">
        <f t="shared" si="27"/>
        <v>0</v>
      </c>
      <c r="AB41" s="5">
        <f t="shared" si="27"/>
        <v>0</v>
      </c>
      <c r="AC41" s="5">
        <f>SUM(E41:AB41)</f>
        <v>19</v>
      </c>
    </row>
    <row r="42" spans="1:29" x14ac:dyDescent="0.3">
      <c r="A42" s="83"/>
      <c r="B42" s="82"/>
      <c r="C42" s="82"/>
      <c r="D42" s="68"/>
      <c r="E42" s="62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63"/>
      <c r="U42" s="63"/>
      <c r="V42" s="63"/>
      <c r="W42" s="64"/>
      <c r="X42" s="6"/>
      <c r="Y42" s="6"/>
      <c r="Z42" s="6"/>
      <c r="AA42" s="6"/>
      <c r="AB42" s="6"/>
      <c r="AC42" s="5"/>
    </row>
    <row r="43" spans="1:29" ht="13.15" customHeight="1" x14ac:dyDescent="0.3">
      <c r="A43" s="16" t="s">
        <v>45</v>
      </c>
      <c r="B43" s="65" t="s">
        <v>46</v>
      </c>
      <c r="C43" s="63"/>
      <c r="D43" s="64"/>
      <c r="E43" s="2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3.15" customHeight="1" x14ac:dyDescent="0.3">
      <c r="A44" s="80" t="s">
        <v>47</v>
      </c>
      <c r="B44" s="85"/>
      <c r="C44" s="85"/>
      <c r="D44" s="78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5"/>
    </row>
    <row r="45" spans="1:29" x14ac:dyDescent="0.3">
      <c r="A45" s="11" t="s">
        <v>48</v>
      </c>
      <c r="B45" s="17" t="s">
        <v>28</v>
      </c>
      <c r="C45" s="86" t="s">
        <v>49</v>
      </c>
      <c r="D45" s="64"/>
      <c r="E45" s="6">
        <v>9</v>
      </c>
      <c r="F45" s="6">
        <v>8</v>
      </c>
      <c r="G45" s="6">
        <v>3</v>
      </c>
      <c r="H45" s="6">
        <v>10</v>
      </c>
      <c r="I45" s="6">
        <v>9</v>
      </c>
      <c r="J45" s="6">
        <v>11</v>
      </c>
      <c r="K45" s="6">
        <v>8</v>
      </c>
      <c r="L45" s="6">
        <v>10</v>
      </c>
      <c r="M45" s="6">
        <v>2</v>
      </c>
      <c r="N45" s="6">
        <v>5</v>
      </c>
      <c r="O45" s="6">
        <v>5</v>
      </c>
      <c r="P45" s="6">
        <v>0</v>
      </c>
      <c r="Q45" s="6">
        <v>0</v>
      </c>
      <c r="R45" s="6">
        <v>3</v>
      </c>
      <c r="S45" s="6">
        <v>2</v>
      </c>
      <c r="T45" s="6">
        <v>3</v>
      </c>
      <c r="U45" s="6">
        <v>2</v>
      </c>
      <c r="V45" s="6">
        <v>13</v>
      </c>
      <c r="W45" s="6">
        <v>6</v>
      </c>
      <c r="X45" s="6">
        <v>18</v>
      </c>
      <c r="Y45" s="6">
        <v>9</v>
      </c>
      <c r="Z45" s="6">
        <v>13</v>
      </c>
      <c r="AA45" s="6">
        <v>7</v>
      </c>
      <c r="AB45" s="6">
        <v>3</v>
      </c>
      <c r="AC45" s="5">
        <f t="shared" ref="AC45:AC54" si="30">SUM(E45:AB45)</f>
        <v>159</v>
      </c>
    </row>
    <row r="46" spans="1:29" x14ac:dyDescent="0.3">
      <c r="A46" s="11" t="s">
        <v>50</v>
      </c>
      <c r="B46" s="50"/>
      <c r="C46" s="24" t="s">
        <v>115</v>
      </c>
      <c r="D46" s="49"/>
      <c r="E46" s="6">
        <v>3</v>
      </c>
      <c r="F46" s="6">
        <v>14</v>
      </c>
      <c r="G46" s="6">
        <v>3</v>
      </c>
      <c r="H46" s="6">
        <v>9</v>
      </c>
      <c r="I46" s="6">
        <v>11</v>
      </c>
      <c r="J46" s="6">
        <v>13</v>
      </c>
      <c r="K46" s="6">
        <v>6</v>
      </c>
      <c r="L46" s="6">
        <v>10</v>
      </c>
      <c r="M46" s="6">
        <v>4</v>
      </c>
      <c r="N46" s="6">
        <v>7</v>
      </c>
      <c r="O46" s="6">
        <v>3</v>
      </c>
      <c r="P46" s="6">
        <v>3</v>
      </c>
      <c r="Q46" s="6">
        <v>1</v>
      </c>
      <c r="R46" s="6">
        <v>2</v>
      </c>
      <c r="S46" s="6">
        <v>5</v>
      </c>
      <c r="T46" s="6">
        <v>6</v>
      </c>
      <c r="U46" s="6">
        <v>3</v>
      </c>
      <c r="V46" s="6">
        <v>11</v>
      </c>
      <c r="W46" s="6">
        <v>13</v>
      </c>
      <c r="X46" s="6">
        <v>25</v>
      </c>
      <c r="Y46" s="6">
        <v>47</v>
      </c>
      <c r="Z46" s="6">
        <v>33</v>
      </c>
      <c r="AA46" s="6">
        <v>33</v>
      </c>
      <c r="AB46" s="6">
        <v>5</v>
      </c>
      <c r="AC46" s="5">
        <f t="shared" si="30"/>
        <v>270</v>
      </c>
    </row>
    <row r="47" spans="1:29" x14ac:dyDescent="0.3">
      <c r="A47" s="7"/>
      <c r="B47" s="50"/>
      <c r="C47" s="24" t="s">
        <v>116</v>
      </c>
      <c r="D47" s="49"/>
      <c r="E47" s="6">
        <v>7</v>
      </c>
      <c r="F47" s="6">
        <v>4</v>
      </c>
      <c r="G47" s="6">
        <v>3</v>
      </c>
      <c r="H47" s="6">
        <v>3</v>
      </c>
      <c r="I47" s="6">
        <v>2</v>
      </c>
      <c r="J47" s="6">
        <v>1</v>
      </c>
      <c r="K47" s="6">
        <v>3</v>
      </c>
      <c r="L47" s="6">
        <v>3</v>
      </c>
      <c r="M47" s="6">
        <v>2</v>
      </c>
      <c r="N47" s="6">
        <v>7</v>
      </c>
      <c r="O47" s="6">
        <v>3</v>
      </c>
      <c r="P47" s="6">
        <v>1</v>
      </c>
      <c r="Q47" s="6">
        <v>2</v>
      </c>
      <c r="R47" s="6">
        <v>2</v>
      </c>
      <c r="S47" s="6">
        <v>2</v>
      </c>
      <c r="T47" s="6">
        <v>2</v>
      </c>
      <c r="U47" s="6">
        <v>4</v>
      </c>
      <c r="V47" s="6">
        <v>2</v>
      </c>
      <c r="W47" s="6">
        <v>3</v>
      </c>
      <c r="X47" s="6">
        <v>5</v>
      </c>
      <c r="Y47" s="6">
        <v>11</v>
      </c>
      <c r="Z47" s="6">
        <v>9</v>
      </c>
      <c r="AA47" s="6">
        <v>6</v>
      </c>
      <c r="AB47" s="6">
        <v>0</v>
      </c>
      <c r="AC47" s="5">
        <f t="shared" si="30"/>
        <v>87</v>
      </c>
    </row>
    <row r="48" spans="1:29" x14ac:dyDescent="0.3">
      <c r="A48" s="7"/>
      <c r="B48" s="50"/>
      <c r="C48" s="24" t="s">
        <v>117</v>
      </c>
      <c r="D48" s="49"/>
      <c r="E48" s="6">
        <v>2</v>
      </c>
      <c r="F48" s="6">
        <v>1</v>
      </c>
      <c r="G48" s="6">
        <v>3</v>
      </c>
      <c r="H48" s="6">
        <v>1</v>
      </c>
      <c r="I48" s="6">
        <v>2</v>
      </c>
      <c r="J48" s="6">
        <v>0</v>
      </c>
      <c r="K48" s="6">
        <v>3</v>
      </c>
      <c r="L48" s="6">
        <v>0</v>
      </c>
      <c r="M48" s="6">
        <v>4</v>
      </c>
      <c r="N48" s="6">
        <v>1</v>
      </c>
      <c r="O48" s="6">
        <v>0</v>
      </c>
      <c r="P48" s="6">
        <v>0</v>
      </c>
      <c r="Q48" s="6">
        <v>1</v>
      </c>
      <c r="R48" s="6">
        <v>0</v>
      </c>
      <c r="S48" s="6">
        <v>0</v>
      </c>
      <c r="T48" s="6">
        <v>1</v>
      </c>
      <c r="U48" s="6">
        <v>1</v>
      </c>
      <c r="V48" s="6">
        <v>1</v>
      </c>
      <c r="W48" s="6">
        <v>1</v>
      </c>
      <c r="X48" s="6">
        <v>2</v>
      </c>
      <c r="Y48" s="6">
        <v>2</v>
      </c>
      <c r="Z48" s="6">
        <v>0</v>
      </c>
      <c r="AA48" s="6">
        <v>0</v>
      </c>
      <c r="AB48" s="6">
        <v>0</v>
      </c>
      <c r="AC48" s="5">
        <f t="shared" si="30"/>
        <v>26</v>
      </c>
    </row>
    <row r="49" spans="1:29" x14ac:dyDescent="0.3">
      <c r="A49" s="7"/>
      <c r="B49" s="50"/>
      <c r="C49" s="24" t="s">
        <v>118</v>
      </c>
      <c r="D49" s="49"/>
      <c r="E49" s="6">
        <v>0</v>
      </c>
      <c r="F49" s="6">
        <v>6</v>
      </c>
      <c r="G49" s="6">
        <v>0</v>
      </c>
      <c r="H49" s="6">
        <v>5</v>
      </c>
      <c r="I49" s="6">
        <v>0</v>
      </c>
      <c r="J49" s="6">
        <v>1</v>
      </c>
      <c r="K49" s="6">
        <v>0</v>
      </c>
      <c r="L49" s="6">
        <v>1</v>
      </c>
      <c r="M49" s="6">
        <v>0</v>
      </c>
      <c r="N49" s="6">
        <v>2</v>
      </c>
      <c r="O49" s="6">
        <v>0</v>
      </c>
      <c r="P49" s="6">
        <v>0</v>
      </c>
      <c r="Q49" s="6">
        <v>1</v>
      </c>
      <c r="R49" s="6">
        <v>0</v>
      </c>
      <c r="S49" s="6">
        <v>0</v>
      </c>
      <c r="T49" s="6">
        <v>1</v>
      </c>
      <c r="U49" s="6">
        <v>1</v>
      </c>
      <c r="V49" s="6">
        <v>0</v>
      </c>
      <c r="W49" s="6">
        <v>0</v>
      </c>
      <c r="X49" s="6">
        <v>0</v>
      </c>
      <c r="Y49" s="6">
        <v>1</v>
      </c>
      <c r="Z49" s="6">
        <v>1</v>
      </c>
      <c r="AA49" s="6">
        <v>1</v>
      </c>
      <c r="AB49" s="6">
        <v>0</v>
      </c>
      <c r="AC49" s="5">
        <f t="shared" si="30"/>
        <v>21</v>
      </c>
    </row>
    <row r="50" spans="1:29" x14ac:dyDescent="0.3">
      <c r="A50" s="7"/>
      <c r="B50" s="50"/>
      <c r="C50" s="24" t="s">
        <v>119</v>
      </c>
      <c r="D50" s="49"/>
      <c r="E50" s="6">
        <v>0</v>
      </c>
      <c r="F50" s="6">
        <v>5</v>
      </c>
      <c r="G50" s="6">
        <v>2</v>
      </c>
      <c r="H50" s="6">
        <v>0</v>
      </c>
      <c r="I50" s="6">
        <v>2</v>
      </c>
      <c r="J50" s="6">
        <v>3</v>
      </c>
      <c r="K50" s="6">
        <v>0</v>
      </c>
      <c r="L50" s="6">
        <v>0</v>
      </c>
      <c r="M50" s="6">
        <v>0</v>
      </c>
      <c r="N50" s="6">
        <v>1</v>
      </c>
      <c r="O50" s="6">
        <v>1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2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5">
        <f t="shared" si="30"/>
        <v>16</v>
      </c>
    </row>
    <row r="51" spans="1:29" x14ac:dyDescent="0.3">
      <c r="A51" s="7"/>
      <c r="B51" s="50"/>
      <c r="C51" s="24" t="s">
        <v>120</v>
      </c>
      <c r="D51" s="49"/>
      <c r="E51" s="6">
        <v>0</v>
      </c>
      <c r="F51" s="6">
        <v>0</v>
      </c>
      <c r="G51" s="6">
        <v>0</v>
      </c>
      <c r="H51" s="6">
        <v>1</v>
      </c>
      <c r="I51" s="6">
        <v>1</v>
      </c>
      <c r="J51" s="6">
        <v>1</v>
      </c>
      <c r="K51" s="6">
        <v>1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1</v>
      </c>
      <c r="W51" s="6">
        <v>1</v>
      </c>
      <c r="X51" s="6">
        <v>1</v>
      </c>
      <c r="Y51" s="6">
        <v>1</v>
      </c>
      <c r="Z51" s="6">
        <v>0</v>
      </c>
      <c r="AA51" s="6">
        <v>0</v>
      </c>
      <c r="AB51" s="6">
        <v>0</v>
      </c>
      <c r="AC51" s="5">
        <f t="shared" si="30"/>
        <v>8</v>
      </c>
    </row>
    <row r="52" spans="1:29" ht="13.15" customHeight="1" x14ac:dyDescent="0.3">
      <c r="A52" s="7"/>
      <c r="B52" s="50"/>
      <c r="C52" s="24" t="s">
        <v>121</v>
      </c>
      <c r="D52" s="49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1</v>
      </c>
      <c r="K52" s="6">
        <v>0</v>
      </c>
      <c r="L52" s="6">
        <v>0</v>
      </c>
      <c r="M52" s="6">
        <v>1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1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5">
        <f t="shared" si="30"/>
        <v>3</v>
      </c>
    </row>
    <row r="53" spans="1:29" ht="13.15" customHeight="1" x14ac:dyDescent="0.3">
      <c r="A53" s="7"/>
      <c r="B53" s="50"/>
      <c r="C53" s="24" t="s">
        <v>122</v>
      </c>
      <c r="D53" s="51"/>
      <c r="E53" s="6">
        <v>0</v>
      </c>
      <c r="F53" s="6">
        <v>0</v>
      </c>
      <c r="G53" s="6">
        <v>1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1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1</v>
      </c>
      <c r="AA53" s="6">
        <v>0</v>
      </c>
      <c r="AB53" s="6">
        <v>0</v>
      </c>
      <c r="AC53" s="5">
        <f t="shared" si="30"/>
        <v>3</v>
      </c>
    </row>
    <row r="54" spans="1:29" ht="13.15" customHeight="1" x14ac:dyDescent="0.3">
      <c r="A54" s="7"/>
      <c r="B54" s="50"/>
      <c r="C54" s="24" t="s">
        <v>123</v>
      </c>
      <c r="D54" s="49"/>
      <c r="E54" s="6">
        <v>1</v>
      </c>
      <c r="F54" s="6">
        <v>0</v>
      </c>
      <c r="G54" s="6">
        <v>1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1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1</v>
      </c>
      <c r="T54" s="6">
        <v>0</v>
      </c>
      <c r="U54" s="6">
        <v>0</v>
      </c>
      <c r="V54" s="6">
        <v>0</v>
      </c>
      <c r="W54" s="6">
        <v>0</v>
      </c>
      <c r="X54" s="6">
        <v>1</v>
      </c>
      <c r="Y54" s="6">
        <v>0</v>
      </c>
      <c r="Z54" s="6">
        <v>0</v>
      </c>
      <c r="AA54" s="6">
        <v>0</v>
      </c>
      <c r="AB54" s="6">
        <v>1</v>
      </c>
      <c r="AC54" s="5">
        <f t="shared" si="30"/>
        <v>6</v>
      </c>
    </row>
    <row r="55" spans="1:29" x14ac:dyDescent="0.3">
      <c r="A55" s="6" t="s">
        <v>26</v>
      </c>
      <c r="B55" s="84" t="s">
        <v>51</v>
      </c>
      <c r="C55" s="63"/>
      <c r="D55" s="64"/>
      <c r="E55" s="5">
        <f>SUM(E45:E54)</f>
        <v>22</v>
      </c>
      <c r="F55" s="5">
        <f t="shared" ref="F55:L55" si="31">SUM(F45:F54)</f>
        <v>38</v>
      </c>
      <c r="G55" s="5">
        <f t="shared" si="31"/>
        <v>16</v>
      </c>
      <c r="H55" s="5">
        <f t="shared" si="31"/>
        <v>29</v>
      </c>
      <c r="I55" s="5">
        <f t="shared" si="31"/>
        <v>27</v>
      </c>
      <c r="J55" s="5">
        <f t="shared" si="31"/>
        <v>31</v>
      </c>
      <c r="K55" s="5">
        <f t="shared" si="31"/>
        <v>21</v>
      </c>
      <c r="L55" s="5">
        <f t="shared" si="31"/>
        <v>24</v>
      </c>
      <c r="M55" s="5">
        <f t="shared" ref="M55:S55" si="32">SUM(M45:M54)</f>
        <v>14</v>
      </c>
      <c r="N55" s="5">
        <f t="shared" si="32"/>
        <v>23</v>
      </c>
      <c r="O55" s="5">
        <f t="shared" si="32"/>
        <v>12</v>
      </c>
      <c r="P55" s="5">
        <f t="shared" si="32"/>
        <v>4</v>
      </c>
      <c r="Q55" s="5">
        <f t="shared" si="32"/>
        <v>5</v>
      </c>
      <c r="R55" s="5">
        <f t="shared" si="32"/>
        <v>7</v>
      </c>
      <c r="S55" s="5">
        <f t="shared" si="32"/>
        <v>10</v>
      </c>
      <c r="T55" s="5">
        <f t="shared" ref="T55:AC55" si="33">SUM(T45:T54)</f>
        <v>14</v>
      </c>
      <c r="U55" s="5">
        <f t="shared" si="33"/>
        <v>11</v>
      </c>
      <c r="V55" s="5">
        <f t="shared" si="33"/>
        <v>30</v>
      </c>
      <c r="W55" s="5">
        <f t="shared" si="33"/>
        <v>25</v>
      </c>
      <c r="X55" s="5">
        <f t="shared" si="33"/>
        <v>52</v>
      </c>
      <c r="Y55" s="5">
        <f t="shared" si="33"/>
        <v>71</v>
      </c>
      <c r="Z55" s="5">
        <f t="shared" ref="Z55" si="34">SUM(Z45:Z54)</f>
        <v>57</v>
      </c>
      <c r="AA55" s="5">
        <f t="shared" si="33"/>
        <v>47</v>
      </c>
      <c r="AB55" s="5">
        <f t="shared" si="33"/>
        <v>9</v>
      </c>
      <c r="AC55" s="5">
        <f t="shared" si="33"/>
        <v>599</v>
      </c>
    </row>
    <row r="56" spans="1:29" x14ac:dyDescent="0.3">
      <c r="A56" s="83"/>
      <c r="B56" s="82"/>
      <c r="C56" s="82"/>
      <c r="D56" s="82"/>
      <c r="E56" s="82"/>
      <c r="AC56" s="5"/>
    </row>
    <row r="57" spans="1:29" x14ac:dyDescent="0.3">
      <c r="A57" s="11" t="s">
        <v>48</v>
      </c>
      <c r="B57" s="17" t="s">
        <v>30</v>
      </c>
      <c r="C57" s="86" t="s">
        <v>52</v>
      </c>
      <c r="D57" s="64"/>
      <c r="E57" s="6">
        <v>11</v>
      </c>
      <c r="F57" s="6">
        <v>14</v>
      </c>
      <c r="G57" s="6">
        <v>7</v>
      </c>
      <c r="H57" s="6">
        <v>10</v>
      </c>
      <c r="I57" s="6">
        <v>18</v>
      </c>
      <c r="J57" s="6">
        <v>16</v>
      </c>
      <c r="K57" s="6">
        <v>15</v>
      </c>
      <c r="L57" s="6">
        <v>15</v>
      </c>
      <c r="M57" s="6">
        <v>15</v>
      </c>
      <c r="N57" s="6">
        <v>15</v>
      </c>
      <c r="O57" s="6">
        <v>19</v>
      </c>
      <c r="P57" s="6">
        <v>19</v>
      </c>
      <c r="Q57" s="6">
        <v>18</v>
      </c>
      <c r="R57" s="6">
        <v>22</v>
      </c>
      <c r="S57" s="6">
        <v>33</v>
      </c>
      <c r="T57" s="6">
        <v>17</v>
      </c>
      <c r="U57" s="6">
        <v>32</v>
      </c>
      <c r="V57" s="6">
        <v>23</v>
      </c>
      <c r="W57" s="6">
        <v>27</v>
      </c>
      <c r="X57" s="6">
        <v>20</v>
      </c>
      <c r="Y57" s="6">
        <v>15</v>
      </c>
      <c r="Z57" s="6">
        <v>22</v>
      </c>
      <c r="AA57" s="6">
        <v>22</v>
      </c>
      <c r="AB57" s="6">
        <v>7</v>
      </c>
      <c r="AC57" s="5">
        <f t="shared" ref="AC57:AC66" si="35">SUM(E57:AB57)</f>
        <v>432</v>
      </c>
    </row>
    <row r="58" spans="1:29" x14ac:dyDescent="0.3">
      <c r="A58" s="11" t="s">
        <v>50</v>
      </c>
      <c r="B58" s="50"/>
      <c r="C58" s="24" t="s">
        <v>124</v>
      </c>
      <c r="D58" s="49"/>
      <c r="E58" s="6">
        <v>7</v>
      </c>
      <c r="F58" s="6">
        <v>9</v>
      </c>
      <c r="G58" s="6">
        <v>5</v>
      </c>
      <c r="H58" s="6">
        <v>16</v>
      </c>
      <c r="I58" s="6">
        <v>8</v>
      </c>
      <c r="J58" s="6">
        <v>9</v>
      </c>
      <c r="K58" s="6">
        <v>34</v>
      </c>
      <c r="L58" s="6">
        <v>49</v>
      </c>
      <c r="M58" s="6">
        <v>14</v>
      </c>
      <c r="N58" s="6">
        <v>5</v>
      </c>
      <c r="O58" s="6">
        <v>16</v>
      </c>
      <c r="P58" s="6">
        <v>7</v>
      </c>
      <c r="Q58" s="6">
        <v>6</v>
      </c>
      <c r="R58" s="6">
        <v>9</v>
      </c>
      <c r="S58" s="6">
        <v>12</v>
      </c>
      <c r="T58" s="6">
        <v>14</v>
      </c>
      <c r="U58" s="6">
        <v>16</v>
      </c>
      <c r="V58" s="6">
        <v>14</v>
      </c>
      <c r="W58" s="6">
        <v>7</v>
      </c>
      <c r="X58" s="6">
        <v>7</v>
      </c>
      <c r="Y58" s="6">
        <v>9</v>
      </c>
      <c r="Z58" s="6">
        <v>4</v>
      </c>
      <c r="AA58" s="6">
        <v>4</v>
      </c>
      <c r="AB58" s="6">
        <v>9</v>
      </c>
      <c r="AC58" s="5">
        <f t="shared" si="35"/>
        <v>290</v>
      </c>
    </row>
    <row r="59" spans="1:29" x14ac:dyDescent="0.3">
      <c r="A59" s="7"/>
      <c r="B59" s="50"/>
      <c r="C59" s="24" t="s">
        <v>125</v>
      </c>
      <c r="D59" s="49"/>
      <c r="E59" s="6">
        <v>34</v>
      </c>
      <c r="F59" s="6">
        <v>19</v>
      </c>
      <c r="G59" s="6">
        <v>6</v>
      </c>
      <c r="H59" s="6">
        <v>22</v>
      </c>
      <c r="I59" s="6">
        <v>10</v>
      </c>
      <c r="J59" s="6">
        <v>9</v>
      </c>
      <c r="K59" s="6">
        <v>13</v>
      </c>
      <c r="L59" s="6">
        <v>25</v>
      </c>
      <c r="M59" s="6">
        <v>29</v>
      </c>
      <c r="N59" s="6">
        <v>14</v>
      </c>
      <c r="O59" s="6">
        <v>36</v>
      </c>
      <c r="P59" s="6">
        <v>27</v>
      </c>
      <c r="Q59" s="6">
        <v>37</v>
      </c>
      <c r="R59" s="6">
        <v>34</v>
      </c>
      <c r="S59" s="6">
        <v>24</v>
      </c>
      <c r="T59" s="6">
        <v>19</v>
      </c>
      <c r="U59" s="6">
        <v>21</v>
      </c>
      <c r="V59" s="6">
        <v>24</v>
      </c>
      <c r="W59" s="6">
        <v>20</v>
      </c>
      <c r="X59" s="6">
        <v>18</v>
      </c>
      <c r="Y59" s="6">
        <v>7</v>
      </c>
      <c r="Z59" s="6">
        <v>16</v>
      </c>
      <c r="AA59" s="6">
        <v>5</v>
      </c>
      <c r="AB59" s="6">
        <v>16</v>
      </c>
      <c r="AC59" s="5">
        <f t="shared" si="35"/>
        <v>485</v>
      </c>
    </row>
    <row r="60" spans="1:29" x14ac:dyDescent="0.3">
      <c r="A60" s="7"/>
      <c r="B60" s="50"/>
      <c r="C60" s="24" t="s">
        <v>126</v>
      </c>
      <c r="D60" s="49"/>
      <c r="E60" s="6">
        <v>4</v>
      </c>
      <c r="F60" s="6">
        <v>2</v>
      </c>
      <c r="G60" s="6">
        <v>3</v>
      </c>
      <c r="H60" s="6">
        <v>1</v>
      </c>
      <c r="I60" s="6">
        <v>4</v>
      </c>
      <c r="J60" s="6">
        <v>4</v>
      </c>
      <c r="K60" s="6">
        <v>2</v>
      </c>
      <c r="L60" s="6">
        <v>4</v>
      </c>
      <c r="M60" s="6">
        <v>9</v>
      </c>
      <c r="N60" s="6">
        <v>3</v>
      </c>
      <c r="O60" s="6">
        <v>1</v>
      </c>
      <c r="P60" s="6">
        <v>1</v>
      </c>
      <c r="Q60" s="6">
        <v>1</v>
      </c>
      <c r="R60" s="6">
        <v>0</v>
      </c>
      <c r="S60" s="6">
        <v>0</v>
      </c>
      <c r="T60" s="6">
        <v>5</v>
      </c>
      <c r="U60" s="6">
        <v>3</v>
      </c>
      <c r="V60" s="6">
        <v>3</v>
      </c>
      <c r="W60" s="6">
        <v>3</v>
      </c>
      <c r="X60" s="6">
        <v>3</v>
      </c>
      <c r="Y60" s="6">
        <v>3</v>
      </c>
      <c r="Z60" s="6">
        <v>2</v>
      </c>
      <c r="AA60" s="6">
        <v>1</v>
      </c>
      <c r="AB60" s="6">
        <v>1</v>
      </c>
      <c r="AC60" s="5">
        <f t="shared" si="35"/>
        <v>63</v>
      </c>
    </row>
    <row r="61" spans="1:29" x14ac:dyDescent="0.3">
      <c r="A61" s="7"/>
      <c r="B61" s="50"/>
      <c r="C61" s="24" t="s">
        <v>127</v>
      </c>
      <c r="D61" s="49"/>
      <c r="E61" s="6">
        <v>1</v>
      </c>
      <c r="F61" s="6">
        <v>2</v>
      </c>
      <c r="G61" s="6">
        <v>0</v>
      </c>
      <c r="H61" s="6">
        <v>1</v>
      </c>
      <c r="I61" s="6">
        <v>4</v>
      </c>
      <c r="J61" s="6">
        <v>1</v>
      </c>
      <c r="K61" s="6">
        <v>2</v>
      </c>
      <c r="L61" s="6">
        <v>2</v>
      </c>
      <c r="M61" s="6">
        <v>0</v>
      </c>
      <c r="N61" s="6">
        <v>1</v>
      </c>
      <c r="O61" s="6">
        <v>1</v>
      </c>
      <c r="P61" s="6">
        <v>2</v>
      </c>
      <c r="Q61" s="6">
        <v>1</v>
      </c>
      <c r="R61" s="6">
        <v>3</v>
      </c>
      <c r="S61" s="6">
        <v>4</v>
      </c>
      <c r="T61" s="6">
        <v>4</v>
      </c>
      <c r="U61" s="6">
        <v>5</v>
      </c>
      <c r="V61" s="6">
        <v>5</v>
      </c>
      <c r="W61" s="6">
        <v>4</v>
      </c>
      <c r="X61" s="6">
        <v>1</v>
      </c>
      <c r="Y61" s="6">
        <v>4</v>
      </c>
      <c r="Z61" s="6">
        <v>3</v>
      </c>
      <c r="AA61" s="6">
        <v>1</v>
      </c>
      <c r="AB61" s="6">
        <v>1</v>
      </c>
      <c r="AC61" s="5">
        <f t="shared" si="35"/>
        <v>53</v>
      </c>
    </row>
    <row r="62" spans="1:29" x14ac:dyDescent="0.3">
      <c r="A62" s="7"/>
      <c r="B62" s="50"/>
      <c r="C62" s="24" t="s">
        <v>128</v>
      </c>
      <c r="D62" s="49"/>
      <c r="E62" s="6">
        <v>2</v>
      </c>
      <c r="F62" s="6">
        <v>0</v>
      </c>
      <c r="G62" s="6">
        <v>0</v>
      </c>
      <c r="H62" s="6">
        <v>0</v>
      </c>
      <c r="I62" s="6">
        <v>1</v>
      </c>
      <c r="J62" s="6">
        <v>0</v>
      </c>
      <c r="K62" s="6">
        <v>1</v>
      </c>
      <c r="L62" s="6">
        <v>0</v>
      </c>
      <c r="M62" s="6">
        <v>2</v>
      </c>
      <c r="N62" s="6">
        <v>1</v>
      </c>
      <c r="O62" s="6">
        <v>1</v>
      </c>
      <c r="P62" s="6">
        <v>0</v>
      </c>
      <c r="Q62" s="6">
        <v>0</v>
      </c>
      <c r="R62" s="6">
        <v>0</v>
      </c>
      <c r="S62" s="6">
        <v>0</v>
      </c>
      <c r="T62" s="6">
        <v>7</v>
      </c>
      <c r="U62" s="6">
        <v>5</v>
      </c>
      <c r="V62" s="6">
        <v>0</v>
      </c>
      <c r="W62" s="6">
        <v>3</v>
      </c>
      <c r="X62" s="6">
        <v>1</v>
      </c>
      <c r="Y62" s="6">
        <v>0</v>
      </c>
      <c r="Z62" s="6">
        <v>2</v>
      </c>
      <c r="AA62" s="6">
        <v>1</v>
      </c>
      <c r="AB62" s="6">
        <v>1</v>
      </c>
      <c r="AC62" s="5">
        <f t="shared" si="35"/>
        <v>28</v>
      </c>
    </row>
    <row r="63" spans="1:29" ht="13.15" customHeight="1" x14ac:dyDescent="0.3">
      <c r="A63" s="7"/>
      <c r="B63" s="50"/>
      <c r="C63" s="24" t="s">
        <v>129</v>
      </c>
      <c r="D63" s="49"/>
      <c r="E63" s="6">
        <v>1</v>
      </c>
      <c r="F63" s="6">
        <v>1</v>
      </c>
      <c r="G63" s="6">
        <v>1</v>
      </c>
      <c r="H63" s="6">
        <v>0</v>
      </c>
      <c r="I63" s="6">
        <v>1</v>
      </c>
      <c r="J63" s="6">
        <v>0</v>
      </c>
      <c r="K63" s="6">
        <v>0</v>
      </c>
      <c r="L63" s="6">
        <v>0</v>
      </c>
      <c r="M63" s="6">
        <v>0</v>
      </c>
      <c r="N63" s="6">
        <v>1</v>
      </c>
      <c r="O63" s="6">
        <v>0</v>
      </c>
      <c r="P63" s="6">
        <v>0</v>
      </c>
      <c r="Q63" s="6">
        <v>1</v>
      </c>
      <c r="R63" s="6">
        <v>1</v>
      </c>
      <c r="S63" s="6">
        <v>0</v>
      </c>
      <c r="T63" s="6">
        <v>4</v>
      </c>
      <c r="U63" s="6">
        <v>1</v>
      </c>
      <c r="V63" s="6">
        <v>0</v>
      </c>
      <c r="W63" s="6">
        <v>1</v>
      </c>
      <c r="X63" s="6">
        <v>1</v>
      </c>
      <c r="Y63" s="6">
        <v>0</v>
      </c>
      <c r="Z63" s="6">
        <v>0</v>
      </c>
      <c r="AA63" s="6">
        <v>0</v>
      </c>
      <c r="AB63" s="6">
        <v>0</v>
      </c>
      <c r="AC63" s="5">
        <f t="shared" si="35"/>
        <v>14</v>
      </c>
    </row>
    <row r="64" spans="1:29" x14ac:dyDescent="0.3">
      <c r="A64" s="7"/>
      <c r="B64" s="50"/>
      <c r="C64" s="24" t="s">
        <v>130</v>
      </c>
      <c r="D64" s="49"/>
      <c r="E64" s="6">
        <v>0</v>
      </c>
      <c r="F64" s="6">
        <v>0</v>
      </c>
      <c r="G64" s="6">
        <v>0</v>
      </c>
      <c r="H64" s="6">
        <v>0</v>
      </c>
      <c r="I64" s="6">
        <v>1</v>
      </c>
      <c r="J64" s="6">
        <v>0</v>
      </c>
      <c r="K64" s="6">
        <v>0</v>
      </c>
      <c r="L64" s="6">
        <v>0</v>
      </c>
      <c r="M64" s="6">
        <v>0</v>
      </c>
      <c r="N64" s="6">
        <v>1</v>
      </c>
      <c r="O64" s="6">
        <v>0</v>
      </c>
      <c r="P64" s="6">
        <v>0</v>
      </c>
      <c r="Q64" s="6">
        <v>1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5">
        <f t="shared" si="35"/>
        <v>3</v>
      </c>
    </row>
    <row r="65" spans="1:29" x14ac:dyDescent="0.3">
      <c r="A65" s="7"/>
      <c r="B65" s="50"/>
      <c r="C65" s="24" t="s">
        <v>131</v>
      </c>
      <c r="D65" s="49"/>
      <c r="E65" s="6">
        <v>0</v>
      </c>
      <c r="F65" s="6">
        <v>0</v>
      </c>
      <c r="G65" s="6">
        <v>0</v>
      </c>
      <c r="H65" s="6">
        <v>0</v>
      </c>
      <c r="I65" s="6">
        <v>1</v>
      </c>
      <c r="J65" s="6">
        <v>1</v>
      </c>
      <c r="K65" s="6">
        <v>0</v>
      </c>
      <c r="L65" s="6">
        <v>0</v>
      </c>
      <c r="M65" s="6">
        <v>0</v>
      </c>
      <c r="N65" s="6">
        <v>0</v>
      </c>
      <c r="O65" s="6">
        <v>2</v>
      </c>
      <c r="P65" s="6">
        <v>0</v>
      </c>
      <c r="Q65" s="6">
        <v>0</v>
      </c>
      <c r="R65" s="6">
        <v>0</v>
      </c>
      <c r="S65" s="6">
        <v>0</v>
      </c>
      <c r="T65" s="6">
        <v>1</v>
      </c>
      <c r="U65" s="6">
        <v>1</v>
      </c>
      <c r="V65" s="6">
        <v>1</v>
      </c>
      <c r="W65" s="6">
        <v>1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5">
        <f t="shared" si="35"/>
        <v>8</v>
      </c>
    </row>
    <row r="66" spans="1:29" x14ac:dyDescent="0.3">
      <c r="A66" s="7"/>
      <c r="B66" s="50"/>
      <c r="C66" s="24" t="s">
        <v>132</v>
      </c>
      <c r="D66" s="49"/>
      <c r="E66" s="6">
        <v>1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1</v>
      </c>
      <c r="N66" s="6">
        <v>0</v>
      </c>
      <c r="O66" s="6">
        <v>1</v>
      </c>
      <c r="P66" s="6">
        <v>1</v>
      </c>
      <c r="Q66" s="6">
        <v>1</v>
      </c>
      <c r="R66" s="6">
        <v>1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2</v>
      </c>
      <c r="AC66" s="5">
        <f t="shared" si="35"/>
        <v>8</v>
      </c>
    </row>
    <row r="67" spans="1:29" x14ac:dyDescent="0.3">
      <c r="A67" s="6" t="s">
        <v>26</v>
      </c>
      <c r="B67" s="84" t="s">
        <v>51</v>
      </c>
      <c r="C67" s="63"/>
      <c r="D67" s="64"/>
      <c r="E67" s="5">
        <f t="shared" ref="E67:AC67" si="36">SUM(E57:E66)</f>
        <v>61</v>
      </c>
      <c r="F67" s="5">
        <f t="shared" si="36"/>
        <v>47</v>
      </c>
      <c r="G67" s="5">
        <f t="shared" si="36"/>
        <v>22</v>
      </c>
      <c r="H67" s="5">
        <f t="shared" si="36"/>
        <v>50</v>
      </c>
      <c r="I67" s="5">
        <f t="shared" si="36"/>
        <v>48</v>
      </c>
      <c r="J67" s="5">
        <f t="shared" si="36"/>
        <v>40</v>
      </c>
      <c r="K67" s="5">
        <f t="shared" si="36"/>
        <v>67</v>
      </c>
      <c r="L67" s="5">
        <f t="shared" si="36"/>
        <v>95</v>
      </c>
      <c r="M67" s="5">
        <f t="shared" ref="M67:S67" si="37">SUM(M57:M66)</f>
        <v>70</v>
      </c>
      <c r="N67" s="5">
        <f t="shared" si="37"/>
        <v>41</v>
      </c>
      <c r="O67" s="5">
        <f t="shared" si="37"/>
        <v>77</v>
      </c>
      <c r="P67" s="5">
        <f t="shared" si="37"/>
        <v>57</v>
      </c>
      <c r="Q67" s="5">
        <f t="shared" si="37"/>
        <v>66</v>
      </c>
      <c r="R67" s="5">
        <f t="shared" si="37"/>
        <v>70</v>
      </c>
      <c r="S67" s="5">
        <f t="shared" si="37"/>
        <v>73</v>
      </c>
      <c r="T67" s="5">
        <f t="shared" si="36"/>
        <v>71</v>
      </c>
      <c r="U67" s="5">
        <f t="shared" si="36"/>
        <v>84</v>
      </c>
      <c r="V67" s="5">
        <f t="shared" si="36"/>
        <v>70</v>
      </c>
      <c r="W67" s="5">
        <f t="shared" si="36"/>
        <v>66</v>
      </c>
      <c r="X67" s="5">
        <f t="shared" si="36"/>
        <v>51</v>
      </c>
      <c r="Y67" s="5">
        <f t="shared" si="36"/>
        <v>38</v>
      </c>
      <c r="Z67" s="5">
        <f t="shared" ref="Z67" si="38">SUM(Z57:Z66)</f>
        <v>49</v>
      </c>
      <c r="AA67" s="5">
        <f t="shared" si="36"/>
        <v>34</v>
      </c>
      <c r="AB67" s="5">
        <f t="shared" si="36"/>
        <v>37</v>
      </c>
      <c r="AC67" s="5">
        <f t="shared" si="36"/>
        <v>1384</v>
      </c>
    </row>
    <row r="68" spans="1:29" x14ac:dyDescent="0.3">
      <c r="A68" s="83"/>
      <c r="B68" s="82"/>
      <c r="C68" s="82"/>
      <c r="D68" s="82"/>
      <c r="E68" s="82"/>
    </row>
    <row r="69" spans="1:29" x14ac:dyDescent="0.3">
      <c r="A69" s="11" t="s">
        <v>48</v>
      </c>
      <c r="B69" s="17" t="s">
        <v>32</v>
      </c>
      <c r="C69" s="86" t="s">
        <v>53</v>
      </c>
      <c r="D69" s="64"/>
      <c r="E69" s="6">
        <v>6</v>
      </c>
      <c r="F69" s="6">
        <v>15</v>
      </c>
      <c r="G69" s="6">
        <v>6</v>
      </c>
      <c r="H69" s="6">
        <v>10</v>
      </c>
      <c r="I69" s="6">
        <v>7</v>
      </c>
      <c r="J69" s="6">
        <v>8</v>
      </c>
      <c r="K69" s="6">
        <v>8</v>
      </c>
      <c r="L69" s="6">
        <v>6</v>
      </c>
      <c r="M69" s="6">
        <v>23</v>
      </c>
      <c r="N69" s="6">
        <v>2</v>
      </c>
      <c r="O69" s="6">
        <v>20</v>
      </c>
      <c r="P69" s="6">
        <v>35</v>
      </c>
      <c r="Q69" s="6">
        <v>5</v>
      </c>
      <c r="R69" s="6">
        <v>29</v>
      </c>
      <c r="S69" s="6">
        <v>19</v>
      </c>
      <c r="T69" s="6">
        <v>15</v>
      </c>
      <c r="U69" s="6">
        <v>17</v>
      </c>
      <c r="V69" s="6">
        <v>10</v>
      </c>
      <c r="W69" s="6">
        <v>12</v>
      </c>
      <c r="X69" s="6">
        <v>4</v>
      </c>
      <c r="Y69" s="6">
        <v>3</v>
      </c>
      <c r="Z69" s="6">
        <v>8</v>
      </c>
      <c r="AA69" s="6">
        <v>13</v>
      </c>
      <c r="AB69" s="6">
        <v>7</v>
      </c>
      <c r="AC69" s="5">
        <f t="shared" ref="AC69:AC78" si="39">SUM(E69:AB69)</f>
        <v>288</v>
      </c>
    </row>
    <row r="70" spans="1:29" x14ac:dyDescent="0.3">
      <c r="A70" s="11" t="s">
        <v>50</v>
      </c>
      <c r="B70" s="50"/>
      <c r="C70" s="24" t="s">
        <v>133</v>
      </c>
      <c r="D70" s="49"/>
      <c r="E70" s="6">
        <v>2</v>
      </c>
      <c r="F70" s="6">
        <v>7</v>
      </c>
      <c r="G70" s="6">
        <v>1</v>
      </c>
      <c r="H70" s="6">
        <v>4</v>
      </c>
      <c r="I70" s="6">
        <v>3</v>
      </c>
      <c r="J70" s="6">
        <v>3</v>
      </c>
      <c r="K70" s="6">
        <v>4</v>
      </c>
      <c r="L70" s="6">
        <v>7</v>
      </c>
      <c r="M70" s="6">
        <v>6</v>
      </c>
      <c r="N70" s="6">
        <v>6</v>
      </c>
      <c r="O70" s="6">
        <v>10</v>
      </c>
      <c r="P70" s="6">
        <v>7</v>
      </c>
      <c r="Q70" s="6">
        <v>4</v>
      </c>
      <c r="R70" s="6">
        <v>5</v>
      </c>
      <c r="S70" s="6">
        <v>3</v>
      </c>
      <c r="T70" s="6">
        <v>9</v>
      </c>
      <c r="U70" s="6">
        <v>9</v>
      </c>
      <c r="V70" s="6">
        <v>6</v>
      </c>
      <c r="W70" s="6">
        <v>3</v>
      </c>
      <c r="X70" s="6">
        <v>2</v>
      </c>
      <c r="Y70" s="6">
        <v>1</v>
      </c>
      <c r="Z70" s="6">
        <v>3</v>
      </c>
      <c r="AA70" s="6">
        <v>2</v>
      </c>
      <c r="AB70" s="6">
        <v>1</v>
      </c>
      <c r="AC70" s="5">
        <f t="shared" si="39"/>
        <v>108</v>
      </c>
    </row>
    <row r="71" spans="1:29" x14ac:dyDescent="0.3">
      <c r="A71" s="7"/>
      <c r="B71" s="50"/>
      <c r="C71" s="24" t="s">
        <v>134</v>
      </c>
      <c r="D71" s="49"/>
      <c r="E71" s="6">
        <v>7</v>
      </c>
      <c r="F71" s="6">
        <v>10</v>
      </c>
      <c r="G71" s="6">
        <v>12</v>
      </c>
      <c r="H71" s="6">
        <v>14</v>
      </c>
      <c r="I71" s="6">
        <v>8</v>
      </c>
      <c r="J71" s="6">
        <v>8</v>
      </c>
      <c r="K71" s="6">
        <v>3</v>
      </c>
      <c r="L71" s="6">
        <v>8</v>
      </c>
      <c r="M71" s="6">
        <v>15</v>
      </c>
      <c r="N71" s="6">
        <v>2</v>
      </c>
      <c r="O71" s="6">
        <v>8</v>
      </c>
      <c r="P71" s="6">
        <v>14</v>
      </c>
      <c r="Q71" s="6">
        <v>9</v>
      </c>
      <c r="R71" s="6">
        <v>14</v>
      </c>
      <c r="S71" s="6">
        <v>11</v>
      </c>
      <c r="T71" s="6">
        <v>13</v>
      </c>
      <c r="U71" s="6">
        <v>11</v>
      </c>
      <c r="V71" s="6">
        <v>5</v>
      </c>
      <c r="W71" s="6">
        <v>9</v>
      </c>
      <c r="X71" s="6">
        <v>8</v>
      </c>
      <c r="Y71" s="6">
        <v>4</v>
      </c>
      <c r="Z71" s="6">
        <v>8</v>
      </c>
      <c r="AA71" s="6">
        <v>14</v>
      </c>
      <c r="AB71" s="6">
        <v>12</v>
      </c>
      <c r="AC71" s="5">
        <f t="shared" si="39"/>
        <v>227</v>
      </c>
    </row>
    <row r="72" spans="1:29" x14ac:dyDescent="0.3">
      <c r="A72" s="7"/>
      <c r="B72" s="50"/>
      <c r="C72" s="24" t="s">
        <v>135</v>
      </c>
      <c r="D72" s="49"/>
      <c r="E72" s="6">
        <v>2</v>
      </c>
      <c r="F72" s="6">
        <v>2</v>
      </c>
      <c r="G72" s="6">
        <v>1</v>
      </c>
      <c r="H72" s="6">
        <v>5</v>
      </c>
      <c r="I72" s="6">
        <v>2</v>
      </c>
      <c r="J72" s="6">
        <v>1</v>
      </c>
      <c r="K72" s="6">
        <v>1</v>
      </c>
      <c r="L72" s="6">
        <v>3</v>
      </c>
      <c r="M72" s="6">
        <v>21</v>
      </c>
      <c r="N72" s="6">
        <v>0</v>
      </c>
      <c r="O72" s="6">
        <v>5</v>
      </c>
      <c r="P72" s="6">
        <v>9</v>
      </c>
      <c r="Q72" s="6">
        <v>5</v>
      </c>
      <c r="R72" s="6">
        <v>6</v>
      </c>
      <c r="S72" s="6">
        <v>2</v>
      </c>
      <c r="T72" s="6">
        <v>7</v>
      </c>
      <c r="U72" s="6">
        <v>3</v>
      </c>
      <c r="V72" s="6">
        <v>5</v>
      </c>
      <c r="W72" s="6">
        <v>1</v>
      </c>
      <c r="X72" s="6">
        <v>1</v>
      </c>
      <c r="Y72" s="6">
        <v>0</v>
      </c>
      <c r="Z72" s="6">
        <v>2</v>
      </c>
      <c r="AA72" s="6">
        <v>1</v>
      </c>
      <c r="AB72" s="6">
        <v>5</v>
      </c>
      <c r="AC72" s="5">
        <f t="shared" si="39"/>
        <v>90</v>
      </c>
    </row>
    <row r="73" spans="1:29" x14ac:dyDescent="0.3">
      <c r="A73" s="7"/>
      <c r="B73" s="50"/>
      <c r="C73" s="24" t="s">
        <v>136</v>
      </c>
      <c r="D73" s="49"/>
      <c r="E73" s="6">
        <v>2</v>
      </c>
      <c r="F73" s="6">
        <v>12</v>
      </c>
      <c r="G73" s="6">
        <v>2</v>
      </c>
      <c r="H73" s="6">
        <v>4</v>
      </c>
      <c r="I73" s="6">
        <v>1</v>
      </c>
      <c r="J73" s="6">
        <v>0</v>
      </c>
      <c r="K73" s="6">
        <v>3</v>
      </c>
      <c r="L73" s="6">
        <v>1</v>
      </c>
      <c r="M73" s="6">
        <v>4</v>
      </c>
      <c r="N73" s="6">
        <v>4</v>
      </c>
      <c r="O73" s="6">
        <v>4</v>
      </c>
      <c r="P73" s="6">
        <v>22</v>
      </c>
      <c r="Q73" s="6">
        <v>20</v>
      </c>
      <c r="R73" s="6">
        <v>22</v>
      </c>
      <c r="S73" s="6">
        <v>8</v>
      </c>
      <c r="T73" s="6">
        <v>10</v>
      </c>
      <c r="U73" s="6">
        <v>11</v>
      </c>
      <c r="V73" s="6">
        <v>8</v>
      </c>
      <c r="W73" s="6">
        <v>3</v>
      </c>
      <c r="X73" s="6">
        <v>5</v>
      </c>
      <c r="Y73" s="6">
        <v>3</v>
      </c>
      <c r="Z73" s="6">
        <v>5</v>
      </c>
      <c r="AA73" s="6">
        <v>4</v>
      </c>
      <c r="AB73" s="6">
        <v>3</v>
      </c>
      <c r="AC73" s="5">
        <f t="shared" si="39"/>
        <v>161</v>
      </c>
    </row>
    <row r="74" spans="1:29" ht="13.15" customHeight="1" x14ac:dyDescent="0.3">
      <c r="A74" s="7"/>
      <c r="B74" s="50"/>
      <c r="C74" s="24" t="s">
        <v>137</v>
      </c>
      <c r="D74" s="49"/>
      <c r="E74" s="6">
        <v>0</v>
      </c>
      <c r="F74" s="6">
        <v>3</v>
      </c>
      <c r="G74" s="6">
        <v>2</v>
      </c>
      <c r="H74" s="6">
        <v>0</v>
      </c>
      <c r="I74" s="6">
        <v>0</v>
      </c>
      <c r="J74" s="6">
        <v>0</v>
      </c>
      <c r="K74" s="6">
        <v>2</v>
      </c>
      <c r="L74" s="6">
        <v>4</v>
      </c>
      <c r="M74" s="6">
        <v>2</v>
      </c>
      <c r="N74" s="6">
        <v>0</v>
      </c>
      <c r="O74" s="6">
        <v>2</v>
      </c>
      <c r="P74" s="6">
        <v>0</v>
      </c>
      <c r="Q74" s="6">
        <v>1</v>
      </c>
      <c r="R74" s="6">
        <v>1</v>
      </c>
      <c r="S74" s="6">
        <v>1</v>
      </c>
      <c r="T74" s="6">
        <v>0</v>
      </c>
      <c r="U74" s="6">
        <v>4</v>
      </c>
      <c r="V74" s="6">
        <v>2</v>
      </c>
      <c r="W74" s="6">
        <v>2</v>
      </c>
      <c r="X74" s="6">
        <v>1</v>
      </c>
      <c r="Y74" s="6">
        <v>0</v>
      </c>
      <c r="Z74" s="6">
        <v>1</v>
      </c>
      <c r="AA74" s="6">
        <v>0</v>
      </c>
      <c r="AB74" s="6">
        <v>0</v>
      </c>
      <c r="AC74" s="5">
        <f t="shared" si="39"/>
        <v>28</v>
      </c>
    </row>
    <row r="75" spans="1:29" x14ac:dyDescent="0.3">
      <c r="A75" s="7"/>
      <c r="B75" s="50"/>
      <c r="C75" s="24" t="s">
        <v>138</v>
      </c>
      <c r="D75" s="49"/>
      <c r="E75" s="6">
        <v>0</v>
      </c>
      <c r="F75" s="6">
        <v>0</v>
      </c>
      <c r="G75" s="6">
        <v>0</v>
      </c>
      <c r="H75" s="6">
        <v>2</v>
      </c>
      <c r="I75" s="6">
        <v>0</v>
      </c>
      <c r="J75" s="6">
        <v>0</v>
      </c>
      <c r="K75" s="6">
        <v>1</v>
      </c>
      <c r="L75" s="6">
        <v>0</v>
      </c>
      <c r="M75" s="6">
        <v>1</v>
      </c>
      <c r="N75" s="6">
        <v>1</v>
      </c>
      <c r="O75" s="6">
        <v>2</v>
      </c>
      <c r="P75" s="6">
        <v>0</v>
      </c>
      <c r="Q75" s="6">
        <v>1</v>
      </c>
      <c r="R75" s="6">
        <v>1</v>
      </c>
      <c r="S75" s="6">
        <v>1</v>
      </c>
      <c r="T75" s="6">
        <v>0</v>
      </c>
      <c r="U75" s="6">
        <v>1</v>
      </c>
      <c r="V75" s="6">
        <v>2</v>
      </c>
      <c r="W75" s="6">
        <v>1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5">
        <f t="shared" si="39"/>
        <v>14</v>
      </c>
    </row>
    <row r="76" spans="1:29" x14ac:dyDescent="0.3">
      <c r="A76" s="7"/>
      <c r="B76" s="50"/>
      <c r="C76" s="24" t="s">
        <v>139</v>
      </c>
      <c r="D76" s="49"/>
      <c r="E76" s="6">
        <v>1</v>
      </c>
      <c r="F76" s="6">
        <v>2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1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1</v>
      </c>
      <c r="W76" s="6">
        <v>0</v>
      </c>
      <c r="X76" s="6">
        <v>0</v>
      </c>
      <c r="Y76" s="6">
        <v>1</v>
      </c>
      <c r="Z76" s="6">
        <v>0</v>
      </c>
      <c r="AA76" s="6">
        <v>0</v>
      </c>
      <c r="AB76" s="6">
        <v>0</v>
      </c>
      <c r="AC76" s="5">
        <f t="shared" si="39"/>
        <v>6</v>
      </c>
    </row>
    <row r="77" spans="1:29" x14ac:dyDescent="0.3">
      <c r="A77" s="7"/>
      <c r="B77" s="50"/>
      <c r="C77" s="24" t="s">
        <v>140</v>
      </c>
      <c r="D77" s="49"/>
      <c r="E77" s="6">
        <v>1</v>
      </c>
      <c r="F77" s="6">
        <v>1</v>
      </c>
      <c r="G77" s="6">
        <v>1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2</v>
      </c>
      <c r="P77" s="6">
        <v>0</v>
      </c>
      <c r="Q77" s="6">
        <v>0</v>
      </c>
      <c r="R77" s="6">
        <v>0</v>
      </c>
      <c r="S77" s="6">
        <v>1</v>
      </c>
      <c r="T77" s="6">
        <v>2</v>
      </c>
      <c r="U77" s="6">
        <v>0</v>
      </c>
      <c r="V77" s="6">
        <v>0</v>
      </c>
      <c r="W77" s="6">
        <v>3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5">
        <f t="shared" si="39"/>
        <v>11</v>
      </c>
    </row>
    <row r="78" spans="1:29" x14ac:dyDescent="0.3">
      <c r="A78" s="7"/>
      <c r="B78" s="50"/>
      <c r="C78" s="24" t="s">
        <v>141</v>
      </c>
      <c r="D78" s="49"/>
      <c r="E78" s="6">
        <v>0</v>
      </c>
      <c r="F78" s="6">
        <v>0</v>
      </c>
      <c r="G78" s="6">
        <v>2</v>
      </c>
      <c r="H78" s="6">
        <v>0</v>
      </c>
      <c r="I78" s="6">
        <v>1</v>
      </c>
      <c r="J78" s="6">
        <v>0</v>
      </c>
      <c r="K78" s="6">
        <v>0</v>
      </c>
      <c r="L78" s="6">
        <v>1</v>
      </c>
      <c r="M78" s="6">
        <v>0</v>
      </c>
      <c r="N78" s="6">
        <v>0</v>
      </c>
      <c r="O78" s="6">
        <v>2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5">
        <f t="shared" si="39"/>
        <v>6</v>
      </c>
    </row>
    <row r="79" spans="1:29" x14ac:dyDescent="0.3">
      <c r="A79" s="6" t="s">
        <v>26</v>
      </c>
      <c r="B79" s="84" t="s">
        <v>51</v>
      </c>
      <c r="C79" s="63"/>
      <c r="D79" s="64"/>
      <c r="E79" s="5">
        <f t="shared" ref="E79:AC79" si="40">SUM(E69:E78)</f>
        <v>21</v>
      </c>
      <c r="F79" s="5">
        <f t="shared" si="40"/>
        <v>52</v>
      </c>
      <c r="G79" s="5">
        <f t="shared" si="40"/>
        <v>27</v>
      </c>
      <c r="H79" s="5">
        <f t="shared" si="40"/>
        <v>39</v>
      </c>
      <c r="I79" s="5">
        <f t="shared" si="40"/>
        <v>22</v>
      </c>
      <c r="J79" s="5">
        <f t="shared" si="40"/>
        <v>20</v>
      </c>
      <c r="K79" s="5">
        <f t="shared" si="40"/>
        <v>22</v>
      </c>
      <c r="L79" s="5">
        <f t="shared" si="40"/>
        <v>31</v>
      </c>
      <c r="M79" s="5">
        <f t="shared" ref="M79:S79" si="41">SUM(M69:M78)</f>
        <v>72</v>
      </c>
      <c r="N79" s="5">
        <f t="shared" si="41"/>
        <v>15</v>
      </c>
      <c r="O79" s="5">
        <f t="shared" si="41"/>
        <v>55</v>
      </c>
      <c r="P79" s="5">
        <f t="shared" si="41"/>
        <v>87</v>
      </c>
      <c r="Q79" s="5">
        <f t="shared" si="41"/>
        <v>45</v>
      </c>
      <c r="R79" s="5">
        <f t="shared" si="41"/>
        <v>78</v>
      </c>
      <c r="S79" s="5">
        <f t="shared" si="41"/>
        <v>46</v>
      </c>
      <c r="T79" s="5">
        <f t="shared" si="40"/>
        <v>56</v>
      </c>
      <c r="U79" s="5">
        <f t="shared" si="40"/>
        <v>56</v>
      </c>
      <c r="V79" s="5">
        <f t="shared" si="40"/>
        <v>39</v>
      </c>
      <c r="W79" s="5">
        <f t="shared" si="40"/>
        <v>34</v>
      </c>
      <c r="X79" s="5">
        <f t="shared" si="40"/>
        <v>21</v>
      </c>
      <c r="Y79" s="5">
        <f t="shared" si="40"/>
        <v>12</v>
      </c>
      <c r="Z79" s="5">
        <f t="shared" ref="Z79" si="42">SUM(Z69:Z78)</f>
        <v>27</v>
      </c>
      <c r="AA79" s="5">
        <f t="shared" si="40"/>
        <v>34</v>
      </c>
      <c r="AB79" s="5">
        <f t="shared" si="40"/>
        <v>28</v>
      </c>
      <c r="AC79" s="5">
        <f t="shared" si="40"/>
        <v>939</v>
      </c>
    </row>
    <row r="80" spans="1:29" x14ac:dyDescent="0.3">
      <c r="A80" s="83"/>
      <c r="B80" s="82"/>
      <c r="C80" s="82"/>
      <c r="D80" s="82"/>
      <c r="E80" s="82"/>
    </row>
    <row r="81" spans="1:29" x14ac:dyDescent="0.3">
      <c r="A81" s="11" t="s">
        <v>48</v>
      </c>
      <c r="B81" s="17" t="s">
        <v>34</v>
      </c>
      <c r="C81" s="86" t="s">
        <v>54</v>
      </c>
      <c r="D81" s="64"/>
      <c r="E81" s="6">
        <v>6</v>
      </c>
      <c r="F81" s="6">
        <v>3</v>
      </c>
      <c r="G81" s="6">
        <v>8</v>
      </c>
      <c r="H81" s="6">
        <v>10</v>
      </c>
      <c r="I81" s="6">
        <v>9</v>
      </c>
      <c r="J81" s="6">
        <v>7</v>
      </c>
      <c r="K81" s="6">
        <v>3</v>
      </c>
      <c r="L81" s="6">
        <v>1</v>
      </c>
      <c r="M81" s="6">
        <v>3</v>
      </c>
      <c r="N81" s="6">
        <v>6</v>
      </c>
      <c r="O81" s="6">
        <v>4</v>
      </c>
      <c r="P81" s="6">
        <v>4</v>
      </c>
      <c r="Q81" s="6">
        <v>2</v>
      </c>
      <c r="R81" s="6">
        <v>1</v>
      </c>
      <c r="S81" s="6">
        <v>4</v>
      </c>
      <c r="T81" s="6">
        <v>2</v>
      </c>
      <c r="U81" s="6">
        <v>3</v>
      </c>
      <c r="V81" s="6">
        <v>3</v>
      </c>
      <c r="W81" s="6">
        <v>0</v>
      </c>
      <c r="X81" s="6">
        <v>1</v>
      </c>
      <c r="Y81" s="6">
        <v>4</v>
      </c>
      <c r="Z81" s="6">
        <v>1</v>
      </c>
      <c r="AA81" s="6">
        <v>1</v>
      </c>
      <c r="AB81" s="6">
        <v>22</v>
      </c>
      <c r="AC81" s="5">
        <f t="shared" ref="AC81:AC90" si="43">SUM(E81:AB81)</f>
        <v>108</v>
      </c>
    </row>
    <row r="82" spans="1:29" x14ac:dyDescent="0.3">
      <c r="A82" s="11" t="s">
        <v>50</v>
      </c>
      <c r="B82" s="50"/>
      <c r="C82" s="24" t="s">
        <v>142</v>
      </c>
      <c r="D82" s="49"/>
      <c r="E82" s="6">
        <v>13</v>
      </c>
      <c r="F82" s="6">
        <v>6</v>
      </c>
      <c r="G82" s="6">
        <v>5</v>
      </c>
      <c r="H82" s="6">
        <v>8</v>
      </c>
      <c r="I82" s="6">
        <v>6</v>
      </c>
      <c r="J82" s="6">
        <v>10</v>
      </c>
      <c r="K82" s="6">
        <v>6</v>
      </c>
      <c r="L82" s="6">
        <v>4</v>
      </c>
      <c r="M82" s="6">
        <v>8</v>
      </c>
      <c r="N82" s="6">
        <v>13</v>
      </c>
      <c r="O82" s="6">
        <v>2</v>
      </c>
      <c r="P82" s="6">
        <v>4</v>
      </c>
      <c r="Q82" s="6">
        <v>4</v>
      </c>
      <c r="R82" s="6">
        <v>2</v>
      </c>
      <c r="S82" s="6">
        <v>2</v>
      </c>
      <c r="T82" s="6">
        <v>4</v>
      </c>
      <c r="U82" s="6">
        <v>4</v>
      </c>
      <c r="V82" s="6">
        <v>6</v>
      </c>
      <c r="W82" s="6">
        <v>8</v>
      </c>
      <c r="X82" s="6">
        <v>3</v>
      </c>
      <c r="Y82" s="6">
        <v>6</v>
      </c>
      <c r="Z82" s="6">
        <v>0</v>
      </c>
      <c r="AA82" s="6">
        <v>3</v>
      </c>
      <c r="AB82" s="6">
        <v>73</v>
      </c>
      <c r="AC82" s="5">
        <f t="shared" si="43"/>
        <v>200</v>
      </c>
    </row>
    <row r="83" spans="1:29" x14ac:dyDescent="0.3">
      <c r="A83" s="7"/>
      <c r="B83" s="50"/>
      <c r="C83" s="24" t="s">
        <v>143</v>
      </c>
      <c r="D83" s="49"/>
      <c r="E83" s="6">
        <v>1</v>
      </c>
      <c r="F83" s="6">
        <v>2</v>
      </c>
      <c r="G83" s="6">
        <v>1</v>
      </c>
      <c r="H83" s="6">
        <v>5</v>
      </c>
      <c r="I83" s="6">
        <v>1</v>
      </c>
      <c r="J83" s="6">
        <v>1</v>
      </c>
      <c r="K83" s="6">
        <v>1</v>
      </c>
      <c r="L83" s="6">
        <v>2</v>
      </c>
      <c r="M83" s="6">
        <v>1</v>
      </c>
      <c r="N83" s="6">
        <v>2</v>
      </c>
      <c r="O83" s="6">
        <v>3</v>
      </c>
      <c r="P83" s="6">
        <v>0</v>
      </c>
      <c r="Q83" s="6">
        <v>1</v>
      </c>
      <c r="R83" s="6">
        <v>1</v>
      </c>
      <c r="S83" s="6">
        <v>1</v>
      </c>
      <c r="T83" s="6">
        <v>0</v>
      </c>
      <c r="U83" s="6">
        <v>1</v>
      </c>
      <c r="V83" s="6">
        <v>1</v>
      </c>
      <c r="W83" s="6">
        <v>0</v>
      </c>
      <c r="X83" s="6">
        <v>1</v>
      </c>
      <c r="Y83" s="6">
        <v>0</v>
      </c>
      <c r="Z83" s="6">
        <v>0</v>
      </c>
      <c r="AA83" s="6">
        <v>0</v>
      </c>
      <c r="AB83" s="6">
        <v>1</v>
      </c>
      <c r="AC83" s="5">
        <f t="shared" si="43"/>
        <v>27</v>
      </c>
    </row>
    <row r="84" spans="1:29" x14ac:dyDescent="0.3">
      <c r="A84" s="7"/>
      <c r="B84" s="50"/>
      <c r="C84" s="24" t="s">
        <v>144</v>
      </c>
      <c r="D84" s="49"/>
      <c r="E84" s="6">
        <v>2</v>
      </c>
      <c r="F84" s="6">
        <v>1</v>
      </c>
      <c r="G84" s="6">
        <v>1</v>
      </c>
      <c r="H84" s="6">
        <v>0</v>
      </c>
      <c r="I84" s="6">
        <v>0</v>
      </c>
      <c r="J84" s="6">
        <v>1</v>
      </c>
      <c r="K84" s="6">
        <v>0</v>
      </c>
      <c r="L84" s="6">
        <v>1</v>
      </c>
      <c r="M84" s="6">
        <v>1</v>
      </c>
      <c r="N84" s="6">
        <v>2</v>
      </c>
      <c r="O84" s="6">
        <v>0</v>
      </c>
      <c r="P84" s="6">
        <v>0</v>
      </c>
      <c r="Q84" s="6">
        <v>0</v>
      </c>
      <c r="R84" s="6">
        <v>1</v>
      </c>
      <c r="S84" s="6">
        <v>0</v>
      </c>
      <c r="T84" s="6">
        <v>0</v>
      </c>
      <c r="U84" s="6">
        <v>1</v>
      </c>
      <c r="V84" s="6">
        <v>0</v>
      </c>
      <c r="W84" s="6">
        <v>1</v>
      </c>
      <c r="X84" s="6">
        <v>0</v>
      </c>
      <c r="Y84" s="6">
        <v>0</v>
      </c>
      <c r="Z84" s="6">
        <v>0</v>
      </c>
      <c r="AA84" s="6">
        <v>0</v>
      </c>
      <c r="AB84" s="6">
        <v>1</v>
      </c>
      <c r="AC84" s="5">
        <f t="shared" si="43"/>
        <v>13</v>
      </c>
    </row>
    <row r="85" spans="1:29" ht="13.15" customHeight="1" x14ac:dyDescent="0.3">
      <c r="A85" s="7"/>
      <c r="B85" s="50"/>
      <c r="C85" s="24" t="s">
        <v>145</v>
      </c>
      <c r="D85" s="49"/>
      <c r="E85" s="6">
        <v>0</v>
      </c>
      <c r="F85" s="6">
        <v>2</v>
      </c>
      <c r="G85" s="6">
        <v>3</v>
      </c>
      <c r="H85" s="6">
        <v>1</v>
      </c>
      <c r="I85" s="6">
        <v>1</v>
      </c>
      <c r="J85" s="6">
        <v>1</v>
      </c>
      <c r="K85" s="6">
        <v>0</v>
      </c>
      <c r="L85" s="6">
        <v>1</v>
      </c>
      <c r="M85" s="6">
        <v>2</v>
      </c>
      <c r="N85" s="6">
        <v>2</v>
      </c>
      <c r="O85" s="6">
        <v>1</v>
      </c>
      <c r="P85" s="6">
        <v>0</v>
      </c>
      <c r="Q85" s="6">
        <v>1</v>
      </c>
      <c r="R85" s="6">
        <v>0</v>
      </c>
      <c r="S85" s="6">
        <v>0</v>
      </c>
      <c r="T85" s="6">
        <v>4</v>
      </c>
      <c r="U85" s="6">
        <v>1</v>
      </c>
      <c r="V85" s="6">
        <v>0</v>
      </c>
      <c r="W85" s="6">
        <v>1</v>
      </c>
      <c r="X85" s="6">
        <v>1</v>
      </c>
      <c r="Y85" s="6">
        <v>1</v>
      </c>
      <c r="Z85" s="6">
        <v>0</v>
      </c>
      <c r="AA85" s="6">
        <v>3</v>
      </c>
      <c r="AB85" s="6">
        <v>3</v>
      </c>
      <c r="AC85" s="5">
        <f t="shared" si="43"/>
        <v>29</v>
      </c>
    </row>
    <row r="86" spans="1:29" x14ac:dyDescent="0.3">
      <c r="A86" s="7"/>
      <c r="B86" s="50"/>
      <c r="C86" s="24" t="s">
        <v>146</v>
      </c>
      <c r="D86" s="49"/>
      <c r="E86" s="6">
        <v>2</v>
      </c>
      <c r="F86" s="6">
        <v>2</v>
      </c>
      <c r="G86" s="6">
        <v>6</v>
      </c>
      <c r="H86" s="6">
        <v>6</v>
      </c>
      <c r="I86" s="6">
        <v>3</v>
      </c>
      <c r="J86" s="6">
        <v>2</v>
      </c>
      <c r="K86" s="6">
        <v>0</v>
      </c>
      <c r="L86" s="6">
        <v>2</v>
      </c>
      <c r="M86" s="6">
        <v>2</v>
      </c>
      <c r="N86" s="6">
        <v>2</v>
      </c>
      <c r="O86" s="6">
        <v>1</v>
      </c>
      <c r="P86" s="6">
        <v>0</v>
      </c>
      <c r="Q86" s="6">
        <v>3</v>
      </c>
      <c r="R86" s="6">
        <v>7</v>
      </c>
      <c r="S86" s="6">
        <v>1</v>
      </c>
      <c r="T86" s="6">
        <v>2</v>
      </c>
      <c r="U86" s="6">
        <v>0</v>
      </c>
      <c r="V86" s="6">
        <v>1</v>
      </c>
      <c r="W86" s="6">
        <v>3</v>
      </c>
      <c r="X86" s="6">
        <v>0</v>
      </c>
      <c r="Y86" s="6">
        <v>0</v>
      </c>
      <c r="Z86" s="6">
        <v>0</v>
      </c>
      <c r="AA86" s="6">
        <v>1</v>
      </c>
      <c r="AB86" s="6">
        <v>0</v>
      </c>
      <c r="AC86" s="5">
        <f t="shared" si="43"/>
        <v>46</v>
      </c>
    </row>
    <row r="87" spans="1:29" x14ac:dyDescent="0.3">
      <c r="A87" s="7"/>
      <c r="B87" s="50"/>
      <c r="C87" s="24" t="s">
        <v>147</v>
      </c>
      <c r="D87" s="49"/>
      <c r="E87" s="6">
        <v>1</v>
      </c>
      <c r="F87" s="6">
        <v>0</v>
      </c>
      <c r="G87" s="6">
        <v>1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1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5">
        <f t="shared" si="43"/>
        <v>3</v>
      </c>
    </row>
    <row r="88" spans="1:29" x14ac:dyDescent="0.3">
      <c r="A88" s="7"/>
      <c r="B88" s="50"/>
      <c r="C88" s="24" t="s">
        <v>148</v>
      </c>
      <c r="D88" s="49"/>
      <c r="E88" s="6">
        <v>0</v>
      </c>
      <c r="F88" s="6">
        <v>0</v>
      </c>
      <c r="G88" s="6">
        <v>0</v>
      </c>
      <c r="H88" s="6">
        <v>2</v>
      </c>
      <c r="I88" s="6">
        <v>1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2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5">
        <f t="shared" si="43"/>
        <v>5</v>
      </c>
    </row>
    <row r="89" spans="1:29" x14ac:dyDescent="0.3">
      <c r="A89" s="7"/>
      <c r="B89" s="50"/>
      <c r="C89" s="24" t="s">
        <v>149</v>
      </c>
      <c r="D89" s="49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1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5">
        <f t="shared" si="43"/>
        <v>1</v>
      </c>
    </row>
    <row r="90" spans="1:29" x14ac:dyDescent="0.3">
      <c r="A90" s="7"/>
      <c r="B90" s="50"/>
      <c r="C90" s="24" t="s">
        <v>150</v>
      </c>
      <c r="D90" s="49"/>
      <c r="E90" s="6">
        <v>0</v>
      </c>
      <c r="F90" s="6">
        <v>0</v>
      </c>
      <c r="G90" s="6">
        <v>1</v>
      </c>
      <c r="H90" s="6">
        <v>0</v>
      </c>
      <c r="I90" s="6">
        <v>1</v>
      </c>
      <c r="J90" s="6">
        <v>2</v>
      </c>
      <c r="K90" s="6">
        <v>0</v>
      </c>
      <c r="L90" s="6">
        <v>0</v>
      </c>
      <c r="M90" s="6">
        <v>0</v>
      </c>
      <c r="N90" s="6">
        <v>1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1</v>
      </c>
      <c r="AA90" s="6">
        <v>0</v>
      </c>
      <c r="AB90" s="6">
        <v>0</v>
      </c>
      <c r="AC90" s="5">
        <f t="shared" si="43"/>
        <v>6</v>
      </c>
    </row>
    <row r="91" spans="1:29" x14ac:dyDescent="0.3">
      <c r="A91" s="6" t="s">
        <v>26</v>
      </c>
      <c r="B91" s="84" t="s">
        <v>51</v>
      </c>
      <c r="C91" s="63"/>
      <c r="D91" s="64"/>
      <c r="E91" s="5">
        <f t="shared" ref="E91:AC91" si="44">SUM(E81:E90)</f>
        <v>25</v>
      </c>
      <c r="F91" s="5">
        <f t="shared" si="44"/>
        <v>16</v>
      </c>
      <c r="G91" s="5">
        <f t="shared" si="44"/>
        <v>26</v>
      </c>
      <c r="H91" s="5">
        <f t="shared" si="44"/>
        <v>32</v>
      </c>
      <c r="I91" s="5">
        <f t="shared" si="44"/>
        <v>22</v>
      </c>
      <c r="J91" s="5">
        <f t="shared" si="44"/>
        <v>24</v>
      </c>
      <c r="K91" s="5">
        <f t="shared" si="44"/>
        <v>10</v>
      </c>
      <c r="L91" s="5">
        <f t="shared" si="44"/>
        <v>11</v>
      </c>
      <c r="M91" s="5">
        <f t="shared" ref="M91:S91" si="45">SUM(M81:M90)</f>
        <v>17</v>
      </c>
      <c r="N91" s="5">
        <f t="shared" si="45"/>
        <v>28</v>
      </c>
      <c r="O91" s="5">
        <f t="shared" si="45"/>
        <v>11</v>
      </c>
      <c r="P91" s="5">
        <f t="shared" si="45"/>
        <v>8</v>
      </c>
      <c r="Q91" s="5">
        <f t="shared" si="45"/>
        <v>11</v>
      </c>
      <c r="R91" s="5">
        <f t="shared" si="45"/>
        <v>12</v>
      </c>
      <c r="S91" s="5">
        <f t="shared" si="45"/>
        <v>9</v>
      </c>
      <c r="T91" s="5">
        <f t="shared" si="44"/>
        <v>14</v>
      </c>
      <c r="U91" s="5">
        <f t="shared" si="44"/>
        <v>10</v>
      </c>
      <c r="V91" s="5">
        <f t="shared" si="44"/>
        <v>12</v>
      </c>
      <c r="W91" s="5">
        <f t="shared" si="44"/>
        <v>13</v>
      </c>
      <c r="X91" s="5">
        <f t="shared" si="44"/>
        <v>6</v>
      </c>
      <c r="Y91" s="5">
        <f t="shared" si="44"/>
        <v>11</v>
      </c>
      <c r="Z91" s="5">
        <f t="shared" ref="Z91" si="46">SUM(Z81:Z90)</f>
        <v>2</v>
      </c>
      <c r="AA91" s="5">
        <f t="shared" si="44"/>
        <v>8</v>
      </c>
      <c r="AB91" s="5">
        <f t="shared" si="44"/>
        <v>100</v>
      </c>
      <c r="AC91" s="5">
        <f t="shared" si="44"/>
        <v>438</v>
      </c>
    </row>
    <row r="92" spans="1:29" x14ac:dyDescent="0.3">
      <c r="A92" s="83"/>
      <c r="B92" s="82"/>
      <c r="C92" s="82"/>
      <c r="D92" s="82"/>
      <c r="E92" s="82"/>
    </row>
    <row r="93" spans="1:29" x14ac:dyDescent="0.3">
      <c r="A93" s="11" t="s">
        <v>48</v>
      </c>
      <c r="B93" s="17" t="s">
        <v>55</v>
      </c>
      <c r="C93" s="86" t="s">
        <v>56</v>
      </c>
      <c r="D93" s="64"/>
      <c r="E93" s="6">
        <v>3</v>
      </c>
      <c r="F93" s="6">
        <v>0</v>
      </c>
      <c r="G93" s="6">
        <v>1</v>
      </c>
      <c r="H93" s="6">
        <v>0</v>
      </c>
      <c r="I93" s="6">
        <v>0</v>
      </c>
      <c r="J93" s="6">
        <v>2</v>
      </c>
      <c r="K93" s="6">
        <v>2</v>
      </c>
      <c r="L93" s="6">
        <v>1</v>
      </c>
      <c r="M93" s="6">
        <v>2</v>
      </c>
      <c r="N93" s="6">
        <v>1</v>
      </c>
      <c r="O93" s="6">
        <v>12</v>
      </c>
      <c r="P93" s="6">
        <v>3</v>
      </c>
      <c r="Q93" s="6">
        <v>10</v>
      </c>
      <c r="R93" s="6">
        <v>4</v>
      </c>
      <c r="S93" s="6">
        <v>2</v>
      </c>
      <c r="T93" s="6">
        <v>2</v>
      </c>
      <c r="U93" s="6">
        <v>4</v>
      </c>
      <c r="V93" s="6">
        <v>2</v>
      </c>
      <c r="W93" s="6">
        <v>2</v>
      </c>
      <c r="X93" s="6">
        <v>5</v>
      </c>
      <c r="Y93" s="6">
        <v>1</v>
      </c>
      <c r="Z93" s="6">
        <v>7</v>
      </c>
      <c r="AA93" s="6">
        <v>2</v>
      </c>
      <c r="AB93" s="6">
        <v>0</v>
      </c>
      <c r="AC93" s="5">
        <f t="shared" ref="AC93:AC102" si="47">SUM(E93:AB93)</f>
        <v>68</v>
      </c>
    </row>
    <row r="94" spans="1:29" x14ac:dyDescent="0.3">
      <c r="A94" s="11" t="s">
        <v>50</v>
      </c>
      <c r="B94" s="50"/>
      <c r="C94" s="24" t="s">
        <v>151</v>
      </c>
      <c r="D94" s="51"/>
      <c r="E94" s="6">
        <v>0</v>
      </c>
      <c r="F94" s="6">
        <v>3</v>
      </c>
      <c r="G94" s="6">
        <v>1</v>
      </c>
      <c r="H94" s="6">
        <v>0</v>
      </c>
      <c r="I94" s="6">
        <v>1</v>
      </c>
      <c r="J94" s="6">
        <v>1</v>
      </c>
      <c r="K94" s="6">
        <v>2</v>
      </c>
      <c r="L94" s="6">
        <v>0</v>
      </c>
      <c r="M94" s="6">
        <v>0</v>
      </c>
      <c r="N94" s="6">
        <v>2</v>
      </c>
      <c r="O94" s="6">
        <v>2</v>
      </c>
      <c r="P94" s="6">
        <v>1</v>
      </c>
      <c r="Q94" s="6">
        <v>1</v>
      </c>
      <c r="R94" s="6">
        <v>2</v>
      </c>
      <c r="S94" s="6">
        <v>2</v>
      </c>
      <c r="T94" s="6">
        <v>1</v>
      </c>
      <c r="U94" s="6">
        <v>0</v>
      </c>
      <c r="V94" s="6">
        <v>2</v>
      </c>
      <c r="W94" s="6">
        <v>0</v>
      </c>
      <c r="X94" s="6">
        <v>3</v>
      </c>
      <c r="Y94" s="6">
        <v>8</v>
      </c>
      <c r="Z94" s="6">
        <v>1</v>
      </c>
      <c r="AA94" s="6">
        <v>2</v>
      </c>
      <c r="AB94" s="6">
        <v>0</v>
      </c>
      <c r="AC94" s="5">
        <f t="shared" si="47"/>
        <v>35</v>
      </c>
    </row>
    <row r="95" spans="1:29" x14ac:dyDescent="0.3">
      <c r="A95" s="7"/>
      <c r="B95" s="50"/>
      <c r="C95" s="24" t="s">
        <v>152</v>
      </c>
      <c r="D95" s="51"/>
      <c r="E95" s="6">
        <v>2</v>
      </c>
      <c r="F95" s="6">
        <v>0</v>
      </c>
      <c r="G95" s="6">
        <v>2</v>
      </c>
      <c r="H95" s="6">
        <v>1</v>
      </c>
      <c r="I95" s="6">
        <v>1</v>
      </c>
      <c r="J95" s="6">
        <v>0</v>
      </c>
      <c r="K95" s="6">
        <v>2</v>
      </c>
      <c r="L95" s="6">
        <v>1</v>
      </c>
      <c r="M95" s="6">
        <v>0</v>
      </c>
      <c r="N95" s="6">
        <v>3</v>
      </c>
      <c r="O95" s="6">
        <v>0</v>
      </c>
      <c r="P95" s="6">
        <v>1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2</v>
      </c>
      <c r="AB95" s="6">
        <v>0</v>
      </c>
      <c r="AC95" s="5">
        <f t="shared" si="47"/>
        <v>15</v>
      </c>
    </row>
    <row r="96" spans="1:29" ht="13.15" customHeight="1" x14ac:dyDescent="0.3">
      <c r="A96" s="7"/>
      <c r="B96" s="50"/>
      <c r="C96" s="24" t="s">
        <v>153</v>
      </c>
      <c r="D96" s="51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1</v>
      </c>
      <c r="AC96" s="5">
        <f t="shared" si="47"/>
        <v>1</v>
      </c>
    </row>
    <row r="97" spans="1:29" x14ac:dyDescent="0.3">
      <c r="A97" s="7"/>
      <c r="B97" s="50"/>
      <c r="C97" s="24" t="s">
        <v>154</v>
      </c>
      <c r="D97" s="51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1</v>
      </c>
      <c r="M97" s="6">
        <v>0</v>
      </c>
      <c r="N97" s="6">
        <v>1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1</v>
      </c>
      <c r="AA97" s="6">
        <v>0</v>
      </c>
      <c r="AB97" s="6">
        <v>0</v>
      </c>
      <c r="AC97" s="5">
        <f t="shared" si="47"/>
        <v>3</v>
      </c>
    </row>
    <row r="98" spans="1:29" x14ac:dyDescent="0.3">
      <c r="A98" s="7"/>
      <c r="B98" s="50"/>
      <c r="C98" s="24" t="s">
        <v>155</v>
      </c>
      <c r="D98" s="49"/>
      <c r="E98" s="6">
        <v>1</v>
      </c>
      <c r="F98" s="6">
        <v>0</v>
      </c>
      <c r="G98" s="6">
        <v>0</v>
      </c>
      <c r="H98" s="6">
        <v>1</v>
      </c>
      <c r="I98" s="6">
        <v>1</v>
      </c>
      <c r="J98" s="6">
        <v>1</v>
      </c>
      <c r="K98" s="6">
        <v>0</v>
      </c>
      <c r="L98" s="6">
        <v>0</v>
      </c>
      <c r="M98" s="6">
        <v>0</v>
      </c>
      <c r="N98" s="6">
        <v>0</v>
      </c>
      <c r="O98" s="6">
        <v>3</v>
      </c>
      <c r="P98" s="6">
        <v>1</v>
      </c>
      <c r="Q98" s="6">
        <v>3</v>
      </c>
      <c r="R98" s="6">
        <v>2</v>
      </c>
      <c r="S98" s="6">
        <v>0</v>
      </c>
      <c r="T98" s="6">
        <v>0</v>
      </c>
      <c r="U98" s="6">
        <v>1</v>
      </c>
      <c r="V98" s="6">
        <v>2</v>
      </c>
      <c r="W98" s="6">
        <v>3</v>
      </c>
      <c r="X98" s="6">
        <v>0</v>
      </c>
      <c r="Y98" s="6">
        <v>2</v>
      </c>
      <c r="Z98" s="6">
        <v>2</v>
      </c>
      <c r="AA98" s="6">
        <v>1</v>
      </c>
      <c r="AB98" s="6">
        <v>0</v>
      </c>
      <c r="AC98" s="5">
        <f t="shared" si="47"/>
        <v>24</v>
      </c>
    </row>
    <row r="99" spans="1:29" x14ac:dyDescent="0.3">
      <c r="A99" s="7"/>
      <c r="B99" s="50"/>
      <c r="C99" s="24" t="s">
        <v>156</v>
      </c>
      <c r="D99" s="49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1</v>
      </c>
      <c r="P99" s="6">
        <v>1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2</v>
      </c>
      <c r="AA99" s="6">
        <v>0</v>
      </c>
      <c r="AB99" s="6">
        <v>0</v>
      </c>
      <c r="AC99" s="5">
        <f t="shared" si="47"/>
        <v>4</v>
      </c>
    </row>
    <row r="100" spans="1:29" x14ac:dyDescent="0.3">
      <c r="A100" s="7"/>
      <c r="B100" s="50"/>
      <c r="C100" s="24" t="s">
        <v>157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1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5">
        <f t="shared" si="47"/>
        <v>1</v>
      </c>
    </row>
    <row r="101" spans="1:29" x14ac:dyDescent="0.3">
      <c r="A101" s="7"/>
      <c r="B101" s="50"/>
      <c r="C101" s="24" t="s">
        <v>158</v>
      </c>
      <c r="D101" s="51"/>
      <c r="E101" s="6">
        <v>1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1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5">
        <f t="shared" si="47"/>
        <v>2</v>
      </c>
    </row>
    <row r="102" spans="1:29" x14ac:dyDescent="0.3">
      <c r="A102" s="7"/>
      <c r="B102" s="50"/>
      <c r="C102" s="24" t="s">
        <v>159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5">
        <f t="shared" si="47"/>
        <v>0</v>
      </c>
    </row>
    <row r="103" spans="1:29" x14ac:dyDescent="0.3">
      <c r="A103" s="6" t="s">
        <v>26</v>
      </c>
      <c r="B103" s="84" t="s">
        <v>51</v>
      </c>
      <c r="C103" s="63"/>
      <c r="D103" s="64"/>
      <c r="E103" s="5">
        <f t="shared" ref="E103:AC103" si="48">SUM(E93:E102)</f>
        <v>7</v>
      </c>
      <c r="F103" s="5">
        <f t="shared" si="48"/>
        <v>3</v>
      </c>
      <c r="G103" s="5">
        <f t="shared" si="48"/>
        <v>4</v>
      </c>
      <c r="H103" s="5">
        <f t="shared" si="48"/>
        <v>2</v>
      </c>
      <c r="I103" s="5">
        <f t="shared" si="48"/>
        <v>3</v>
      </c>
      <c r="J103" s="5">
        <f t="shared" si="48"/>
        <v>4</v>
      </c>
      <c r="K103" s="5">
        <f t="shared" si="48"/>
        <v>6</v>
      </c>
      <c r="L103" s="5">
        <f t="shared" si="48"/>
        <v>3</v>
      </c>
      <c r="M103" s="5">
        <f t="shared" ref="M103:S103" si="49">SUM(M93:M102)</f>
        <v>2</v>
      </c>
      <c r="N103" s="5">
        <f t="shared" si="49"/>
        <v>7</v>
      </c>
      <c r="O103" s="5">
        <f t="shared" si="49"/>
        <v>19</v>
      </c>
      <c r="P103" s="5">
        <f t="shared" si="49"/>
        <v>7</v>
      </c>
      <c r="Q103" s="5">
        <f t="shared" si="49"/>
        <v>14</v>
      </c>
      <c r="R103" s="5">
        <f t="shared" si="49"/>
        <v>8</v>
      </c>
      <c r="S103" s="5">
        <f t="shared" si="49"/>
        <v>4</v>
      </c>
      <c r="T103" s="5">
        <f t="shared" si="48"/>
        <v>3</v>
      </c>
      <c r="U103" s="5">
        <f t="shared" si="48"/>
        <v>6</v>
      </c>
      <c r="V103" s="5">
        <f t="shared" si="48"/>
        <v>6</v>
      </c>
      <c r="W103" s="5">
        <f t="shared" si="48"/>
        <v>5</v>
      </c>
      <c r="X103" s="5">
        <f t="shared" si="48"/>
        <v>8</v>
      </c>
      <c r="Y103" s="5">
        <f t="shared" si="48"/>
        <v>11</v>
      </c>
      <c r="Z103" s="5">
        <f t="shared" ref="Z103" si="50">SUM(Z93:Z102)</f>
        <v>13</v>
      </c>
      <c r="AA103" s="5">
        <f t="shared" si="48"/>
        <v>7</v>
      </c>
      <c r="AB103" s="5">
        <f t="shared" si="48"/>
        <v>1</v>
      </c>
      <c r="AC103" s="5">
        <f t="shared" si="48"/>
        <v>153</v>
      </c>
    </row>
    <row r="104" spans="1:29" x14ac:dyDescent="0.3">
      <c r="A104" s="83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</row>
    <row r="105" spans="1:29" x14ac:dyDescent="0.3">
      <c r="A105" s="11" t="s">
        <v>48</v>
      </c>
      <c r="B105" s="17" t="s">
        <v>57</v>
      </c>
      <c r="C105" s="86" t="s">
        <v>58</v>
      </c>
      <c r="D105" s="64"/>
      <c r="E105" s="6">
        <v>0</v>
      </c>
      <c r="F105" s="6">
        <v>0</v>
      </c>
      <c r="G105" s="6">
        <v>0</v>
      </c>
      <c r="H105" s="6">
        <v>0</v>
      </c>
      <c r="I105" s="6">
        <v>1</v>
      </c>
      <c r="J105" s="6">
        <v>0</v>
      </c>
      <c r="K105" s="6">
        <v>0</v>
      </c>
      <c r="L105" s="6">
        <v>0</v>
      </c>
      <c r="M105" s="6">
        <v>1</v>
      </c>
      <c r="N105" s="6">
        <v>0</v>
      </c>
      <c r="O105" s="6">
        <v>0</v>
      </c>
      <c r="P105" s="6">
        <v>0</v>
      </c>
      <c r="Q105" s="6">
        <v>1</v>
      </c>
      <c r="R105" s="6">
        <v>1</v>
      </c>
      <c r="S105" s="6">
        <v>0</v>
      </c>
      <c r="T105" s="6">
        <v>1</v>
      </c>
      <c r="U105" s="6">
        <v>1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5">
        <f>SUM(E105:AB105)</f>
        <v>6</v>
      </c>
    </row>
    <row r="106" spans="1:29" x14ac:dyDescent="0.3">
      <c r="A106" s="11" t="s">
        <v>50</v>
      </c>
      <c r="B106" s="50"/>
      <c r="C106" s="24" t="s">
        <v>160</v>
      </c>
      <c r="D106" s="49"/>
      <c r="E106" s="6">
        <v>0</v>
      </c>
      <c r="F106" s="6">
        <v>0</v>
      </c>
      <c r="G106" s="6">
        <v>0</v>
      </c>
      <c r="H106" s="6">
        <v>1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1</v>
      </c>
      <c r="S106" s="6">
        <v>1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1</v>
      </c>
      <c r="Z106" s="6">
        <v>1</v>
      </c>
      <c r="AA106" s="6">
        <v>0</v>
      </c>
      <c r="AB106" s="6">
        <v>0</v>
      </c>
      <c r="AC106" s="5">
        <f>SUM(E106:AB106)</f>
        <v>5</v>
      </c>
    </row>
    <row r="107" spans="1:29" ht="13.15" customHeight="1" x14ac:dyDescent="0.3">
      <c r="A107" s="7"/>
      <c r="B107" s="50"/>
      <c r="C107" s="24" t="s">
        <v>161</v>
      </c>
      <c r="D107" s="49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1</v>
      </c>
      <c r="N107" s="6">
        <v>0</v>
      </c>
      <c r="O107" s="6">
        <v>0</v>
      </c>
      <c r="P107" s="6">
        <v>0</v>
      </c>
      <c r="Q107" s="6">
        <v>1</v>
      </c>
      <c r="R107" s="6">
        <v>1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1</v>
      </c>
      <c r="AB107" s="6">
        <v>0</v>
      </c>
      <c r="AC107" s="5">
        <f t="shared" ref="AC107:AC114" si="51">SUM(E107:AB107)</f>
        <v>4</v>
      </c>
    </row>
    <row r="108" spans="1:29" x14ac:dyDescent="0.3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5">
        <f t="shared" si="51"/>
        <v>0</v>
      </c>
    </row>
    <row r="109" spans="1:29" x14ac:dyDescent="0.3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5">
        <f t="shared" si="51"/>
        <v>0</v>
      </c>
    </row>
    <row r="110" spans="1:29" x14ac:dyDescent="0.3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5">
        <f t="shared" si="51"/>
        <v>0</v>
      </c>
    </row>
    <row r="111" spans="1:29" x14ac:dyDescent="0.3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5">
        <f t="shared" si="51"/>
        <v>0</v>
      </c>
    </row>
    <row r="112" spans="1:29" x14ac:dyDescent="0.3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5">
        <f t="shared" si="51"/>
        <v>0</v>
      </c>
    </row>
    <row r="113" spans="1:29" x14ac:dyDescent="0.3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5">
        <f t="shared" si="51"/>
        <v>0</v>
      </c>
    </row>
    <row r="114" spans="1:29" x14ac:dyDescent="0.3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5">
        <f t="shared" si="51"/>
        <v>0</v>
      </c>
    </row>
    <row r="115" spans="1:29" ht="13.15" customHeight="1" x14ac:dyDescent="0.3">
      <c r="A115" s="6" t="s">
        <v>26</v>
      </c>
      <c r="B115" s="84" t="s">
        <v>51</v>
      </c>
      <c r="C115" s="87"/>
      <c r="D115" s="88"/>
      <c r="E115" s="5">
        <f t="shared" ref="E115:AC115" si="52">SUM(E105:E114)</f>
        <v>0</v>
      </c>
      <c r="F115" s="5">
        <f t="shared" si="52"/>
        <v>0</v>
      </c>
      <c r="G115" s="5">
        <f t="shared" si="52"/>
        <v>0</v>
      </c>
      <c r="H115" s="5">
        <f t="shared" si="52"/>
        <v>1</v>
      </c>
      <c r="I115" s="5">
        <f t="shared" si="52"/>
        <v>1</v>
      </c>
      <c r="J115" s="5">
        <f t="shared" si="52"/>
        <v>0</v>
      </c>
      <c r="K115" s="5">
        <f t="shared" si="52"/>
        <v>0</v>
      </c>
      <c r="L115" s="5">
        <f t="shared" si="52"/>
        <v>0</v>
      </c>
      <c r="M115" s="5">
        <f t="shared" ref="M115:S115" si="53">SUM(M105:M114)</f>
        <v>2</v>
      </c>
      <c r="N115" s="5">
        <f t="shared" si="53"/>
        <v>0</v>
      </c>
      <c r="O115" s="5">
        <f t="shared" si="53"/>
        <v>0</v>
      </c>
      <c r="P115" s="5">
        <f t="shared" si="53"/>
        <v>0</v>
      </c>
      <c r="Q115" s="5">
        <f t="shared" si="53"/>
        <v>2</v>
      </c>
      <c r="R115" s="5">
        <f t="shared" si="53"/>
        <v>3</v>
      </c>
      <c r="S115" s="5">
        <f t="shared" si="53"/>
        <v>1</v>
      </c>
      <c r="T115" s="5">
        <f t="shared" si="52"/>
        <v>1</v>
      </c>
      <c r="U115" s="5">
        <f t="shared" si="52"/>
        <v>1</v>
      </c>
      <c r="V115" s="5">
        <f t="shared" si="52"/>
        <v>0</v>
      </c>
      <c r="W115" s="5">
        <f t="shared" si="52"/>
        <v>0</v>
      </c>
      <c r="X115" s="5">
        <f t="shared" si="52"/>
        <v>0</v>
      </c>
      <c r="Y115" s="5">
        <f t="shared" si="52"/>
        <v>1</v>
      </c>
      <c r="Z115" s="5">
        <f t="shared" ref="Z115" si="54">SUM(Z105:Z114)</f>
        <v>1</v>
      </c>
      <c r="AA115" s="5">
        <f t="shared" si="52"/>
        <v>1</v>
      </c>
      <c r="AB115" s="5">
        <f t="shared" si="52"/>
        <v>0</v>
      </c>
      <c r="AC115" s="5">
        <f t="shared" si="52"/>
        <v>15</v>
      </c>
    </row>
    <row r="116" spans="1:29" x14ac:dyDescent="0.3">
      <c r="A116" s="62"/>
      <c r="B116" s="89"/>
      <c r="C116" s="89"/>
      <c r="D116" s="89"/>
      <c r="E116" s="90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5"/>
    </row>
    <row r="117" spans="1:29" x14ac:dyDescent="0.3">
      <c r="A117" s="11" t="s">
        <v>48</v>
      </c>
      <c r="B117" s="17" t="s">
        <v>59</v>
      </c>
      <c r="C117" s="86" t="s">
        <v>60</v>
      </c>
      <c r="D117" s="64"/>
      <c r="E117" s="6">
        <v>0</v>
      </c>
      <c r="F117" s="6">
        <v>0</v>
      </c>
      <c r="G117" s="6">
        <v>1</v>
      </c>
      <c r="H117" s="6">
        <v>0</v>
      </c>
      <c r="I117" s="6">
        <v>0</v>
      </c>
      <c r="J117" s="6">
        <v>1</v>
      </c>
      <c r="K117" s="6">
        <v>0</v>
      </c>
      <c r="L117" s="6">
        <v>0</v>
      </c>
      <c r="M117" s="6">
        <v>2</v>
      </c>
      <c r="N117" s="6">
        <v>0</v>
      </c>
      <c r="O117" s="6">
        <v>1</v>
      </c>
      <c r="P117" s="6">
        <v>0</v>
      </c>
      <c r="Q117" s="6">
        <v>1</v>
      </c>
      <c r="R117" s="6">
        <v>0</v>
      </c>
      <c r="S117" s="6">
        <v>1</v>
      </c>
      <c r="T117" s="6">
        <v>1</v>
      </c>
      <c r="U117" s="6">
        <v>0</v>
      </c>
      <c r="V117" s="6">
        <v>0</v>
      </c>
      <c r="W117" s="6">
        <v>1</v>
      </c>
      <c r="X117" s="6">
        <v>1</v>
      </c>
      <c r="Y117" s="6">
        <v>0</v>
      </c>
      <c r="Z117" s="6">
        <v>1</v>
      </c>
      <c r="AA117" s="6">
        <v>0</v>
      </c>
      <c r="AB117" s="6">
        <v>0</v>
      </c>
      <c r="AC117" s="5">
        <f t="shared" ref="AC117:AC126" si="55">SUM(E117:AB117)</f>
        <v>11</v>
      </c>
    </row>
    <row r="118" spans="1:29" x14ac:dyDescent="0.3">
      <c r="A118" s="11" t="s">
        <v>50</v>
      </c>
      <c r="B118" s="50"/>
      <c r="C118" s="24" t="s">
        <v>162</v>
      </c>
      <c r="D118" s="49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1</v>
      </c>
      <c r="M118" s="6">
        <v>1</v>
      </c>
      <c r="N118" s="6">
        <v>0</v>
      </c>
      <c r="O118" s="6">
        <v>0</v>
      </c>
      <c r="P118" s="6">
        <v>1</v>
      </c>
      <c r="Q118" s="6">
        <v>1</v>
      </c>
      <c r="R118" s="6">
        <v>0</v>
      </c>
      <c r="S118" s="6">
        <v>0</v>
      </c>
      <c r="T118" s="6">
        <v>0</v>
      </c>
      <c r="U118" s="6">
        <v>0</v>
      </c>
      <c r="V118" s="6">
        <v>1</v>
      </c>
      <c r="W118" s="6">
        <v>0</v>
      </c>
      <c r="X118" s="6">
        <v>0</v>
      </c>
      <c r="Y118" s="6">
        <v>0</v>
      </c>
      <c r="Z118" s="6">
        <v>2</v>
      </c>
      <c r="AA118" s="6">
        <v>0</v>
      </c>
      <c r="AB118" s="6">
        <v>0</v>
      </c>
      <c r="AC118" s="5">
        <f t="shared" si="55"/>
        <v>7</v>
      </c>
    </row>
    <row r="119" spans="1:29" x14ac:dyDescent="0.3">
      <c r="A119" s="7"/>
      <c r="B119" s="50"/>
      <c r="C119" s="24" t="s">
        <v>163</v>
      </c>
      <c r="D119" s="49"/>
      <c r="E119" s="6">
        <v>0</v>
      </c>
      <c r="F119" s="6">
        <v>1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1</v>
      </c>
      <c r="M119" s="6">
        <v>0</v>
      </c>
      <c r="N119" s="6">
        <v>1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/>
      <c r="U119" s="6"/>
      <c r="V119" s="6"/>
      <c r="W119" s="6"/>
      <c r="X119" s="6"/>
      <c r="Y119" s="6"/>
      <c r="Z119" s="6"/>
      <c r="AA119" s="6"/>
      <c r="AB119" s="6"/>
      <c r="AC119" s="5">
        <f t="shared" si="55"/>
        <v>3</v>
      </c>
    </row>
    <row r="120" spans="1:29" x14ac:dyDescent="0.3">
      <c r="A120" s="7"/>
      <c r="B120" s="50"/>
      <c r="C120" s="24" t="s">
        <v>164</v>
      </c>
      <c r="D120" s="49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/>
      <c r="U120" s="6"/>
      <c r="V120" s="6"/>
      <c r="W120" s="6"/>
      <c r="X120" s="6"/>
      <c r="Y120" s="6"/>
      <c r="Z120" s="6"/>
      <c r="AA120" s="6"/>
      <c r="AB120" s="6"/>
      <c r="AC120" s="5">
        <f t="shared" si="55"/>
        <v>0</v>
      </c>
    </row>
    <row r="121" spans="1:29" x14ac:dyDescent="0.3">
      <c r="A121" s="7"/>
      <c r="B121" s="50"/>
      <c r="C121" s="24" t="s">
        <v>165</v>
      </c>
      <c r="D121" s="49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1</v>
      </c>
      <c r="AB121" s="6">
        <v>0</v>
      </c>
      <c r="AC121" s="5">
        <f t="shared" si="55"/>
        <v>1</v>
      </c>
    </row>
    <row r="122" spans="1:29" x14ac:dyDescent="0.3">
      <c r="A122" s="7"/>
      <c r="B122" s="50"/>
      <c r="C122" s="24" t="s">
        <v>166</v>
      </c>
      <c r="D122" s="49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1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5">
        <f t="shared" si="55"/>
        <v>1</v>
      </c>
    </row>
    <row r="123" spans="1:29" x14ac:dyDescent="0.3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5">
        <f t="shared" si="55"/>
        <v>0</v>
      </c>
    </row>
    <row r="124" spans="1:29" x14ac:dyDescent="0.3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5">
        <f t="shared" si="55"/>
        <v>0</v>
      </c>
    </row>
    <row r="125" spans="1:29" x14ac:dyDescent="0.3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5">
        <f t="shared" si="55"/>
        <v>0</v>
      </c>
    </row>
    <row r="126" spans="1:29" x14ac:dyDescent="0.3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5">
        <f t="shared" si="55"/>
        <v>0</v>
      </c>
    </row>
    <row r="127" spans="1:29" x14ac:dyDescent="0.3">
      <c r="A127" s="6" t="s">
        <v>26</v>
      </c>
      <c r="B127" s="84" t="s">
        <v>51</v>
      </c>
      <c r="C127" s="87"/>
      <c r="D127" s="88"/>
      <c r="E127" s="5">
        <f t="shared" ref="E127:AC127" si="56">SUM(E117:E126)</f>
        <v>0</v>
      </c>
      <c r="F127" s="5">
        <f t="shared" si="56"/>
        <v>1</v>
      </c>
      <c r="G127" s="5">
        <f t="shared" si="56"/>
        <v>1</v>
      </c>
      <c r="H127" s="5">
        <f t="shared" si="56"/>
        <v>0</v>
      </c>
      <c r="I127" s="5">
        <f t="shared" si="56"/>
        <v>0</v>
      </c>
      <c r="J127" s="5">
        <f t="shared" si="56"/>
        <v>1</v>
      </c>
      <c r="K127" s="5">
        <f t="shared" si="56"/>
        <v>0</v>
      </c>
      <c r="L127" s="5">
        <f t="shared" si="56"/>
        <v>2</v>
      </c>
      <c r="M127" s="5">
        <f t="shared" ref="M127:S127" si="57">SUM(M117:M126)</f>
        <v>3</v>
      </c>
      <c r="N127" s="5">
        <f t="shared" si="57"/>
        <v>1</v>
      </c>
      <c r="O127" s="5">
        <f t="shared" si="57"/>
        <v>1</v>
      </c>
      <c r="P127" s="5">
        <f t="shared" si="57"/>
        <v>1</v>
      </c>
      <c r="Q127" s="5">
        <f t="shared" si="57"/>
        <v>2</v>
      </c>
      <c r="R127" s="5">
        <f t="shared" si="57"/>
        <v>0</v>
      </c>
      <c r="S127" s="5">
        <f t="shared" si="57"/>
        <v>1</v>
      </c>
      <c r="T127" s="5">
        <f t="shared" si="56"/>
        <v>2</v>
      </c>
      <c r="U127" s="5">
        <f t="shared" si="56"/>
        <v>0</v>
      </c>
      <c r="V127" s="5">
        <f t="shared" si="56"/>
        <v>1</v>
      </c>
      <c r="W127" s="5">
        <f t="shared" si="56"/>
        <v>1</v>
      </c>
      <c r="X127" s="5">
        <f t="shared" si="56"/>
        <v>1</v>
      </c>
      <c r="Y127" s="5">
        <f t="shared" si="56"/>
        <v>0</v>
      </c>
      <c r="Z127" s="5">
        <f t="shared" ref="Z127" si="58">SUM(Z117:Z126)</f>
        <v>3</v>
      </c>
      <c r="AA127" s="5">
        <f t="shared" si="56"/>
        <v>1</v>
      </c>
      <c r="AB127" s="5">
        <f t="shared" si="56"/>
        <v>0</v>
      </c>
      <c r="AC127" s="5">
        <f t="shared" si="56"/>
        <v>23</v>
      </c>
    </row>
    <row r="128" spans="1:29" x14ac:dyDescent="0.3">
      <c r="A128" s="62"/>
      <c r="B128" s="89"/>
      <c r="C128" s="89"/>
      <c r="D128" s="89"/>
      <c r="E128" s="90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</row>
    <row r="129" spans="1:29" x14ac:dyDescent="0.3">
      <c r="A129" s="11" t="s">
        <v>48</v>
      </c>
      <c r="B129" s="17" t="s">
        <v>61</v>
      </c>
      <c r="C129" s="86" t="s">
        <v>62</v>
      </c>
      <c r="D129" s="64"/>
      <c r="E129" s="6">
        <v>1</v>
      </c>
      <c r="F129" s="6">
        <v>0</v>
      </c>
      <c r="G129" s="6">
        <v>1</v>
      </c>
      <c r="H129" s="6">
        <v>0</v>
      </c>
      <c r="I129" s="6">
        <v>0</v>
      </c>
      <c r="J129" s="6">
        <v>2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3</v>
      </c>
      <c r="W129" s="6">
        <v>0</v>
      </c>
      <c r="X129" s="6">
        <v>1</v>
      </c>
      <c r="Y129" s="6">
        <v>0</v>
      </c>
      <c r="Z129" s="6">
        <v>0</v>
      </c>
      <c r="AA129" s="6">
        <v>1</v>
      </c>
      <c r="AB129" s="6">
        <v>0</v>
      </c>
      <c r="AC129" s="5">
        <f t="shared" ref="AC129:AC138" si="59">SUM(E129:AB129)</f>
        <v>9</v>
      </c>
    </row>
    <row r="130" spans="1:29" ht="13.15" customHeight="1" x14ac:dyDescent="0.3">
      <c r="A130" s="11" t="s">
        <v>50</v>
      </c>
      <c r="B130" s="50"/>
      <c r="C130" s="24" t="s">
        <v>167</v>
      </c>
      <c r="D130" s="49"/>
      <c r="E130" s="6">
        <v>1</v>
      </c>
      <c r="F130" s="6">
        <v>1</v>
      </c>
      <c r="G130" s="6">
        <v>0</v>
      </c>
      <c r="H130" s="6">
        <v>0</v>
      </c>
      <c r="I130" s="6">
        <v>1</v>
      </c>
      <c r="J130" s="6">
        <v>0</v>
      </c>
      <c r="K130" s="6">
        <v>0</v>
      </c>
      <c r="L130" s="6">
        <v>0</v>
      </c>
      <c r="M130" s="6">
        <v>1</v>
      </c>
      <c r="N130" s="6">
        <v>2</v>
      </c>
      <c r="O130" s="6">
        <v>1</v>
      </c>
      <c r="P130" s="6">
        <v>2</v>
      </c>
      <c r="Q130" s="6">
        <v>1</v>
      </c>
      <c r="R130" s="6">
        <v>1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5</v>
      </c>
      <c r="Y130" s="6">
        <v>1</v>
      </c>
      <c r="Z130" s="6">
        <v>0</v>
      </c>
      <c r="AA130" s="6">
        <v>0</v>
      </c>
      <c r="AB130" s="6">
        <v>2</v>
      </c>
      <c r="AC130" s="5">
        <f t="shared" si="59"/>
        <v>19</v>
      </c>
    </row>
    <row r="131" spans="1:29" x14ac:dyDescent="0.3">
      <c r="A131" s="7"/>
      <c r="B131" s="50"/>
      <c r="C131" s="24" t="s">
        <v>168</v>
      </c>
      <c r="D131" s="49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1</v>
      </c>
      <c r="K131" s="6">
        <v>1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1</v>
      </c>
      <c r="AA131" s="6">
        <v>0</v>
      </c>
      <c r="AB131" s="6">
        <v>0</v>
      </c>
      <c r="AC131" s="5">
        <f t="shared" si="59"/>
        <v>3</v>
      </c>
    </row>
    <row r="132" spans="1:29" x14ac:dyDescent="0.3">
      <c r="A132" s="7"/>
      <c r="B132" s="50"/>
      <c r="C132" s="24" t="s">
        <v>169</v>
      </c>
      <c r="D132" s="49"/>
      <c r="E132" s="6">
        <v>0</v>
      </c>
      <c r="F132" s="6">
        <v>0</v>
      </c>
      <c r="G132" s="6">
        <v>2</v>
      </c>
      <c r="H132" s="6">
        <v>0</v>
      </c>
      <c r="I132" s="6">
        <v>0</v>
      </c>
      <c r="J132" s="6">
        <v>3</v>
      </c>
      <c r="K132" s="6">
        <v>0</v>
      </c>
      <c r="L132" s="6">
        <v>0</v>
      </c>
      <c r="M132" s="6">
        <v>2</v>
      </c>
      <c r="N132" s="6">
        <v>0</v>
      </c>
      <c r="O132" s="6">
        <v>0</v>
      </c>
      <c r="P132" s="6">
        <v>1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1</v>
      </c>
      <c r="W132" s="6">
        <v>0</v>
      </c>
      <c r="X132" s="6">
        <v>0</v>
      </c>
      <c r="Y132" s="6">
        <v>0</v>
      </c>
      <c r="Z132" s="6">
        <v>1</v>
      </c>
      <c r="AA132" s="6">
        <v>0</v>
      </c>
      <c r="AB132" s="6">
        <v>0</v>
      </c>
      <c r="AC132" s="5">
        <f t="shared" si="59"/>
        <v>10</v>
      </c>
    </row>
    <row r="133" spans="1:29" x14ac:dyDescent="0.3">
      <c r="A133" s="7"/>
      <c r="B133" s="50"/>
      <c r="C133" s="24" t="s">
        <v>170</v>
      </c>
      <c r="D133" s="49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5">
        <f t="shared" si="59"/>
        <v>0</v>
      </c>
    </row>
    <row r="134" spans="1:29" x14ac:dyDescent="0.3">
      <c r="A134" s="7"/>
      <c r="B134" s="50"/>
      <c r="C134" s="24" t="s">
        <v>171</v>
      </c>
      <c r="D134" s="49"/>
      <c r="E134" s="6">
        <v>0</v>
      </c>
      <c r="F134" s="6">
        <v>0</v>
      </c>
      <c r="G134" s="6">
        <v>1</v>
      </c>
      <c r="H134" s="6">
        <v>0</v>
      </c>
      <c r="I134" s="6">
        <v>0</v>
      </c>
      <c r="J134" s="6">
        <v>1</v>
      </c>
      <c r="K134" s="6">
        <v>2</v>
      </c>
      <c r="L134" s="6">
        <v>0</v>
      </c>
      <c r="M134" s="6">
        <v>1</v>
      </c>
      <c r="N134" s="6">
        <v>0</v>
      </c>
      <c r="O134" s="6">
        <v>3</v>
      </c>
      <c r="P134" s="6">
        <v>1</v>
      </c>
      <c r="Q134" s="6">
        <v>1</v>
      </c>
      <c r="R134" s="6">
        <v>4</v>
      </c>
      <c r="S134" s="6">
        <v>0</v>
      </c>
      <c r="T134" s="6">
        <v>1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5">
        <f t="shared" si="59"/>
        <v>15</v>
      </c>
    </row>
    <row r="135" spans="1:29" x14ac:dyDescent="0.3">
      <c r="A135" s="7"/>
      <c r="B135" s="50"/>
      <c r="C135" s="24" t="s">
        <v>172</v>
      </c>
      <c r="D135" s="49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1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5">
        <f t="shared" si="59"/>
        <v>1</v>
      </c>
    </row>
    <row r="136" spans="1:29" x14ac:dyDescent="0.3">
      <c r="A136" s="7"/>
      <c r="B136" s="50"/>
      <c r="C136" s="24" t="s">
        <v>173</v>
      </c>
      <c r="D136" s="49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5">
        <f t="shared" si="59"/>
        <v>0</v>
      </c>
    </row>
    <row r="137" spans="1:29" x14ac:dyDescent="0.3">
      <c r="A137" s="7"/>
      <c r="B137" s="50"/>
      <c r="C137" s="24" t="s">
        <v>174</v>
      </c>
      <c r="D137" s="49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1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5">
        <f t="shared" si="59"/>
        <v>1</v>
      </c>
    </row>
    <row r="138" spans="1:29" x14ac:dyDescent="0.3">
      <c r="A138" s="7"/>
      <c r="B138" s="50"/>
      <c r="C138" s="24" t="s">
        <v>175</v>
      </c>
      <c r="D138" s="49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5">
        <f t="shared" si="59"/>
        <v>0</v>
      </c>
    </row>
    <row r="139" spans="1:29" x14ac:dyDescent="0.3">
      <c r="A139" s="6" t="s">
        <v>26</v>
      </c>
      <c r="B139" s="84" t="s">
        <v>51</v>
      </c>
      <c r="C139" s="87"/>
      <c r="D139" s="88"/>
      <c r="E139" s="5">
        <f t="shared" ref="E139:AC139" si="60">SUM(E129:E138)</f>
        <v>2</v>
      </c>
      <c r="F139" s="5">
        <f t="shared" si="60"/>
        <v>1</v>
      </c>
      <c r="G139" s="5">
        <f t="shared" si="60"/>
        <v>4</v>
      </c>
      <c r="H139" s="5">
        <f t="shared" si="60"/>
        <v>0</v>
      </c>
      <c r="I139" s="5">
        <f t="shared" si="60"/>
        <v>1</v>
      </c>
      <c r="J139" s="5">
        <f t="shared" si="60"/>
        <v>7</v>
      </c>
      <c r="K139" s="5">
        <f t="shared" si="60"/>
        <v>3</v>
      </c>
      <c r="L139" s="5">
        <f t="shared" si="60"/>
        <v>0</v>
      </c>
      <c r="M139" s="5">
        <f t="shared" ref="M139:S139" si="61">SUM(M129:M138)</f>
        <v>4</v>
      </c>
      <c r="N139" s="5">
        <f t="shared" si="61"/>
        <v>2</v>
      </c>
      <c r="O139" s="5">
        <f t="shared" si="61"/>
        <v>4</v>
      </c>
      <c r="P139" s="5">
        <f t="shared" si="61"/>
        <v>4</v>
      </c>
      <c r="Q139" s="5">
        <f t="shared" si="61"/>
        <v>2</v>
      </c>
      <c r="R139" s="5">
        <f t="shared" si="61"/>
        <v>5</v>
      </c>
      <c r="S139" s="5">
        <f t="shared" si="61"/>
        <v>1</v>
      </c>
      <c r="T139" s="5">
        <f t="shared" si="60"/>
        <v>1</v>
      </c>
      <c r="U139" s="5">
        <f t="shared" si="60"/>
        <v>0</v>
      </c>
      <c r="V139" s="5">
        <f t="shared" si="60"/>
        <v>4</v>
      </c>
      <c r="W139" s="5">
        <f t="shared" si="60"/>
        <v>1</v>
      </c>
      <c r="X139" s="5">
        <f t="shared" si="60"/>
        <v>6</v>
      </c>
      <c r="Y139" s="5">
        <f t="shared" si="60"/>
        <v>1</v>
      </c>
      <c r="Z139" s="5">
        <f t="shared" ref="Z139" si="62">SUM(Z129:Z138)</f>
        <v>2</v>
      </c>
      <c r="AA139" s="5">
        <f t="shared" si="60"/>
        <v>1</v>
      </c>
      <c r="AB139" s="5">
        <f t="shared" si="60"/>
        <v>2</v>
      </c>
      <c r="AC139" s="5">
        <f t="shared" si="60"/>
        <v>58</v>
      </c>
    </row>
    <row r="140" spans="1:29" x14ac:dyDescent="0.3">
      <c r="A140" s="62"/>
      <c r="B140" s="89"/>
      <c r="C140" s="89"/>
      <c r="D140" s="89"/>
      <c r="E140" s="90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</row>
    <row r="141" spans="1:29" ht="13.15" customHeight="1" x14ac:dyDescent="0.3">
      <c r="A141" s="11" t="s">
        <v>48</v>
      </c>
      <c r="B141" s="17" t="s">
        <v>63</v>
      </c>
      <c r="C141" s="86" t="s">
        <v>64</v>
      </c>
      <c r="D141" s="64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>
        <v>1</v>
      </c>
      <c r="U141" s="6"/>
      <c r="V141" s="6"/>
      <c r="W141" s="6"/>
      <c r="X141" s="6"/>
      <c r="Y141" s="6"/>
      <c r="Z141" s="6"/>
      <c r="AA141" s="6"/>
      <c r="AB141" s="6"/>
      <c r="AC141" s="5">
        <f>SUM(E141:AB141)</f>
        <v>1</v>
      </c>
    </row>
    <row r="142" spans="1:29" x14ac:dyDescent="0.3">
      <c r="A142" s="11" t="s">
        <v>50</v>
      </c>
      <c r="B142" s="50"/>
      <c r="C142" s="24" t="s">
        <v>176</v>
      </c>
      <c r="D142" s="49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5">
        <f>SUM(E142:AB142)</f>
        <v>0</v>
      </c>
    </row>
    <row r="143" spans="1:29" x14ac:dyDescent="0.3">
      <c r="A143" s="7"/>
      <c r="B143" s="50"/>
      <c r="C143" s="24" t="s">
        <v>177</v>
      </c>
      <c r="D143" s="49"/>
      <c r="E143" s="6"/>
      <c r="F143" s="6"/>
      <c r="G143" s="6"/>
      <c r="H143" s="6"/>
      <c r="I143" s="6"/>
      <c r="J143" s="6"/>
      <c r="K143" s="6"/>
      <c r="L143" s="6"/>
      <c r="M143" s="6"/>
      <c r="N143" s="6">
        <v>1</v>
      </c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5">
        <f>SUM(E143:AB143)</f>
        <v>1</v>
      </c>
    </row>
    <row r="144" spans="1:29" x14ac:dyDescent="0.3">
      <c r="A144" s="7"/>
      <c r="B144" s="50"/>
      <c r="C144" s="24" t="s">
        <v>178</v>
      </c>
      <c r="D144" s="49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5">
        <f t="shared" ref="AC144:AC150" si="63">SUM(E144:AB144)</f>
        <v>0</v>
      </c>
    </row>
    <row r="145" spans="1:29" x14ac:dyDescent="0.3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5">
        <f t="shared" si="63"/>
        <v>0</v>
      </c>
    </row>
    <row r="146" spans="1:29" x14ac:dyDescent="0.3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5">
        <f t="shared" si="63"/>
        <v>0</v>
      </c>
    </row>
    <row r="147" spans="1:29" x14ac:dyDescent="0.3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5">
        <f t="shared" si="63"/>
        <v>0</v>
      </c>
    </row>
    <row r="148" spans="1:29" x14ac:dyDescent="0.3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5">
        <f t="shared" si="63"/>
        <v>0</v>
      </c>
    </row>
    <row r="149" spans="1:29" x14ac:dyDescent="0.3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5">
        <f t="shared" si="63"/>
        <v>0</v>
      </c>
    </row>
    <row r="150" spans="1:29" x14ac:dyDescent="0.3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5">
        <f t="shared" si="63"/>
        <v>0</v>
      </c>
    </row>
    <row r="151" spans="1:29" ht="13.15" customHeight="1" x14ac:dyDescent="0.3">
      <c r="A151" s="6" t="s">
        <v>26</v>
      </c>
      <c r="B151" s="84" t="s">
        <v>51</v>
      </c>
      <c r="C151" s="87"/>
      <c r="D151" s="88"/>
      <c r="E151" s="5">
        <f t="shared" ref="E151:AC151" si="64">SUM(E141:E150)</f>
        <v>0</v>
      </c>
      <c r="F151" s="5">
        <f t="shared" si="64"/>
        <v>0</v>
      </c>
      <c r="G151" s="5">
        <f t="shared" si="64"/>
        <v>0</v>
      </c>
      <c r="H151" s="5">
        <f t="shared" si="64"/>
        <v>0</v>
      </c>
      <c r="I151" s="5">
        <f t="shared" si="64"/>
        <v>0</v>
      </c>
      <c r="J151" s="5">
        <f t="shared" si="64"/>
        <v>0</v>
      </c>
      <c r="K151" s="5">
        <f t="shared" si="64"/>
        <v>0</v>
      </c>
      <c r="L151" s="5">
        <f t="shared" si="64"/>
        <v>0</v>
      </c>
      <c r="M151" s="5">
        <f t="shared" ref="M151:S151" si="65">SUM(M141:M150)</f>
        <v>0</v>
      </c>
      <c r="N151" s="5">
        <f t="shared" si="65"/>
        <v>1</v>
      </c>
      <c r="O151" s="5">
        <f t="shared" si="65"/>
        <v>0</v>
      </c>
      <c r="P151" s="5">
        <f t="shared" si="65"/>
        <v>0</v>
      </c>
      <c r="Q151" s="5">
        <f t="shared" si="65"/>
        <v>0</v>
      </c>
      <c r="R151" s="5">
        <f t="shared" si="65"/>
        <v>0</v>
      </c>
      <c r="S151" s="5">
        <f t="shared" si="65"/>
        <v>0</v>
      </c>
      <c r="T151" s="5">
        <f t="shared" si="64"/>
        <v>1</v>
      </c>
      <c r="U151" s="5">
        <f t="shared" si="64"/>
        <v>0</v>
      </c>
      <c r="V151" s="5">
        <f t="shared" si="64"/>
        <v>0</v>
      </c>
      <c r="W151" s="5">
        <f t="shared" si="64"/>
        <v>0</v>
      </c>
      <c r="X151" s="5">
        <f t="shared" si="64"/>
        <v>0</v>
      </c>
      <c r="Y151" s="5">
        <f t="shared" si="64"/>
        <v>0</v>
      </c>
      <c r="Z151" s="5">
        <f t="shared" ref="Z151" si="66">SUM(Z141:Z150)</f>
        <v>0</v>
      </c>
      <c r="AA151" s="5">
        <f t="shared" si="64"/>
        <v>0</v>
      </c>
      <c r="AB151" s="5">
        <f t="shared" si="64"/>
        <v>0</v>
      </c>
      <c r="AC151" s="5">
        <f t="shared" si="64"/>
        <v>2</v>
      </c>
    </row>
    <row r="152" spans="1:29" x14ac:dyDescent="0.3">
      <c r="A152" s="62"/>
      <c r="B152" s="89"/>
      <c r="C152" s="89"/>
      <c r="D152" s="89"/>
      <c r="E152" s="90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5"/>
    </row>
    <row r="153" spans="1:29" x14ac:dyDescent="0.3">
      <c r="A153" s="11" t="s">
        <v>48</v>
      </c>
      <c r="B153" s="44" t="s">
        <v>65</v>
      </c>
      <c r="C153" s="91" t="s">
        <v>66</v>
      </c>
      <c r="D153" s="78"/>
      <c r="E153" s="6">
        <v>0</v>
      </c>
      <c r="F153" s="6">
        <v>0</v>
      </c>
      <c r="G153" s="6">
        <v>0</v>
      </c>
      <c r="H153" s="6">
        <v>0</v>
      </c>
      <c r="I153" s="6">
        <v>1</v>
      </c>
      <c r="J153" s="6">
        <v>1</v>
      </c>
      <c r="K153" s="6">
        <v>0</v>
      </c>
      <c r="L153" s="6">
        <v>1</v>
      </c>
      <c r="M153" s="6">
        <v>1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5">
        <f>SUM(E153:AB153)</f>
        <v>4</v>
      </c>
    </row>
    <row r="154" spans="1:29" x14ac:dyDescent="0.3">
      <c r="A154" s="52" t="s">
        <v>50</v>
      </c>
      <c r="B154" s="50"/>
      <c r="C154" s="24" t="s">
        <v>179</v>
      </c>
      <c r="D154" s="49"/>
      <c r="E154" s="53">
        <v>5</v>
      </c>
      <c r="F154" s="6">
        <v>2</v>
      </c>
      <c r="G154" s="6">
        <v>0</v>
      </c>
      <c r="H154" s="6">
        <v>0</v>
      </c>
      <c r="I154" s="6">
        <v>1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1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1</v>
      </c>
      <c r="AA154" s="6">
        <v>0</v>
      </c>
      <c r="AB154" s="6">
        <v>0</v>
      </c>
      <c r="AC154" s="5">
        <f t="shared" ref="AC154:AC160" si="67">SUM(E154:AB154)</f>
        <v>10</v>
      </c>
    </row>
    <row r="155" spans="1:29" x14ac:dyDescent="0.3">
      <c r="A155" s="7"/>
      <c r="B155" s="50"/>
      <c r="C155" s="24" t="s">
        <v>180</v>
      </c>
      <c r="D155" s="49"/>
      <c r="E155" s="53">
        <v>0</v>
      </c>
      <c r="F155" s="6">
        <v>0</v>
      </c>
      <c r="G155" s="6">
        <v>0</v>
      </c>
      <c r="H155" s="6">
        <v>1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1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5">
        <f t="shared" si="67"/>
        <v>2</v>
      </c>
    </row>
    <row r="156" spans="1:29" x14ac:dyDescent="0.3">
      <c r="A156" s="7"/>
      <c r="B156" s="50"/>
      <c r="C156" s="24" t="s">
        <v>181</v>
      </c>
      <c r="D156" s="49"/>
      <c r="E156" s="53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1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5">
        <f t="shared" si="67"/>
        <v>1</v>
      </c>
    </row>
    <row r="157" spans="1:29" x14ac:dyDescent="0.3">
      <c r="A157" s="7"/>
      <c r="B157" s="50"/>
      <c r="C157" s="24" t="s">
        <v>182</v>
      </c>
      <c r="D157" s="49"/>
      <c r="E157" s="53">
        <v>1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2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1</v>
      </c>
      <c r="AA157" s="6">
        <v>0</v>
      </c>
      <c r="AB157" s="6">
        <v>0</v>
      </c>
      <c r="AC157" s="5">
        <f t="shared" si="67"/>
        <v>4</v>
      </c>
    </row>
    <row r="158" spans="1:29" x14ac:dyDescent="0.3">
      <c r="A158" s="7"/>
      <c r="B158" s="50"/>
      <c r="C158" s="24" t="s">
        <v>183</v>
      </c>
      <c r="D158" s="49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5">
        <f t="shared" si="67"/>
        <v>0</v>
      </c>
    </row>
    <row r="159" spans="1:29" x14ac:dyDescent="0.3">
      <c r="A159" s="7"/>
      <c r="B159" s="50"/>
      <c r="C159" s="24" t="s">
        <v>184</v>
      </c>
      <c r="D159" s="49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1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5">
        <f t="shared" si="67"/>
        <v>1</v>
      </c>
    </row>
    <row r="160" spans="1:29" x14ac:dyDescent="0.3">
      <c r="A160" s="7"/>
      <c r="B160" s="50"/>
      <c r="C160" s="24" t="s">
        <v>185</v>
      </c>
      <c r="D160" s="49"/>
      <c r="E160" s="53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5">
        <f t="shared" si="67"/>
        <v>0</v>
      </c>
    </row>
    <row r="161" spans="1:29" x14ac:dyDescent="0.3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5">
        <f t="shared" ref="AC161:AC162" si="68">SUM(E167:AB167)</f>
        <v>0</v>
      </c>
    </row>
    <row r="162" spans="1:29" x14ac:dyDescent="0.3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5">
        <f t="shared" si="68"/>
        <v>0</v>
      </c>
    </row>
    <row r="163" spans="1:29" x14ac:dyDescent="0.3">
      <c r="A163" s="6" t="s">
        <v>26</v>
      </c>
      <c r="B163" s="92" t="s">
        <v>51</v>
      </c>
      <c r="C163" s="93"/>
      <c r="D163" s="94"/>
      <c r="E163" s="5">
        <f t="shared" ref="E163:AC163" si="69">SUM(E153:E162)</f>
        <v>6</v>
      </c>
      <c r="F163" s="5">
        <f t="shared" si="69"/>
        <v>2</v>
      </c>
      <c r="G163" s="5">
        <f t="shared" si="69"/>
        <v>0</v>
      </c>
      <c r="H163" s="5">
        <f t="shared" si="69"/>
        <v>1</v>
      </c>
      <c r="I163" s="5">
        <f t="shared" si="69"/>
        <v>2</v>
      </c>
      <c r="J163" s="5">
        <f t="shared" si="69"/>
        <v>1</v>
      </c>
      <c r="K163" s="5">
        <f t="shared" si="69"/>
        <v>0</v>
      </c>
      <c r="L163" s="5">
        <f t="shared" si="69"/>
        <v>2</v>
      </c>
      <c r="M163" s="5">
        <f t="shared" ref="M163:S163" si="70">SUM(M153:M162)</f>
        <v>3</v>
      </c>
      <c r="N163" s="5">
        <f t="shared" si="70"/>
        <v>0</v>
      </c>
      <c r="O163" s="5">
        <f t="shared" si="70"/>
        <v>0</v>
      </c>
      <c r="P163" s="5">
        <f t="shared" si="70"/>
        <v>0</v>
      </c>
      <c r="Q163" s="5">
        <f t="shared" si="70"/>
        <v>0</v>
      </c>
      <c r="R163" s="5">
        <f t="shared" si="70"/>
        <v>0</v>
      </c>
      <c r="S163" s="5">
        <f t="shared" si="70"/>
        <v>1</v>
      </c>
      <c r="T163" s="5">
        <f t="shared" si="69"/>
        <v>0</v>
      </c>
      <c r="U163" s="5">
        <f t="shared" si="69"/>
        <v>0</v>
      </c>
      <c r="V163" s="5">
        <f t="shared" si="69"/>
        <v>0</v>
      </c>
      <c r="W163" s="5">
        <f t="shared" si="69"/>
        <v>2</v>
      </c>
      <c r="X163" s="5">
        <f t="shared" si="69"/>
        <v>0</v>
      </c>
      <c r="Y163" s="5">
        <f t="shared" si="69"/>
        <v>0</v>
      </c>
      <c r="Z163" s="5">
        <f t="shared" ref="Z163" si="71">SUM(Z153:Z162)</f>
        <v>2</v>
      </c>
      <c r="AA163" s="5">
        <f t="shared" si="69"/>
        <v>0</v>
      </c>
      <c r="AB163" s="5">
        <f t="shared" si="69"/>
        <v>0</v>
      </c>
      <c r="AC163" s="5">
        <f t="shared" si="69"/>
        <v>22</v>
      </c>
    </row>
    <row r="164" spans="1:29" x14ac:dyDescent="0.3">
      <c r="A164" s="62"/>
      <c r="B164" s="89"/>
      <c r="C164" s="89"/>
      <c r="D164" s="89"/>
      <c r="E164" s="90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</row>
    <row r="165" spans="1:29" ht="13.15" customHeight="1" x14ac:dyDescent="0.3">
      <c r="A165" s="11" t="s">
        <v>48</v>
      </c>
      <c r="B165" s="17" t="s">
        <v>67</v>
      </c>
      <c r="C165" s="86" t="s">
        <v>68</v>
      </c>
      <c r="D165" s="64"/>
      <c r="E165" s="6">
        <v>0</v>
      </c>
      <c r="F165" s="6">
        <v>2</v>
      </c>
      <c r="G165" s="6">
        <v>0</v>
      </c>
      <c r="H165" s="6">
        <v>0</v>
      </c>
      <c r="I165" s="6">
        <v>0</v>
      </c>
      <c r="J165" s="6">
        <v>0</v>
      </c>
      <c r="K165" s="6">
        <v>1</v>
      </c>
      <c r="L165" s="6">
        <v>0</v>
      </c>
      <c r="M165" s="6">
        <v>1</v>
      </c>
      <c r="N165" s="6">
        <v>0</v>
      </c>
      <c r="O165" s="6">
        <v>0</v>
      </c>
      <c r="P165" s="6">
        <v>0</v>
      </c>
      <c r="Q165" s="6">
        <v>1</v>
      </c>
      <c r="R165" s="6">
        <v>1</v>
      </c>
      <c r="S165" s="6">
        <v>0</v>
      </c>
      <c r="T165" s="6"/>
      <c r="U165" s="6"/>
      <c r="V165" s="6">
        <v>1</v>
      </c>
      <c r="W165" s="6"/>
      <c r="X165" s="6"/>
      <c r="Y165" s="6"/>
      <c r="Z165" s="6"/>
      <c r="AA165" s="6"/>
      <c r="AB165" s="6"/>
      <c r="AC165" s="5">
        <f>SUM(E165:AB165)</f>
        <v>7</v>
      </c>
    </row>
    <row r="166" spans="1:29" x14ac:dyDescent="0.3">
      <c r="A166" s="11" t="s">
        <v>50</v>
      </c>
      <c r="B166" s="50"/>
      <c r="C166" s="24" t="s">
        <v>186</v>
      </c>
      <c r="D166" s="49"/>
      <c r="E166" s="6">
        <v>0</v>
      </c>
      <c r="F166" s="6">
        <v>1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1</v>
      </c>
      <c r="M166" s="6">
        <v>0</v>
      </c>
      <c r="N166" s="6">
        <v>1</v>
      </c>
      <c r="O166" s="6">
        <v>0</v>
      </c>
      <c r="P166" s="6">
        <v>1</v>
      </c>
      <c r="Q166" s="6">
        <v>0</v>
      </c>
      <c r="R166" s="6">
        <v>0</v>
      </c>
      <c r="S166" s="6">
        <v>0</v>
      </c>
      <c r="T166" s="6"/>
      <c r="U166" s="6"/>
      <c r="V166" s="6">
        <v>1</v>
      </c>
      <c r="W166" s="6"/>
      <c r="X166" s="6"/>
      <c r="Y166" s="6"/>
      <c r="Z166" s="6"/>
      <c r="AA166" s="6"/>
      <c r="AB166" s="6">
        <v>1</v>
      </c>
      <c r="AC166" s="5">
        <f>SUM(E166:AB166)</f>
        <v>6</v>
      </c>
    </row>
    <row r="167" spans="1:29" x14ac:dyDescent="0.3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5">
        <f t="shared" ref="AC167:AC174" si="72">SUM(E167:AB167)</f>
        <v>0</v>
      </c>
    </row>
    <row r="168" spans="1:29" x14ac:dyDescent="0.3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5">
        <f t="shared" si="72"/>
        <v>0</v>
      </c>
    </row>
    <row r="169" spans="1:29" x14ac:dyDescent="0.3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5">
        <f t="shared" si="72"/>
        <v>0</v>
      </c>
    </row>
    <row r="170" spans="1:29" x14ac:dyDescent="0.3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5">
        <f t="shared" si="72"/>
        <v>0</v>
      </c>
    </row>
    <row r="171" spans="1:29" x14ac:dyDescent="0.3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5">
        <f t="shared" si="72"/>
        <v>0</v>
      </c>
    </row>
    <row r="172" spans="1:29" x14ac:dyDescent="0.3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5">
        <f t="shared" si="72"/>
        <v>0</v>
      </c>
    </row>
    <row r="173" spans="1:29" x14ac:dyDescent="0.3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5">
        <f t="shared" si="72"/>
        <v>0</v>
      </c>
    </row>
    <row r="174" spans="1:29" x14ac:dyDescent="0.3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5">
        <f t="shared" si="72"/>
        <v>0</v>
      </c>
    </row>
    <row r="175" spans="1:29" x14ac:dyDescent="0.3">
      <c r="A175" s="6" t="s">
        <v>26</v>
      </c>
      <c r="B175" s="84" t="s">
        <v>51</v>
      </c>
      <c r="C175" s="87"/>
      <c r="D175" s="88"/>
      <c r="E175" s="5">
        <f t="shared" ref="E175:AC175" si="73">SUM(E165:E174)</f>
        <v>0</v>
      </c>
      <c r="F175" s="5">
        <f t="shared" si="73"/>
        <v>3</v>
      </c>
      <c r="G175" s="5">
        <f t="shared" si="73"/>
        <v>0</v>
      </c>
      <c r="H175" s="5">
        <f t="shared" si="73"/>
        <v>0</v>
      </c>
      <c r="I175" s="5">
        <f t="shared" si="73"/>
        <v>0</v>
      </c>
      <c r="J175" s="5">
        <f t="shared" si="73"/>
        <v>0</v>
      </c>
      <c r="K175" s="5">
        <f t="shared" si="73"/>
        <v>1</v>
      </c>
      <c r="L175" s="5">
        <f t="shared" si="73"/>
        <v>1</v>
      </c>
      <c r="M175" s="5">
        <f t="shared" ref="M175:S175" si="74">SUM(M165:M174)</f>
        <v>1</v>
      </c>
      <c r="N175" s="5">
        <f t="shared" si="74"/>
        <v>1</v>
      </c>
      <c r="O175" s="5">
        <f t="shared" si="74"/>
        <v>0</v>
      </c>
      <c r="P175" s="5">
        <f t="shared" si="74"/>
        <v>1</v>
      </c>
      <c r="Q175" s="5">
        <f t="shared" si="74"/>
        <v>1</v>
      </c>
      <c r="R175" s="5">
        <f t="shared" si="74"/>
        <v>1</v>
      </c>
      <c r="S175" s="5">
        <f t="shared" si="74"/>
        <v>0</v>
      </c>
      <c r="T175" s="5">
        <f t="shared" si="73"/>
        <v>0</v>
      </c>
      <c r="U175" s="5">
        <f t="shared" si="73"/>
        <v>0</v>
      </c>
      <c r="V175" s="5">
        <f t="shared" si="73"/>
        <v>2</v>
      </c>
      <c r="W175" s="5">
        <f t="shared" si="73"/>
        <v>0</v>
      </c>
      <c r="X175" s="5">
        <f t="shared" si="73"/>
        <v>0</v>
      </c>
      <c r="Y175" s="5">
        <f t="shared" si="73"/>
        <v>0</v>
      </c>
      <c r="Z175" s="5">
        <f t="shared" ref="Z175" si="75">SUM(Z165:Z174)</f>
        <v>0</v>
      </c>
      <c r="AA175" s="5">
        <f t="shared" si="73"/>
        <v>0</v>
      </c>
      <c r="AB175" s="5">
        <f t="shared" si="73"/>
        <v>1</v>
      </c>
      <c r="AC175" s="5">
        <f t="shared" si="73"/>
        <v>13</v>
      </c>
    </row>
    <row r="176" spans="1:29" ht="13.15" customHeight="1" x14ac:dyDescent="0.3">
      <c r="A176" s="62"/>
      <c r="B176" s="89"/>
      <c r="C176" s="89"/>
      <c r="D176" s="89"/>
      <c r="E176" s="90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</row>
    <row r="177" spans="1:29" x14ac:dyDescent="0.3">
      <c r="A177" s="11" t="s">
        <v>48</v>
      </c>
      <c r="B177" s="17" t="s">
        <v>69</v>
      </c>
      <c r="C177" s="86" t="s">
        <v>70</v>
      </c>
      <c r="D177" s="64"/>
      <c r="E177" s="6">
        <v>1</v>
      </c>
      <c r="F177" s="6">
        <v>3</v>
      </c>
      <c r="G177" s="6">
        <v>0</v>
      </c>
      <c r="H177" s="6">
        <v>0</v>
      </c>
      <c r="I177" s="6">
        <v>1</v>
      </c>
      <c r="J177" s="6">
        <v>0</v>
      </c>
      <c r="K177" s="6">
        <v>0</v>
      </c>
      <c r="L177" s="6">
        <v>0</v>
      </c>
      <c r="M177" s="6"/>
      <c r="N177" s="6">
        <v>1</v>
      </c>
      <c r="O177" s="6">
        <v>0</v>
      </c>
      <c r="P177" s="6"/>
      <c r="Q177" s="6">
        <v>1</v>
      </c>
      <c r="R177" s="6">
        <v>0</v>
      </c>
      <c r="S177" s="6">
        <v>0</v>
      </c>
      <c r="T177" s="6"/>
      <c r="U177" s="6"/>
      <c r="V177" s="6"/>
      <c r="W177" s="6">
        <v>1</v>
      </c>
      <c r="X177" s="6"/>
      <c r="Y177" s="6"/>
      <c r="Z177" s="6"/>
      <c r="AA177" s="6">
        <v>1</v>
      </c>
      <c r="AB177" s="6"/>
      <c r="AC177" s="5">
        <f t="shared" ref="AC177:AC186" si="76">SUM(E177:AB177)</f>
        <v>9</v>
      </c>
    </row>
    <row r="178" spans="1:29" x14ac:dyDescent="0.3">
      <c r="A178" s="11" t="s">
        <v>50</v>
      </c>
      <c r="B178" s="50"/>
      <c r="C178" s="24" t="s">
        <v>187</v>
      </c>
      <c r="D178" s="49"/>
      <c r="E178" s="6">
        <v>0</v>
      </c>
      <c r="F178" s="6">
        <v>0</v>
      </c>
      <c r="G178" s="6">
        <v>1</v>
      </c>
      <c r="H178" s="6">
        <v>1</v>
      </c>
      <c r="I178" s="6">
        <v>0</v>
      </c>
      <c r="J178" s="6">
        <v>1</v>
      </c>
      <c r="K178" s="6">
        <v>0</v>
      </c>
      <c r="L178" s="6">
        <v>0</v>
      </c>
      <c r="M178" s="6">
        <v>1</v>
      </c>
      <c r="N178" s="6">
        <v>1</v>
      </c>
      <c r="O178" s="6">
        <v>1</v>
      </c>
      <c r="P178" s="6">
        <v>0</v>
      </c>
      <c r="Q178" s="6">
        <v>0</v>
      </c>
      <c r="R178" s="6">
        <v>0</v>
      </c>
      <c r="S178" s="6">
        <v>1</v>
      </c>
      <c r="T178" s="6">
        <v>1</v>
      </c>
      <c r="U178" s="6"/>
      <c r="V178" s="6">
        <v>1</v>
      </c>
      <c r="W178" s="6"/>
      <c r="X178" s="6"/>
      <c r="Y178" s="6"/>
      <c r="Z178" s="6"/>
      <c r="AA178" s="6"/>
      <c r="AB178" s="6"/>
      <c r="AC178" s="5">
        <f t="shared" si="76"/>
        <v>9</v>
      </c>
    </row>
    <row r="179" spans="1:29" x14ac:dyDescent="0.3">
      <c r="A179" s="7"/>
      <c r="B179" s="50"/>
      <c r="C179" s="24" t="s">
        <v>188</v>
      </c>
      <c r="D179" s="49"/>
      <c r="E179" s="6">
        <v>1</v>
      </c>
      <c r="F179" s="6">
        <v>0</v>
      </c>
      <c r="G179" s="6">
        <v>0</v>
      </c>
      <c r="H179" s="6">
        <v>0</v>
      </c>
      <c r="I179" s="6">
        <v>1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/>
      <c r="U179" s="6"/>
      <c r="V179" s="6"/>
      <c r="W179" s="6"/>
      <c r="X179" s="6"/>
      <c r="Y179" s="6"/>
      <c r="Z179" s="6"/>
      <c r="AA179" s="6"/>
      <c r="AB179" s="6"/>
      <c r="AC179" s="5">
        <f t="shared" si="76"/>
        <v>2</v>
      </c>
    </row>
    <row r="180" spans="1:29" x14ac:dyDescent="0.3">
      <c r="A180" s="7"/>
      <c r="B180" s="50"/>
      <c r="C180" s="24" t="s">
        <v>189</v>
      </c>
      <c r="D180" s="49"/>
      <c r="E180" s="6">
        <v>0</v>
      </c>
      <c r="F180" s="6">
        <v>0</v>
      </c>
      <c r="G180" s="6">
        <v>1</v>
      </c>
      <c r="H180" s="6">
        <v>0</v>
      </c>
      <c r="I180" s="6">
        <v>0</v>
      </c>
      <c r="J180" s="6">
        <v>0</v>
      </c>
      <c r="K180" s="6">
        <v>1</v>
      </c>
      <c r="L180" s="6">
        <v>0</v>
      </c>
      <c r="M180" s="6">
        <v>0</v>
      </c>
      <c r="N180" s="6">
        <v>1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/>
      <c r="U180" s="6"/>
      <c r="V180" s="6"/>
      <c r="W180" s="6"/>
      <c r="X180" s="6">
        <v>1</v>
      </c>
      <c r="Y180" s="6"/>
      <c r="Z180" s="6"/>
      <c r="AA180" s="6"/>
      <c r="AB180" s="6"/>
      <c r="AC180" s="5">
        <f t="shared" si="76"/>
        <v>4</v>
      </c>
    </row>
    <row r="181" spans="1:29" x14ac:dyDescent="0.3">
      <c r="A181" s="7"/>
      <c r="B181" s="50"/>
      <c r="C181" s="24" t="s">
        <v>190</v>
      </c>
      <c r="D181" s="49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>
        <v>1</v>
      </c>
      <c r="X181" s="6"/>
      <c r="Y181" s="6"/>
      <c r="Z181" s="6"/>
      <c r="AA181" s="6"/>
      <c r="AB181" s="6"/>
      <c r="AC181" s="5">
        <f t="shared" si="76"/>
        <v>1</v>
      </c>
    </row>
    <row r="182" spans="1:29" x14ac:dyDescent="0.3">
      <c r="A182" s="7"/>
      <c r="B182" s="50"/>
      <c r="C182" s="24" t="s">
        <v>191</v>
      </c>
      <c r="D182" s="49"/>
      <c r="E182" s="6"/>
      <c r="F182" s="6"/>
      <c r="G182" s="6"/>
      <c r="H182" s="6"/>
      <c r="I182" s="6"/>
      <c r="J182" s="6"/>
      <c r="K182" s="6"/>
      <c r="L182" s="6"/>
      <c r="M182" s="6"/>
      <c r="N182" s="6">
        <v>1</v>
      </c>
      <c r="O182" s="6"/>
      <c r="P182" s="6"/>
      <c r="Q182" s="6"/>
      <c r="R182" s="6"/>
      <c r="S182" s="6"/>
      <c r="T182" s="6"/>
      <c r="U182" s="6"/>
      <c r="V182" s="6"/>
      <c r="W182" s="6">
        <v>1</v>
      </c>
      <c r="X182" s="6"/>
      <c r="Y182" s="6"/>
      <c r="Z182" s="6"/>
      <c r="AA182" s="6"/>
      <c r="AB182" s="6"/>
      <c r="AC182" s="5">
        <f t="shared" si="76"/>
        <v>2</v>
      </c>
    </row>
    <row r="183" spans="1:29" x14ac:dyDescent="0.3">
      <c r="A183" s="7"/>
      <c r="B183" s="50"/>
      <c r="C183" s="24" t="s">
        <v>192</v>
      </c>
      <c r="D183" s="49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>
        <v>1</v>
      </c>
      <c r="Z183" s="6"/>
      <c r="AA183" s="6"/>
      <c r="AB183" s="6"/>
      <c r="AC183" s="5">
        <f t="shared" si="76"/>
        <v>1</v>
      </c>
    </row>
    <row r="184" spans="1:29" x14ac:dyDescent="0.3">
      <c r="A184" s="7"/>
      <c r="B184" s="50"/>
      <c r="C184" s="24" t="s">
        <v>193</v>
      </c>
      <c r="D184" s="49"/>
      <c r="E184" s="6"/>
      <c r="F184" s="6"/>
      <c r="G184" s="6"/>
      <c r="H184" s="6"/>
      <c r="I184" s="6"/>
      <c r="J184" s="6"/>
      <c r="K184" s="6"/>
      <c r="L184" s="6"/>
      <c r="M184" s="6">
        <v>1</v>
      </c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5">
        <f t="shared" si="76"/>
        <v>1</v>
      </c>
    </row>
    <row r="185" spans="1:29" x14ac:dyDescent="0.3">
      <c r="A185" s="7"/>
      <c r="B185" s="50"/>
      <c r="C185" s="24" t="s">
        <v>194</v>
      </c>
      <c r="D185" s="49"/>
      <c r="E185" s="6"/>
      <c r="F185" s="6"/>
      <c r="G185" s="6"/>
      <c r="H185" s="6"/>
      <c r="I185" s="6">
        <v>1</v>
      </c>
      <c r="J185" s="6">
        <v>1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5">
        <f t="shared" si="76"/>
        <v>2</v>
      </c>
    </row>
    <row r="186" spans="1:29" x14ac:dyDescent="0.3">
      <c r="A186" s="7"/>
      <c r="B186" s="50"/>
      <c r="C186" s="24" t="s">
        <v>195</v>
      </c>
      <c r="D186" s="49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5">
        <f t="shared" si="76"/>
        <v>0</v>
      </c>
    </row>
    <row r="187" spans="1:29" ht="13.15" customHeight="1" x14ac:dyDescent="0.3">
      <c r="A187" s="6" t="s">
        <v>26</v>
      </c>
      <c r="B187" s="84" t="s">
        <v>51</v>
      </c>
      <c r="C187" s="87"/>
      <c r="D187" s="88"/>
      <c r="E187" s="5">
        <f t="shared" ref="E187:AC187" si="77">SUM(E177:E186)</f>
        <v>2</v>
      </c>
      <c r="F187" s="5">
        <f t="shared" si="77"/>
        <v>3</v>
      </c>
      <c r="G187" s="5">
        <f t="shared" si="77"/>
        <v>2</v>
      </c>
      <c r="H187" s="5">
        <f t="shared" si="77"/>
        <v>1</v>
      </c>
      <c r="I187" s="5">
        <f t="shared" si="77"/>
        <v>3</v>
      </c>
      <c r="J187" s="5">
        <f t="shared" si="77"/>
        <v>2</v>
      </c>
      <c r="K187" s="5">
        <f t="shared" si="77"/>
        <v>1</v>
      </c>
      <c r="L187" s="5">
        <f t="shared" si="77"/>
        <v>0</v>
      </c>
      <c r="M187" s="5">
        <f t="shared" ref="M187:S187" si="78">SUM(M177:M186)</f>
        <v>2</v>
      </c>
      <c r="N187" s="5">
        <f t="shared" si="78"/>
        <v>4</v>
      </c>
      <c r="O187" s="5">
        <f t="shared" si="78"/>
        <v>1</v>
      </c>
      <c r="P187" s="5">
        <f t="shared" si="78"/>
        <v>0</v>
      </c>
      <c r="Q187" s="5">
        <f t="shared" si="78"/>
        <v>1</v>
      </c>
      <c r="R187" s="5">
        <f t="shared" si="78"/>
        <v>0</v>
      </c>
      <c r="S187" s="5">
        <f t="shared" si="78"/>
        <v>1</v>
      </c>
      <c r="T187" s="5">
        <f t="shared" si="77"/>
        <v>1</v>
      </c>
      <c r="U187" s="5">
        <f t="shared" si="77"/>
        <v>0</v>
      </c>
      <c r="V187" s="5">
        <f t="shared" si="77"/>
        <v>1</v>
      </c>
      <c r="W187" s="5">
        <f t="shared" si="77"/>
        <v>3</v>
      </c>
      <c r="X187" s="5">
        <f t="shared" si="77"/>
        <v>1</v>
      </c>
      <c r="Y187" s="5">
        <f t="shared" si="77"/>
        <v>1</v>
      </c>
      <c r="Z187" s="5">
        <f t="shared" ref="Z187" si="79">SUM(Z177:Z186)</f>
        <v>0</v>
      </c>
      <c r="AA187" s="5">
        <f t="shared" si="77"/>
        <v>1</v>
      </c>
      <c r="AB187" s="5">
        <f t="shared" si="77"/>
        <v>0</v>
      </c>
      <c r="AC187" s="5">
        <f t="shared" si="77"/>
        <v>31</v>
      </c>
    </row>
    <row r="188" spans="1:29" x14ac:dyDescent="0.3">
      <c r="A188" s="62"/>
      <c r="B188" s="89"/>
      <c r="C188" s="89"/>
      <c r="D188" s="89"/>
      <c r="E188" s="90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5"/>
    </row>
    <row r="189" spans="1:29" x14ac:dyDescent="0.3">
      <c r="A189" s="11" t="s">
        <v>48</v>
      </c>
      <c r="B189" s="17" t="s">
        <v>71</v>
      </c>
      <c r="C189" s="86" t="s">
        <v>72</v>
      </c>
      <c r="D189" s="64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2</v>
      </c>
      <c r="K189" s="6">
        <v>0</v>
      </c>
      <c r="L189" s="6">
        <v>1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5">
        <f t="shared" ref="AC189:AC198" si="80">SUM(E189:AB189)</f>
        <v>3</v>
      </c>
    </row>
    <row r="190" spans="1:29" x14ac:dyDescent="0.3">
      <c r="A190" s="11" t="s">
        <v>50</v>
      </c>
      <c r="B190" s="50"/>
      <c r="C190" s="24" t="s">
        <v>196</v>
      </c>
      <c r="D190" s="49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1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1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5">
        <f t="shared" si="80"/>
        <v>2</v>
      </c>
    </row>
    <row r="191" spans="1:29" x14ac:dyDescent="0.3">
      <c r="A191" s="7"/>
      <c r="B191" s="50"/>
      <c r="C191" s="24" t="s">
        <v>197</v>
      </c>
      <c r="D191" s="49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1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5">
        <f t="shared" si="80"/>
        <v>1</v>
      </c>
    </row>
    <row r="192" spans="1:29" x14ac:dyDescent="0.3">
      <c r="A192" s="7"/>
      <c r="B192" s="50"/>
      <c r="C192" s="24" t="s">
        <v>198</v>
      </c>
      <c r="D192" s="49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1</v>
      </c>
      <c r="Y192" s="6">
        <v>0</v>
      </c>
      <c r="Z192" s="6">
        <v>0</v>
      </c>
      <c r="AA192" s="6">
        <v>0</v>
      </c>
      <c r="AB192" s="6">
        <v>0</v>
      </c>
      <c r="AC192" s="5">
        <f t="shared" si="80"/>
        <v>1</v>
      </c>
    </row>
    <row r="193" spans="1:29" x14ac:dyDescent="0.3">
      <c r="A193" s="7"/>
      <c r="B193" s="50"/>
      <c r="C193" s="24" t="s">
        <v>199</v>
      </c>
      <c r="D193" s="49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5">
        <f t="shared" si="80"/>
        <v>0</v>
      </c>
    </row>
    <row r="194" spans="1:29" x14ac:dyDescent="0.3">
      <c r="A194" s="7"/>
      <c r="B194" s="50"/>
      <c r="C194" s="24" t="s">
        <v>200</v>
      </c>
      <c r="D194" s="49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1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5">
        <f t="shared" si="80"/>
        <v>1</v>
      </c>
    </row>
    <row r="195" spans="1:29" x14ac:dyDescent="0.3">
      <c r="A195" s="7"/>
      <c r="B195" s="50"/>
      <c r="C195" s="24" t="s">
        <v>201</v>
      </c>
      <c r="D195" s="49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5">
        <f t="shared" si="80"/>
        <v>0</v>
      </c>
    </row>
    <row r="196" spans="1:29" ht="13.15" customHeight="1" x14ac:dyDescent="0.3">
      <c r="A196" s="7"/>
      <c r="B196" s="50"/>
      <c r="C196" s="24" t="s">
        <v>202</v>
      </c>
      <c r="D196" s="49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5">
        <f t="shared" si="80"/>
        <v>0</v>
      </c>
    </row>
    <row r="197" spans="1:29" ht="13.15" customHeight="1" x14ac:dyDescent="0.3">
      <c r="A197" s="7"/>
      <c r="B197" s="50"/>
      <c r="C197" s="24" t="s">
        <v>203</v>
      </c>
      <c r="D197" s="49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5">
        <f t="shared" si="80"/>
        <v>0</v>
      </c>
    </row>
    <row r="198" spans="1:29" ht="13.15" customHeight="1" x14ac:dyDescent="0.3">
      <c r="A198" s="7"/>
      <c r="B198" s="50"/>
      <c r="C198" s="24" t="s">
        <v>204</v>
      </c>
      <c r="D198" s="49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5">
        <f t="shared" si="80"/>
        <v>0</v>
      </c>
    </row>
    <row r="199" spans="1:29" x14ac:dyDescent="0.3">
      <c r="A199" s="6" t="s">
        <v>26</v>
      </c>
      <c r="B199" s="84" t="s">
        <v>51</v>
      </c>
      <c r="C199" s="87"/>
      <c r="D199" s="88"/>
      <c r="E199" s="5">
        <f t="shared" ref="E199:AC199" si="81">SUM(E189:E198)</f>
        <v>0</v>
      </c>
      <c r="F199" s="5">
        <f t="shared" si="81"/>
        <v>0</v>
      </c>
      <c r="G199" s="5">
        <f t="shared" si="81"/>
        <v>0</v>
      </c>
      <c r="H199" s="5">
        <f t="shared" si="81"/>
        <v>0</v>
      </c>
      <c r="I199" s="5">
        <f t="shared" si="81"/>
        <v>0</v>
      </c>
      <c r="J199" s="5">
        <f t="shared" si="81"/>
        <v>2</v>
      </c>
      <c r="K199" s="5">
        <f t="shared" si="81"/>
        <v>0</v>
      </c>
      <c r="L199" s="5">
        <f t="shared" si="81"/>
        <v>1</v>
      </c>
      <c r="M199" s="5">
        <f t="shared" ref="M199:S199" si="82">SUM(M189:M198)</f>
        <v>1</v>
      </c>
      <c r="N199" s="5">
        <f t="shared" si="82"/>
        <v>0</v>
      </c>
      <c r="O199" s="5">
        <f t="shared" si="82"/>
        <v>0</v>
      </c>
      <c r="P199" s="5">
        <f t="shared" si="82"/>
        <v>1</v>
      </c>
      <c r="Q199" s="5">
        <f t="shared" si="82"/>
        <v>1</v>
      </c>
      <c r="R199" s="5">
        <f t="shared" si="82"/>
        <v>0</v>
      </c>
      <c r="S199" s="5">
        <f t="shared" si="82"/>
        <v>0</v>
      </c>
      <c r="T199" s="5">
        <f t="shared" si="81"/>
        <v>0</v>
      </c>
      <c r="U199" s="5">
        <f t="shared" si="81"/>
        <v>0</v>
      </c>
      <c r="V199" s="5">
        <f t="shared" si="81"/>
        <v>1</v>
      </c>
      <c r="W199" s="5">
        <f t="shared" si="81"/>
        <v>0</v>
      </c>
      <c r="X199" s="5">
        <f t="shared" si="81"/>
        <v>1</v>
      </c>
      <c r="Y199" s="5">
        <f t="shared" si="81"/>
        <v>0</v>
      </c>
      <c r="Z199" s="5">
        <f t="shared" ref="Z199" si="83">SUM(Z189:Z198)</f>
        <v>0</v>
      </c>
      <c r="AA199" s="5">
        <f t="shared" si="81"/>
        <v>0</v>
      </c>
      <c r="AB199" s="5">
        <f t="shared" si="81"/>
        <v>0</v>
      </c>
      <c r="AC199" s="5">
        <f t="shared" si="81"/>
        <v>8</v>
      </c>
    </row>
    <row r="200" spans="1:29" x14ac:dyDescent="0.3">
      <c r="A200" s="62"/>
      <c r="B200" s="89"/>
      <c r="C200" s="89"/>
      <c r="D200" s="89"/>
      <c r="E200" s="90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</row>
    <row r="201" spans="1:29" x14ac:dyDescent="0.3">
      <c r="A201" s="11" t="s">
        <v>48</v>
      </c>
      <c r="B201" s="17" t="s">
        <v>73</v>
      </c>
      <c r="C201" s="86" t="s">
        <v>74</v>
      </c>
      <c r="D201" s="64"/>
      <c r="E201" s="6">
        <v>0</v>
      </c>
      <c r="F201" s="6">
        <v>2</v>
      </c>
      <c r="G201" s="6">
        <v>4</v>
      </c>
      <c r="H201" s="6">
        <v>6</v>
      </c>
      <c r="I201" s="6">
        <v>2</v>
      </c>
      <c r="J201" s="6">
        <v>5</v>
      </c>
      <c r="K201" s="6">
        <v>6</v>
      </c>
      <c r="L201" s="6">
        <v>3</v>
      </c>
      <c r="M201" s="6">
        <v>2</v>
      </c>
      <c r="N201" s="6">
        <v>4</v>
      </c>
      <c r="O201" s="6">
        <v>1</v>
      </c>
      <c r="P201" s="6">
        <v>0</v>
      </c>
      <c r="Q201" s="6">
        <v>0</v>
      </c>
      <c r="R201" s="6">
        <v>1</v>
      </c>
      <c r="S201" s="6">
        <v>4</v>
      </c>
      <c r="T201" s="6">
        <v>2</v>
      </c>
      <c r="U201" s="6">
        <v>3</v>
      </c>
      <c r="V201" s="6">
        <v>2</v>
      </c>
      <c r="W201" s="6">
        <v>3</v>
      </c>
      <c r="X201" s="6">
        <v>1</v>
      </c>
      <c r="Y201" s="6">
        <v>0</v>
      </c>
      <c r="Z201" s="6">
        <v>4</v>
      </c>
      <c r="AA201" s="6">
        <v>4</v>
      </c>
      <c r="AB201" s="6">
        <v>0</v>
      </c>
      <c r="AC201" s="5">
        <f t="shared" ref="AC201:AC210" si="84">SUM(E201:AB201)</f>
        <v>59</v>
      </c>
    </row>
    <row r="202" spans="1:29" x14ac:dyDescent="0.3">
      <c r="A202" s="11" t="s">
        <v>50</v>
      </c>
      <c r="B202" s="50"/>
      <c r="C202" s="24" t="s">
        <v>205</v>
      </c>
      <c r="D202" s="49"/>
      <c r="E202" s="6">
        <v>1</v>
      </c>
      <c r="F202" s="6">
        <v>5</v>
      </c>
      <c r="G202" s="6">
        <v>1</v>
      </c>
      <c r="H202" s="6">
        <v>3</v>
      </c>
      <c r="I202" s="6">
        <v>11</v>
      </c>
      <c r="J202" s="6">
        <v>2</v>
      </c>
      <c r="K202" s="6">
        <v>10</v>
      </c>
      <c r="L202" s="6">
        <v>10</v>
      </c>
      <c r="M202" s="6">
        <v>9</v>
      </c>
      <c r="N202" s="6">
        <v>7</v>
      </c>
      <c r="O202" s="6">
        <v>2</v>
      </c>
      <c r="P202" s="6">
        <v>0</v>
      </c>
      <c r="Q202" s="6">
        <v>1</v>
      </c>
      <c r="R202" s="6">
        <v>1</v>
      </c>
      <c r="S202" s="6">
        <v>4</v>
      </c>
      <c r="T202" s="6">
        <v>4</v>
      </c>
      <c r="U202" s="6">
        <v>1</v>
      </c>
      <c r="V202" s="6">
        <v>5</v>
      </c>
      <c r="W202" s="6">
        <v>2</v>
      </c>
      <c r="X202" s="6">
        <v>3</v>
      </c>
      <c r="Y202" s="6">
        <v>1</v>
      </c>
      <c r="Z202" s="6">
        <v>4</v>
      </c>
      <c r="AA202" s="6">
        <v>0</v>
      </c>
      <c r="AB202" s="6">
        <v>0</v>
      </c>
      <c r="AC202" s="5">
        <f t="shared" si="84"/>
        <v>87</v>
      </c>
    </row>
    <row r="203" spans="1:29" x14ac:dyDescent="0.3">
      <c r="A203" s="7"/>
      <c r="B203" s="50"/>
      <c r="C203" s="24" t="s">
        <v>206</v>
      </c>
      <c r="D203" s="49"/>
      <c r="E203" s="6">
        <v>2</v>
      </c>
      <c r="F203" s="6">
        <v>3</v>
      </c>
      <c r="G203" s="6">
        <v>0</v>
      </c>
      <c r="H203" s="6">
        <v>3</v>
      </c>
      <c r="I203" s="6">
        <v>2</v>
      </c>
      <c r="J203" s="6">
        <v>0</v>
      </c>
      <c r="K203" s="6">
        <v>11</v>
      </c>
      <c r="L203" s="6">
        <v>3</v>
      </c>
      <c r="M203" s="6">
        <v>4</v>
      </c>
      <c r="N203" s="6">
        <v>6</v>
      </c>
      <c r="O203" s="6">
        <v>0</v>
      </c>
      <c r="P203" s="6">
        <v>1</v>
      </c>
      <c r="Q203" s="6">
        <v>0</v>
      </c>
      <c r="R203" s="6">
        <v>0</v>
      </c>
      <c r="S203" s="6">
        <v>3</v>
      </c>
      <c r="T203" s="6">
        <v>0</v>
      </c>
      <c r="U203" s="6">
        <v>2</v>
      </c>
      <c r="V203" s="6">
        <v>0</v>
      </c>
      <c r="W203" s="6">
        <v>1</v>
      </c>
      <c r="X203" s="6">
        <v>5</v>
      </c>
      <c r="Y203" s="6">
        <v>0</v>
      </c>
      <c r="Z203" s="6">
        <v>1</v>
      </c>
      <c r="AA203" s="6">
        <v>0</v>
      </c>
      <c r="AB203" s="6">
        <v>0</v>
      </c>
      <c r="AC203" s="5">
        <f t="shared" si="84"/>
        <v>47</v>
      </c>
    </row>
    <row r="204" spans="1:29" x14ac:dyDescent="0.3">
      <c r="A204" s="7"/>
      <c r="B204" s="50"/>
      <c r="C204" s="24" t="s">
        <v>207</v>
      </c>
      <c r="D204" s="49"/>
      <c r="E204" s="6">
        <v>0</v>
      </c>
      <c r="F204" s="6">
        <v>2</v>
      </c>
      <c r="G204" s="6">
        <v>0</v>
      </c>
      <c r="H204" s="6">
        <v>0</v>
      </c>
      <c r="I204" s="6">
        <v>1</v>
      </c>
      <c r="J204" s="6">
        <v>2</v>
      </c>
      <c r="K204" s="6">
        <v>1</v>
      </c>
      <c r="L204" s="6">
        <v>1</v>
      </c>
      <c r="M204" s="6">
        <v>0</v>
      </c>
      <c r="N204" s="6">
        <v>0</v>
      </c>
      <c r="O204" s="6">
        <v>0</v>
      </c>
      <c r="P204" s="6">
        <v>0</v>
      </c>
      <c r="Q204" s="6">
        <v>1</v>
      </c>
      <c r="R204" s="6">
        <v>0</v>
      </c>
      <c r="S204" s="6">
        <v>0</v>
      </c>
      <c r="T204" s="6">
        <v>0</v>
      </c>
      <c r="U204" s="6">
        <v>0</v>
      </c>
      <c r="V204" s="6">
        <v>1</v>
      </c>
      <c r="W204" s="6">
        <v>2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5">
        <f t="shared" si="84"/>
        <v>11</v>
      </c>
    </row>
    <row r="205" spans="1:29" x14ac:dyDescent="0.3">
      <c r="A205" s="7"/>
      <c r="B205" s="50"/>
      <c r="C205" s="24" t="s">
        <v>208</v>
      </c>
      <c r="D205" s="49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1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1</v>
      </c>
      <c r="W205" s="6">
        <v>0</v>
      </c>
      <c r="X205" s="6">
        <v>0</v>
      </c>
      <c r="Y205" s="6">
        <v>0</v>
      </c>
      <c r="Z205" s="6">
        <v>1</v>
      </c>
      <c r="AA205" s="6">
        <v>0</v>
      </c>
      <c r="AB205" s="6">
        <v>0</v>
      </c>
      <c r="AC205" s="5">
        <f t="shared" si="84"/>
        <v>3</v>
      </c>
    </row>
    <row r="206" spans="1:29" x14ac:dyDescent="0.3">
      <c r="A206" s="7"/>
      <c r="B206" s="50"/>
      <c r="C206" s="24" t="s">
        <v>209</v>
      </c>
      <c r="D206" s="49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1</v>
      </c>
      <c r="R206" s="6">
        <v>0</v>
      </c>
      <c r="S206" s="6">
        <v>0</v>
      </c>
      <c r="T206" s="6">
        <v>0</v>
      </c>
      <c r="U206" s="6">
        <v>0</v>
      </c>
      <c r="V206" s="6">
        <v>1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5">
        <f t="shared" si="84"/>
        <v>2</v>
      </c>
    </row>
    <row r="207" spans="1:29" ht="13.15" customHeight="1" x14ac:dyDescent="0.3">
      <c r="A207" s="7"/>
      <c r="B207" s="50"/>
      <c r="C207" s="24" t="s">
        <v>210</v>
      </c>
      <c r="D207" s="49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2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1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5">
        <f t="shared" si="84"/>
        <v>3</v>
      </c>
    </row>
    <row r="208" spans="1:29" x14ac:dyDescent="0.3">
      <c r="A208" s="7"/>
      <c r="B208" s="50"/>
      <c r="C208" s="24" t="s">
        <v>211</v>
      </c>
      <c r="D208" s="49"/>
      <c r="E208" s="6">
        <v>0</v>
      </c>
      <c r="F208" s="6">
        <v>1</v>
      </c>
      <c r="G208" s="6">
        <v>0</v>
      </c>
      <c r="H208" s="6">
        <v>0</v>
      </c>
      <c r="I208" s="6">
        <v>1</v>
      </c>
      <c r="J208" s="6">
        <v>1</v>
      </c>
      <c r="K208" s="6">
        <v>0</v>
      </c>
      <c r="L208" s="6">
        <v>0</v>
      </c>
      <c r="M208" s="6">
        <v>1</v>
      </c>
      <c r="N208" s="6">
        <v>0</v>
      </c>
      <c r="O208" s="6">
        <v>2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5">
        <f t="shared" si="84"/>
        <v>6</v>
      </c>
    </row>
    <row r="209" spans="1:29" x14ac:dyDescent="0.3">
      <c r="A209" s="7"/>
      <c r="B209" s="50"/>
      <c r="C209" s="24" t="s">
        <v>212</v>
      </c>
      <c r="D209" s="49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5">
        <f t="shared" si="84"/>
        <v>0</v>
      </c>
    </row>
    <row r="210" spans="1:29" x14ac:dyDescent="0.3">
      <c r="A210" s="7"/>
      <c r="B210" s="50"/>
      <c r="C210" s="24" t="s">
        <v>213</v>
      </c>
      <c r="D210" s="49"/>
      <c r="E210" s="6">
        <v>1</v>
      </c>
      <c r="F210" s="6">
        <v>0</v>
      </c>
      <c r="G210" s="6">
        <v>0</v>
      </c>
      <c r="H210" s="6">
        <v>1</v>
      </c>
      <c r="I210" s="6">
        <v>0</v>
      </c>
      <c r="J210" s="6">
        <v>0</v>
      </c>
      <c r="K210" s="6">
        <v>0</v>
      </c>
      <c r="L210" s="6">
        <v>1</v>
      </c>
      <c r="M210" s="6">
        <v>0</v>
      </c>
      <c r="N210" s="6">
        <v>0</v>
      </c>
      <c r="O210" s="6">
        <v>1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1</v>
      </c>
      <c r="W210" s="6">
        <v>0</v>
      </c>
      <c r="X210" s="6">
        <v>2</v>
      </c>
      <c r="Y210" s="6">
        <v>0</v>
      </c>
      <c r="Z210" s="6">
        <v>0</v>
      </c>
      <c r="AA210" s="6">
        <v>0</v>
      </c>
      <c r="AB210" s="6">
        <v>0</v>
      </c>
      <c r="AC210" s="5">
        <f t="shared" si="84"/>
        <v>7</v>
      </c>
    </row>
    <row r="211" spans="1:29" x14ac:dyDescent="0.3">
      <c r="A211" s="6" t="s">
        <v>26</v>
      </c>
      <c r="B211" s="84" t="s">
        <v>51</v>
      </c>
      <c r="C211" s="87"/>
      <c r="D211" s="88"/>
      <c r="E211" s="5">
        <f t="shared" ref="E211:AC211" si="85">SUM(E201:E210)</f>
        <v>4</v>
      </c>
      <c r="F211" s="5">
        <f t="shared" si="85"/>
        <v>13</v>
      </c>
      <c r="G211" s="5">
        <f t="shared" si="85"/>
        <v>5</v>
      </c>
      <c r="H211" s="5">
        <f t="shared" si="85"/>
        <v>13</v>
      </c>
      <c r="I211" s="5">
        <f t="shared" si="85"/>
        <v>17</v>
      </c>
      <c r="J211" s="5">
        <f t="shared" si="85"/>
        <v>11</v>
      </c>
      <c r="K211" s="5">
        <f t="shared" si="85"/>
        <v>30</v>
      </c>
      <c r="L211" s="5">
        <f t="shared" si="85"/>
        <v>18</v>
      </c>
      <c r="M211" s="5">
        <f t="shared" ref="M211:S211" si="86">SUM(M201:M210)</f>
        <v>16</v>
      </c>
      <c r="N211" s="5">
        <f t="shared" si="86"/>
        <v>17</v>
      </c>
      <c r="O211" s="5">
        <f t="shared" si="86"/>
        <v>6</v>
      </c>
      <c r="P211" s="5">
        <f t="shared" si="86"/>
        <v>1</v>
      </c>
      <c r="Q211" s="5">
        <f t="shared" si="86"/>
        <v>3</v>
      </c>
      <c r="R211" s="5">
        <f t="shared" si="86"/>
        <v>2</v>
      </c>
      <c r="S211" s="5">
        <f t="shared" si="86"/>
        <v>11</v>
      </c>
      <c r="T211" s="5">
        <f t="shared" si="85"/>
        <v>6</v>
      </c>
      <c r="U211" s="5">
        <f t="shared" si="85"/>
        <v>6</v>
      </c>
      <c r="V211" s="5">
        <f t="shared" si="85"/>
        <v>12</v>
      </c>
      <c r="W211" s="5">
        <f t="shared" si="85"/>
        <v>8</v>
      </c>
      <c r="X211" s="5">
        <f t="shared" si="85"/>
        <v>11</v>
      </c>
      <c r="Y211" s="5">
        <f t="shared" si="85"/>
        <v>1</v>
      </c>
      <c r="Z211" s="5">
        <f t="shared" ref="Z211" si="87">SUM(Z201:Z210)</f>
        <v>10</v>
      </c>
      <c r="AA211" s="5">
        <f t="shared" si="85"/>
        <v>4</v>
      </c>
      <c r="AB211" s="5">
        <f t="shared" si="85"/>
        <v>0</v>
      </c>
      <c r="AC211" s="5">
        <f t="shared" si="85"/>
        <v>225</v>
      </c>
    </row>
    <row r="212" spans="1:29" x14ac:dyDescent="0.3">
      <c r="A212" s="62"/>
      <c r="B212" s="89"/>
      <c r="C212" s="89"/>
      <c r="D212" s="89"/>
      <c r="E212" s="90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</row>
    <row r="213" spans="1:29" x14ac:dyDescent="0.3">
      <c r="A213" s="11" t="s">
        <v>48</v>
      </c>
      <c r="B213" s="17" t="s">
        <v>75</v>
      </c>
      <c r="C213" s="86" t="s">
        <v>76</v>
      </c>
      <c r="D213" s="64"/>
      <c r="E213" s="6">
        <v>0</v>
      </c>
      <c r="F213" s="6">
        <v>2</v>
      </c>
      <c r="G213" s="6">
        <v>2</v>
      </c>
      <c r="H213" s="6">
        <v>1</v>
      </c>
      <c r="I213" s="6">
        <v>1</v>
      </c>
      <c r="J213" s="6">
        <v>2</v>
      </c>
      <c r="K213" s="6">
        <v>1</v>
      </c>
      <c r="L213" s="6">
        <v>0</v>
      </c>
      <c r="M213" s="6">
        <v>4</v>
      </c>
      <c r="N213" s="6">
        <v>4</v>
      </c>
      <c r="O213" s="6">
        <v>1</v>
      </c>
      <c r="P213" s="6">
        <v>0</v>
      </c>
      <c r="Q213" s="6">
        <v>1</v>
      </c>
      <c r="R213" s="6">
        <v>0</v>
      </c>
      <c r="S213" s="6">
        <v>1</v>
      </c>
      <c r="T213" s="6">
        <v>2</v>
      </c>
      <c r="U213" s="6">
        <v>1</v>
      </c>
      <c r="V213" s="6">
        <v>1</v>
      </c>
      <c r="W213" s="6">
        <v>3</v>
      </c>
      <c r="X213" s="6">
        <v>0</v>
      </c>
      <c r="Y213" s="6">
        <v>0</v>
      </c>
      <c r="Z213" s="6">
        <v>1</v>
      </c>
      <c r="AA213" s="6">
        <v>1</v>
      </c>
      <c r="AB213" s="6">
        <v>1</v>
      </c>
      <c r="AC213" s="5">
        <f>SUM(E213:AB213)</f>
        <v>30</v>
      </c>
    </row>
    <row r="214" spans="1:29" x14ac:dyDescent="0.3">
      <c r="A214" s="11" t="s">
        <v>50</v>
      </c>
      <c r="B214" s="50"/>
      <c r="C214" s="24" t="s">
        <v>214</v>
      </c>
      <c r="D214" s="49"/>
      <c r="E214" s="6">
        <v>1</v>
      </c>
      <c r="F214" s="6">
        <v>1</v>
      </c>
      <c r="G214" s="6">
        <v>0</v>
      </c>
      <c r="H214" s="6">
        <v>3</v>
      </c>
      <c r="I214" s="6">
        <v>2</v>
      </c>
      <c r="J214" s="6">
        <v>2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1</v>
      </c>
      <c r="W214" s="6">
        <v>0</v>
      </c>
      <c r="X214" s="6">
        <v>2</v>
      </c>
      <c r="Y214" s="6">
        <v>0</v>
      </c>
      <c r="Z214" s="6">
        <v>0</v>
      </c>
      <c r="AA214" s="6">
        <v>0</v>
      </c>
      <c r="AB214" s="6">
        <v>0</v>
      </c>
      <c r="AC214" s="5">
        <f>SUM(E214:AB214)</f>
        <v>12</v>
      </c>
    </row>
    <row r="215" spans="1:29" x14ac:dyDescent="0.3">
      <c r="A215" s="7"/>
      <c r="B215" s="50"/>
      <c r="C215" s="24" t="s">
        <v>215</v>
      </c>
      <c r="D215" s="49"/>
      <c r="E215" s="6">
        <v>0</v>
      </c>
      <c r="F215" s="6">
        <v>0</v>
      </c>
      <c r="G215" s="6">
        <v>0</v>
      </c>
      <c r="H215" s="6">
        <v>1</v>
      </c>
      <c r="I215" s="6">
        <v>1</v>
      </c>
      <c r="J215" s="6">
        <v>4</v>
      </c>
      <c r="K215" s="6">
        <v>2</v>
      </c>
      <c r="L215" s="6">
        <v>2</v>
      </c>
      <c r="M215" s="6">
        <v>3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3</v>
      </c>
      <c r="T215" s="6">
        <v>0</v>
      </c>
      <c r="U215" s="6">
        <v>1</v>
      </c>
      <c r="V215" s="6">
        <v>0</v>
      </c>
      <c r="W215" s="6">
        <v>0</v>
      </c>
      <c r="X215" s="6">
        <v>0</v>
      </c>
      <c r="Y215" s="6">
        <v>0</v>
      </c>
      <c r="Z215" s="6">
        <v>1</v>
      </c>
      <c r="AA215" s="6">
        <v>0</v>
      </c>
      <c r="AB215" s="6">
        <v>0</v>
      </c>
      <c r="AC215" s="5">
        <f>SUM(E215:AB215)</f>
        <v>18</v>
      </c>
    </row>
    <row r="216" spans="1:29" x14ac:dyDescent="0.3">
      <c r="A216" s="7"/>
      <c r="B216" s="50"/>
      <c r="C216" s="24" t="s">
        <v>216</v>
      </c>
      <c r="D216" s="49"/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1</v>
      </c>
      <c r="U216" s="6">
        <v>1</v>
      </c>
      <c r="V216" s="6">
        <v>0</v>
      </c>
      <c r="W216" s="6">
        <v>0</v>
      </c>
      <c r="X216" s="6">
        <v>1</v>
      </c>
      <c r="Y216" s="6">
        <v>0</v>
      </c>
      <c r="Z216" s="6">
        <v>0</v>
      </c>
      <c r="AA216" s="6">
        <v>0</v>
      </c>
      <c r="AB216" s="6">
        <v>0</v>
      </c>
      <c r="AC216" s="5">
        <f t="shared" ref="AC216:AC222" si="88">SUM(E216:AB216)</f>
        <v>3</v>
      </c>
    </row>
    <row r="217" spans="1:29" x14ac:dyDescent="0.3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5">
        <f t="shared" si="88"/>
        <v>0</v>
      </c>
    </row>
    <row r="218" spans="1:29" ht="13.15" customHeight="1" x14ac:dyDescent="0.3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5">
        <f t="shared" si="88"/>
        <v>0</v>
      </c>
    </row>
    <row r="219" spans="1:29" x14ac:dyDescent="0.3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5">
        <f t="shared" si="88"/>
        <v>0</v>
      </c>
    </row>
    <row r="220" spans="1:29" x14ac:dyDescent="0.3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5">
        <f t="shared" si="88"/>
        <v>0</v>
      </c>
    </row>
    <row r="221" spans="1:29" x14ac:dyDescent="0.3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5">
        <f t="shared" si="88"/>
        <v>0</v>
      </c>
    </row>
    <row r="222" spans="1:29" x14ac:dyDescent="0.3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5">
        <f t="shared" si="88"/>
        <v>0</v>
      </c>
    </row>
    <row r="223" spans="1:29" x14ac:dyDescent="0.3">
      <c r="A223" s="6" t="s">
        <v>26</v>
      </c>
      <c r="B223" s="84" t="s">
        <v>51</v>
      </c>
      <c r="C223" s="87"/>
      <c r="D223" s="88"/>
      <c r="E223" s="5">
        <f t="shared" ref="E223:AC223" si="89">SUM(E213:E222)</f>
        <v>1</v>
      </c>
      <c r="F223" s="5">
        <f t="shared" si="89"/>
        <v>3</v>
      </c>
      <c r="G223" s="5">
        <f t="shared" si="89"/>
        <v>2</v>
      </c>
      <c r="H223" s="5">
        <f t="shared" si="89"/>
        <v>5</v>
      </c>
      <c r="I223" s="5">
        <f t="shared" si="89"/>
        <v>4</v>
      </c>
      <c r="J223" s="5">
        <f t="shared" si="89"/>
        <v>8</v>
      </c>
      <c r="K223" s="5">
        <f t="shared" si="89"/>
        <v>3</v>
      </c>
      <c r="L223" s="5">
        <f t="shared" si="89"/>
        <v>2</v>
      </c>
      <c r="M223" s="5">
        <f t="shared" ref="M223:S223" si="90">SUM(M213:M222)</f>
        <v>7</v>
      </c>
      <c r="N223" s="5">
        <f t="shared" si="90"/>
        <v>4</v>
      </c>
      <c r="O223" s="5">
        <f t="shared" si="90"/>
        <v>1</v>
      </c>
      <c r="P223" s="5">
        <f t="shared" si="90"/>
        <v>0</v>
      </c>
      <c r="Q223" s="5">
        <f t="shared" si="90"/>
        <v>1</v>
      </c>
      <c r="R223" s="5">
        <f t="shared" si="90"/>
        <v>0</v>
      </c>
      <c r="S223" s="5">
        <f t="shared" si="90"/>
        <v>4</v>
      </c>
      <c r="T223" s="5">
        <f t="shared" si="89"/>
        <v>3</v>
      </c>
      <c r="U223" s="5">
        <f t="shared" si="89"/>
        <v>3</v>
      </c>
      <c r="V223" s="5">
        <f t="shared" si="89"/>
        <v>2</v>
      </c>
      <c r="W223" s="5">
        <f t="shared" si="89"/>
        <v>3</v>
      </c>
      <c r="X223" s="5">
        <f t="shared" si="89"/>
        <v>3</v>
      </c>
      <c r="Y223" s="5">
        <f t="shared" si="89"/>
        <v>0</v>
      </c>
      <c r="Z223" s="5">
        <f t="shared" ref="Z223" si="91">SUM(Z213:Z222)</f>
        <v>2</v>
      </c>
      <c r="AA223" s="5">
        <f t="shared" si="89"/>
        <v>1</v>
      </c>
      <c r="AB223" s="5">
        <f t="shared" si="89"/>
        <v>1</v>
      </c>
      <c r="AC223" s="5">
        <f t="shared" si="89"/>
        <v>63</v>
      </c>
    </row>
    <row r="224" spans="1:29" x14ac:dyDescent="0.3">
      <c r="A224" s="62"/>
      <c r="B224" s="89"/>
      <c r="C224" s="89"/>
      <c r="D224" s="89"/>
      <c r="E224" s="90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</row>
    <row r="225" spans="1:29" x14ac:dyDescent="0.3">
      <c r="A225" s="11" t="s">
        <v>48</v>
      </c>
      <c r="B225" s="17" t="s">
        <v>77</v>
      </c>
      <c r="C225" s="86" t="s">
        <v>78</v>
      </c>
      <c r="D225" s="64"/>
      <c r="E225" s="6">
        <v>1</v>
      </c>
      <c r="F225" s="6">
        <v>0</v>
      </c>
      <c r="G225" s="6">
        <v>2</v>
      </c>
      <c r="H225" s="6">
        <v>1</v>
      </c>
      <c r="I225" s="6">
        <v>1</v>
      </c>
      <c r="J225" s="6">
        <v>0</v>
      </c>
      <c r="K225" s="6">
        <v>0</v>
      </c>
      <c r="L225" s="6">
        <v>2</v>
      </c>
      <c r="M225" s="6">
        <v>0</v>
      </c>
      <c r="N225" s="6">
        <v>3</v>
      </c>
      <c r="O225" s="6">
        <v>0</v>
      </c>
      <c r="P225" s="6">
        <v>1</v>
      </c>
      <c r="Q225" s="6">
        <v>0</v>
      </c>
      <c r="R225" s="6">
        <v>0</v>
      </c>
      <c r="S225" s="6">
        <v>3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1</v>
      </c>
      <c r="AA225" s="6">
        <v>0</v>
      </c>
      <c r="AB225" s="6">
        <v>0</v>
      </c>
      <c r="AC225" s="5">
        <f>SUM(E225:AB225)</f>
        <v>15</v>
      </c>
    </row>
    <row r="226" spans="1:29" x14ac:dyDescent="0.3">
      <c r="A226" s="11" t="s">
        <v>50</v>
      </c>
      <c r="B226" s="50"/>
      <c r="C226" s="24" t="s">
        <v>217</v>
      </c>
      <c r="D226" s="49"/>
      <c r="E226" s="6">
        <v>0</v>
      </c>
      <c r="F226" s="6">
        <v>1</v>
      </c>
      <c r="G226" s="6">
        <v>1</v>
      </c>
      <c r="H226" s="6">
        <v>0</v>
      </c>
      <c r="I226" s="6">
        <v>0</v>
      </c>
      <c r="J226" s="6">
        <v>3</v>
      </c>
      <c r="K226" s="6">
        <v>1</v>
      </c>
      <c r="L226" s="6">
        <v>0</v>
      </c>
      <c r="M226" s="6">
        <v>0</v>
      </c>
      <c r="N226" s="6">
        <v>1</v>
      </c>
      <c r="O226" s="6">
        <v>0</v>
      </c>
      <c r="P226" s="6">
        <v>0</v>
      </c>
      <c r="Q226" s="6">
        <v>1</v>
      </c>
      <c r="R226" s="6">
        <v>1</v>
      </c>
      <c r="S226" s="6">
        <v>0</v>
      </c>
      <c r="T226" s="6">
        <v>0</v>
      </c>
      <c r="U226" s="6">
        <v>0</v>
      </c>
      <c r="V226" s="6">
        <v>1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5">
        <f>SUM(E226:AB226)</f>
        <v>10</v>
      </c>
    </row>
    <row r="227" spans="1:29" x14ac:dyDescent="0.3">
      <c r="A227" s="7"/>
      <c r="B227" s="50"/>
      <c r="C227" s="24" t="s">
        <v>218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1</v>
      </c>
      <c r="P227" s="6">
        <v>0</v>
      </c>
      <c r="Q227" s="6">
        <v>0</v>
      </c>
      <c r="R227" s="6">
        <v>0</v>
      </c>
      <c r="S227" s="6">
        <v>2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5">
        <f>SUM(E227:AB227)</f>
        <v>3</v>
      </c>
    </row>
    <row r="228" spans="1:29" x14ac:dyDescent="0.3">
      <c r="A228" s="7"/>
      <c r="B228" s="50"/>
      <c r="C228" s="24" t="s">
        <v>219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1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5">
        <f t="shared" ref="AC228:AC234" si="92">SUM(E228:AB228)</f>
        <v>1</v>
      </c>
    </row>
    <row r="229" spans="1:29" ht="13.15" customHeight="1" x14ac:dyDescent="0.3">
      <c r="A229" s="7"/>
      <c r="B229" s="50"/>
      <c r="C229" s="24" t="s">
        <v>220</v>
      </c>
      <c r="D229" s="49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1</v>
      </c>
      <c r="N229" s="6">
        <v>0</v>
      </c>
      <c r="O229" s="6">
        <v>0</v>
      </c>
      <c r="P229" s="6">
        <v>1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5">
        <f t="shared" si="92"/>
        <v>2</v>
      </c>
    </row>
    <row r="230" spans="1:29" x14ac:dyDescent="0.3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5">
        <f t="shared" si="92"/>
        <v>0</v>
      </c>
    </row>
    <row r="231" spans="1:29" x14ac:dyDescent="0.3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5">
        <f t="shared" si="92"/>
        <v>0</v>
      </c>
    </row>
    <row r="232" spans="1:29" x14ac:dyDescent="0.3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5">
        <f t="shared" si="92"/>
        <v>0</v>
      </c>
    </row>
    <row r="233" spans="1:29" x14ac:dyDescent="0.3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5">
        <f t="shared" si="92"/>
        <v>0</v>
      </c>
    </row>
    <row r="234" spans="1:29" x14ac:dyDescent="0.3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5">
        <f t="shared" si="92"/>
        <v>0</v>
      </c>
    </row>
    <row r="235" spans="1:29" x14ac:dyDescent="0.3">
      <c r="A235" s="6" t="s">
        <v>26</v>
      </c>
      <c r="B235" s="84" t="s">
        <v>51</v>
      </c>
      <c r="C235" s="87"/>
      <c r="D235" s="88"/>
      <c r="E235" s="5">
        <f t="shared" ref="E235:AC235" si="93">SUM(E225:E234)</f>
        <v>1</v>
      </c>
      <c r="F235" s="5">
        <f t="shared" si="93"/>
        <v>1</v>
      </c>
      <c r="G235" s="5">
        <f t="shared" si="93"/>
        <v>3</v>
      </c>
      <c r="H235" s="5">
        <f t="shared" si="93"/>
        <v>1</v>
      </c>
      <c r="I235" s="5">
        <f t="shared" si="93"/>
        <v>1</v>
      </c>
      <c r="J235" s="5">
        <f t="shared" si="93"/>
        <v>3</v>
      </c>
      <c r="K235" s="5">
        <f t="shared" si="93"/>
        <v>1</v>
      </c>
      <c r="L235" s="5">
        <f t="shared" si="93"/>
        <v>2</v>
      </c>
      <c r="M235" s="5">
        <f t="shared" ref="M235:S235" si="94">SUM(M225:M234)</f>
        <v>1</v>
      </c>
      <c r="N235" s="5">
        <f t="shared" si="94"/>
        <v>4</v>
      </c>
      <c r="O235" s="5">
        <f t="shared" si="94"/>
        <v>1</v>
      </c>
      <c r="P235" s="5">
        <f t="shared" si="94"/>
        <v>2</v>
      </c>
      <c r="Q235" s="5">
        <f t="shared" si="94"/>
        <v>1</v>
      </c>
      <c r="R235" s="5">
        <f t="shared" si="94"/>
        <v>1</v>
      </c>
      <c r="S235" s="5">
        <f t="shared" si="94"/>
        <v>5</v>
      </c>
      <c r="T235" s="5">
        <f t="shared" si="93"/>
        <v>1</v>
      </c>
      <c r="U235" s="5">
        <f t="shared" si="93"/>
        <v>0</v>
      </c>
      <c r="V235" s="5">
        <f t="shared" si="93"/>
        <v>1</v>
      </c>
      <c r="W235" s="5">
        <f t="shared" si="93"/>
        <v>0</v>
      </c>
      <c r="X235" s="5">
        <f t="shared" si="93"/>
        <v>0</v>
      </c>
      <c r="Y235" s="5">
        <f t="shared" si="93"/>
        <v>0</v>
      </c>
      <c r="Z235" s="5">
        <f t="shared" ref="Z235" si="95">SUM(Z225:Z234)</f>
        <v>1</v>
      </c>
      <c r="AA235" s="5">
        <f t="shared" si="93"/>
        <v>0</v>
      </c>
      <c r="AB235" s="5">
        <f t="shared" si="93"/>
        <v>0</v>
      </c>
      <c r="AC235" s="5">
        <f t="shared" si="93"/>
        <v>31</v>
      </c>
    </row>
    <row r="236" spans="1:29" x14ac:dyDescent="0.3">
      <c r="A236" s="62"/>
      <c r="B236" s="89"/>
      <c r="C236" s="89"/>
      <c r="D236" s="89"/>
      <c r="E236" s="90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</row>
    <row r="237" spans="1:29" x14ac:dyDescent="0.3">
      <c r="A237" s="11" t="s">
        <v>48</v>
      </c>
      <c r="B237" s="17" t="s">
        <v>79</v>
      </c>
      <c r="C237" s="86" t="s">
        <v>80</v>
      </c>
      <c r="D237" s="64"/>
      <c r="E237" s="6">
        <v>3</v>
      </c>
      <c r="F237" s="6">
        <v>1</v>
      </c>
      <c r="G237" s="6">
        <v>0</v>
      </c>
      <c r="H237" s="6">
        <v>1</v>
      </c>
      <c r="I237" s="6">
        <v>1</v>
      </c>
      <c r="J237" s="6">
        <v>1</v>
      </c>
      <c r="K237" s="6">
        <v>0</v>
      </c>
      <c r="L237" s="6">
        <v>3</v>
      </c>
      <c r="M237" s="6">
        <v>0</v>
      </c>
      <c r="N237" s="6">
        <v>1</v>
      </c>
      <c r="O237" s="6">
        <v>4</v>
      </c>
      <c r="P237" s="6">
        <v>1</v>
      </c>
      <c r="Q237" s="6">
        <v>0</v>
      </c>
      <c r="R237" s="6">
        <v>0</v>
      </c>
      <c r="S237" s="6">
        <v>3</v>
      </c>
      <c r="T237" s="6">
        <v>0</v>
      </c>
      <c r="U237" s="6">
        <v>1</v>
      </c>
      <c r="V237" s="6">
        <v>1</v>
      </c>
      <c r="W237" s="6">
        <v>1</v>
      </c>
      <c r="X237" s="6">
        <v>0</v>
      </c>
      <c r="Y237" s="6">
        <v>8</v>
      </c>
      <c r="Z237" s="6">
        <v>3</v>
      </c>
      <c r="AA237" s="6">
        <v>9</v>
      </c>
      <c r="AB237" s="6">
        <v>2</v>
      </c>
      <c r="AC237" s="5">
        <f t="shared" ref="AC237:AC246" si="96">SUM(E237:AB237)</f>
        <v>44</v>
      </c>
    </row>
    <row r="238" spans="1:29" x14ac:dyDescent="0.3">
      <c r="A238" s="11" t="s">
        <v>50</v>
      </c>
      <c r="B238" s="50"/>
      <c r="C238" s="24" t="s">
        <v>221</v>
      </c>
      <c r="D238" s="49"/>
      <c r="E238" s="6">
        <v>0</v>
      </c>
      <c r="F238" s="6">
        <v>1</v>
      </c>
      <c r="G238" s="6">
        <v>0</v>
      </c>
      <c r="H238" s="6">
        <v>0</v>
      </c>
      <c r="I238" s="6">
        <v>0</v>
      </c>
      <c r="J238" s="6">
        <v>2</v>
      </c>
      <c r="K238" s="6">
        <v>0</v>
      </c>
      <c r="L238" s="6">
        <v>0</v>
      </c>
      <c r="M238" s="6">
        <v>1</v>
      </c>
      <c r="N238" s="6">
        <v>0</v>
      </c>
      <c r="O238" s="6">
        <v>4</v>
      </c>
      <c r="P238" s="6">
        <v>0</v>
      </c>
      <c r="Q238" s="6">
        <v>0</v>
      </c>
      <c r="R238" s="6">
        <v>0</v>
      </c>
      <c r="S238" s="6">
        <v>2</v>
      </c>
      <c r="T238" s="6">
        <v>0</v>
      </c>
      <c r="U238" s="6">
        <v>1</v>
      </c>
      <c r="V238" s="6">
        <v>1</v>
      </c>
      <c r="W238" s="6">
        <v>3</v>
      </c>
      <c r="X238" s="6">
        <v>6</v>
      </c>
      <c r="Y238" s="6">
        <v>6</v>
      </c>
      <c r="Z238" s="6">
        <v>2</v>
      </c>
      <c r="AA238" s="6">
        <v>6</v>
      </c>
      <c r="AB238" s="6">
        <v>1</v>
      </c>
      <c r="AC238" s="5">
        <f t="shared" si="96"/>
        <v>36</v>
      </c>
    </row>
    <row r="239" spans="1:29" x14ac:dyDescent="0.3">
      <c r="A239" s="7"/>
      <c r="B239" s="50"/>
      <c r="C239" s="24" t="s">
        <v>222</v>
      </c>
      <c r="D239" s="49"/>
      <c r="E239" s="6">
        <v>0</v>
      </c>
      <c r="F239" s="6">
        <v>2</v>
      </c>
      <c r="G239" s="6">
        <v>2</v>
      </c>
      <c r="H239" s="6">
        <v>0</v>
      </c>
      <c r="I239" s="6">
        <v>1</v>
      </c>
      <c r="J239" s="6">
        <v>0</v>
      </c>
      <c r="K239" s="6">
        <v>0</v>
      </c>
      <c r="L239" s="6">
        <v>0</v>
      </c>
      <c r="M239" s="6">
        <v>0</v>
      </c>
      <c r="N239" s="6">
        <v>1</v>
      </c>
      <c r="O239" s="6">
        <v>1</v>
      </c>
      <c r="P239" s="6">
        <v>0</v>
      </c>
      <c r="Q239" s="6">
        <v>0</v>
      </c>
      <c r="R239" s="6">
        <v>0</v>
      </c>
      <c r="S239" s="6">
        <v>2</v>
      </c>
      <c r="T239" s="6">
        <v>0</v>
      </c>
      <c r="U239" s="6">
        <v>0</v>
      </c>
      <c r="V239" s="6">
        <v>0</v>
      </c>
      <c r="W239" s="6">
        <v>1</v>
      </c>
      <c r="X239" s="6">
        <v>5</v>
      </c>
      <c r="Y239" s="6">
        <v>3</v>
      </c>
      <c r="Z239" s="6">
        <v>3</v>
      </c>
      <c r="AA239" s="6">
        <v>5</v>
      </c>
      <c r="AB239" s="6">
        <v>0</v>
      </c>
      <c r="AC239" s="5">
        <f t="shared" si="96"/>
        <v>26</v>
      </c>
    </row>
    <row r="240" spans="1:29" ht="13.15" customHeight="1" x14ac:dyDescent="0.3">
      <c r="A240" s="7"/>
      <c r="B240" s="50"/>
      <c r="C240" s="24" t="s">
        <v>223</v>
      </c>
      <c r="D240" s="49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1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4</v>
      </c>
      <c r="Y240" s="6">
        <v>0</v>
      </c>
      <c r="Z240" s="6">
        <v>0</v>
      </c>
      <c r="AA240" s="6">
        <v>2</v>
      </c>
      <c r="AB240" s="6">
        <v>0</v>
      </c>
      <c r="AC240" s="5">
        <f t="shared" si="96"/>
        <v>7</v>
      </c>
    </row>
    <row r="241" spans="1:29" x14ac:dyDescent="0.3">
      <c r="A241" s="7"/>
      <c r="B241" s="50"/>
      <c r="C241" s="24" t="s">
        <v>224</v>
      </c>
      <c r="D241" s="49"/>
      <c r="E241" s="6">
        <v>0</v>
      </c>
      <c r="F241" s="6">
        <v>0</v>
      </c>
      <c r="G241" s="6">
        <v>0</v>
      </c>
      <c r="H241" s="6">
        <v>0</v>
      </c>
      <c r="I241" s="6">
        <v>1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1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5">
        <f t="shared" si="96"/>
        <v>2</v>
      </c>
    </row>
    <row r="242" spans="1:29" ht="12.75" customHeight="1" x14ac:dyDescent="0.3">
      <c r="A242" s="7"/>
      <c r="B242" s="50"/>
      <c r="C242" s="24" t="s">
        <v>225</v>
      </c>
      <c r="D242" s="49"/>
      <c r="E242" s="6">
        <v>0</v>
      </c>
      <c r="F242" s="6">
        <v>1</v>
      </c>
      <c r="G242" s="6">
        <v>0</v>
      </c>
      <c r="H242" s="6">
        <v>1</v>
      </c>
      <c r="I242" s="6">
        <v>0</v>
      </c>
      <c r="J242" s="6">
        <v>0</v>
      </c>
      <c r="K242" s="6">
        <v>0</v>
      </c>
      <c r="L242" s="6">
        <v>2</v>
      </c>
      <c r="M242" s="6">
        <v>1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1</v>
      </c>
      <c r="AB242" s="6">
        <v>0</v>
      </c>
      <c r="AC242" s="5">
        <f t="shared" si="96"/>
        <v>6</v>
      </c>
    </row>
    <row r="243" spans="1:29" x14ac:dyDescent="0.3">
      <c r="A243" s="7"/>
      <c r="B243" s="50"/>
      <c r="C243" s="24" t="s">
        <v>226</v>
      </c>
      <c r="D243" s="49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1</v>
      </c>
      <c r="AB243" s="6">
        <v>0</v>
      </c>
      <c r="AC243" s="5">
        <f t="shared" si="96"/>
        <v>1</v>
      </c>
    </row>
    <row r="244" spans="1:29" x14ac:dyDescent="0.3">
      <c r="A244" s="7"/>
      <c r="B244" s="50"/>
      <c r="C244" s="24" t="s">
        <v>227</v>
      </c>
      <c r="D244" s="49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1</v>
      </c>
      <c r="AB244" s="6">
        <v>0</v>
      </c>
      <c r="AC244" s="5">
        <f t="shared" si="96"/>
        <v>1</v>
      </c>
    </row>
    <row r="245" spans="1:29" x14ac:dyDescent="0.3">
      <c r="A245" s="7"/>
      <c r="B245" s="50"/>
      <c r="C245" s="24" t="s">
        <v>228</v>
      </c>
      <c r="D245" s="49"/>
      <c r="E245" s="6">
        <v>1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1</v>
      </c>
      <c r="Y245" s="6">
        <v>0</v>
      </c>
      <c r="Z245" s="6">
        <v>0</v>
      </c>
      <c r="AA245" s="6">
        <v>0</v>
      </c>
      <c r="AB245" s="6">
        <v>0</v>
      </c>
      <c r="AC245" s="5">
        <f t="shared" si="96"/>
        <v>2</v>
      </c>
    </row>
    <row r="246" spans="1:29" x14ac:dyDescent="0.3">
      <c r="A246" s="7"/>
      <c r="B246" s="50"/>
      <c r="C246" s="24" t="s">
        <v>229</v>
      </c>
      <c r="D246" s="49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1</v>
      </c>
      <c r="W246" s="6">
        <v>0</v>
      </c>
      <c r="X246" s="6">
        <v>0</v>
      </c>
      <c r="Y246" s="6">
        <v>2</v>
      </c>
      <c r="Z246" s="6">
        <v>0</v>
      </c>
      <c r="AA246" s="6">
        <v>1</v>
      </c>
      <c r="AB246" s="6">
        <v>0</v>
      </c>
      <c r="AC246" s="5">
        <f t="shared" si="96"/>
        <v>4</v>
      </c>
    </row>
    <row r="247" spans="1:29" ht="12.75" customHeight="1" x14ac:dyDescent="0.3">
      <c r="A247" s="6" t="s">
        <v>26</v>
      </c>
      <c r="B247" s="84" t="s">
        <v>51</v>
      </c>
      <c r="C247" s="87"/>
      <c r="D247" s="88"/>
      <c r="E247" s="5">
        <f t="shared" ref="E247:AC247" si="97">SUM(E237:E246)</f>
        <v>4</v>
      </c>
      <c r="F247" s="5">
        <f t="shared" si="97"/>
        <v>5</v>
      </c>
      <c r="G247" s="5">
        <f t="shared" si="97"/>
        <v>2</v>
      </c>
      <c r="H247" s="5">
        <f t="shared" si="97"/>
        <v>2</v>
      </c>
      <c r="I247" s="5">
        <f t="shared" si="97"/>
        <v>3</v>
      </c>
      <c r="J247" s="5">
        <f t="shared" si="97"/>
        <v>3</v>
      </c>
      <c r="K247" s="5">
        <f t="shared" si="97"/>
        <v>0</v>
      </c>
      <c r="L247" s="5">
        <f t="shared" si="97"/>
        <v>5</v>
      </c>
      <c r="M247" s="5">
        <f t="shared" ref="M247:S247" si="98">SUM(M237:M246)</f>
        <v>2</v>
      </c>
      <c r="N247" s="5">
        <f t="shared" si="98"/>
        <v>2</v>
      </c>
      <c r="O247" s="5">
        <f t="shared" si="98"/>
        <v>10</v>
      </c>
      <c r="P247" s="5">
        <f t="shared" si="98"/>
        <v>2</v>
      </c>
      <c r="Q247" s="5">
        <f t="shared" si="98"/>
        <v>0</v>
      </c>
      <c r="R247" s="5">
        <f t="shared" si="98"/>
        <v>0</v>
      </c>
      <c r="S247" s="5">
        <f t="shared" si="98"/>
        <v>7</v>
      </c>
      <c r="T247" s="5">
        <f t="shared" si="97"/>
        <v>0</v>
      </c>
      <c r="U247" s="5">
        <f t="shared" si="97"/>
        <v>2</v>
      </c>
      <c r="V247" s="5">
        <f t="shared" si="97"/>
        <v>3</v>
      </c>
      <c r="W247" s="5">
        <f t="shared" si="97"/>
        <v>5</v>
      </c>
      <c r="X247" s="5">
        <f t="shared" si="97"/>
        <v>16</v>
      </c>
      <c r="Y247" s="5">
        <f t="shared" si="97"/>
        <v>19</v>
      </c>
      <c r="Z247" s="5">
        <f t="shared" ref="Z247" si="99">SUM(Z237:Z246)</f>
        <v>8</v>
      </c>
      <c r="AA247" s="5">
        <f t="shared" si="97"/>
        <v>26</v>
      </c>
      <c r="AB247" s="5">
        <f t="shared" si="97"/>
        <v>3</v>
      </c>
      <c r="AC247" s="5">
        <f t="shared" si="97"/>
        <v>129</v>
      </c>
    </row>
    <row r="248" spans="1:29" x14ac:dyDescent="0.3">
      <c r="A248" s="62"/>
      <c r="B248" s="89"/>
      <c r="C248" s="89"/>
      <c r="D248" s="89"/>
      <c r="E248" s="90"/>
    </row>
    <row r="249" spans="1:29" x14ac:dyDescent="0.3">
      <c r="A249" s="11" t="s">
        <v>48</v>
      </c>
      <c r="B249" s="17" t="s">
        <v>81</v>
      </c>
      <c r="C249" s="86" t="s">
        <v>82</v>
      </c>
      <c r="D249" s="64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1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1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5">
        <f>SUM(E249:AB249)</f>
        <v>2</v>
      </c>
    </row>
    <row r="250" spans="1:29" x14ac:dyDescent="0.3">
      <c r="A250" s="11" t="s">
        <v>50</v>
      </c>
      <c r="B250" s="50"/>
      <c r="C250" s="24" t="s">
        <v>230</v>
      </c>
      <c r="D250" s="49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5">
        <f>SUM(E250:AB250)</f>
        <v>0</v>
      </c>
    </row>
    <row r="251" spans="1:29" x14ac:dyDescent="0.3">
      <c r="A251" s="7"/>
      <c r="B251" s="50"/>
      <c r="C251" s="24" t="s">
        <v>231</v>
      </c>
      <c r="D251" s="49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5">
        <f t="shared" ref="AC251:AC258" si="100">SUM(E251:AB251)</f>
        <v>0</v>
      </c>
    </row>
    <row r="252" spans="1:29" x14ac:dyDescent="0.3">
      <c r="A252" s="7"/>
      <c r="B252" s="50"/>
      <c r="C252" s="24" t="s">
        <v>232</v>
      </c>
      <c r="D252" s="49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1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5">
        <f t="shared" si="100"/>
        <v>1</v>
      </c>
    </row>
    <row r="253" spans="1:29" x14ac:dyDescent="0.3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5">
        <f t="shared" si="100"/>
        <v>0</v>
      </c>
    </row>
    <row r="254" spans="1:29" x14ac:dyDescent="0.3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5">
        <f t="shared" si="100"/>
        <v>0</v>
      </c>
    </row>
    <row r="255" spans="1:29" x14ac:dyDescent="0.3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5">
        <f t="shared" si="100"/>
        <v>0</v>
      </c>
    </row>
    <row r="256" spans="1:29" x14ac:dyDescent="0.3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5">
        <f t="shared" si="100"/>
        <v>0</v>
      </c>
    </row>
    <row r="257" spans="1:29" x14ac:dyDescent="0.3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5">
        <f t="shared" si="100"/>
        <v>0</v>
      </c>
    </row>
    <row r="258" spans="1:29" x14ac:dyDescent="0.3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5">
        <f t="shared" si="100"/>
        <v>0</v>
      </c>
    </row>
    <row r="259" spans="1:29" x14ac:dyDescent="0.3">
      <c r="A259" s="6" t="s">
        <v>26</v>
      </c>
      <c r="B259" s="84" t="s">
        <v>51</v>
      </c>
      <c r="C259" s="87"/>
      <c r="D259" s="88"/>
      <c r="E259" s="5">
        <f t="shared" ref="E259:AC259" si="101">SUM(E249:E258)</f>
        <v>0</v>
      </c>
      <c r="F259" s="5">
        <f t="shared" si="101"/>
        <v>0</v>
      </c>
      <c r="G259" s="5">
        <f t="shared" si="101"/>
        <v>0</v>
      </c>
      <c r="H259" s="5">
        <f t="shared" si="101"/>
        <v>0</v>
      </c>
      <c r="I259" s="5">
        <f t="shared" si="101"/>
        <v>0</v>
      </c>
      <c r="J259" s="5">
        <f t="shared" si="101"/>
        <v>0</v>
      </c>
      <c r="K259" s="5">
        <f t="shared" si="101"/>
        <v>0</v>
      </c>
      <c r="L259" s="5">
        <f t="shared" si="101"/>
        <v>0</v>
      </c>
      <c r="M259" s="5">
        <f t="shared" ref="M259:S259" si="102">SUM(M249:M258)</f>
        <v>1</v>
      </c>
      <c r="N259" s="5">
        <f t="shared" si="102"/>
        <v>0</v>
      </c>
      <c r="O259" s="5">
        <f t="shared" si="102"/>
        <v>0</v>
      </c>
      <c r="P259" s="5">
        <f t="shared" si="102"/>
        <v>1</v>
      </c>
      <c r="Q259" s="5">
        <f t="shared" si="102"/>
        <v>0</v>
      </c>
      <c r="R259" s="5">
        <f t="shared" si="102"/>
        <v>0</v>
      </c>
      <c r="S259" s="5">
        <f t="shared" si="102"/>
        <v>0</v>
      </c>
      <c r="T259" s="5">
        <f t="shared" si="101"/>
        <v>0</v>
      </c>
      <c r="U259" s="5">
        <f t="shared" si="101"/>
        <v>1</v>
      </c>
      <c r="V259" s="5">
        <f t="shared" si="101"/>
        <v>0</v>
      </c>
      <c r="W259" s="5">
        <f t="shared" si="101"/>
        <v>0</v>
      </c>
      <c r="X259" s="5">
        <f t="shared" si="101"/>
        <v>0</v>
      </c>
      <c r="Y259" s="5">
        <f t="shared" si="101"/>
        <v>0</v>
      </c>
      <c r="Z259" s="5">
        <f t="shared" ref="Z259" si="103">SUM(Z249:Z258)</f>
        <v>0</v>
      </c>
      <c r="AA259" s="5">
        <f t="shared" si="101"/>
        <v>0</v>
      </c>
      <c r="AB259" s="5">
        <f t="shared" si="101"/>
        <v>0</v>
      </c>
      <c r="AC259" s="5">
        <f t="shared" si="101"/>
        <v>3</v>
      </c>
    </row>
    <row r="261" spans="1:29" x14ac:dyDescent="0.3">
      <c r="A261" s="16" t="s">
        <v>83</v>
      </c>
      <c r="B261" s="65" t="s">
        <v>84</v>
      </c>
      <c r="C261" s="97"/>
      <c r="D261" s="98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x14ac:dyDescent="0.3">
      <c r="A262" s="16"/>
      <c r="B262" s="19" t="s">
        <v>85</v>
      </c>
      <c r="C262" s="95" t="s">
        <v>86</v>
      </c>
      <c r="D262" s="96"/>
      <c r="E262" s="6">
        <f>E55+E67+E79+E91+E103+E115+E127+E139+E151+E163+E175+E187+E199+E211+E223+E235+E247+E259</f>
        <v>156</v>
      </c>
      <c r="F262" s="6">
        <f t="shared" ref="F262:L262" si="104">F55+F67+F79+F91+F103+F115+F127+F139+F151+F163+F175+F187+F199+F211+F223+F235+F247+F259</f>
        <v>188</v>
      </c>
      <c r="G262" s="6">
        <f t="shared" si="104"/>
        <v>114</v>
      </c>
      <c r="H262" s="6">
        <f t="shared" si="104"/>
        <v>176</v>
      </c>
      <c r="I262" s="6">
        <f t="shared" si="104"/>
        <v>154</v>
      </c>
      <c r="J262" s="6">
        <f t="shared" si="104"/>
        <v>157</v>
      </c>
      <c r="K262" s="6">
        <f t="shared" si="104"/>
        <v>165</v>
      </c>
      <c r="L262" s="6">
        <f t="shared" si="104"/>
        <v>197</v>
      </c>
      <c r="M262" s="6">
        <f t="shared" ref="M262:S262" si="105">M55+M67+M79+M91+M103+M115+M127+M139+M151+M163+M175+M187+M199+M211+M223+M235+M247+M259</f>
        <v>218</v>
      </c>
      <c r="N262" s="6">
        <f t="shared" si="105"/>
        <v>150</v>
      </c>
      <c r="O262" s="6">
        <f t="shared" si="105"/>
        <v>198</v>
      </c>
      <c r="P262" s="6">
        <f t="shared" si="105"/>
        <v>176</v>
      </c>
      <c r="Q262" s="6">
        <f t="shared" si="105"/>
        <v>155</v>
      </c>
      <c r="R262" s="6">
        <f t="shared" si="105"/>
        <v>187</v>
      </c>
      <c r="S262" s="6">
        <f t="shared" si="105"/>
        <v>174</v>
      </c>
      <c r="T262" s="6">
        <f t="shared" ref="T262:AB262" si="106">T55+T67+T79+T91+T103+T115+T127+T139+T151+T163+T175+T187+T199+T211+T223+T235+T247+T259</f>
        <v>174</v>
      </c>
      <c r="U262" s="6">
        <f t="shared" si="106"/>
        <v>180</v>
      </c>
      <c r="V262" s="6">
        <f t="shared" si="106"/>
        <v>184</v>
      </c>
      <c r="W262" s="6">
        <f t="shared" si="106"/>
        <v>166</v>
      </c>
      <c r="X262" s="6">
        <f t="shared" si="106"/>
        <v>177</v>
      </c>
      <c r="Y262" s="6">
        <f t="shared" si="106"/>
        <v>166</v>
      </c>
      <c r="Z262" s="6">
        <f t="shared" ref="Z262" si="107">Z55+Z67+Z79+Z91+Z103+Z115+Z127+Z139+Z151+Z163+Z175+Z187+Z199+Z211+Z223+Z235+Z247+Z259</f>
        <v>177</v>
      </c>
      <c r="AA262" s="6">
        <f t="shared" si="106"/>
        <v>165</v>
      </c>
      <c r="AB262" s="6">
        <f t="shared" si="106"/>
        <v>182</v>
      </c>
      <c r="AC262" s="5">
        <f>SUM(E262:AB262)</f>
        <v>4136</v>
      </c>
    </row>
    <row r="263" spans="1:29" x14ac:dyDescent="0.3">
      <c r="A263" s="13"/>
      <c r="B263" s="19" t="s">
        <v>87</v>
      </c>
      <c r="C263" s="95" t="s">
        <v>88</v>
      </c>
      <c r="D263" s="96"/>
      <c r="E263" s="6">
        <v>20</v>
      </c>
      <c r="F263" s="6">
        <v>20</v>
      </c>
      <c r="G263" s="6">
        <v>30</v>
      </c>
      <c r="H263" s="6">
        <v>28</v>
      </c>
      <c r="I263" s="6">
        <v>28</v>
      </c>
      <c r="J263" s="6">
        <v>21</v>
      </c>
      <c r="K263" s="6">
        <v>30</v>
      </c>
      <c r="L263" s="6">
        <v>42</v>
      </c>
      <c r="M263" s="6">
        <v>37</v>
      </c>
      <c r="N263" s="6">
        <v>52</v>
      </c>
      <c r="O263" s="6">
        <v>42</v>
      </c>
      <c r="P263" s="6">
        <v>39</v>
      </c>
      <c r="Q263" s="6">
        <v>41</v>
      </c>
      <c r="R263" s="6">
        <v>33</v>
      </c>
      <c r="S263" s="6">
        <v>22</v>
      </c>
      <c r="T263" s="6">
        <v>26</v>
      </c>
      <c r="U263" s="6">
        <v>18</v>
      </c>
      <c r="V263" s="6">
        <v>31</v>
      </c>
      <c r="W263" s="6">
        <v>31</v>
      </c>
      <c r="X263" s="6">
        <v>26</v>
      </c>
      <c r="Y263" s="6">
        <v>28</v>
      </c>
      <c r="Z263" s="6">
        <v>19</v>
      </c>
      <c r="AA263" s="6">
        <v>32</v>
      </c>
      <c r="AB263" s="6">
        <v>7</v>
      </c>
      <c r="AC263" s="5">
        <f>SUM(E263:AB263)</f>
        <v>703</v>
      </c>
    </row>
    <row r="264" spans="1:29" x14ac:dyDescent="0.3">
      <c r="A264" s="14"/>
      <c r="B264" s="19" t="s">
        <v>89</v>
      </c>
      <c r="C264" s="95" t="s">
        <v>90</v>
      </c>
      <c r="D264" s="96"/>
      <c r="E264" s="5">
        <f>SUM(E262:E263)</f>
        <v>176</v>
      </c>
      <c r="F264" s="5">
        <f t="shared" ref="F264:L264" si="108">SUM(F262:F263)</f>
        <v>208</v>
      </c>
      <c r="G264" s="5">
        <f t="shared" si="108"/>
        <v>144</v>
      </c>
      <c r="H264" s="5">
        <f t="shared" si="108"/>
        <v>204</v>
      </c>
      <c r="I264" s="5">
        <f t="shared" si="108"/>
        <v>182</v>
      </c>
      <c r="J264" s="5">
        <f t="shared" si="108"/>
        <v>178</v>
      </c>
      <c r="K264" s="5">
        <f t="shared" si="108"/>
        <v>195</v>
      </c>
      <c r="L264" s="5">
        <f t="shared" si="108"/>
        <v>239</v>
      </c>
      <c r="M264" s="5">
        <f t="shared" ref="M264:S264" si="109">SUM(M262:M263)</f>
        <v>255</v>
      </c>
      <c r="N264" s="5">
        <f t="shared" si="109"/>
        <v>202</v>
      </c>
      <c r="O264" s="5">
        <f t="shared" si="109"/>
        <v>240</v>
      </c>
      <c r="P264" s="5">
        <f t="shared" si="109"/>
        <v>215</v>
      </c>
      <c r="Q264" s="5">
        <f t="shared" si="109"/>
        <v>196</v>
      </c>
      <c r="R264" s="5">
        <f t="shared" si="109"/>
        <v>220</v>
      </c>
      <c r="S264" s="5">
        <f t="shared" si="109"/>
        <v>196</v>
      </c>
      <c r="T264" s="5">
        <f t="shared" ref="T264:AB264" si="110">SUM(T262:T263)</f>
        <v>200</v>
      </c>
      <c r="U264" s="5">
        <f t="shared" si="110"/>
        <v>198</v>
      </c>
      <c r="V264" s="5">
        <f t="shared" si="110"/>
        <v>215</v>
      </c>
      <c r="W264" s="5">
        <f t="shared" si="110"/>
        <v>197</v>
      </c>
      <c r="X264" s="5">
        <f t="shared" si="110"/>
        <v>203</v>
      </c>
      <c r="Y264" s="5">
        <f t="shared" si="110"/>
        <v>194</v>
      </c>
      <c r="Z264" s="5">
        <f t="shared" ref="Z264" si="111">SUM(Z262:Z263)</f>
        <v>196</v>
      </c>
      <c r="AA264" s="5">
        <f t="shared" si="110"/>
        <v>197</v>
      </c>
      <c r="AB264" s="5">
        <f t="shared" si="110"/>
        <v>189</v>
      </c>
      <c r="AC264" s="5">
        <f>SUM(E264:AB264)</f>
        <v>4839</v>
      </c>
    </row>
  </sheetData>
  <mergeCells count="86"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C264:D264"/>
    <mergeCell ref="A248:E248"/>
    <mergeCell ref="C249:D249"/>
    <mergeCell ref="B259:D259"/>
    <mergeCell ref="B261:D261"/>
    <mergeCell ref="C262:D262"/>
    <mergeCell ref="C263:D263"/>
    <mergeCell ref="B199:D199"/>
    <mergeCell ref="B187:D187"/>
    <mergeCell ref="A188:E188"/>
    <mergeCell ref="A152:E152"/>
    <mergeCell ref="C153:D153"/>
    <mergeCell ref="B163:D163"/>
    <mergeCell ref="A164:E164"/>
    <mergeCell ref="C165:D165"/>
    <mergeCell ref="C189:D189"/>
    <mergeCell ref="B175:D175"/>
    <mergeCell ref="A176:E176"/>
    <mergeCell ref="C177:D177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55:D55"/>
    <mergeCell ref="B35:D35"/>
    <mergeCell ref="B36:D36"/>
    <mergeCell ref="A37:D37"/>
    <mergeCell ref="E37:W37"/>
    <mergeCell ref="B38:D38"/>
    <mergeCell ref="B39:C41"/>
    <mergeCell ref="A42:D42"/>
    <mergeCell ref="E42:W42"/>
    <mergeCell ref="B43:D43"/>
    <mergeCell ref="A44:D44"/>
    <mergeCell ref="C45:D45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AB12"/>
    <mergeCell ref="AC12:AC13"/>
    <mergeCell ref="B13:D13"/>
    <mergeCell ref="B14:C16"/>
  </mergeCells>
  <phoneticPr fontId="9" type="noConversion"/>
  <conditionalFormatting sqref="E14:AB15">
    <cfRule type="containsBlanks" dxfId="84" priority="20">
      <formula>LEN(TRIM(E14))=0</formula>
    </cfRule>
  </conditionalFormatting>
  <conditionalFormatting sqref="E19:AB20">
    <cfRule type="containsBlanks" dxfId="83" priority="23">
      <formula>LEN(TRIM(E19))=0</formula>
    </cfRule>
  </conditionalFormatting>
  <conditionalFormatting sqref="E22:AB23 E25:AB26 E33:AB33 E35:AB35 E39:AB40">
    <cfRule type="containsBlanks" dxfId="82" priority="24">
      <formula>LEN(TRIM(E22))=0</formula>
    </cfRule>
  </conditionalFormatting>
  <conditionalFormatting sqref="E30:AB30">
    <cfRule type="expression" dxfId="81" priority="25">
      <formula>E30&lt;&gt;E47</formula>
    </cfRule>
    <cfRule type="expression" dxfId="80" priority="26">
      <formula>E30&lt;&gt;E34</formula>
    </cfRule>
  </conditionalFormatting>
  <conditionalFormatting sqref="E34:AB34">
    <cfRule type="expression" dxfId="79" priority="21">
      <formula>E30&lt;&gt;E34</formula>
    </cfRule>
    <cfRule type="expression" dxfId="78" priority="22">
      <formula>E30=E34</formula>
    </cfRule>
    <cfRule type="expression" dxfId="77" priority="27">
      <formula>E34&lt;&gt;E30</formula>
    </cfRule>
    <cfRule type="expression" dxfId="76" priority="28">
      <formula>E34&lt;&gt;E64</formula>
    </cfRule>
  </conditionalFormatting>
  <conditionalFormatting sqref="E45:AB54">
    <cfRule type="containsBlanks" dxfId="75" priority="19">
      <formula>LEN(TRIM(E45))=0</formula>
    </cfRule>
  </conditionalFormatting>
  <conditionalFormatting sqref="E57:AB66">
    <cfRule type="containsBlanks" dxfId="74" priority="18">
      <formula>LEN(TRIM(E57))=0</formula>
    </cfRule>
  </conditionalFormatting>
  <conditionalFormatting sqref="E69:AB78">
    <cfRule type="containsBlanks" dxfId="73" priority="17">
      <formula>LEN(TRIM(E69))=0</formula>
    </cfRule>
  </conditionalFormatting>
  <conditionalFormatting sqref="E81:AB90">
    <cfRule type="containsBlanks" dxfId="72" priority="16">
      <formula>LEN(TRIM(E81))=0</formula>
    </cfRule>
  </conditionalFormatting>
  <conditionalFormatting sqref="E93:AB102">
    <cfRule type="containsBlanks" dxfId="71" priority="15">
      <formula>LEN(TRIM(E93))=0</formula>
    </cfRule>
  </conditionalFormatting>
  <conditionalFormatting sqref="E105:AB114">
    <cfRule type="containsBlanks" dxfId="70" priority="14">
      <formula>LEN(TRIM(E105))=0</formula>
    </cfRule>
  </conditionalFormatting>
  <conditionalFormatting sqref="E117:AB126">
    <cfRule type="containsBlanks" dxfId="69" priority="1">
      <formula>LEN(TRIM(E117))=0</formula>
    </cfRule>
  </conditionalFormatting>
  <conditionalFormatting sqref="E129:AB138">
    <cfRule type="containsBlanks" dxfId="68" priority="13">
      <formula>LEN(TRIM(E129))=0</formula>
    </cfRule>
  </conditionalFormatting>
  <conditionalFormatting sqref="E141:AB150">
    <cfRule type="containsBlanks" dxfId="67" priority="12">
      <formula>LEN(TRIM(E141))=0</formula>
    </cfRule>
  </conditionalFormatting>
  <conditionalFormatting sqref="E153:AB162">
    <cfRule type="containsBlanks" dxfId="66" priority="3">
      <formula>LEN(TRIM(E153))=0</formula>
    </cfRule>
  </conditionalFormatting>
  <conditionalFormatting sqref="E165:AB174">
    <cfRule type="containsBlanks" dxfId="65" priority="11">
      <formula>LEN(TRIM(E165))=0</formula>
    </cfRule>
  </conditionalFormatting>
  <conditionalFormatting sqref="E177:AB186">
    <cfRule type="containsBlanks" dxfId="64" priority="10">
      <formula>LEN(TRIM(E177))=0</formula>
    </cfRule>
  </conditionalFormatting>
  <conditionalFormatting sqref="E189:AB198">
    <cfRule type="containsBlanks" dxfId="63" priority="9">
      <formula>LEN(TRIM(E189))=0</formula>
    </cfRule>
  </conditionalFormatting>
  <conditionalFormatting sqref="E201:AB210">
    <cfRule type="containsBlanks" dxfId="62" priority="8">
      <formula>LEN(TRIM(E201))=0</formula>
    </cfRule>
  </conditionalFormatting>
  <conditionalFormatting sqref="E213:AB222">
    <cfRule type="containsBlanks" dxfId="61" priority="7">
      <formula>LEN(TRIM(E213))=0</formula>
    </cfRule>
  </conditionalFormatting>
  <conditionalFormatting sqref="E225:AB234">
    <cfRule type="containsBlanks" dxfId="60" priority="6">
      <formula>LEN(TRIM(E225))=0</formula>
    </cfRule>
  </conditionalFormatting>
  <conditionalFormatting sqref="E237:AB246">
    <cfRule type="containsBlanks" dxfId="59" priority="5">
      <formula>LEN(TRIM(E237))=0</formula>
    </cfRule>
  </conditionalFormatting>
  <conditionalFormatting sqref="E249:AB258">
    <cfRule type="containsBlanks" dxfId="58" priority="4">
      <formula>LEN(TRIM(E249))=0</formula>
    </cfRule>
  </conditionalFormatting>
  <conditionalFormatting sqref="E262:AB263">
    <cfRule type="containsBlanks" dxfId="57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919A-C800-4DB1-B540-2E6C3C53FC13}">
  <sheetPr>
    <tabColor rgb="FF00B050"/>
  </sheetPr>
  <dimension ref="A2:T264"/>
  <sheetViews>
    <sheetView zoomScale="70" zoomScaleNormal="70" workbookViewId="0">
      <selection activeCell="M23" sqref="M23"/>
    </sheetView>
  </sheetViews>
  <sheetFormatPr defaultRowHeight="13" x14ac:dyDescent="0.3"/>
  <cols>
    <col min="3" max="3" width="67.09765625" bestFit="1" customWidth="1"/>
    <col min="4" max="4" width="5.8984375" bestFit="1" customWidth="1"/>
    <col min="20" max="20" width="13.296875" customWidth="1"/>
  </cols>
  <sheetData>
    <row r="2" spans="1:20" x14ac:dyDescent="0.3">
      <c r="C2" s="43" t="s">
        <v>98</v>
      </c>
      <c r="D2" s="43" t="s">
        <v>104</v>
      </c>
    </row>
    <row r="3" spans="1:20" x14ac:dyDescent="0.3">
      <c r="C3" s="43" t="s">
        <v>99</v>
      </c>
      <c r="D3" s="43" t="s">
        <v>100</v>
      </c>
    </row>
    <row r="4" spans="1:20" x14ac:dyDescent="0.3">
      <c r="C4" s="43" t="s">
        <v>101</v>
      </c>
      <c r="D4" s="43" t="s">
        <v>102</v>
      </c>
    </row>
    <row r="5" spans="1:20" x14ac:dyDescent="0.3">
      <c r="C5" s="43"/>
      <c r="D5" s="43"/>
    </row>
    <row r="6" spans="1:20" x14ac:dyDescent="0.3">
      <c r="C6" s="43"/>
      <c r="D6" s="43"/>
    </row>
    <row r="7" spans="1:20" x14ac:dyDescent="0.3">
      <c r="C7" s="43"/>
      <c r="D7" s="43"/>
    </row>
    <row r="8" spans="1:20" x14ac:dyDescent="0.3">
      <c r="C8" s="43"/>
      <c r="D8" s="43"/>
    </row>
    <row r="9" spans="1:20" x14ac:dyDescent="0.3">
      <c r="C9" s="43" t="s">
        <v>103</v>
      </c>
      <c r="D9" s="43" t="s">
        <v>113</v>
      </c>
    </row>
    <row r="11" spans="1:20" x14ac:dyDescent="0.3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20" x14ac:dyDescent="0.3">
      <c r="A12" s="5" t="s">
        <v>0</v>
      </c>
      <c r="B12" s="65" t="s">
        <v>1</v>
      </c>
      <c r="C12" s="63"/>
      <c r="D12" s="64"/>
      <c r="E12" s="99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1" t="s">
        <v>97</v>
      </c>
    </row>
    <row r="13" spans="1:20" x14ac:dyDescent="0.3">
      <c r="A13" s="6" t="s">
        <v>2</v>
      </c>
      <c r="B13" s="76" t="s">
        <v>3</v>
      </c>
      <c r="C13" s="63"/>
      <c r="D13" s="6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102"/>
    </row>
    <row r="14" spans="1:20" x14ac:dyDescent="0.3">
      <c r="A14" s="7"/>
      <c r="B14" s="77" t="s">
        <v>22</v>
      </c>
      <c r="C14" s="78"/>
      <c r="D14" s="6" t="s">
        <v>23</v>
      </c>
      <c r="E14" s="6">
        <v>124</v>
      </c>
      <c r="F14" s="6">
        <v>132</v>
      </c>
      <c r="G14" s="6">
        <v>130</v>
      </c>
      <c r="H14" s="6">
        <v>127</v>
      </c>
      <c r="I14" s="6">
        <v>133</v>
      </c>
      <c r="J14" s="6">
        <v>115</v>
      </c>
      <c r="K14" s="6">
        <v>140</v>
      </c>
      <c r="L14" s="6">
        <v>127</v>
      </c>
      <c r="M14" s="6">
        <v>130</v>
      </c>
      <c r="N14" s="6">
        <v>111</v>
      </c>
      <c r="O14" s="6">
        <v>118</v>
      </c>
      <c r="P14" s="6">
        <v>108</v>
      </c>
      <c r="Q14" s="6">
        <v>114</v>
      </c>
      <c r="R14" s="6">
        <v>130</v>
      </c>
      <c r="S14" s="6">
        <v>81</v>
      </c>
      <c r="T14" s="5">
        <f>SUM(E14:S14)</f>
        <v>1820</v>
      </c>
    </row>
    <row r="15" spans="1:20" x14ac:dyDescent="0.3">
      <c r="A15" s="7"/>
      <c r="B15" s="79"/>
      <c r="C15" s="67"/>
      <c r="D15" s="6" t="s">
        <v>24</v>
      </c>
      <c r="E15" s="6">
        <v>119</v>
      </c>
      <c r="F15" s="6">
        <v>123</v>
      </c>
      <c r="G15" s="6">
        <v>121</v>
      </c>
      <c r="H15" s="6">
        <v>125</v>
      </c>
      <c r="I15" s="6">
        <v>128</v>
      </c>
      <c r="J15" s="6">
        <v>126</v>
      </c>
      <c r="K15" s="6">
        <v>135</v>
      </c>
      <c r="L15" s="6">
        <v>133</v>
      </c>
      <c r="M15" s="6">
        <v>134</v>
      </c>
      <c r="N15" s="6">
        <v>121</v>
      </c>
      <c r="O15" s="6">
        <v>124</v>
      </c>
      <c r="P15" s="6">
        <v>118</v>
      </c>
      <c r="Q15" s="6">
        <v>121</v>
      </c>
      <c r="R15" s="6">
        <v>129</v>
      </c>
      <c r="S15" s="6">
        <v>80</v>
      </c>
      <c r="T15" s="5">
        <f>SUM(E15:S15)</f>
        <v>1837</v>
      </c>
    </row>
    <row r="16" spans="1:20" x14ac:dyDescent="0.3">
      <c r="A16" s="8"/>
      <c r="B16" s="75"/>
      <c r="C16" s="68"/>
      <c r="D16" s="5" t="s">
        <v>25</v>
      </c>
      <c r="E16" s="5">
        <f t="shared" ref="E16:S16" si="0">SUM(E14:E15)</f>
        <v>243</v>
      </c>
      <c r="F16" s="5">
        <f t="shared" si="0"/>
        <v>255</v>
      </c>
      <c r="G16" s="5">
        <f t="shared" si="0"/>
        <v>251</v>
      </c>
      <c r="H16" s="5">
        <f t="shared" si="0"/>
        <v>252</v>
      </c>
      <c r="I16" s="5">
        <f t="shared" si="0"/>
        <v>261</v>
      </c>
      <c r="J16" s="5">
        <f t="shared" si="0"/>
        <v>241</v>
      </c>
      <c r="K16" s="5">
        <f t="shared" si="0"/>
        <v>275</v>
      </c>
      <c r="L16" s="5">
        <f t="shared" si="0"/>
        <v>260</v>
      </c>
      <c r="M16" s="5">
        <f t="shared" si="0"/>
        <v>264</v>
      </c>
      <c r="N16" s="5">
        <f t="shared" si="0"/>
        <v>232</v>
      </c>
      <c r="O16" s="5">
        <f t="shared" ref="O16:P16" si="1">SUM(O14:O15)</f>
        <v>242</v>
      </c>
      <c r="P16" s="5">
        <f t="shared" si="1"/>
        <v>226</v>
      </c>
      <c r="Q16" s="5">
        <f t="shared" si="0"/>
        <v>235</v>
      </c>
      <c r="R16" s="5">
        <f t="shared" si="0"/>
        <v>259</v>
      </c>
      <c r="S16" s="5">
        <f t="shared" si="0"/>
        <v>161</v>
      </c>
      <c r="T16" s="5">
        <f>SUM(E16:S16)</f>
        <v>3657</v>
      </c>
    </row>
    <row r="17" spans="1:20" x14ac:dyDescent="0.3">
      <c r="A17" s="62"/>
      <c r="B17" s="63"/>
      <c r="C17" s="63"/>
      <c r="D17" s="64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28"/>
    </row>
    <row r="18" spans="1:20" x14ac:dyDescent="0.3">
      <c r="A18" s="11" t="s">
        <v>26</v>
      </c>
      <c r="B18" s="76" t="s">
        <v>27</v>
      </c>
      <c r="C18" s="63"/>
      <c r="D18" s="64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28"/>
    </row>
    <row r="19" spans="1:20" x14ac:dyDescent="0.3">
      <c r="A19" s="11"/>
      <c r="B19" s="66" t="s">
        <v>28</v>
      </c>
      <c r="C19" s="69" t="s">
        <v>29</v>
      </c>
      <c r="D19" s="6" t="s">
        <v>23</v>
      </c>
      <c r="E19" s="6">
        <v>97</v>
      </c>
      <c r="F19" s="6">
        <v>88</v>
      </c>
      <c r="G19" s="6">
        <v>110</v>
      </c>
      <c r="H19" s="6">
        <v>104</v>
      </c>
      <c r="I19" s="6">
        <v>111</v>
      </c>
      <c r="J19" s="6">
        <v>94</v>
      </c>
      <c r="K19" s="6">
        <v>112</v>
      </c>
      <c r="L19" s="6">
        <v>92</v>
      </c>
      <c r="M19" s="6">
        <v>95</v>
      </c>
      <c r="N19" s="6">
        <v>90</v>
      </c>
      <c r="O19" s="6">
        <v>87</v>
      </c>
      <c r="P19" s="6">
        <v>87</v>
      </c>
      <c r="Q19" s="6">
        <v>96</v>
      </c>
      <c r="R19" s="6">
        <v>89</v>
      </c>
      <c r="S19" s="6">
        <v>53</v>
      </c>
      <c r="T19" s="5">
        <f t="shared" ref="T19:T30" si="2">SUM(E19:S19)</f>
        <v>1405</v>
      </c>
    </row>
    <row r="20" spans="1:20" x14ac:dyDescent="0.3">
      <c r="A20" s="12"/>
      <c r="B20" s="67"/>
      <c r="C20" s="70"/>
      <c r="D20" s="6" t="s">
        <v>24</v>
      </c>
      <c r="E20" s="6">
        <v>100</v>
      </c>
      <c r="F20" s="6">
        <v>89</v>
      </c>
      <c r="G20" s="6">
        <v>99</v>
      </c>
      <c r="H20" s="6">
        <v>115</v>
      </c>
      <c r="I20" s="6">
        <v>109</v>
      </c>
      <c r="J20" s="6">
        <v>105</v>
      </c>
      <c r="K20" s="6">
        <v>114</v>
      </c>
      <c r="L20" s="6">
        <v>110</v>
      </c>
      <c r="M20" s="6">
        <v>103</v>
      </c>
      <c r="N20" s="6">
        <v>103</v>
      </c>
      <c r="O20" s="6">
        <v>106</v>
      </c>
      <c r="P20" s="6">
        <v>107</v>
      </c>
      <c r="Q20" s="6">
        <v>111</v>
      </c>
      <c r="R20" s="6">
        <v>105</v>
      </c>
      <c r="S20" s="6">
        <v>58</v>
      </c>
      <c r="T20" s="5">
        <f t="shared" si="2"/>
        <v>1534</v>
      </c>
    </row>
    <row r="21" spans="1:20" x14ac:dyDescent="0.3">
      <c r="A21" s="13"/>
      <c r="B21" s="68"/>
      <c r="C21" s="71"/>
      <c r="D21" s="5" t="s">
        <v>25</v>
      </c>
      <c r="E21" s="5">
        <f t="shared" ref="E21:S21" si="3">SUM(E19:E20)</f>
        <v>197</v>
      </c>
      <c r="F21" s="5">
        <f t="shared" si="3"/>
        <v>177</v>
      </c>
      <c r="G21" s="5">
        <f t="shared" si="3"/>
        <v>209</v>
      </c>
      <c r="H21" s="5">
        <f t="shared" si="3"/>
        <v>219</v>
      </c>
      <c r="I21" s="5">
        <f t="shared" si="3"/>
        <v>220</v>
      </c>
      <c r="J21" s="5">
        <f t="shared" si="3"/>
        <v>199</v>
      </c>
      <c r="K21" s="5">
        <f t="shared" si="3"/>
        <v>226</v>
      </c>
      <c r="L21" s="5">
        <f t="shared" si="3"/>
        <v>202</v>
      </c>
      <c r="M21" s="5">
        <f t="shared" si="3"/>
        <v>198</v>
      </c>
      <c r="N21" s="5">
        <f t="shared" si="3"/>
        <v>193</v>
      </c>
      <c r="O21" s="5">
        <f t="shared" ref="O21:P21" si="4">SUM(O19:O20)</f>
        <v>193</v>
      </c>
      <c r="P21" s="5">
        <f t="shared" si="4"/>
        <v>194</v>
      </c>
      <c r="Q21" s="5">
        <f t="shared" si="3"/>
        <v>207</v>
      </c>
      <c r="R21" s="5">
        <f t="shared" si="3"/>
        <v>194</v>
      </c>
      <c r="S21" s="5">
        <f t="shared" si="3"/>
        <v>111</v>
      </c>
      <c r="T21" s="5">
        <f t="shared" si="2"/>
        <v>2939</v>
      </c>
    </row>
    <row r="22" spans="1:20" x14ac:dyDescent="0.3">
      <c r="A22" s="12"/>
      <c r="B22" s="66" t="s">
        <v>30</v>
      </c>
      <c r="C22" s="69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1</v>
      </c>
      <c r="M22" s="6">
        <v>0</v>
      </c>
      <c r="N22" s="6">
        <v>1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5">
        <f t="shared" si="2"/>
        <v>2</v>
      </c>
    </row>
    <row r="23" spans="1:20" x14ac:dyDescent="0.3">
      <c r="A23" s="12"/>
      <c r="B23" s="67"/>
      <c r="C23" s="70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1</v>
      </c>
      <c r="M23" s="6">
        <v>0</v>
      </c>
      <c r="N23" s="6">
        <v>1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5">
        <f t="shared" si="2"/>
        <v>2</v>
      </c>
    </row>
    <row r="24" spans="1:20" x14ac:dyDescent="0.3">
      <c r="A24" s="13"/>
      <c r="B24" s="68"/>
      <c r="C24" s="71"/>
      <c r="D24" s="5" t="s">
        <v>25</v>
      </c>
      <c r="E24" s="5">
        <f t="shared" ref="E24:S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0</v>
      </c>
      <c r="I24" s="5">
        <f t="shared" si="5"/>
        <v>0</v>
      </c>
      <c r="J24" s="5">
        <f t="shared" si="5"/>
        <v>0</v>
      </c>
      <c r="K24" s="5">
        <f t="shared" si="5"/>
        <v>0</v>
      </c>
      <c r="L24" s="5">
        <f t="shared" si="5"/>
        <v>2</v>
      </c>
      <c r="M24" s="5">
        <f t="shared" si="5"/>
        <v>0</v>
      </c>
      <c r="N24" s="5">
        <f t="shared" si="5"/>
        <v>2</v>
      </c>
      <c r="O24" s="5">
        <f t="shared" ref="O24:P24" si="6">SUM(O22:O23)</f>
        <v>0</v>
      </c>
      <c r="P24" s="5">
        <f t="shared" si="6"/>
        <v>0</v>
      </c>
      <c r="Q24" s="5">
        <f t="shared" si="5"/>
        <v>0</v>
      </c>
      <c r="R24" s="5">
        <f t="shared" si="5"/>
        <v>0</v>
      </c>
      <c r="S24" s="5">
        <f t="shared" si="5"/>
        <v>0</v>
      </c>
      <c r="T24" s="5">
        <f t="shared" si="2"/>
        <v>4</v>
      </c>
    </row>
    <row r="25" spans="1:20" x14ac:dyDescent="0.3">
      <c r="A25" s="12"/>
      <c r="B25" s="66" t="s">
        <v>32</v>
      </c>
      <c r="C25" s="69" t="s">
        <v>33</v>
      </c>
      <c r="D25" s="6" t="s">
        <v>23</v>
      </c>
      <c r="E25" s="6">
        <v>1</v>
      </c>
      <c r="F25" s="6">
        <v>3</v>
      </c>
      <c r="G25" s="6">
        <v>0</v>
      </c>
      <c r="H25" s="6">
        <v>0</v>
      </c>
      <c r="I25" s="6">
        <v>1</v>
      </c>
      <c r="J25" s="6">
        <v>0</v>
      </c>
      <c r="K25" s="6">
        <v>0</v>
      </c>
      <c r="L25" s="6">
        <v>2</v>
      </c>
      <c r="M25" s="6">
        <v>0</v>
      </c>
      <c r="N25" s="6">
        <v>0</v>
      </c>
      <c r="O25" s="6">
        <v>3</v>
      </c>
      <c r="P25" s="6">
        <v>0</v>
      </c>
      <c r="Q25" s="6">
        <v>0</v>
      </c>
      <c r="R25" s="6">
        <v>0</v>
      </c>
      <c r="S25" s="6">
        <v>1</v>
      </c>
      <c r="T25" s="5">
        <f t="shared" si="2"/>
        <v>11</v>
      </c>
    </row>
    <row r="26" spans="1:20" x14ac:dyDescent="0.3">
      <c r="A26" s="12"/>
      <c r="B26" s="67"/>
      <c r="C26" s="70"/>
      <c r="D26" s="6" t="s">
        <v>24</v>
      </c>
      <c r="E26" s="6">
        <v>2</v>
      </c>
      <c r="F26" s="6">
        <v>3</v>
      </c>
      <c r="G26" s="6">
        <v>2</v>
      </c>
      <c r="H26" s="6">
        <v>0</v>
      </c>
      <c r="I26" s="6">
        <v>0</v>
      </c>
      <c r="J26" s="6">
        <v>1</v>
      </c>
      <c r="K26" s="6">
        <v>2</v>
      </c>
      <c r="L26" s="6">
        <v>2</v>
      </c>
      <c r="M26" s="6">
        <v>0</v>
      </c>
      <c r="N26" s="6">
        <v>1</v>
      </c>
      <c r="O26" s="6">
        <v>4</v>
      </c>
      <c r="P26" s="6">
        <v>0</v>
      </c>
      <c r="Q26" s="6">
        <v>0</v>
      </c>
      <c r="R26" s="6">
        <v>1</v>
      </c>
      <c r="S26" s="6">
        <v>0</v>
      </c>
      <c r="T26" s="5">
        <f t="shared" si="2"/>
        <v>18</v>
      </c>
    </row>
    <row r="27" spans="1:20" x14ac:dyDescent="0.3">
      <c r="A27" s="13"/>
      <c r="B27" s="68"/>
      <c r="C27" s="71"/>
      <c r="D27" s="5" t="s">
        <v>25</v>
      </c>
      <c r="E27" s="5">
        <f t="shared" ref="E27:S27" si="7">SUM(E25:E26)</f>
        <v>3</v>
      </c>
      <c r="F27" s="5">
        <f t="shared" si="7"/>
        <v>6</v>
      </c>
      <c r="G27" s="5">
        <f t="shared" si="7"/>
        <v>2</v>
      </c>
      <c r="H27" s="5">
        <f t="shared" si="7"/>
        <v>0</v>
      </c>
      <c r="I27" s="5">
        <f t="shared" si="7"/>
        <v>1</v>
      </c>
      <c r="J27" s="5">
        <f t="shared" si="7"/>
        <v>1</v>
      </c>
      <c r="K27" s="5">
        <f t="shared" si="7"/>
        <v>2</v>
      </c>
      <c r="L27" s="5">
        <f t="shared" si="7"/>
        <v>4</v>
      </c>
      <c r="M27" s="5">
        <f t="shared" si="7"/>
        <v>0</v>
      </c>
      <c r="N27" s="5">
        <f t="shared" si="7"/>
        <v>1</v>
      </c>
      <c r="O27" s="5">
        <f t="shared" ref="O27:P27" si="8">SUM(O25:O26)</f>
        <v>7</v>
      </c>
      <c r="P27" s="5">
        <f t="shared" si="8"/>
        <v>0</v>
      </c>
      <c r="Q27" s="5">
        <f t="shared" si="7"/>
        <v>0</v>
      </c>
      <c r="R27" s="5">
        <f t="shared" si="7"/>
        <v>1</v>
      </c>
      <c r="S27" s="5">
        <f t="shared" si="7"/>
        <v>1</v>
      </c>
      <c r="T27" s="5">
        <f t="shared" si="2"/>
        <v>29</v>
      </c>
    </row>
    <row r="28" spans="1:20" x14ac:dyDescent="0.3">
      <c r="A28" s="13"/>
      <c r="B28" s="72" t="s">
        <v>34</v>
      </c>
      <c r="C28" s="73" t="s">
        <v>35</v>
      </c>
      <c r="D28" s="5" t="s">
        <v>23</v>
      </c>
      <c r="E28" s="5">
        <f>SUM(E19,E22,E25)</f>
        <v>98</v>
      </c>
      <c r="F28" s="5">
        <f t="shared" ref="F28:S29" si="9">SUM(F19,F22,F25)</f>
        <v>91</v>
      </c>
      <c r="G28" s="5">
        <f t="shared" si="9"/>
        <v>110</v>
      </c>
      <c r="H28" s="5">
        <f t="shared" si="9"/>
        <v>104</v>
      </c>
      <c r="I28" s="5">
        <f t="shared" si="9"/>
        <v>112</v>
      </c>
      <c r="J28" s="5">
        <f t="shared" si="9"/>
        <v>94</v>
      </c>
      <c r="K28" s="5">
        <f t="shared" si="9"/>
        <v>112</v>
      </c>
      <c r="L28" s="5">
        <f t="shared" si="9"/>
        <v>95</v>
      </c>
      <c r="M28" s="5">
        <f t="shared" si="9"/>
        <v>95</v>
      </c>
      <c r="N28" s="5">
        <f t="shared" si="9"/>
        <v>91</v>
      </c>
      <c r="O28" s="5">
        <f t="shared" ref="O28:P28" si="10">SUM(O19,O22,O25)</f>
        <v>90</v>
      </c>
      <c r="P28" s="5">
        <f t="shared" si="10"/>
        <v>87</v>
      </c>
      <c r="Q28" s="5">
        <f t="shared" si="9"/>
        <v>96</v>
      </c>
      <c r="R28" s="5">
        <f t="shared" si="9"/>
        <v>89</v>
      </c>
      <c r="S28" s="5">
        <f t="shared" si="9"/>
        <v>54</v>
      </c>
      <c r="T28" s="5">
        <f t="shared" si="2"/>
        <v>1418</v>
      </c>
    </row>
    <row r="29" spans="1:20" x14ac:dyDescent="0.3">
      <c r="A29" s="13"/>
      <c r="B29" s="67"/>
      <c r="C29" s="70"/>
      <c r="D29" s="5" t="s">
        <v>24</v>
      </c>
      <c r="E29" s="5">
        <f>SUM(E20,E23,E26)</f>
        <v>102</v>
      </c>
      <c r="F29" s="5">
        <f t="shared" si="9"/>
        <v>92</v>
      </c>
      <c r="G29" s="5">
        <f t="shared" si="9"/>
        <v>101</v>
      </c>
      <c r="H29" s="5">
        <f t="shared" si="9"/>
        <v>115</v>
      </c>
      <c r="I29" s="5">
        <f t="shared" si="9"/>
        <v>109</v>
      </c>
      <c r="J29" s="5">
        <f t="shared" si="9"/>
        <v>106</v>
      </c>
      <c r="K29" s="5">
        <f t="shared" si="9"/>
        <v>116</v>
      </c>
      <c r="L29" s="5">
        <f t="shared" si="9"/>
        <v>113</v>
      </c>
      <c r="M29" s="5">
        <f t="shared" si="9"/>
        <v>103</v>
      </c>
      <c r="N29" s="5">
        <f t="shared" si="9"/>
        <v>105</v>
      </c>
      <c r="O29" s="5">
        <f t="shared" ref="O29:P29" si="11">SUM(O20,O23,O26)</f>
        <v>110</v>
      </c>
      <c r="P29" s="5">
        <f t="shared" si="11"/>
        <v>107</v>
      </c>
      <c r="Q29" s="5">
        <f t="shared" si="9"/>
        <v>111</v>
      </c>
      <c r="R29" s="5">
        <f t="shared" si="9"/>
        <v>106</v>
      </c>
      <c r="S29" s="5">
        <f t="shared" si="9"/>
        <v>58</v>
      </c>
      <c r="T29" s="5">
        <f t="shared" si="2"/>
        <v>1554</v>
      </c>
    </row>
    <row r="30" spans="1:20" x14ac:dyDescent="0.3">
      <c r="A30" s="13"/>
      <c r="B30" s="68"/>
      <c r="C30" s="71"/>
      <c r="D30" s="5" t="s">
        <v>25</v>
      </c>
      <c r="E30" s="5">
        <f t="shared" ref="E30" si="12">SUM(E28:E29)</f>
        <v>200</v>
      </c>
      <c r="F30" s="5">
        <f t="shared" ref="F30:S30" si="13">SUM(F28:F29)</f>
        <v>183</v>
      </c>
      <c r="G30" s="5">
        <f t="shared" si="13"/>
        <v>211</v>
      </c>
      <c r="H30" s="5">
        <f t="shared" si="13"/>
        <v>219</v>
      </c>
      <c r="I30" s="5">
        <f t="shared" si="13"/>
        <v>221</v>
      </c>
      <c r="J30" s="5">
        <f t="shared" si="13"/>
        <v>200</v>
      </c>
      <c r="K30" s="5">
        <f t="shared" si="13"/>
        <v>228</v>
      </c>
      <c r="L30" s="5">
        <f t="shared" si="13"/>
        <v>208</v>
      </c>
      <c r="M30" s="5">
        <f t="shared" si="13"/>
        <v>198</v>
      </c>
      <c r="N30" s="5">
        <f t="shared" si="13"/>
        <v>196</v>
      </c>
      <c r="O30" s="5">
        <f t="shared" ref="O30:P30" si="14">SUM(O28:O29)</f>
        <v>200</v>
      </c>
      <c r="P30" s="5">
        <f t="shared" si="14"/>
        <v>194</v>
      </c>
      <c r="Q30" s="5">
        <f t="shared" si="13"/>
        <v>207</v>
      </c>
      <c r="R30" s="5">
        <f t="shared" si="13"/>
        <v>195</v>
      </c>
      <c r="S30" s="5">
        <f t="shared" si="13"/>
        <v>112</v>
      </c>
      <c r="T30" s="5">
        <f t="shared" si="2"/>
        <v>2972</v>
      </c>
    </row>
    <row r="31" spans="1:20" x14ac:dyDescent="0.3">
      <c r="A31" s="62"/>
      <c r="B31" s="63"/>
      <c r="C31" s="63"/>
      <c r="D31" s="64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28"/>
    </row>
    <row r="32" spans="1:20" x14ac:dyDescent="0.3">
      <c r="A32" s="14" t="s">
        <v>36</v>
      </c>
      <c r="B32" s="65" t="s">
        <v>37</v>
      </c>
      <c r="C32" s="63"/>
      <c r="D32" s="64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28"/>
    </row>
    <row r="33" spans="1:20" x14ac:dyDescent="0.3">
      <c r="A33" s="6">
        <v>1</v>
      </c>
      <c r="B33" s="76" t="s">
        <v>38</v>
      </c>
      <c r="C33" s="63"/>
      <c r="D33" s="64"/>
      <c r="E33" s="6">
        <v>248</v>
      </c>
      <c r="F33" s="6">
        <v>261</v>
      </c>
      <c r="G33" s="6">
        <v>251</v>
      </c>
      <c r="H33" s="6">
        <v>242</v>
      </c>
      <c r="I33" s="6">
        <v>255</v>
      </c>
      <c r="J33" s="6">
        <v>243</v>
      </c>
      <c r="K33" s="6">
        <v>278</v>
      </c>
      <c r="L33" s="6">
        <v>264</v>
      </c>
      <c r="M33" s="6">
        <v>257</v>
      </c>
      <c r="N33" s="6">
        <v>234</v>
      </c>
      <c r="O33" s="6">
        <v>247</v>
      </c>
      <c r="P33" s="6">
        <v>230</v>
      </c>
      <c r="Q33" s="6">
        <v>239</v>
      </c>
      <c r="R33" s="6">
        <v>262</v>
      </c>
      <c r="S33" s="6">
        <v>163</v>
      </c>
      <c r="T33" s="5">
        <f>SUM(E33:S33)</f>
        <v>3674</v>
      </c>
    </row>
    <row r="34" spans="1:20" x14ac:dyDescent="0.3">
      <c r="A34" s="6">
        <v>2</v>
      </c>
      <c r="B34" s="76" t="s">
        <v>39</v>
      </c>
      <c r="C34" s="63"/>
      <c r="D34" s="64"/>
      <c r="E34" s="5">
        <v>200</v>
      </c>
      <c r="F34" s="5">
        <v>183</v>
      </c>
      <c r="G34" s="5">
        <v>211</v>
      </c>
      <c r="H34" s="5">
        <v>219</v>
      </c>
      <c r="I34" s="5">
        <v>221</v>
      </c>
      <c r="J34" s="5">
        <v>200</v>
      </c>
      <c r="K34" s="5">
        <v>228</v>
      </c>
      <c r="L34" s="5">
        <v>208</v>
      </c>
      <c r="M34" s="5">
        <v>198</v>
      </c>
      <c r="N34" s="5">
        <v>196</v>
      </c>
      <c r="O34" s="5">
        <v>200</v>
      </c>
      <c r="P34" s="5">
        <v>194</v>
      </c>
      <c r="Q34" s="5">
        <v>207</v>
      </c>
      <c r="R34" s="5">
        <v>195</v>
      </c>
      <c r="S34" s="5">
        <v>112</v>
      </c>
      <c r="T34" s="5">
        <f>SUM(E34:S34)</f>
        <v>2972</v>
      </c>
    </row>
    <row r="35" spans="1:20" x14ac:dyDescent="0.3">
      <c r="A35" s="6">
        <v>3</v>
      </c>
      <c r="B35" s="76" t="s">
        <v>40</v>
      </c>
      <c r="C35" s="63"/>
      <c r="D35" s="64"/>
      <c r="E35" s="6">
        <v>0</v>
      </c>
      <c r="F35" s="6">
        <v>3</v>
      </c>
      <c r="G35" s="6">
        <v>1</v>
      </c>
      <c r="H35" s="6">
        <v>2</v>
      </c>
      <c r="I35" s="6">
        <v>0</v>
      </c>
      <c r="J35" s="6">
        <v>3</v>
      </c>
      <c r="K35" s="6">
        <v>1</v>
      </c>
      <c r="L35" s="6">
        <v>0</v>
      </c>
      <c r="M35" s="6">
        <v>0</v>
      </c>
      <c r="N35" s="6">
        <v>0</v>
      </c>
      <c r="O35" s="6">
        <v>0</v>
      </c>
      <c r="P35" s="6">
        <v>1</v>
      </c>
      <c r="Q35" s="6">
        <v>0</v>
      </c>
      <c r="R35" s="6">
        <v>0</v>
      </c>
      <c r="S35" s="6">
        <v>0</v>
      </c>
      <c r="T35" s="5">
        <f>SUM(E35:S35)</f>
        <v>11</v>
      </c>
    </row>
    <row r="36" spans="1:20" x14ac:dyDescent="0.3">
      <c r="A36" s="6">
        <v>4</v>
      </c>
      <c r="B36" s="76" t="s">
        <v>41</v>
      </c>
      <c r="C36" s="63"/>
      <c r="D36" s="64"/>
      <c r="E36" s="5">
        <f t="shared" ref="E36:S36" si="15">E33-(E34+E35)</f>
        <v>48</v>
      </c>
      <c r="F36" s="5">
        <f t="shared" si="15"/>
        <v>75</v>
      </c>
      <c r="G36" s="5">
        <f t="shared" si="15"/>
        <v>39</v>
      </c>
      <c r="H36" s="5">
        <f t="shared" si="15"/>
        <v>21</v>
      </c>
      <c r="I36" s="5">
        <f t="shared" si="15"/>
        <v>34</v>
      </c>
      <c r="J36" s="5">
        <f t="shared" si="15"/>
        <v>40</v>
      </c>
      <c r="K36" s="5">
        <f t="shared" si="15"/>
        <v>49</v>
      </c>
      <c r="L36" s="5">
        <f t="shared" si="15"/>
        <v>56</v>
      </c>
      <c r="M36" s="5">
        <f t="shared" si="15"/>
        <v>59</v>
      </c>
      <c r="N36" s="5">
        <f t="shared" si="15"/>
        <v>38</v>
      </c>
      <c r="O36" s="5">
        <f t="shared" ref="O36:P36" si="16">O33-(O34+O35)</f>
        <v>47</v>
      </c>
      <c r="P36" s="5">
        <f t="shared" si="16"/>
        <v>35</v>
      </c>
      <c r="Q36" s="5">
        <f t="shared" si="15"/>
        <v>32</v>
      </c>
      <c r="R36" s="5">
        <f t="shared" si="15"/>
        <v>67</v>
      </c>
      <c r="S36" s="5">
        <f t="shared" si="15"/>
        <v>51</v>
      </c>
      <c r="T36" s="5">
        <f>SUM(E36:S36)</f>
        <v>691</v>
      </c>
    </row>
    <row r="37" spans="1:20" x14ac:dyDescent="0.3">
      <c r="A37" s="62"/>
      <c r="B37" s="63"/>
      <c r="C37" s="63"/>
      <c r="D37" s="63"/>
      <c r="E37" s="62"/>
      <c r="F37" s="103"/>
      <c r="G37" s="103"/>
      <c r="H37" s="103"/>
      <c r="I37" s="104"/>
      <c r="J37" s="6"/>
      <c r="K37" s="6"/>
      <c r="L37" s="6"/>
      <c r="M37" s="6"/>
      <c r="N37" s="10"/>
      <c r="O37" s="26"/>
      <c r="P37" s="26"/>
      <c r="Q37" s="26"/>
      <c r="R37" s="26"/>
      <c r="S37" s="26"/>
      <c r="T37" s="28"/>
    </row>
    <row r="38" spans="1:20" x14ac:dyDescent="0.3">
      <c r="A38" s="16" t="s">
        <v>42</v>
      </c>
      <c r="B38" s="65" t="s">
        <v>43</v>
      </c>
      <c r="C38" s="63"/>
      <c r="D38" s="64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28"/>
    </row>
    <row r="39" spans="1:20" x14ac:dyDescent="0.3">
      <c r="A39" s="11"/>
      <c r="B39" s="80" t="s">
        <v>44</v>
      </c>
      <c r="C39" s="78"/>
      <c r="D39" s="6" t="s">
        <v>23</v>
      </c>
      <c r="E39" s="6">
        <v>2</v>
      </c>
      <c r="F39" s="6"/>
      <c r="G39" s="6"/>
      <c r="H39" s="6"/>
      <c r="I39" s="6"/>
      <c r="J39" s="6">
        <v>1</v>
      </c>
      <c r="K39" s="6"/>
      <c r="L39" s="6">
        <v>1</v>
      </c>
      <c r="M39" s="6"/>
      <c r="N39" s="6"/>
      <c r="O39" s="6"/>
      <c r="P39" s="6"/>
      <c r="Q39" s="6"/>
      <c r="R39" s="6"/>
      <c r="S39" s="6"/>
      <c r="T39" s="5">
        <f>SUM(E39:S39)</f>
        <v>4</v>
      </c>
    </row>
    <row r="40" spans="1:20" x14ac:dyDescent="0.3">
      <c r="A40" s="12"/>
      <c r="B40" s="81"/>
      <c r="C40" s="67"/>
      <c r="D40" s="6" t="s">
        <v>24</v>
      </c>
      <c r="E40" s="6">
        <v>5</v>
      </c>
      <c r="F40" s="6"/>
      <c r="G40" s="6"/>
      <c r="H40" s="6"/>
      <c r="I40" s="6"/>
      <c r="J40" s="6"/>
      <c r="K40" s="6"/>
      <c r="L40" s="6">
        <v>4</v>
      </c>
      <c r="M40" s="6"/>
      <c r="N40" s="6"/>
      <c r="O40" s="6">
        <v>1</v>
      </c>
      <c r="P40" s="6"/>
      <c r="Q40" s="6"/>
      <c r="R40" s="6"/>
      <c r="S40" s="6"/>
      <c r="T40" s="5">
        <f>SUM(E40:S40)</f>
        <v>10</v>
      </c>
    </row>
    <row r="41" spans="1:20" x14ac:dyDescent="0.3">
      <c r="A41" s="14"/>
      <c r="B41" s="82"/>
      <c r="C41" s="68"/>
      <c r="D41" s="5" t="s">
        <v>25</v>
      </c>
      <c r="E41" s="5">
        <f t="shared" ref="E41:S41" si="17">SUM(E39:E40)</f>
        <v>7</v>
      </c>
      <c r="F41" s="5">
        <f t="shared" si="17"/>
        <v>0</v>
      </c>
      <c r="G41" s="5">
        <f t="shared" si="17"/>
        <v>0</v>
      </c>
      <c r="H41" s="5">
        <f t="shared" si="17"/>
        <v>0</v>
      </c>
      <c r="I41" s="5">
        <f t="shared" si="17"/>
        <v>0</v>
      </c>
      <c r="J41" s="5">
        <f t="shared" si="17"/>
        <v>1</v>
      </c>
      <c r="K41" s="5">
        <f t="shared" si="17"/>
        <v>0</v>
      </c>
      <c r="L41" s="5">
        <f t="shared" si="17"/>
        <v>5</v>
      </c>
      <c r="M41" s="5">
        <f t="shared" si="17"/>
        <v>0</v>
      </c>
      <c r="N41" s="5">
        <f t="shared" si="17"/>
        <v>0</v>
      </c>
      <c r="O41" s="5">
        <f t="shared" ref="O41:P41" si="18">SUM(O39:O40)</f>
        <v>1</v>
      </c>
      <c r="P41" s="5">
        <f t="shared" si="18"/>
        <v>0</v>
      </c>
      <c r="Q41" s="5">
        <f t="shared" si="17"/>
        <v>0</v>
      </c>
      <c r="R41" s="5">
        <f t="shared" si="17"/>
        <v>0</v>
      </c>
      <c r="S41" s="5">
        <f t="shared" si="17"/>
        <v>0</v>
      </c>
      <c r="T41" s="5">
        <f>SUM(E41:S41)</f>
        <v>14</v>
      </c>
    </row>
    <row r="42" spans="1:20" x14ac:dyDescent="0.3">
      <c r="A42" s="83"/>
      <c r="B42" s="82"/>
      <c r="C42" s="82"/>
      <c r="D42" s="68"/>
      <c r="E42" s="62"/>
      <c r="F42" s="63"/>
      <c r="G42" s="63"/>
      <c r="H42" s="63"/>
      <c r="I42" s="64"/>
      <c r="J42" s="6"/>
      <c r="K42" s="6"/>
      <c r="L42" s="6"/>
      <c r="M42" s="6"/>
      <c r="N42" s="10"/>
      <c r="O42" s="6"/>
      <c r="P42" s="10"/>
      <c r="Q42" s="6"/>
      <c r="R42" s="10"/>
      <c r="S42" s="6"/>
      <c r="T42" s="5"/>
    </row>
    <row r="43" spans="1:20" ht="13.15" customHeight="1" x14ac:dyDescent="0.3">
      <c r="A43" s="16" t="s">
        <v>45</v>
      </c>
      <c r="B43" s="65" t="s">
        <v>46</v>
      </c>
      <c r="C43" s="63"/>
      <c r="D43" s="6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5"/>
    </row>
    <row r="44" spans="1:20" ht="13.15" customHeight="1" x14ac:dyDescent="0.3">
      <c r="A44" s="80" t="s">
        <v>47</v>
      </c>
      <c r="B44" s="85"/>
      <c r="C44" s="85"/>
      <c r="D44" s="78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5"/>
    </row>
    <row r="45" spans="1:20" x14ac:dyDescent="0.3">
      <c r="A45" s="11" t="s">
        <v>48</v>
      </c>
      <c r="B45" s="17" t="s">
        <v>28</v>
      </c>
      <c r="C45" s="86" t="s">
        <v>49</v>
      </c>
      <c r="D45" s="64"/>
      <c r="E45" s="6">
        <v>1</v>
      </c>
      <c r="F45" s="6">
        <v>5</v>
      </c>
      <c r="G45" s="6">
        <v>5</v>
      </c>
      <c r="H45" s="6">
        <v>6</v>
      </c>
      <c r="I45" s="6">
        <v>10</v>
      </c>
      <c r="J45" s="6">
        <v>7</v>
      </c>
      <c r="K45" s="6">
        <v>5</v>
      </c>
      <c r="L45" s="6">
        <v>7</v>
      </c>
      <c r="M45" s="6">
        <v>5</v>
      </c>
      <c r="N45" s="6">
        <v>7</v>
      </c>
      <c r="O45" s="6">
        <v>7</v>
      </c>
      <c r="P45" s="6">
        <v>10</v>
      </c>
      <c r="Q45" s="6">
        <v>9</v>
      </c>
      <c r="R45" s="6">
        <v>9</v>
      </c>
      <c r="S45" s="6">
        <v>1</v>
      </c>
      <c r="T45" s="5">
        <f t="shared" ref="T45:T54" si="19">SUM(E45:S45)</f>
        <v>94</v>
      </c>
    </row>
    <row r="46" spans="1:20" x14ac:dyDescent="0.3">
      <c r="A46" s="11" t="s">
        <v>50</v>
      </c>
      <c r="B46" s="50"/>
      <c r="C46" s="24" t="s">
        <v>115</v>
      </c>
      <c r="D46" s="49"/>
      <c r="E46" s="6">
        <v>3</v>
      </c>
      <c r="F46" s="6">
        <v>1</v>
      </c>
      <c r="G46" s="6">
        <v>6</v>
      </c>
      <c r="H46" s="6">
        <v>4</v>
      </c>
      <c r="I46" s="6">
        <v>22</v>
      </c>
      <c r="J46" s="6">
        <v>21</v>
      </c>
      <c r="K46" s="6">
        <v>8</v>
      </c>
      <c r="L46" s="6">
        <v>7</v>
      </c>
      <c r="M46" s="6">
        <v>5</v>
      </c>
      <c r="N46" s="6">
        <v>27</v>
      </c>
      <c r="O46" s="6">
        <v>14</v>
      </c>
      <c r="P46" s="6">
        <v>9</v>
      </c>
      <c r="Q46" s="6">
        <v>16</v>
      </c>
      <c r="R46" s="6">
        <v>11</v>
      </c>
      <c r="S46" s="6">
        <v>4</v>
      </c>
      <c r="T46" s="5">
        <f t="shared" si="19"/>
        <v>158</v>
      </c>
    </row>
    <row r="47" spans="1:20" x14ac:dyDescent="0.3">
      <c r="A47" s="7"/>
      <c r="B47" s="50"/>
      <c r="C47" s="24" t="s">
        <v>116</v>
      </c>
      <c r="D47" s="49"/>
      <c r="E47" s="6">
        <v>0</v>
      </c>
      <c r="F47" s="6">
        <v>4</v>
      </c>
      <c r="G47" s="6">
        <v>4</v>
      </c>
      <c r="H47" s="6">
        <v>6</v>
      </c>
      <c r="I47" s="6">
        <v>10</v>
      </c>
      <c r="J47" s="6">
        <v>8</v>
      </c>
      <c r="K47" s="6">
        <v>8</v>
      </c>
      <c r="L47" s="6">
        <v>4</v>
      </c>
      <c r="M47" s="6">
        <v>1</v>
      </c>
      <c r="N47" s="6">
        <v>2</v>
      </c>
      <c r="O47" s="6">
        <v>2</v>
      </c>
      <c r="P47" s="6">
        <v>1</v>
      </c>
      <c r="Q47" s="6">
        <v>2</v>
      </c>
      <c r="R47" s="6">
        <v>6</v>
      </c>
      <c r="S47" s="6">
        <v>0</v>
      </c>
      <c r="T47" s="5">
        <f t="shared" si="19"/>
        <v>58</v>
      </c>
    </row>
    <row r="48" spans="1:20" x14ac:dyDescent="0.3">
      <c r="A48" s="7"/>
      <c r="B48" s="50"/>
      <c r="C48" s="24" t="s">
        <v>117</v>
      </c>
      <c r="D48" s="49"/>
      <c r="E48" s="6">
        <v>1</v>
      </c>
      <c r="F48" s="6">
        <v>0</v>
      </c>
      <c r="G48" s="6">
        <v>0</v>
      </c>
      <c r="H48" s="6">
        <v>3</v>
      </c>
      <c r="I48" s="6">
        <v>2</v>
      </c>
      <c r="J48" s="6">
        <v>1</v>
      </c>
      <c r="K48" s="6">
        <v>0</v>
      </c>
      <c r="L48" s="6">
        <v>1</v>
      </c>
      <c r="M48" s="6">
        <v>0</v>
      </c>
      <c r="N48" s="6">
        <v>1</v>
      </c>
      <c r="O48" s="6">
        <v>0</v>
      </c>
      <c r="P48" s="6">
        <v>1</v>
      </c>
      <c r="Q48" s="6">
        <v>2</v>
      </c>
      <c r="R48" s="6">
        <v>1</v>
      </c>
      <c r="S48" s="6">
        <v>0</v>
      </c>
      <c r="T48" s="5">
        <f t="shared" si="19"/>
        <v>13</v>
      </c>
    </row>
    <row r="49" spans="1:20" x14ac:dyDescent="0.3">
      <c r="A49" s="7"/>
      <c r="B49" s="50"/>
      <c r="C49" s="24" t="s">
        <v>118</v>
      </c>
      <c r="D49" s="49"/>
      <c r="E49" s="6">
        <v>0</v>
      </c>
      <c r="F49" s="6">
        <v>1</v>
      </c>
      <c r="G49" s="6">
        <v>3</v>
      </c>
      <c r="H49" s="6">
        <v>0</v>
      </c>
      <c r="I49" s="6">
        <v>4</v>
      </c>
      <c r="J49" s="6">
        <v>0</v>
      </c>
      <c r="K49" s="6">
        <v>0</v>
      </c>
      <c r="L49" s="6">
        <v>3</v>
      </c>
      <c r="M49" s="6">
        <v>2</v>
      </c>
      <c r="N49" s="6">
        <v>1</v>
      </c>
      <c r="O49" s="6">
        <v>0</v>
      </c>
      <c r="P49" s="6">
        <v>1</v>
      </c>
      <c r="Q49" s="6">
        <v>1</v>
      </c>
      <c r="R49" s="6">
        <v>2</v>
      </c>
      <c r="S49" s="6">
        <v>0</v>
      </c>
      <c r="T49" s="5">
        <f t="shared" si="19"/>
        <v>18</v>
      </c>
    </row>
    <row r="50" spans="1:20" x14ac:dyDescent="0.3">
      <c r="A50" s="7"/>
      <c r="B50" s="50"/>
      <c r="C50" s="24" t="s">
        <v>119</v>
      </c>
      <c r="D50" s="49"/>
      <c r="E50" s="6">
        <v>0</v>
      </c>
      <c r="F50" s="6">
        <v>1</v>
      </c>
      <c r="G50" s="6">
        <v>0</v>
      </c>
      <c r="H50" s="6">
        <v>0</v>
      </c>
      <c r="I50" s="6">
        <v>2</v>
      </c>
      <c r="J50" s="6">
        <v>1</v>
      </c>
      <c r="K50" s="6">
        <v>0</v>
      </c>
      <c r="L50" s="6">
        <v>1</v>
      </c>
      <c r="M50" s="6">
        <v>1</v>
      </c>
      <c r="N50" s="6">
        <v>3</v>
      </c>
      <c r="O50" s="6">
        <v>1</v>
      </c>
      <c r="P50" s="6">
        <v>1</v>
      </c>
      <c r="Q50" s="6">
        <v>0</v>
      </c>
      <c r="R50" s="6">
        <v>0</v>
      </c>
      <c r="S50" s="6">
        <v>0</v>
      </c>
      <c r="T50" s="5">
        <f t="shared" si="19"/>
        <v>11</v>
      </c>
    </row>
    <row r="51" spans="1:20" x14ac:dyDescent="0.3">
      <c r="A51" s="7"/>
      <c r="B51" s="50"/>
      <c r="C51" s="24" t="s">
        <v>120</v>
      </c>
      <c r="D51" s="49"/>
      <c r="E51" s="6">
        <v>1</v>
      </c>
      <c r="F51" s="6">
        <v>2</v>
      </c>
      <c r="G51" s="6">
        <v>0</v>
      </c>
      <c r="H51" s="6">
        <v>0</v>
      </c>
      <c r="I51" s="6">
        <v>0</v>
      </c>
      <c r="J51" s="6">
        <v>1</v>
      </c>
      <c r="K51" s="6">
        <v>0</v>
      </c>
      <c r="L51" s="6">
        <v>0</v>
      </c>
      <c r="M51" s="6">
        <v>0</v>
      </c>
      <c r="N51" s="6">
        <v>3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5">
        <f t="shared" si="19"/>
        <v>7</v>
      </c>
    </row>
    <row r="52" spans="1:20" ht="13.15" customHeight="1" x14ac:dyDescent="0.3">
      <c r="A52" s="7"/>
      <c r="B52" s="50"/>
      <c r="C52" s="24" t="s">
        <v>121</v>
      </c>
      <c r="D52" s="49"/>
      <c r="E52" s="6">
        <v>0</v>
      </c>
      <c r="F52" s="6">
        <v>0</v>
      </c>
      <c r="G52" s="6">
        <v>1</v>
      </c>
      <c r="H52" s="6">
        <v>1</v>
      </c>
      <c r="I52" s="6">
        <v>0</v>
      </c>
      <c r="J52" s="6">
        <v>0</v>
      </c>
      <c r="K52" s="6">
        <v>0</v>
      </c>
      <c r="L52" s="6">
        <v>1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5">
        <f t="shared" si="19"/>
        <v>3</v>
      </c>
    </row>
    <row r="53" spans="1:20" ht="13.15" customHeight="1" x14ac:dyDescent="0.3">
      <c r="A53" s="7"/>
      <c r="B53" s="50"/>
      <c r="C53" s="24" t="s">
        <v>122</v>
      </c>
      <c r="D53" s="51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1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1</v>
      </c>
      <c r="S53" s="6">
        <v>0</v>
      </c>
      <c r="T53" s="5">
        <f t="shared" si="19"/>
        <v>2</v>
      </c>
    </row>
    <row r="54" spans="1:20" ht="13.15" customHeight="1" x14ac:dyDescent="0.3">
      <c r="A54" s="7"/>
      <c r="B54" s="50"/>
      <c r="C54" s="24" t="s">
        <v>123</v>
      </c>
      <c r="D54" s="49"/>
      <c r="E54" s="6">
        <v>0</v>
      </c>
      <c r="F54" s="6">
        <v>1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5">
        <f t="shared" si="19"/>
        <v>1</v>
      </c>
    </row>
    <row r="55" spans="1:20" x14ac:dyDescent="0.3">
      <c r="A55" s="6" t="s">
        <v>26</v>
      </c>
      <c r="B55" s="84" t="s">
        <v>51</v>
      </c>
      <c r="C55" s="63"/>
      <c r="D55" s="64"/>
      <c r="E55" s="5">
        <f>SUM(E45:E54)</f>
        <v>6</v>
      </c>
      <c r="F55" s="5">
        <f t="shared" ref="F55:T55" si="20">SUM(F45:F54)</f>
        <v>15</v>
      </c>
      <c r="G55" s="5">
        <f t="shared" si="20"/>
        <v>19</v>
      </c>
      <c r="H55" s="5">
        <f t="shared" si="20"/>
        <v>20</v>
      </c>
      <c r="I55" s="5">
        <f t="shared" si="20"/>
        <v>50</v>
      </c>
      <c r="J55" s="5">
        <f t="shared" si="20"/>
        <v>39</v>
      </c>
      <c r="K55" s="5">
        <f t="shared" si="20"/>
        <v>22</v>
      </c>
      <c r="L55" s="5">
        <f t="shared" si="20"/>
        <v>24</v>
      </c>
      <c r="M55" s="5">
        <f t="shared" si="20"/>
        <v>14</v>
      </c>
      <c r="N55" s="5">
        <f t="shared" si="20"/>
        <v>44</v>
      </c>
      <c r="O55" s="5">
        <f t="shared" si="20"/>
        <v>24</v>
      </c>
      <c r="P55" s="5">
        <f t="shared" si="20"/>
        <v>23</v>
      </c>
      <c r="Q55" s="5">
        <f t="shared" si="20"/>
        <v>30</v>
      </c>
      <c r="R55" s="5">
        <f t="shared" si="20"/>
        <v>30</v>
      </c>
      <c r="S55" s="5">
        <f t="shared" si="20"/>
        <v>5</v>
      </c>
      <c r="T55" s="5">
        <f t="shared" si="20"/>
        <v>365</v>
      </c>
    </row>
    <row r="56" spans="1:20" x14ac:dyDescent="0.3">
      <c r="A56" s="83"/>
      <c r="B56" s="82"/>
      <c r="C56" s="82"/>
      <c r="D56" s="82"/>
      <c r="E56" s="82"/>
      <c r="T56" s="5"/>
    </row>
    <row r="57" spans="1:20" x14ac:dyDescent="0.3">
      <c r="A57" s="11" t="s">
        <v>48</v>
      </c>
      <c r="B57" s="17" t="s">
        <v>30</v>
      </c>
      <c r="C57" s="86" t="s">
        <v>52</v>
      </c>
      <c r="D57" s="64"/>
      <c r="E57" s="6">
        <v>17</v>
      </c>
      <c r="F57" s="6">
        <v>14</v>
      </c>
      <c r="G57" s="6">
        <v>17</v>
      </c>
      <c r="H57" s="6">
        <v>17</v>
      </c>
      <c r="I57" s="6">
        <v>10</v>
      </c>
      <c r="J57" s="6">
        <v>10</v>
      </c>
      <c r="K57" s="6">
        <v>17</v>
      </c>
      <c r="L57" s="6">
        <v>5</v>
      </c>
      <c r="M57" s="6">
        <v>10</v>
      </c>
      <c r="N57" s="6">
        <v>13</v>
      </c>
      <c r="O57" s="6">
        <v>14</v>
      </c>
      <c r="P57" s="6">
        <v>10</v>
      </c>
      <c r="Q57" s="6">
        <v>11</v>
      </c>
      <c r="R57" s="6">
        <v>1</v>
      </c>
      <c r="S57" s="6">
        <v>10</v>
      </c>
      <c r="T57" s="5">
        <f t="shared" ref="T57:T66" si="21">SUM(E57:S57)</f>
        <v>176</v>
      </c>
    </row>
    <row r="58" spans="1:20" x14ac:dyDescent="0.3">
      <c r="A58" s="11" t="s">
        <v>50</v>
      </c>
      <c r="B58" s="50"/>
      <c r="C58" s="24" t="s">
        <v>124</v>
      </c>
      <c r="D58" s="49"/>
      <c r="E58" s="6">
        <v>10</v>
      </c>
      <c r="F58" s="6">
        <v>12</v>
      </c>
      <c r="G58" s="6">
        <v>11</v>
      </c>
      <c r="H58" s="6">
        <v>11</v>
      </c>
      <c r="I58" s="6">
        <v>9</v>
      </c>
      <c r="J58" s="6">
        <v>4</v>
      </c>
      <c r="K58" s="6">
        <v>7</v>
      </c>
      <c r="L58" s="6">
        <v>1</v>
      </c>
      <c r="M58" s="6">
        <v>8</v>
      </c>
      <c r="N58" s="6">
        <v>9</v>
      </c>
      <c r="O58" s="6">
        <v>7</v>
      </c>
      <c r="P58" s="6">
        <v>6</v>
      </c>
      <c r="Q58" s="6">
        <v>4</v>
      </c>
      <c r="R58" s="6">
        <v>12</v>
      </c>
      <c r="S58" s="6">
        <v>9</v>
      </c>
      <c r="T58" s="5">
        <f t="shared" si="21"/>
        <v>120</v>
      </c>
    </row>
    <row r="59" spans="1:20" x14ac:dyDescent="0.3">
      <c r="A59" s="7"/>
      <c r="B59" s="50"/>
      <c r="C59" s="24" t="s">
        <v>125</v>
      </c>
      <c r="D59" s="49"/>
      <c r="E59" s="6">
        <v>10</v>
      </c>
      <c r="F59" s="6">
        <v>6</v>
      </c>
      <c r="G59" s="6">
        <v>4</v>
      </c>
      <c r="H59" s="6">
        <v>6</v>
      </c>
      <c r="I59" s="6">
        <v>9</v>
      </c>
      <c r="J59" s="6">
        <v>5</v>
      </c>
      <c r="K59" s="6">
        <v>7</v>
      </c>
      <c r="L59" s="6">
        <v>11</v>
      </c>
      <c r="M59" s="6">
        <v>8</v>
      </c>
      <c r="N59" s="6">
        <v>12</v>
      </c>
      <c r="O59" s="6">
        <v>60</v>
      </c>
      <c r="P59" s="6">
        <v>5</v>
      </c>
      <c r="Q59" s="6">
        <v>4</v>
      </c>
      <c r="R59" s="6">
        <v>8</v>
      </c>
      <c r="S59" s="6">
        <v>0</v>
      </c>
      <c r="T59" s="5">
        <f t="shared" si="21"/>
        <v>155</v>
      </c>
    </row>
    <row r="60" spans="1:20" x14ac:dyDescent="0.3">
      <c r="A60" s="7"/>
      <c r="B60" s="50"/>
      <c r="C60" s="24" t="s">
        <v>126</v>
      </c>
      <c r="D60" s="49"/>
      <c r="E60" s="6">
        <v>3</v>
      </c>
      <c r="F60" s="6">
        <v>1</v>
      </c>
      <c r="G60" s="6">
        <v>2</v>
      </c>
      <c r="H60" s="6">
        <v>1</v>
      </c>
      <c r="I60" s="6">
        <v>1</v>
      </c>
      <c r="J60" s="6">
        <v>5</v>
      </c>
      <c r="K60" s="6">
        <v>1</v>
      </c>
      <c r="L60" s="6">
        <v>2</v>
      </c>
      <c r="M60" s="6">
        <v>1</v>
      </c>
      <c r="N60" s="6">
        <v>0</v>
      </c>
      <c r="O60" s="6">
        <v>3</v>
      </c>
      <c r="P60" s="6">
        <v>1</v>
      </c>
      <c r="Q60" s="6">
        <v>2</v>
      </c>
      <c r="R60" s="6">
        <v>1</v>
      </c>
      <c r="S60" s="6">
        <v>2</v>
      </c>
      <c r="T60" s="5">
        <f t="shared" si="21"/>
        <v>26</v>
      </c>
    </row>
    <row r="61" spans="1:20" x14ac:dyDescent="0.3">
      <c r="A61" s="7"/>
      <c r="B61" s="50"/>
      <c r="C61" s="24" t="s">
        <v>127</v>
      </c>
      <c r="D61" s="49"/>
      <c r="E61" s="6">
        <v>2</v>
      </c>
      <c r="F61" s="6">
        <v>9</v>
      </c>
      <c r="G61" s="6">
        <v>5</v>
      </c>
      <c r="H61" s="6">
        <v>1</v>
      </c>
      <c r="I61" s="6">
        <v>8</v>
      </c>
      <c r="J61" s="6">
        <v>6</v>
      </c>
      <c r="K61" s="6">
        <v>17</v>
      </c>
      <c r="L61" s="6">
        <v>6</v>
      </c>
      <c r="M61" s="6">
        <v>1</v>
      </c>
      <c r="N61" s="6">
        <v>15</v>
      </c>
      <c r="O61" s="6">
        <v>9</v>
      </c>
      <c r="P61" s="6">
        <v>18</v>
      </c>
      <c r="Q61" s="6">
        <v>30</v>
      </c>
      <c r="R61" s="6">
        <v>3</v>
      </c>
      <c r="S61" s="6">
        <v>9</v>
      </c>
      <c r="T61" s="5">
        <f t="shared" si="21"/>
        <v>139</v>
      </c>
    </row>
    <row r="62" spans="1:20" x14ac:dyDescent="0.3">
      <c r="A62" s="7"/>
      <c r="B62" s="50"/>
      <c r="C62" s="24" t="s">
        <v>128</v>
      </c>
      <c r="D62" s="49"/>
      <c r="E62" s="6">
        <v>0</v>
      </c>
      <c r="F62" s="6">
        <v>0</v>
      </c>
      <c r="G62" s="6">
        <v>1</v>
      </c>
      <c r="H62" s="6">
        <v>1</v>
      </c>
      <c r="I62" s="6">
        <v>1</v>
      </c>
      <c r="J62" s="6">
        <v>1</v>
      </c>
      <c r="K62" s="6">
        <v>1</v>
      </c>
      <c r="L62" s="6">
        <v>0</v>
      </c>
      <c r="M62" s="6">
        <v>3</v>
      </c>
      <c r="N62" s="6">
        <v>0</v>
      </c>
      <c r="O62" s="6">
        <v>2</v>
      </c>
      <c r="P62" s="6">
        <v>0</v>
      </c>
      <c r="Q62" s="6">
        <v>4</v>
      </c>
      <c r="R62" s="6">
        <v>1</v>
      </c>
      <c r="S62" s="6">
        <v>1</v>
      </c>
      <c r="T62" s="5">
        <f t="shared" si="21"/>
        <v>16</v>
      </c>
    </row>
    <row r="63" spans="1:20" ht="13.15" customHeight="1" x14ac:dyDescent="0.3">
      <c r="A63" s="7"/>
      <c r="B63" s="50"/>
      <c r="C63" s="24" t="s">
        <v>129</v>
      </c>
      <c r="D63" s="49"/>
      <c r="E63" s="6">
        <v>1</v>
      </c>
      <c r="F63" s="6">
        <v>0</v>
      </c>
      <c r="G63" s="6">
        <v>1</v>
      </c>
      <c r="H63" s="6">
        <v>1</v>
      </c>
      <c r="I63" s="6">
        <v>0</v>
      </c>
      <c r="J63" s="6">
        <v>0</v>
      </c>
      <c r="K63" s="6">
        <v>0</v>
      </c>
      <c r="L63" s="6">
        <v>1</v>
      </c>
      <c r="M63" s="6">
        <v>0</v>
      </c>
      <c r="N63" s="6">
        <v>1</v>
      </c>
      <c r="O63" s="6">
        <v>0</v>
      </c>
      <c r="P63" s="6">
        <v>0</v>
      </c>
      <c r="Q63" s="6">
        <v>0</v>
      </c>
      <c r="R63" s="6">
        <v>0</v>
      </c>
      <c r="S63" s="6">
        <v>1</v>
      </c>
      <c r="T63" s="5">
        <f t="shared" si="21"/>
        <v>6</v>
      </c>
    </row>
    <row r="64" spans="1:20" x14ac:dyDescent="0.3">
      <c r="A64" s="7"/>
      <c r="B64" s="50"/>
      <c r="C64" s="24" t="s">
        <v>130</v>
      </c>
      <c r="D64" s="49"/>
      <c r="E64" s="6">
        <v>0</v>
      </c>
      <c r="F64" s="6">
        <v>1</v>
      </c>
      <c r="G64" s="6">
        <v>0</v>
      </c>
      <c r="H64" s="6">
        <v>0</v>
      </c>
      <c r="I64" s="6">
        <v>0</v>
      </c>
      <c r="J64" s="6">
        <v>1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1</v>
      </c>
      <c r="Q64" s="6">
        <v>0</v>
      </c>
      <c r="R64" s="6">
        <v>0</v>
      </c>
      <c r="S64" s="6">
        <v>0</v>
      </c>
      <c r="T64" s="5">
        <f t="shared" si="21"/>
        <v>3</v>
      </c>
    </row>
    <row r="65" spans="1:20" x14ac:dyDescent="0.3">
      <c r="A65" s="7"/>
      <c r="B65" s="50"/>
      <c r="C65" s="24" t="s">
        <v>131</v>
      </c>
      <c r="D65" s="49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3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1</v>
      </c>
      <c r="S65" s="6">
        <v>0</v>
      </c>
      <c r="T65" s="5">
        <f t="shared" si="21"/>
        <v>4</v>
      </c>
    </row>
    <row r="66" spans="1:20" x14ac:dyDescent="0.3">
      <c r="A66" s="7"/>
      <c r="B66" s="50"/>
      <c r="C66" s="24" t="s">
        <v>132</v>
      </c>
      <c r="D66" s="49"/>
      <c r="E66" s="6">
        <v>0</v>
      </c>
      <c r="F66" s="6">
        <v>0</v>
      </c>
      <c r="G66" s="6">
        <v>1</v>
      </c>
      <c r="H66" s="6">
        <v>0</v>
      </c>
      <c r="I66" s="6">
        <v>0</v>
      </c>
      <c r="J66" s="6">
        <v>0</v>
      </c>
      <c r="K66" s="6">
        <v>0</v>
      </c>
      <c r="L66" s="6">
        <v>1</v>
      </c>
      <c r="M66" s="6">
        <v>0</v>
      </c>
      <c r="N66" s="6">
        <v>1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5">
        <f t="shared" si="21"/>
        <v>3</v>
      </c>
    </row>
    <row r="67" spans="1:20" x14ac:dyDescent="0.3">
      <c r="A67" s="6" t="s">
        <v>26</v>
      </c>
      <c r="B67" s="84" t="s">
        <v>51</v>
      </c>
      <c r="C67" s="63"/>
      <c r="D67" s="64"/>
      <c r="E67" s="5">
        <f t="shared" ref="E67:T67" si="22">SUM(E57:E66)</f>
        <v>43</v>
      </c>
      <c r="F67" s="5">
        <f t="shared" si="22"/>
        <v>43</v>
      </c>
      <c r="G67" s="5">
        <f t="shared" si="22"/>
        <v>42</v>
      </c>
      <c r="H67" s="5">
        <f t="shared" si="22"/>
        <v>38</v>
      </c>
      <c r="I67" s="5">
        <f t="shared" si="22"/>
        <v>38</v>
      </c>
      <c r="J67" s="5">
        <f t="shared" si="22"/>
        <v>32</v>
      </c>
      <c r="K67" s="5">
        <f t="shared" si="22"/>
        <v>50</v>
      </c>
      <c r="L67" s="5">
        <f t="shared" si="22"/>
        <v>30</v>
      </c>
      <c r="M67" s="5">
        <f t="shared" si="22"/>
        <v>31</v>
      </c>
      <c r="N67" s="5">
        <f t="shared" si="22"/>
        <v>51</v>
      </c>
      <c r="O67" s="5">
        <f t="shared" si="22"/>
        <v>95</v>
      </c>
      <c r="P67" s="5">
        <f t="shared" si="22"/>
        <v>41</v>
      </c>
      <c r="Q67" s="5">
        <f t="shared" si="22"/>
        <v>55</v>
      </c>
      <c r="R67" s="5">
        <f t="shared" si="22"/>
        <v>27</v>
      </c>
      <c r="S67" s="5">
        <f t="shared" si="22"/>
        <v>32</v>
      </c>
      <c r="T67" s="5">
        <f t="shared" si="22"/>
        <v>648</v>
      </c>
    </row>
    <row r="68" spans="1:20" x14ac:dyDescent="0.3">
      <c r="A68" s="83"/>
      <c r="B68" s="82"/>
      <c r="C68" s="82"/>
      <c r="D68" s="82"/>
      <c r="E68" s="82"/>
    </row>
    <row r="69" spans="1:20" x14ac:dyDescent="0.3">
      <c r="A69" s="11" t="s">
        <v>48</v>
      </c>
      <c r="B69" s="17" t="s">
        <v>32</v>
      </c>
      <c r="C69" s="86" t="s">
        <v>53</v>
      </c>
      <c r="D69" s="64"/>
      <c r="E69" s="6">
        <v>27</v>
      </c>
      <c r="F69" s="6">
        <v>7</v>
      </c>
      <c r="G69" s="6">
        <v>21</v>
      </c>
      <c r="H69" s="6">
        <v>6</v>
      </c>
      <c r="I69" s="6">
        <v>5</v>
      </c>
      <c r="J69" s="6">
        <v>2</v>
      </c>
      <c r="K69" s="6">
        <v>8</v>
      </c>
      <c r="L69" s="6">
        <v>5</v>
      </c>
      <c r="M69" s="6">
        <v>4</v>
      </c>
      <c r="N69" s="6">
        <v>9</v>
      </c>
      <c r="O69" s="6">
        <v>4</v>
      </c>
      <c r="P69" s="6">
        <v>18</v>
      </c>
      <c r="Q69" s="6">
        <v>6</v>
      </c>
      <c r="R69" s="6">
        <v>4</v>
      </c>
      <c r="S69" s="6">
        <v>5</v>
      </c>
      <c r="T69" s="5">
        <f t="shared" ref="T69:T78" si="23">SUM(E69:S69)</f>
        <v>131</v>
      </c>
    </row>
    <row r="70" spans="1:20" x14ac:dyDescent="0.3">
      <c r="A70" s="11" t="s">
        <v>50</v>
      </c>
      <c r="B70" s="50"/>
      <c r="C70" s="24" t="s">
        <v>133</v>
      </c>
      <c r="D70" s="49"/>
      <c r="E70" s="6">
        <v>3</v>
      </c>
      <c r="F70" s="6">
        <v>4</v>
      </c>
      <c r="G70" s="6">
        <v>5</v>
      </c>
      <c r="H70" s="6">
        <v>9</v>
      </c>
      <c r="I70" s="6">
        <v>3</v>
      </c>
      <c r="J70" s="6">
        <v>4</v>
      </c>
      <c r="K70" s="6">
        <v>4</v>
      </c>
      <c r="L70" s="6">
        <v>6</v>
      </c>
      <c r="M70" s="6">
        <v>2</v>
      </c>
      <c r="N70" s="6">
        <v>5</v>
      </c>
      <c r="O70" s="6">
        <v>2</v>
      </c>
      <c r="P70" s="6">
        <v>7</v>
      </c>
      <c r="Q70" s="6">
        <v>3</v>
      </c>
      <c r="R70" s="6">
        <v>7</v>
      </c>
      <c r="S70" s="6">
        <v>34</v>
      </c>
      <c r="T70" s="5">
        <f t="shared" si="23"/>
        <v>98</v>
      </c>
    </row>
    <row r="71" spans="1:20" x14ac:dyDescent="0.3">
      <c r="A71" s="7"/>
      <c r="B71" s="50"/>
      <c r="C71" s="24" t="s">
        <v>134</v>
      </c>
      <c r="D71" s="49"/>
      <c r="E71" s="6">
        <v>21</v>
      </c>
      <c r="F71" s="6">
        <v>21</v>
      </c>
      <c r="G71" s="6">
        <v>10</v>
      </c>
      <c r="H71" s="6">
        <v>8</v>
      </c>
      <c r="I71" s="6">
        <v>11</v>
      </c>
      <c r="J71" s="6">
        <v>6</v>
      </c>
      <c r="K71" s="6">
        <v>10</v>
      </c>
      <c r="L71" s="6">
        <v>6</v>
      </c>
      <c r="M71" s="6">
        <v>6</v>
      </c>
      <c r="N71" s="6">
        <v>7</v>
      </c>
      <c r="O71" s="6">
        <v>4</v>
      </c>
      <c r="P71" s="6">
        <v>3</v>
      </c>
      <c r="Q71" s="6">
        <v>3</v>
      </c>
      <c r="R71" s="6">
        <v>1</v>
      </c>
      <c r="S71" s="6">
        <v>2</v>
      </c>
      <c r="T71" s="5">
        <f t="shared" si="23"/>
        <v>119</v>
      </c>
    </row>
    <row r="72" spans="1:20" x14ac:dyDescent="0.3">
      <c r="A72" s="7"/>
      <c r="B72" s="50"/>
      <c r="C72" s="24" t="s">
        <v>135</v>
      </c>
      <c r="D72" s="49"/>
      <c r="E72" s="6">
        <v>2</v>
      </c>
      <c r="F72" s="6">
        <v>2</v>
      </c>
      <c r="G72" s="6">
        <v>5</v>
      </c>
      <c r="H72" s="6">
        <v>2</v>
      </c>
      <c r="I72" s="6">
        <v>0</v>
      </c>
      <c r="J72" s="6">
        <v>6</v>
      </c>
      <c r="K72" s="6">
        <v>2</v>
      </c>
      <c r="L72" s="6">
        <v>2</v>
      </c>
      <c r="M72" s="6">
        <v>3</v>
      </c>
      <c r="N72" s="6">
        <v>2</v>
      </c>
      <c r="O72" s="6">
        <v>3</v>
      </c>
      <c r="P72" s="6">
        <v>1</v>
      </c>
      <c r="Q72" s="6">
        <v>1</v>
      </c>
      <c r="R72" s="6">
        <v>11</v>
      </c>
      <c r="S72" s="6">
        <v>0</v>
      </c>
      <c r="T72" s="5">
        <f t="shared" si="23"/>
        <v>42</v>
      </c>
    </row>
    <row r="73" spans="1:20" x14ac:dyDescent="0.3">
      <c r="A73" s="7"/>
      <c r="B73" s="50"/>
      <c r="C73" s="24" t="s">
        <v>136</v>
      </c>
      <c r="D73" s="49"/>
      <c r="E73" s="6">
        <v>10</v>
      </c>
      <c r="F73" s="6">
        <v>15</v>
      </c>
      <c r="G73" s="6">
        <v>7</v>
      </c>
      <c r="H73" s="6">
        <v>12</v>
      </c>
      <c r="I73" s="6">
        <v>3</v>
      </c>
      <c r="J73" s="6">
        <v>1</v>
      </c>
      <c r="K73" s="6">
        <v>3</v>
      </c>
      <c r="L73" s="6">
        <v>0</v>
      </c>
      <c r="M73" s="6">
        <v>2</v>
      </c>
      <c r="N73" s="6">
        <v>5</v>
      </c>
      <c r="O73" s="6">
        <v>1</v>
      </c>
      <c r="P73" s="6">
        <v>1</v>
      </c>
      <c r="Q73" s="6">
        <v>0</v>
      </c>
      <c r="R73" s="6">
        <v>1</v>
      </c>
      <c r="S73" s="6">
        <v>0</v>
      </c>
      <c r="T73" s="5">
        <f t="shared" si="23"/>
        <v>61</v>
      </c>
    </row>
    <row r="74" spans="1:20" ht="13.15" customHeight="1" x14ac:dyDescent="0.3">
      <c r="A74" s="7"/>
      <c r="B74" s="50"/>
      <c r="C74" s="24" t="s">
        <v>137</v>
      </c>
      <c r="D74" s="49"/>
      <c r="E74" s="6">
        <v>2</v>
      </c>
      <c r="F74" s="6">
        <v>1</v>
      </c>
      <c r="G74" s="6">
        <v>4</v>
      </c>
      <c r="H74" s="6">
        <v>0</v>
      </c>
      <c r="I74" s="6">
        <v>2</v>
      </c>
      <c r="J74" s="6">
        <v>1</v>
      </c>
      <c r="K74" s="6">
        <v>2</v>
      </c>
      <c r="L74" s="6">
        <v>1</v>
      </c>
      <c r="M74" s="6">
        <v>3</v>
      </c>
      <c r="N74" s="6">
        <v>0</v>
      </c>
      <c r="O74" s="6">
        <v>0</v>
      </c>
      <c r="P74" s="6">
        <v>0</v>
      </c>
      <c r="Q74" s="6">
        <v>0</v>
      </c>
      <c r="R74" s="6">
        <v>2</v>
      </c>
      <c r="S74" s="6">
        <v>0</v>
      </c>
      <c r="T74" s="5">
        <f t="shared" si="23"/>
        <v>18</v>
      </c>
    </row>
    <row r="75" spans="1:20" x14ac:dyDescent="0.3">
      <c r="A75" s="7"/>
      <c r="B75" s="50"/>
      <c r="C75" s="24" t="s">
        <v>138</v>
      </c>
      <c r="D75" s="49"/>
      <c r="E75" s="6">
        <v>1</v>
      </c>
      <c r="F75" s="6">
        <v>0</v>
      </c>
      <c r="G75" s="6">
        <v>0</v>
      </c>
      <c r="H75" s="6">
        <v>0</v>
      </c>
      <c r="I75" s="6">
        <v>0</v>
      </c>
      <c r="J75" s="6">
        <v>1</v>
      </c>
      <c r="K75" s="6">
        <v>1</v>
      </c>
      <c r="L75" s="6">
        <v>0</v>
      </c>
      <c r="M75" s="6">
        <v>0</v>
      </c>
      <c r="N75" s="6">
        <v>1</v>
      </c>
      <c r="O75" s="6">
        <v>0</v>
      </c>
      <c r="P75" s="6">
        <v>1</v>
      </c>
      <c r="Q75" s="6">
        <v>0</v>
      </c>
      <c r="R75" s="6">
        <v>0</v>
      </c>
      <c r="S75" s="6">
        <v>0</v>
      </c>
      <c r="T75" s="5">
        <f t="shared" si="23"/>
        <v>5</v>
      </c>
    </row>
    <row r="76" spans="1:20" x14ac:dyDescent="0.3">
      <c r="A76" s="7"/>
      <c r="B76" s="50"/>
      <c r="C76" s="24" t="s">
        <v>139</v>
      </c>
      <c r="D76" s="49"/>
      <c r="E76" s="6">
        <v>2</v>
      </c>
      <c r="F76" s="6">
        <v>0</v>
      </c>
      <c r="G76" s="6">
        <v>0</v>
      </c>
      <c r="H76" s="6">
        <v>1</v>
      </c>
      <c r="I76" s="6">
        <v>1</v>
      </c>
      <c r="J76" s="6">
        <v>1</v>
      </c>
      <c r="K76" s="6">
        <v>0</v>
      </c>
      <c r="L76" s="6">
        <v>1</v>
      </c>
      <c r="M76" s="6">
        <v>0</v>
      </c>
      <c r="N76" s="6">
        <v>0</v>
      </c>
      <c r="O76" s="6">
        <v>0</v>
      </c>
      <c r="P76" s="6">
        <v>0</v>
      </c>
      <c r="Q76" s="6">
        <v>1</v>
      </c>
      <c r="R76" s="6">
        <v>1</v>
      </c>
      <c r="S76" s="6">
        <v>0</v>
      </c>
      <c r="T76" s="5">
        <f t="shared" si="23"/>
        <v>8</v>
      </c>
    </row>
    <row r="77" spans="1:20" x14ac:dyDescent="0.3">
      <c r="A77" s="7"/>
      <c r="B77" s="50"/>
      <c r="C77" s="24" t="s">
        <v>140</v>
      </c>
      <c r="D77" s="49"/>
      <c r="E77" s="6">
        <v>0</v>
      </c>
      <c r="F77" s="6">
        <v>1</v>
      </c>
      <c r="G77" s="6">
        <v>0</v>
      </c>
      <c r="H77" s="6">
        <v>1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5">
        <f t="shared" si="23"/>
        <v>2</v>
      </c>
    </row>
    <row r="78" spans="1:20" x14ac:dyDescent="0.3">
      <c r="A78" s="7"/>
      <c r="B78" s="50"/>
      <c r="C78" s="24" t="s">
        <v>141</v>
      </c>
      <c r="D78" s="49"/>
      <c r="E78" s="6">
        <v>0</v>
      </c>
      <c r="F78" s="6">
        <v>2</v>
      </c>
      <c r="G78" s="6">
        <v>0</v>
      </c>
      <c r="H78" s="6">
        <v>1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1</v>
      </c>
      <c r="Q78" s="6">
        <v>1</v>
      </c>
      <c r="R78" s="6">
        <v>0</v>
      </c>
      <c r="S78" s="6">
        <v>0</v>
      </c>
      <c r="T78" s="5">
        <f t="shared" si="23"/>
        <v>5</v>
      </c>
    </row>
    <row r="79" spans="1:20" x14ac:dyDescent="0.3">
      <c r="A79" s="6" t="s">
        <v>26</v>
      </c>
      <c r="B79" s="84" t="s">
        <v>51</v>
      </c>
      <c r="C79" s="63"/>
      <c r="D79" s="64"/>
      <c r="E79" s="5">
        <f t="shared" ref="E79:T79" si="24">SUM(E69:E78)</f>
        <v>68</v>
      </c>
      <c r="F79" s="5">
        <f t="shared" si="24"/>
        <v>53</v>
      </c>
      <c r="G79" s="5">
        <f t="shared" si="24"/>
        <v>52</v>
      </c>
      <c r="H79" s="5">
        <f t="shared" si="24"/>
        <v>40</v>
      </c>
      <c r="I79" s="5">
        <f t="shared" si="24"/>
        <v>25</v>
      </c>
      <c r="J79" s="5">
        <f t="shared" si="24"/>
        <v>22</v>
      </c>
      <c r="K79" s="5">
        <f t="shared" si="24"/>
        <v>30</v>
      </c>
      <c r="L79" s="5">
        <f t="shared" si="24"/>
        <v>21</v>
      </c>
      <c r="M79" s="5">
        <f t="shared" si="24"/>
        <v>20</v>
      </c>
      <c r="N79" s="5">
        <f t="shared" si="24"/>
        <v>29</v>
      </c>
      <c r="O79" s="5">
        <f t="shared" si="24"/>
        <v>14</v>
      </c>
      <c r="P79" s="5">
        <f t="shared" si="24"/>
        <v>32</v>
      </c>
      <c r="Q79" s="5">
        <f t="shared" si="24"/>
        <v>15</v>
      </c>
      <c r="R79" s="5">
        <f t="shared" si="24"/>
        <v>27</v>
      </c>
      <c r="S79" s="5">
        <f t="shared" si="24"/>
        <v>41</v>
      </c>
      <c r="T79" s="5">
        <f t="shared" si="24"/>
        <v>489</v>
      </c>
    </row>
    <row r="80" spans="1:20" x14ac:dyDescent="0.3">
      <c r="A80" s="83"/>
      <c r="B80" s="82"/>
      <c r="C80" s="82"/>
      <c r="D80" s="82"/>
      <c r="E80" s="82"/>
    </row>
    <row r="81" spans="1:20" x14ac:dyDescent="0.3">
      <c r="A81" s="11" t="s">
        <v>48</v>
      </c>
      <c r="B81" s="17" t="s">
        <v>34</v>
      </c>
      <c r="C81" s="86" t="s">
        <v>54</v>
      </c>
      <c r="D81" s="64"/>
      <c r="E81" s="6">
        <v>2</v>
      </c>
      <c r="F81" s="6">
        <v>1</v>
      </c>
      <c r="G81" s="6">
        <v>0</v>
      </c>
      <c r="H81" s="6">
        <v>3</v>
      </c>
      <c r="I81" s="6">
        <v>8</v>
      </c>
      <c r="J81" s="6">
        <v>5</v>
      </c>
      <c r="K81" s="6">
        <v>2</v>
      </c>
      <c r="L81" s="6">
        <v>5</v>
      </c>
      <c r="M81" s="6">
        <v>4</v>
      </c>
      <c r="N81" s="6">
        <v>1</v>
      </c>
      <c r="O81" s="6">
        <v>0</v>
      </c>
      <c r="P81" s="6">
        <v>4</v>
      </c>
      <c r="Q81" s="6">
        <v>4</v>
      </c>
      <c r="R81" s="6">
        <v>1</v>
      </c>
      <c r="S81" s="6">
        <v>1</v>
      </c>
      <c r="T81" s="5">
        <f t="shared" ref="T81:T90" si="25">SUM(E81:S81)</f>
        <v>41</v>
      </c>
    </row>
    <row r="82" spans="1:20" x14ac:dyDescent="0.3">
      <c r="A82" s="11" t="s">
        <v>50</v>
      </c>
      <c r="B82" s="50"/>
      <c r="C82" s="24" t="s">
        <v>142</v>
      </c>
      <c r="D82" s="49"/>
      <c r="E82" s="6">
        <v>9</v>
      </c>
      <c r="F82" s="6">
        <v>13</v>
      </c>
      <c r="G82" s="6">
        <v>30</v>
      </c>
      <c r="H82" s="6">
        <v>43</v>
      </c>
      <c r="I82" s="6">
        <v>22</v>
      </c>
      <c r="J82" s="6">
        <v>25</v>
      </c>
      <c r="K82" s="6">
        <v>29</v>
      </c>
      <c r="L82" s="6">
        <v>6</v>
      </c>
      <c r="M82" s="6">
        <v>0</v>
      </c>
      <c r="N82" s="6">
        <v>15</v>
      </c>
      <c r="O82" s="6">
        <v>12</v>
      </c>
      <c r="P82" s="6">
        <v>3</v>
      </c>
      <c r="Q82" s="6">
        <v>8</v>
      </c>
      <c r="R82" s="6">
        <v>52</v>
      </c>
      <c r="S82" s="6">
        <v>3</v>
      </c>
      <c r="T82" s="5">
        <f t="shared" si="25"/>
        <v>270</v>
      </c>
    </row>
    <row r="83" spans="1:20" x14ac:dyDescent="0.3">
      <c r="A83" s="7"/>
      <c r="B83" s="50"/>
      <c r="C83" s="24" t="s">
        <v>143</v>
      </c>
      <c r="D83" s="49"/>
      <c r="E83" s="6">
        <v>0</v>
      </c>
      <c r="F83" s="6">
        <v>0</v>
      </c>
      <c r="G83" s="6">
        <v>1</v>
      </c>
      <c r="H83" s="6">
        <v>0</v>
      </c>
      <c r="I83" s="6">
        <v>0</v>
      </c>
      <c r="J83" s="6">
        <v>0</v>
      </c>
      <c r="K83" s="6">
        <v>2</v>
      </c>
      <c r="L83" s="6">
        <v>0</v>
      </c>
      <c r="M83" s="6">
        <v>0</v>
      </c>
      <c r="N83" s="6">
        <v>1</v>
      </c>
      <c r="O83" s="6">
        <v>0</v>
      </c>
      <c r="P83" s="6">
        <v>0</v>
      </c>
      <c r="Q83" s="6">
        <v>0</v>
      </c>
      <c r="R83" s="6">
        <v>1</v>
      </c>
      <c r="S83" s="6">
        <v>0</v>
      </c>
      <c r="T83" s="5">
        <f t="shared" si="25"/>
        <v>5</v>
      </c>
    </row>
    <row r="84" spans="1:20" x14ac:dyDescent="0.3">
      <c r="A84" s="7"/>
      <c r="B84" s="50"/>
      <c r="C84" s="24" t="s">
        <v>144</v>
      </c>
      <c r="D84" s="49"/>
      <c r="E84" s="6">
        <v>0</v>
      </c>
      <c r="F84" s="6">
        <v>1</v>
      </c>
      <c r="G84" s="6">
        <v>0</v>
      </c>
      <c r="H84" s="6">
        <v>1</v>
      </c>
      <c r="I84" s="6">
        <v>0</v>
      </c>
      <c r="J84" s="6">
        <v>2</v>
      </c>
      <c r="K84" s="6">
        <v>0</v>
      </c>
      <c r="L84" s="6">
        <v>1</v>
      </c>
      <c r="M84" s="6">
        <v>1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1</v>
      </c>
      <c r="T84" s="5">
        <f t="shared" si="25"/>
        <v>7</v>
      </c>
    </row>
    <row r="85" spans="1:20" ht="13.15" customHeight="1" x14ac:dyDescent="0.3">
      <c r="A85" s="7"/>
      <c r="B85" s="50"/>
      <c r="C85" s="24" t="s">
        <v>145</v>
      </c>
      <c r="D85" s="49"/>
      <c r="E85" s="6">
        <v>0</v>
      </c>
      <c r="F85" s="6">
        <v>1</v>
      </c>
      <c r="G85" s="6">
        <v>1</v>
      </c>
      <c r="H85" s="6">
        <v>0</v>
      </c>
      <c r="I85" s="6">
        <v>0</v>
      </c>
      <c r="J85" s="6">
        <v>1</v>
      </c>
      <c r="K85" s="6">
        <v>0</v>
      </c>
      <c r="L85" s="6">
        <v>2</v>
      </c>
      <c r="M85" s="6">
        <v>0</v>
      </c>
      <c r="N85" s="6">
        <v>2</v>
      </c>
      <c r="O85" s="6">
        <v>0</v>
      </c>
      <c r="P85" s="6">
        <v>0</v>
      </c>
      <c r="Q85" s="6">
        <v>0</v>
      </c>
      <c r="R85" s="6">
        <v>1</v>
      </c>
      <c r="S85" s="6">
        <v>0</v>
      </c>
      <c r="T85" s="5">
        <f t="shared" si="25"/>
        <v>8</v>
      </c>
    </row>
    <row r="86" spans="1:20" x14ac:dyDescent="0.3">
      <c r="A86" s="7"/>
      <c r="B86" s="50"/>
      <c r="C86" s="24" t="s">
        <v>146</v>
      </c>
      <c r="D86" s="49"/>
      <c r="E86" s="6">
        <v>7</v>
      </c>
      <c r="F86" s="6">
        <v>2</v>
      </c>
      <c r="G86" s="6">
        <v>4</v>
      </c>
      <c r="H86" s="6">
        <v>5</v>
      </c>
      <c r="I86" s="6">
        <v>1</v>
      </c>
      <c r="J86" s="6">
        <v>1</v>
      </c>
      <c r="K86" s="6">
        <v>2</v>
      </c>
      <c r="L86" s="6">
        <v>36</v>
      </c>
      <c r="M86" s="6">
        <v>80</v>
      </c>
      <c r="N86" s="6">
        <v>2</v>
      </c>
      <c r="O86" s="6">
        <v>0</v>
      </c>
      <c r="P86" s="6">
        <v>14</v>
      </c>
      <c r="Q86" s="6">
        <v>28</v>
      </c>
      <c r="R86" s="6">
        <v>3</v>
      </c>
      <c r="S86" s="6">
        <v>0</v>
      </c>
      <c r="T86" s="5">
        <f t="shared" si="25"/>
        <v>185</v>
      </c>
    </row>
    <row r="87" spans="1:20" x14ac:dyDescent="0.3">
      <c r="A87" s="7"/>
      <c r="B87" s="50"/>
      <c r="C87" s="24" t="s">
        <v>147</v>
      </c>
      <c r="D87" s="49"/>
      <c r="E87" s="6">
        <v>1</v>
      </c>
      <c r="F87" s="6">
        <v>0</v>
      </c>
      <c r="G87" s="6">
        <v>0</v>
      </c>
      <c r="H87" s="6">
        <v>0</v>
      </c>
      <c r="I87" s="6">
        <v>0</v>
      </c>
      <c r="J87" s="6">
        <v>1</v>
      </c>
      <c r="K87" s="6">
        <v>0</v>
      </c>
      <c r="L87" s="6">
        <v>1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5">
        <f t="shared" si="25"/>
        <v>3</v>
      </c>
    </row>
    <row r="88" spans="1:20" x14ac:dyDescent="0.3">
      <c r="A88" s="7"/>
      <c r="B88" s="50"/>
      <c r="C88" s="24" t="s">
        <v>148</v>
      </c>
      <c r="D88" s="49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1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5">
        <f t="shared" si="25"/>
        <v>1</v>
      </c>
    </row>
    <row r="89" spans="1:20" x14ac:dyDescent="0.3">
      <c r="A89" s="7"/>
      <c r="B89" s="50"/>
      <c r="C89" s="24" t="s">
        <v>149</v>
      </c>
      <c r="D89" s="49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1</v>
      </c>
      <c r="M89" s="6">
        <v>0</v>
      </c>
      <c r="N89" s="6">
        <v>1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5">
        <f t="shared" si="25"/>
        <v>2</v>
      </c>
    </row>
    <row r="90" spans="1:20" x14ac:dyDescent="0.3">
      <c r="A90" s="7"/>
      <c r="B90" s="50"/>
      <c r="C90" s="24" t="s">
        <v>150</v>
      </c>
      <c r="D90" s="49"/>
      <c r="E90" s="6">
        <v>0</v>
      </c>
      <c r="F90" s="6">
        <v>1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1</v>
      </c>
      <c r="Q90" s="6">
        <v>0</v>
      </c>
      <c r="R90" s="6">
        <v>0</v>
      </c>
      <c r="S90" s="6">
        <v>0</v>
      </c>
      <c r="T90" s="5">
        <f t="shared" si="25"/>
        <v>2</v>
      </c>
    </row>
    <row r="91" spans="1:20" x14ac:dyDescent="0.3">
      <c r="A91" s="6" t="s">
        <v>26</v>
      </c>
      <c r="B91" s="84" t="s">
        <v>51</v>
      </c>
      <c r="C91" s="63"/>
      <c r="D91" s="64"/>
      <c r="E91" s="5">
        <f t="shared" ref="E91:T91" si="26">SUM(E81:E90)</f>
        <v>19</v>
      </c>
      <c r="F91" s="5">
        <f t="shared" si="26"/>
        <v>19</v>
      </c>
      <c r="G91" s="5">
        <f t="shared" si="26"/>
        <v>36</v>
      </c>
      <c r="H91" s="5">
        <f t="shared" si="26"/>
        <v>52</v>
      </c>
      <c r="I91" s="5">
        <f t="shared" si="26"/>
        <v>31</v>
      </c>
      <c r="J91" s="5">
        <f t="shared" si="26"/>
        <v>35</v>
      </c>
      <c r="K91" s="5">
        <f t="shared" si="26"/>
        <v>35</v>
      </c>
      <c r="L91" s="5">
        <f t="shared" si="26"/>
        <v>53</v>
      </c>
      <c r="M91" s="5">
        <f t="shared" si="26"/>
        <v>85</v>
      </c>
      <c r="N91" s="5">
        <f t="shared" si="26"/>
        <v>22</v>
      </c>
      <c r="O91" s="5">
        <f t="shared" si="26"/>
        <v>12</v>
      </c>
      <c r="P91" s="5">
        <f t="shared" si="26"/>
        <v>22</v>
      </c>
      <c r="Q91" s="5">
        <f t="shared" si="26"/>
        <v>40</v>
      </c>
      <c r="R91" s="5">
        <f t="shared" si="26"/>
        <v>58</v>
      </c>
      <c r="S91" s="5">
        <f t="shared" si="26"/>
        <v>5</v>
      </c>
      <c r="T91" s="5">
        <f t="shared" si="26"/>
        <v>524</v>
      </c>
    </row>
    <row r="92" spans="1:20" x14ac:dyDescent="0.3">
      <c r="A92" s="83"/>
      <c r="B92" s="82"/>
      <c r="C92" s="82"/>
      <c r="D92" s="82"/>
      <c r="E92" s="82"/>
    </row>
    <row r="93" spans="1:20" x14ac:dyDescent="0.3">
      <c r="A93" s="11" t="s">
        <v>48</v>
      </c>
      <c r="B93" s="17" t="s">
        <v>55</v>
      </c>
      <c r="C93" s="86" t="s">
        <v>56</v>
      </c>
      <c r="D93" s="64"/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2</v>
      </c>
      <c r="K93" s="6">
        <v>3</v>
      </c>
      <c r="L93" s="6">
        <v>3</v>
      </c>
      <c r="M93" s="6">
        <v>2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5">
        <f t="shared" ref="T93:T102" si="27">SUM(E93:S93)</f>
        <v>10</v>
      </c>
    </row>
    <row r="94" spans="1:20" x14ac:dyDescent="0.3">
      <c r="A94" s="11" t="s">
        <v>50</v>
      </c>
      <c r="B94" s="50"/>
      <c r="C94" s="24" t="s">
        <v>151</v>
      </c>
      <c r="D94" s="51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3</v>
      </c>
      <c r="K94" s="6">
        <v>1</v>
      </c>
      <c r="L94" s="6">
        <v>0</v>
      </c>
      <c r="M94" s="6">
        <v>0</v>
      </c>
      <c r="N94" s="6">
        <v>1</v>
      </c>
      <c r="O94" s="6">
        <v>0</v>
      </c>
      <c r="P94" s="6">
        <v>0</v>
      </c>
      <c r="Q94" s="6">
        <v>1</v>
      </c>
      <c r="R94" s="6">
        <v>1</v>
      </c>
      <c r="S94" s="6">
        <v>0</v>
      </c>
      <c r="T94" s="5">
        <f t="shared" si="27"/>
        <v>7</v>
      </c>
    </row>
    <row r="95" spans="1:20" x14ac:dyDescent="0.3">
      <c r="A95" s="7"/>
      <c r="B95" s="50"/>
      <c r="C95" s="24" t="s">
        <v>152</v>
      </c>
      <c r="D95" s="51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5">
        <f t="shared" si="27"/>
        <v>0</v>
      </c>
    </row>
    <row r="96" spans="1:20" ht="13.15" customHeight="1" x14ac:dyDescent="0.3">
      <c r="A96" s="7"/>
      <c r="B96" s="50"/>
      <c r="C96" s="24" t="s">
        <v>153</v>
      </c>
      <c r="D96" s="51"/>
      <c r="E96" s="6">
        <v>0</v>
      </c>
      <c r="F96" s="6">
        <v>1</v>
      </c>
      <c r="G96" s="6">
        <v>0</v>
      </c>
      <c r="H96" s="6">
        <v>0</v>
      </c>
      <c r="I96" s="6">
        <v>1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5">
        <f t="shared" si="27"/>
        <v>2</v>
      </c>
    </row>
    <row r="97" spans="1:20" x14ac:dyDescent="0.3">
      <c r="A97" s="7"/>
      <c r="B97" s="50"/>
      <c r="C97" s="24" t="s">
        <v>154</v>
      </c>
      <c r="D97" s="51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5">
        <f t="shared" si="27"/>
        <v>0</v>
      </c>
    </row>
    <row r="98" spans="1:20" x14ac:dyDescent="0.3">
      <c r="A98" s="7"/>
      <c r="B98" s="50"/>
      <c r="C98" s="24" t="s">
        <v>155</v>
      </c>
      <c r="D98" s="49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1</v>
      </c>
      <c r="K98" s="6">
        <v>0</v>
      </c>
      <c r="L98" s="6">
        <v>0</v>
      </c>
      <c r="M98" s="6">
        <v>0</v>
      </c>
      <c r="N98" s="6">
        <v>1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5">
        <f t="shared" si="27"/>
        <v>2</v>
      </c>
    </row>
    <row r="99" spans="1:20" x14ac:dyDescent="0.3">
      <c r="A99" s="7"/>
      <c r="B99" s="50"/>
      <c r="C99" s="24" t="s">
        <v>156</v>
      </c>
      <c r="D99" s="49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5">
        <f t="shared" si="27"/>
        <v>0</v>
      </c>
    </row>
    <row r="100" spans="1:20" x14ac:dyDescent="0.3">
      <c r="A100" s="7"/>
      <c r="B100" s="50"/>
      <c r="C100" s="24" t="s">
        <v>157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5">
        <f t="shared" si="27"/>
        <v>0</v>
      </c>
    </row>
    <row r="101" spans="1:20" x14ac:dyDescent="0.3">
      <c r="A101" s="7"/>
      <c r="B101" s="50"/>
      <c r="C101" s="24" t="s">
        <v>158</v>
      </c>
      <c r="D101" s="51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5">
        <f t="shared" si="27"/>
        <v>0</v>
      </c>
    </row>
    <row r="102" spans="1:20" x14ac:dyDescent="0.3">
      <c r="A102" s="7"/>
      <c r="B102" s="50"/>
      <c r="C102" s="24" t="s">
        <v>159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5">
        <f t="shared" si="27"/>
        <v>0</v>
      </c>
    </row>
    <row r="103" spans="1:20" x14ac:dyDescent="0.3">
      <c r="A103" s="6" t="s">
        <v>26</v>
      </c>
      <c r="B103" s="84" t="s">
        <v>51</v>
      </c>
      <c r="C103" s="63"/>
      <c r="D103" s="64"/>
      <c r="E103" s="5">
        <f t="shared" ref="E103:T103" si="28">SUM(E93:E102)</f>
        <v>0</v>
      </c>
      <c r="F103" s="5">
        <f t="shared" si="28"/>
        <v>1</v>
      </c>
      <c r="G103" s="5">
        <f t="shared" si="28"/>
        <v>0</v>
      </c>
      <c r="H103" s="5">
        <f t="shared" si="28"/>
        <v>0</v>
      </c>
      <c r="I103" s="5">
        <f t="shared" si="28"/>
        <v>1</v>
      </c>
      <c r="J103" s="5">
        <f t="shared" si="28"/>
        <v>6</v>
      </c>
      <c r="K103" s="5">
        <f t="shared" si="28"/>
        <v>4</v>
      </c>
      <c r="L103" s="5">
        <f t="shared" si="28"/>
        <v>3</v>
      </c>
      <c r="M103" s="5">
        <f t="shared" si="28"/>
        <v>2</v>
      </c>
      <c r="N103" s="5">
        <f t="shared" si="28"/>
        <v>2</v>
      </c>
      <c r="O103" s="5">
        <f t="shared" si="28"/>
        <v>0</v>
      </c>
      <c r="P103" s="5">
        <f t="shared" si="28"/>
        <v>0</v>
      </c>
      <c r="Q103" s="5">
        <f t="shared" si="28"/>
        <v>1</v>
      </c>
      <c r="R103" s="5">
        <f t="shared" si="28"/>
        <v>1</v>
      </c>
      <c r="S103" s="5">
        <f t="shared" si="28"/>
        <v>0</v>
      </c>
      <c r="T103" s="5">
        <f t="shared" si="28"/>
        <v>21</v>
      </c>
    </row>
    <row r="104" spans="1:20" x14ac:dyDescent="0.3">
      <c r="A104" s="83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</row>
    <row r="105" spans="1:20" x14ac:dyDescent="0.3">
      <c r="A105" s="11" t="s">
        <v>48</v>
      </c>
      <c r="B105" s="17" t="s">
        <v>57</v>
      </c>
      <c r="C105" s="86" t="s">
        <v>58</v>
      </c>
      <c r="D105" s="64"/>
      <c r="E105" s="6">
        <v>0</v>
      </c>
      <c r="F105" s="6">
        <v>1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1</v>
      </c>
      <c r="N105" s="6">
        <v>1</v>
      </c>
      <c r="O105" s="6">
        <v>0</v>
      </c>
      <c r="P105" s="6">
        <v>1</v>
      </c>
      <c r="Q105" s="6">
        <v>0</v>
      </c>
      <c r="R105" s="6">
        <v>3</v>
      </c>
      <c r="S105" s="6">
        <v>0</v>
      </c>
      <c r="T105" s="5">
        <f>SUM(E105:S105)</f>
        <v>7</v>
      </c>
    </row>
    <row r="106" spans="1:20" x14ac:dyDescent="0.3">
      <c r="A106" s="11" t="s">
        <v>50</v>
      </c>
      <c r="B106" s="50"/>
      <c r="C106" s="24" t="s">
        <v>160</v>
      </c>
      <c r="D106" s="49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1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1</v>
      </c>
      <c r="S106" s="6">
        <v>0</v>
      </c>
      <c r="T106" s="5">
        <f>SUM(E106:S106)</f>
        <v>2</v>
      </c>
    </row>
    <row r="107" spans="1:20" ht="13.15" customHeight="1" x14ac:dyDescent="0.3">
      <c r="A107" s="7"/>
      <c r="B107" s="50"/>
      <c r="C107" s="24" t="s">
        <v>161</v>
      </c>
      <c r="D107" s="49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2</v>
      </c>
      <c r="S107" s="6">
        <v>0</v>
      </c>
      <c r="T107" s="5">
        <f t="shared" ref="T107:T114" si="29">SUM(E107:S107)</f>
        <v>2</v>
      </c>
    </row>
    <row r="108" spans="1:20" x14ac:dyDescent="0.3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5">
        <f t="shared" si="29"/>
        <v>0</v>
      </c>
    </row>
    <row r="109" spans="1:20" x14ac:dyDescent="0.3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5">
        <f t="shared" si="29"/>
        <v>0</v>
      </c>
    </row>
    <row r="110" spans="1:20" x14ac:dyDescent="0.3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5">
        <f t="shared" si="29"/>
        <v>0</v>
      </c>
    </row>
    <row r="111" spans="1:20" x14ac:dyDescent="0.3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5">
        <f t="shared" si="29"/>
        <v>0</v>
      </c>
    </row>
    <row r="112" spans="1:20" x14ac:dyDescent="0.3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5">
        <f t="shared" si="29"/>
        <v>0</v>
      </c>
    </row>
    <row r="113" spans="1:20" x14ac:dyDescent="0.3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5">
        <f t="shared" si="29"/>
        <v>0</v>
      </c>
    </row>
    <row r="114" spans="1:20" x14ac:dyDescent="0.3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5">
        <f t="shared" si="29"/>
        <v>0</v>
      </c>
    </row>
    <row r="115" spans="1:20" ht="13.15" customHeight="1" x14ac:dyDescent="0.3">
      <c r="A115" s="6" t="s">
        <v>26</v>
      </c>
      <c r="B115" s="84" t="s">
        <v>51</v>
      </c>
      <c r="C115" s="87"/>
      <c r="D115" s="88"/>
      <c r="E115" s="5">
        <f t="shared" ref="E115:T115" si="30">SUM(E105:E114)</f>
        <v>0</v>
      </c>
      <c r="F115" s="5">
        <f t="shared" si="30"/>
        <v>1</v>
      </c>
      <c r="G115" s="5">
        <f t="shared" si="30"/>
        <v>0</v>
      </c>
      <c r="H115" s="5">
        <f t="shared" si="30"/>
        <v>0</v>
      </c>
      <c r="I115" s="5">
        <f t="shared" si="30"/>
        <v>0</v>
      </c>
      <c r="J115" s="5">
        <f t="shared" si="30"/>
        <v>1</v>
      </c>
      <c r="K115" s="5">
        <f t="shared" si="30"/>
        <v>0</v>
      </c>
      <c r="L115" s="5">
        <f t="shared" si="30"/>
        <v>0</v>
      </c>
      <c r="M115" s="5">
        <f t="shared" si="30"/>
        <v>1</v>
      </c>
      <c r="N115" s="5">
        <f t="shared" si="30"/>
        <v>1</v>
      </c>
      <c r="O115" s="5">
        <f t="shared" si="30"/>
        <v>0</v>
      </c>
      <c r="P115" s="5">
        <f t="shared" si="30"/>
        <v>1</v>
      </c>
      <c r="Q115" s="5">
        <f t="shared" si="30"/>
        <v>0</v>
      </c>
      <c r="R115" s="5">
        <f t="shared" si="30"/>
        <v>6</v>
      </c>
      <c r="S115" s="5">
        <f t="shared" si="30"/>
        <v>0</v>
      </c>
      <c r="T115" s="5">
        <f t="shared" si="30"/>
        <v>11</v>
      </c>
    </row>
    <row r="116" spans="1:20" x14ac:dyDescent="0.3">
      <c r="A116" s="62"/>
      <c r="B116" s="89"/>
      <c r="C116" s="89"/>
      <c r="D116" s="89"/>
      <c r="E116" s="90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5"/>
    </row>
    <row r="117" spans="1:20" x14ac:dyDescent="0.3">
      <c r="A117" s="11" t="s">
        <v>48</v>
      </c>
      <c r="B117" s="17" t="s">
        <v>59</v>
      </c>
      <c r="C117" s="86" t="s">
        <v>60</v>
      </c>
      <c r="D117" s="64"/>
      <c r="E117" s="6">
        <v>0</v>
      </c>
      <c r="F117" s="6">
        <v>0</v>
      </c>
      <c r="G117" s="6">
        <v>0</v>
      </c>
      <c r="H117" s="6">
        <v>1</v>
      </c>
      <c r="I117" s="6">
        <v>0</v>
      </c>
      <c r="J117" s="6">
        <v>1</v>
      </c>
      <c r="K117" s="6">
        <v>0</v>
      </c>
      <c r="L117" s="6">
        <v>1</v>
      </c>
      <c r="M117" s="6">
        <v>2</v>
      </c>
      <c r="N117" s="6">
        <v>1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5">
        <f t="shared" ref="T117:T126" si="31">SUM(E117:S117)</f>
        <v>6</v>
      </c>
    </row>
    <row r="118" spans="1:20" x14ac:dyDescent="0.3">
      <c r="A118" s="11" t="s">
        <v>50</v>
      </c>
      <c r="B118" s="50"/>
      <c r="C118" s="24" t="s">
        <v>162</v>
      </c>
      <c r="D118" s="49"/>
      <c r="E118" s="6">
        <v>1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1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1</v>
      </c>
      <c r="S118" s="6">
        <v>0</v>
      </c>
      <c r="T118" s="5">
        <f t="shared" si="31"/>
        <v>3</v>
      </c>
    </row>
    <row r="119" spans="1:20" x14ac:dyDescent="0.3">
      <c r="A119" s="7"/>
      <c r="B119" s="50"/>
      <c r="C119" s="24" t="s">
        <v>163</v>
      </c>
      <c r="D119" s="49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5">
        <f t="shared" si="31"/>
        <v>0</v>
      </c>
    </row>
    <row r="120" spans="1:20" x14ac:dyDescent="0.3">
      <c r="A120" s="7"/>
      <c r="B120" s="50"/>
      <c r="C120" s="24" t="s">
        <v>164</v>
      </c>
      <c r="D120" s="49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1</v>
      </c>
      <c r="R120" s="6">
        <v>0</v>
      </c>
      <c r="S120" s="6">
        <v>0</v>
      </c>
      <c r="T120" s="5">
        <f t="shared" si="31"/>
        <v>1</v>
      </c>
    </row>
    <row r="121" spans="1:20" x14ac:dyDescent="0.3">
      <c r="A121" s="7"/>
      <c r="B121" s="50"/>
      <c r="C121" s="24" t="s">
        <v>165</v>
      </c>
      <c r="D121" s="49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5">
        <f t="shared" si="31"/>
        <v>0</v>
      </c>
    </row>
    <row r="122" spans="1:20" x14ac:dyDescent="0.3">
      <c r="A122" s="7"/>
      <c r="B122" s="50"/>
      <c r="C122" s="24" t="s">
        <v>166</v>
      </c>
      <c r="D122" s="49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5">
        <f t="shared" si="31"/>
        <v>0</v>
      </c>
    </row>
    <row r="123" spans="1:20" x14ac:dyDescent="0.3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5">
        <f t="shared" si="31"/>
        <v>0</v>
      </c>
    </row>
    <row r="124" spans="1:20" x14ac:dyDescent="0.3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5">
        <f t="shared" si="31"/>
        <v>0</v>
      </c>
    </row>
    <row r="125" spans="1:20" x14ac:dyDescent="0.3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5">
        <f t="shared" si="31"/>
        <v>0</v>
      </c>
    </row>
    <row r="126" spans="1:20" x14ac:dyDescent="0.3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5">
        <f t="shared" si="31"/>
        <v>0</v>
      </c>
    </row>
    <row r="127" spans="1:20" x14ac:dyDescent="0.3">
      <c r="A127" s="6" t="s">
        <v>26</v>
      </c>
      <c r="B127" s="84" t="s">
        <v>51</v>
      </c>
      <c r="C127" s="87"/>
      <c r="D127" s="88"/>
      <c r="E127" s="5">
        <f t="shared" ref="E127:T127" si="32">SUM(E117:E126)</f>
        <v>1</v>
      </c>
      <c r="F127" s="5">
        <f t="shared" si="32"/>
        <v>0</v>
      </c>
      <c r="G127" s="5">
        <f t="shared" si="32"/>
        <v>0</v>
      </c>
      <c r="H127" s="5">
        <f t="shared" si="32"/>
        <v>1</v>
      </c>
      <c r="I127" s="5">
        <f t="shared" si="32"/>
        <v>0</v>
      </c>
      <c r="J127" s="5">
        <f t="shared" si="32"/>
        <v>1</v>
      </c>
      <c r="K127" s="5">
        <f t="shared" si="32"/>
        <v>1</v>
      </c>
      <c r="L127" s="5">
        <f t="shared" si="32"/>
        <v>1</v>
      </c>
      <c r="M127" s="5">
        <f t="shared" si="32"/>
        <v>2</v>
      </c>
      <c r="N127" s="5">
        <f t="shared" si="32"/>
        <v>1</v>
      </c>
      <c r="O127" s="5">
        <f t="shared" si="32"/>
        <v>0</v>
      </c>
      <c r="P127" s="5">
        <f t="shared" si="32"/>
        <v>0</v>
      </c>
      <c r="Q127" s="5">
        <f t="shared" si="32"/>
        <v>1</v>
      </c>
      <c r="R127" s="5">
        <f t="shared" si="32"/>
        <v>1</v>
      </c>
      <c r="S127" s="5">
        <f t="shared" si="32"/>
        <v>0</v>
      </c>
      <c r="T127" s="5">
        <f t="shared" si="32"/>
        <v>10</v>
      </c>
    </row>
    <row r="128" spans="1:20" x14ac:dyDescent="0.3">
      <c r="A128" s="62"/>
      <c r="B128" s="89"/>
      <c r="C128" s="89"/>
      <c r="D128" s="89"/>
      <c r="E128" s="90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</row>
    <row r="129" spans="1:20" x14ac:dyDescent="0.3">
      <c r="A129" s="11" t="s">
        <v>48</v>
      </c>
      <c r="B129" s="17" t="s">
        <v>61</v>
      </c>
      <c r="C129" s="86" t="s">
        <v>62</v>
      </c>
      <c r="D129" s="64"/>
      <c r="E129" s="6">
        <v>0</v>
      </c>
      <c r="F129" s="6">
        <v>2</v>
      </c>
      <c r="G129" s="6">
        <v>0</v>
      </c>
      <c r="H129" s="6">
        <v>1</v>
      </c>
      <c r="I129" s="6">
        <v>0</v>
      </c>
      <c r="J129" s="6">
        <v>1</v>
      </c>
      <c r="K129" s="6">
        <v>1</v>
      </c>
      <c r="L129" s="6">
        <v>1</v>
      </c>
      <c r="M129" s="6">
        <v>0</v>
      </c>
      <c r="N129" s="6">
        <v>1</v>
      </c>
      <c r="O129" s="6">
        <v>0</v>
      </c>
      <c r="P129" s="6">
        <v>0</v>
      </c>
      <c r="Q129" s="6">
        <v>0</v>
      </c>
      <c r="R129" s="6">
        <v>1</v>
      </c>
      <c r="S129" s="6">
        <v>2</v>
      </c>
      <c r="T129" s="5">
        <f t="shared" ref="T129:T138" si="33">SUM(E129:S129)</f>
        <v>10</v>
      </c>
    </row>
    <row r="130" spans="1:20" ht="13.15" customHeight="1" x14ac:dyDescent="0.3">
      <c r="A130" s="11" t="s">
        <v>50</v>
      </c>
      <c r="B130" s="50"/>
      <c r="C130" s="24" t="s">
        <v>167</v>
      </c>
      <c r="D130" s="49"/>
      <c r="E130" s="6">
        <v>0</v>
      </c>
      <c r="F130" s="6">
        <v>1</v>
      </c>
      <c r="G130" s="6">
        <v>2</v>
      </c>
      <c r="H130" s="6">
        <v>0</v>
      </c>
      <c r="I130" s="6">
        <v>1</v>
      </c>
      <c r="J130" s="6">
        <v>1</v>
      </c>
      <c r="K130" s="6">
        <v>0</v>
      </c>
      <c r="L130" s="6">
        <v>0</v>
      </c>
      <c r="M130" s="6">
        <v>0</v>
      </c>
      <c r="N130" s="6">
        <v>1</v>
      </c>
      <c r="O130" s="6">
        <v>1</v>
      </c>
      <c r="P130" s="6">
        <v>1</v>
      </c>
      <c r="Q130" s="6">
        <v>0</v>
      </c>
      <c r="R130" s="6">
        <v>2</v>
      </c>
      <c r="S130" s="6">
        <v>0</v>
      </c>
      <c r="T130" s="5">
        <f t="shared" si="33"/>
        <v>10</v>
      </c>
    </row>
    <row r="131" spans="1:20" x14ac:dyDescent="0.3">
      <c r="A131" s="7"/>
      <c r="B131" s="50"/>
      <c r="C131" s="24" t="s">
        <v>168</v>
      </c>
      <c r="D131" s="49"/>
      <c r="E131" s="6">
        <v>0</v>
      </c>
      <c r="F131" s="6">
        <v>0</v>
      </c>
      <c r="G131" s="6">
        <v>1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1</v>
      </c>
      <c r="S131" s="6">
        <v>0</v>
      </c>
      <c r="T131" s="5">
        <f t="shared" si="33"/>
        <v>2</v>
      </c>
    </row>
    <row r="132" spans="1:20" x14ac:dyDescent="0.3">
      <c r="A132" s="7"/>
      <c r="B132" s="50"/>
      <c r="C132" s="24" t="s">
        <v>169</v>
      </c>
      <c r="D132" s="49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5">
        <f t="shared" si="33"/>
        <v>0</v>
      </c>
    </row>
    <row r="133" spans="1:20" x14ac:dyDescent="0.3">
      <c r="A133" s="7"/>
      <c r="B133" s="50"/>
      <c r="C133" s="24" t="s">
        <v>170</v>
      </c>
      <c r="D133" s="49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5">
        <f t="shared" si="33"/>
        <v>0</v>
      </c>
    </row>
    <row r="134" spans="1:20" x14ac:dyDescent="0.3">
      <c r="A134" s="7"/>
      <c r="B134" s="50"/>
      <c r="C134" s="24" t="s">
        <v>171</v>
      </c>
      <c r="D134" s="49"/>
      <c r="E134" s="6">
        <v>0</v>
      </c>
      <c r="F134" s="6">
        <v>2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5">
        <f t="shared" si="33"/>
        <v>2</v>
      </c>
    </row>
    <row r="135" spans="1:20" x14ac:dyDescent="0.3">
      <c r="A135" s="7"/>
      <c r="B135" s="50"/>
      <c r="C135" s="24" t="s">
        <v>172</v>
      </c>
      <c r="D135" s="49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5">
        <f t="shared" si="33"/>
        <v>0</v>
      </c>
    </row>
    <row r="136" spans="1:20" x14ac:dyDescent="0.3">
      <c r="A136" s="7"/>
      <c r="B136" s="50"/>
      <c r="C136" s="24" t="s">
        <v>173</v>
      </c>
      <c r="D136" s="49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5">
        <f t="shared" si="33"/>
        <v>0</v>
      </c>
    </row>
    <row r="137" spans="1:20" x14ac:dyDescent="0.3">
      <c r="A137" s="7"/>
      <c r="B137" s="50"/>
      <c r="C137" s="24" t="s">
        <v>174</v>
      </c>
      <c r="D137" s="49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5">
        <f t="shared" si="33"/>
        <v>0</v>
      </c>
    </row>
    <row r="138" spans="1:20" x14ac:dyDescent="0.3">
      <c r="A138" s="7"/>
      <c r="B138" s="50"/>
      <c r="C138" s="24" t="s">
        <v>175</v>
      </c>
      <c r="D138" s="49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5">
        <f t="shared" si="33"/>
        <v>0</v>
      </c>
    </row>
    <row r="139" spans="1:20" x14ac:dyDescent="0.3">
      <c r="A139" s="6" t="s">
        <v>26</v>
      </c>
      <c r="B139" s="84" t="s">
        <v>51</v>
      </c>
      <c r="C139" s="87"/>
      <c r="D139" s="88"/>
      <c r="E139" s="5">
        <f t="shared" ref="E139:T139" si="34">SUM(E129:E138)</f>
        <v>0</v>
      </c>
      <c r="F139" s="5">
        <f t="shared" si="34"/>
        <v>5</v>
      </c>
      <c r="G139" s="5">
        <f t="shared" si="34"/>
        <v>3</v>
      </c>
      <c r="H139" s="5">
        <f t="shared" si="34"/>
        <v>1</v>
      </c>
      <c r="I139" s="5">
        <f t="shared" si="34"/>
        <v>1</v>
      </c>
      <c r="J139" s="5">
        <f t="shared" si="34"/>
        <v>2</v>
      </c>
      <c r="K139" s="5">
        <f t="shared" si="34"/>
        <v>1</v>
      </c>
      <c r="L139" s="5">
        <f t="shared" si="34"/>
        <v>1</v>
      </c>
      <c r="M139" s="5">
        <f t="shared" si="34"/>
        <v>0</v>
      </c>
      <c r="N139" s="5">
        <f t="shared" si="34"/>
        <v>2</v>
      </c>
      <c r="O139" s="5">
        <f t="shared" si="34"/>
        <v>1</v>
      </c>
      <c r="P139" s="5">
        <f t="shared" si="34"/>
        <v>1</v>
      </c>
      <c r="Q139" s="5">
        <f t="shared" si="34"/>
        <v>0</v>
      </c>
      <c r="R139" s="5">
        <f t="shared" si="34"/>
        <v>4</v>
      </c>
      <c r="S139" s="5">
        <f t="shared" si="34"/>
        <v>2</v>
      </c>
      <c r="T139" s="5">
        <f t="shared" si="34"/>
        <v>24</v>
      </c>
    </row>
    <row r="140" spans="1:20" x14ac:dyDescent="0.3">
      <c r="A140" s="62"/>
      <c r="B140" s="89"/>
      <c r="C140" s="89"/>
      <c r="D140" s="89"/>
      <c r="E140" s="90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</row>
    <row r="141" spans="1:20" ht="13.15" customHeight="1" x14ac:dyDescent="0.3">
      <c r="A141" s="11" t="s">
        <v>48</v>
      </c>
      <c r="B141" s="17" t="s">
        <v>63</v>
      </c>
      <c r="C141" s="86" t="s">
        <v>64</v>
      </c>
      <c r="D141" s="64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1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5">
        <f>SUM(E141:S141)</f>
        <v>1</v>
      </c>
    </row>
    <row r="142" spans="1:20" x14ac:dyDescent="0.3">
      <c r="A142" s="11" t="s">
        <v>50</v>
      </c>
      <c r="B142" s="50"/>
      <c r="C142" s="24" t="s">
        <v>176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5">
        <f>SUM(E142:S142)</f>
        <v>0</v>
      </c>
    </row>
    <row r="143" spans="1:20" x14ac:dyDescent="0.3">
      <c r="A143" s="7"/>
      <c r="B143" s="50"/>
      <c r="C143" s="24" t="s">
        <v>177</v>
      </c>
      <c r="D143" s="49"/>
      <c r="E143" s="6">
        <v>0</v>
      </c>
      <c r="F143" s="6">
        <v>1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5">
        <f>SUM(E143:S143)</f>
        <v>1</v>
      </c>
    </row>
    <row r="144" spans="1:20" x14ac:dyDescent="0.3">
      <c r="A144" s="7"/>
      <c r="B144" s="50"/>
      <c r="C144" s="24" t="s">
        <v>178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5">
        <f t="shared" ref="T144:T150" si="35">SUM(E144:S144)</f>
        <v>0</v>
      </c>
    </row>
    <row r="145" spans="1:20" x14ac:dyDescent="0.3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5">
        <f t="shared" si="35"/>
        <v>0</v>
      </c>
    </row>
    <row r="146" spans="1:20" x14ac:dyDescent="0.3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5">
        <f t="shared" si="35"/>
        <v>0</v>
      </c>
    </row>
    <row r="147" spans="1:20" x14ac:dyDescent="0.3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5">
        <f t="shared" si="35"/>
        <v>0</v>
      </c>
    </row>
    <row r="148" spans="1:20" x14ac:dyDescent="0.3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5">
        <f t="shared" si="35"/>
        <v>0</v>
      </c>
    </row>
    <row r="149" spans="1:20" x14ac:dyDescent="0.3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5">
        <f t="shared" si="35"/>
        <v>0</v>
      </c>
    </row>
    <row r="150" spans="1:20" x14ac:dyDescent="0.3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5">
        <f t="shared" si="35"/>
        <v>0</v>
      </c>
    </row>
    <row r="151" spans="1:20" ht="13.15" customHeight="1" x14ac:dyDescent="0.3">
      <c r="A151" s="6" t="s">
        <v>26</v>
      </c>
      <c r="B151" s="84" t="s">
        <v>51</v>
      </c>
      <c r="C151" s="87"/>
      <c r="D151" s="88"/>
      <c r="E151" s="5">
        <f t="shared" ref="E151:T151" si="36">SUM(E141:E150)</f>
        <v>0</v>
      </c>
      <c r="F151" s="5">
        <f t="shared" si="36"/>
        <v>1</v>
      </c>
      <c r="G151" s="5">
        <f t="shared" si="36"/>
        <v>0</v>
      </c>
      <c r="H151" s="5">
        <f t="shared" si="36"/>
        <v>0</v>
      </c>
      <c r="I151" s="5">
        <f t="shared" si="36"/>
        <v>0</v>
      </c>
      <c r="J151" s="5">
        <f t="shared" si="36"/>
        <v>0</v>
      </c>
      <c r="K151" s="5">
        <f t="shared" si="36"/>
        <v>0</v>
      </c>
      <c r="L151" s="5">
        <f t="shared" si="36"/>
        <v>1</v>
      </c>
      <c r="M151" s="5">
        <f t="shared" si="36"/>
        <v>0</v>
      </c>
      <c r="N151" s="5">
        <f t="shared" si="36"/>
        <v>0</v>
      </c>
      <c r="O151" s="5">
        <f t="shared" si="36"/>
        <v>0</v>
      </c>
      <c r="P151" s="5">
        <f t="shared" si="36"/>
        <v>0</v>
      </c>
      <c r="Q151" s="5">
        <f t="shared" si="36"/>
        <v>0</v>
      </c>
      <c r="R151" s="5">
        <f t="shared" si="36"/>
        <v>0</v>
      </c>
      <c r="S151" s="5">
        <f t="shared" si="36"/>
        <v>0</v>
      </c>
      <c r="T151" s="5">
        <f t="shared" si="36"/>
        <v>2</v>
      </c>
    </row>
    <row r="152" spans="1:20" x14ac:dyDescent="0.3">
      <c r="A152" s="62"/>
      <c r="B152" s="89"/>
      <c r="C152" s="89"/>
      <c r="D152" s="89"/>
      <c r="E152" s="90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5"/>
    </row>
    <row r="153" spans="1:20" x14ac:dyDescent="0.3">
      <c r="A153" s="11" t="s">
        <v>48</v>
      </c>
      <c r="B153" s="44" t="s">
        <v>65</v>
      </c>
      <c r="C153" s="91" t="s">
        <v>66</v>
      </c>
      <c r="D153" s="78"/>
      <c r="E153" s="6">
        <v>1</v>
      </c>
      <c r="F153" s="6">
        <v>1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1</v>
      </c>
      <c r="M153" s="6">
        <v>0</v>
      </c>
      <c r="N153" s="6">
        <v>2</v>
      </c>
      <c r="O153" s="6">
        <v>0</v>
      </c>
      <c r="P153" s="6">
        <v>0</v>
      </c>
      <c r="Q153" s="6">
        <v>1</v>
      </c>
      <c r="R153" s="6">
        <v>0</v>
      </c>
      <c r="S153" s="6">
        <v>0</v>
      </c>
      <c r="T153" s="5">
        <f>SUM(E153:S153)</f>
        <v>6</v>
      </c>
    </row>
    <row r="154" spans="1:20" x14ac:dyDescent="0.3">
      <c r="A154" s="52" t="s">
        <v>50</v>
      </c>
      <c r="B154" s="50"/>
      <c r="C154" s="24" t="s">
        <v>179</v>
      </c>
      <c r="D154" s="49"/>
      <c r="E154" s="53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1</v>
      </c>
      <c r="P154" s="6">
        <v>0</v>
      </c>
      <c r="Q154" s="6">
        <v>1</v>
      </c>
      <c r="R154" s="6">
        <v>1</v>
      </c>
      <c r="S154" s="6">
        <v>1</v>
      </c>
      <c r="T154" s="5">
        <f t="shared" ref="T154:T160" si="37">SUM(E154:S154)</f>
        <v>4</v>
      </c>
    </row>
    <row r="155" spans="1:20" x14ac:dyDescent="0.3">
      <c r="A155" s="7"/>
      <c r="B155" s="50"/>
      <c r="C155" s="24" t="s">
        <v>180</v>
      </c>
      <c r="D155" s="49"/>
      <c r="E155" s="53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1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5">
        <f t="shared" si="37"/>
        <v>1</v>
      </c>
    </row>
    <row r="156" spans="1:20" x14ac:dyDescent="0.3">
      <c r="A156" s="7"/>
      <c r="B156" s="50"/>
      <c r="C156" s="24" t="s">
        <v>181</v>
      </c>
      <c r="D156" s="49"/>
      <c r="E156" s="53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1</v>
      </c>
      <c r="Q156" s="6">
        <v>0</v>
      </c>
      <c r="R156" s="6">
        <v>0</v>
      </c>
      <c r="S156" s="6">
        <v>0</v>
      </c>
      <c r="T156" s="5">
        <f t="shared" si="37"/>
        <v>1</v>
      </c>
    </row>
    <row r="157" spans="1:20" x14ac:dyDescent="0.3">
      <c r="A157" s="7"/>
      <c r="B157" s="50"/>
      <c r="C157" s="24" t="s">
        <v>182</v>
      </c>
      <c r="D157" s="49"/>
      <c r="E157" s="53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5">
        <f t="shared" si="37"/>
        <v>0</v>
      </c>
    </row>
    <row r="158" spans="1:20" x14ac:dyDescent="0.3">
      <c r="A158" s="7"/>
      <c r="B158" s="50"/>
      <c r="C158" s="24" t="s">
        <v>183</v>
      </c>
      <c r="D158" s="49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5">
        <f t="shared" si="37"/>
        <v>0</v>
      </c>
    </row>
    <row r="159" spans="1:20" x14ac:dyDescent="0.3">
      <c r="A159" s="7"/>
      <c r="B159" s="50"/>
      <c r="C159" s="24" t="s">
        <v>184</v>
      </c>
      <c r="D159" s="49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1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5">
        <f t="shared" si="37"/>
        <v>1</v>
      </c>
    </row>
    <row r="160" spans="1:20" x14ac:dyDescent="0.3">
      <c r="A160" s="7"/>
      <c r="B160" s="50"/>
      <c r="C160" s="24" t="s">
        <v>185</v>
      </c>
      <c r="D160" s="49"/>
      <c r="E160" s="53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5">
        <f t="shared" si="37"/>
        <v>0</v>
      </c>
    </row>
    <row r="161" spans="1:20" x14ac:dyDescent="0.3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5">
        <f t="shared" ref="T158:T162" si="38">SUM(E167:S167)</f>
        <v>0</v>
      </c>
    </row>
    <row r="162" spans="1:20" x14ac:dyDescent="0.3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5">
        <f t="shared" si="38"/>
        <v>0</v>
      </c>
    </row>
    <row r="163" spans="1:20" x14ac:dyDescent="0.3">
      <c r="A163" s="6" t="s">
        <v>26</v>
      </c>
      <c r="B163" s="92" t="s">
        <v>51</v>
      </c>
      <c r="C163" s="93"/>
      <c r="D163" s="94"/>
      <c r="E163" s="5">
        <f t="shared" ref="E163:T163" si="39">SUM(E153:E162)</f>
        <v>1</v>
      </c>
      <c r="F163" s="5">
        <f t="shared" si="39"/>
        <v>1</v>
      </c>
      <c r="G163" s="5">
        <f t="shared" si="39"/>
        <v>0</v>
      </c>
      <c r="H163" s="5">
        <f t="shared" si="39"/>
        <v>0</v>
      </c>
      <c r="I163" s="5">
        <f t="shared" si="39"/>
        <v>0</v>
      </c>
      <c r="J163" s="5">
        <f t="shared" si="39"/>
        <v>0</v>
      </c>
      <c r="K163" s="5">
        <f t="shared" si="39"/>
        <v>0</v>
      </c>
      <c r="L163" s="5">
        <f t="shared" si="39"/>
        <v>1</v>
      </c>
      <c r="M163" s="5">
        <f t="shared" si="39"/>
        <v>1</v>
      </c>
      <c r="N163" s="5">
        <f t="shared" si="39"/>
        <v>3</v>
      </c>
      <c r="O163" s="5">
        <f t="shared" si="39"/>
        <v>1</v>
      </c>
      <c r="P163" s="5">
        <f t="shared" si="39"/>
        <v>1</v>
      </c>
      <c r="Q163" s="5">
        <f t="shared" si="39"/>
        <v>2</v>
      </c>
      <c r="R163" s="5">
        <f t="shared" si="39"/>
        <v>1</v>
      </c>
      <c r="S163" s="5">
        <f t="shared" si="39"/>
        <v>1</v>
      </c>
      <c r="T163" s="5">
        <f t="shared" si="39"/>
        <v>13</v>
      </c>
    </row>
    <row r="164" spans="1:20" x14ac:dyDescent="0.3">
      <c r="A164" s="62"/>
      <c r="B164" s="89"/>
      <c r="C164" s="89"/>
      <c r="D164" s="89"/>
      <c r="E164" s="90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</row>
    <row r="165" spans="1:20" ht="13.15" customHeight="1" x14ac:dyDescent="0.3">
      <c r="A165" s="11" t="s">
        <v>48</v>
      </c>
      <c r="B165" s="17" t="s">
        <v>67</v>
      </c>
      <c r="C165" s="86" t="s">
        <v>68</v>
      </c>
      <c r="D165" s="64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1</v>
      </c>
      <c r="M165" s="6">
        <v>0</v>
      </c>
      <c r="N165" s="6">
        <v>0</v>
      </c>
      <c r="O165" s="6">
        <v>0</v>
      </c>
      <c r="P165" s="6">
        <v>1</v>
      </c>
      <c r="Q165" s="6">
        <v>0</v>
      </c>
      <c r="R165" s="6">
        <v>0</v>
      </c>
      <c r="S165" s="6">
        <v>0</v>
      </c>
      <c r="T165" s="5">
        <f>SUM(E165:S165)</f>
        <v>2</v>
      </c>
    </row>
    <row r="166" spans="1:20" x14ac:dyDescent="0.3">
      <c r="A166" s="11" t="s">
        <v>50</v>
      </c>
      <c r="B166" s="50"/>
      <c r="C166" s="24" t="s">
        <v>186</v>
      </c>
      <c r="D166" s="49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1</v>
      </c>
      <c r="R166" s="6">
        <v>0</v>
      </c>
      <c r="S166" s="6">
        <v>0</v>
      </c>
      <c r="T166" s="5">
        <f>SUM(E166:S166)</f>
        <v>1</v>
      </c>
    </row>
    <row r="167" spans="1:20" x14ac:dyDescent="0.3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5">
        <f t="shared" ref="T167:T174" si="40">SUM(E167:S167)</f>
        <v>0</v>
      </c>
    </row>
    <row r="168" spans="1:20" x14ac:dyDescent="0.3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5">
        <f t="shared" si="40"/>
        <v>0</v>
      </c>
    </row>
    <row r="169" spans="1:20" x14ac:dyDescent="0.3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5">
        <f t="shared" si="40"/>
        <v>0</v>
      </c>
    </row>
    <row r="170" spans="1:20" x14ac:dyDescent="0.3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5">
        <f t="shared" si="40"/>
        <v>0</v>
      </c>
    </row>
    <row r="171" spans="1:20" x14ac:dyDescent="0.3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5">
        <f t="shared" si="40"/>
        <v>0</v>
      </c>
    </row>
    <row r="172" spans="1:20" x14ac:dyDescent="0.3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5">
        <f t="shared" si="40"/>
        <v>0</v>
      </c>
    </row>
    <row r="173" spans="1:20" x14ac:dyDescent="0.3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5">
        <f t="shared" si="40"/>
        <v>0</v>
      </c>
    </row>
    <row r="174" spans="1:20" x14ac:dyDescent="0.3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5">
        <f t="shared" si="40"/>
        <v>0</v>
      </c>
    </row>
    <row r="175" spans="1:20" x14ac:dyDescent="0.3">
      <c r="A175" s="6" t="s">
        <v>26</v>
      </c>
      <c r="B175" s="84" t="s">
        <v>51</v>
      </c>
      <c r="C175" s="87"/>
      <c r="D175" s="88"/>
      <c r="E175" s="5">
        <f t="shared" ref="E175:T175" si="41">SUM(E165:E174)</f>
        <v>0</v>
      </c>
      <c r="F175" s="5">
        <f t="shared" si="41"/>
        <v>0</v>
      </c>
      <c r="G175" s="5">
        <f t="shared" si="41"/>
        <v>0</v>
      </c>
      <c r="H175" s="5">
        <f t="shared" si="41"/>
        <v>0</v>
      </c>
      <c r="I175" s="5">
        <f t="shared" si="41"/>
        <v>0</v>
      </c>
      <c r="J175" s="5">
        <f t="shared" si="41"/>
        <v>0</v>
      </c>
      <c r="K175" s="5">
        <f t="shared" si="41"/>
        <v>0</v>
      </c>
      <c r="L175" s="5">
        <f t="shared" si="41"/>
        <v>1</v>
      </c>
      <c r="M175" s="5">
        <f t="shared" si="41"/>
        <v>0</v>
      </c>
      <c r="N175" s="5">
        <f t="shared" si="41"/>
        <v>0</v>
      </c>
      <c r="O175" s="5">
        <f t="shared" si="41"/>
        <v>0</v>
      </c>
      <c r="P175" s="5">
        <f t="shared" si="41"/>
        <v>1</v>
      </c>
      <c r="Q175" s="5">
        <f t="shared" si="41"/>
        <v>1</v>
      </c>
      <c r="R175" s="5">
        <f t="shared" si="41"/>
        <v>0</v>
      </c>
      <c r="S175" s="5">
        <f t="shared" si="41"/>
        <v>0</v>
      </c>
      <c r="T175" s="5">
        <f t="shared" si="41"/>
        <v>3</v>
      </c>
    </row>
    <row r="176" spans="1:20" ht="13.15" customHeight="1" x14ac:dyDescent="0.3">
      <c r="A176" s="62"/>
      <c r="B176" s="89"/>
      <c r="C176" s="89"/>
      <c r="D176" s="89"/>
      <c r="E176" s="90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1:20" x14ac:dyDescent="0.3">
      <c r="A177" s="11" t="s">
        <v>48</v>
      </c>
      <c r="B177" s="17" t="s">
        <v>69</v>
      </c>
      <c r="C177" s="86" t="s">
        <v>70</v>
      </c>
      <c r="D177" s="64"/>
      <c r="E177" s="6">
        <v>0</v>
      </c>
      <c r="F177" s="6">
        <v>1</v>
      </c>
      <c r="G177" s="6">
        <v>1</v>
      </c>
      <c r="H177" s="6">
        <v>0</v>
      </c>
      <c r="I177" s="6">
        <v>0</v>
      </c>
      <c r="J177" s="6">
        <v>0</v>
      </c>
      <c r="K177" s="6">
        <v>1</v>
      </c>
      <c r="L177" s="6">
        <v>0</v>
      </c>
      <c r="M177" s="6">
        <v>0</v>
      </c>
      <c r="N177" s="6">
        <v>0</v>
      </c>
      <c r="O177" s="6">
        <v>0</v>
      </c>
      <c r="P177" s="6">
        <v>1</v>
      </c>
      <c r="Q177" s="6">
        <v>0</v>
      </c>
      <c r="R177" s="6">
        <v>0</v>
      </c>
      <c r="S177" s="6">
        <v>0</v>
      </c>
      <c r="T177" s="5">
        <f t="shared" ref="T177:T186" si="42">SUM(E177:S177)</f>
        <v>4</v>
      </c>
    </row>
    <row r="178" spans="1:20" x14ac:dyDescent="0.3">
      <c r="A178" s="11" t="s">
        <v>50</v>
      </c>
      <c r="B178" s="50"/>
      <c r="C178" s="24" t="s">
        <v>187</v>
      </c>
      <c r="D178" s="49"/>
      <c r="E178" s="6">
        <v>0</v>
      </c>
      <c r="F178" s="6">
        <v>0</v>
      </c>
      <c r="G178" s="6">
        <v>3</v>
      </c>
      <c r="H178" s="6">
        <v>0</v>
      </c>
      <c r="I178" s="6">
        <v>0</v>
      </c>
      <c r="J178" s="6">
        <v>0</v>
      </c>
      <c r="K178" s="6">
        <v>33</v>
      </c>
      <c r="L178" s="6">
        <v>0</v>
      </c>
      <c r="M178" s="6">
        <v>0</v>
      </c>
      <c r="N178" s="6">
        <v>0</v>
      </c>
      <c r="O178" s="6">
        <v>0</v>
      </c>
      <c r="P178" s="6">
        <v>1</v>
      </c>
      <c r="Q178" s="6">
        <v>0</v>
      </c>
      <c r="R178" s="6">
        <v>1</v>
      </c>
      <c r="S178" s="6">
        <v>0</v>
      </c>
      <c r="T178" s="5">
        <f t="shared" si="42"/>
        <v>38</v>
      </c>
    </row>
    <row r="179" spans="1:20" x14ac:dyDescent="0.3">
      <c r="A179" s="7"/>
      <c r="B179" s="50"/>
      <c r="C179" s="24" t="s">
        <v>188</v>
      </c>
      <c r="D179" s="49"/>
      <c r="E179" s="6">
        <v>0</v>
      </c>
      <c r="F179" s="6">
        <v>1</v>
      </c>
      <c r="G179" s="6">
        <v>0</v>
      </c>
      <c r="H179" s="6">
        <v>0</v>
      </c>
      <c r="I179" s="6">
        <v>0</v>
      </c>
      <c r="J179" s="6">
        <v>0</v>
      </c>
      <c r="K179" s="6">
        <v>1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5">
        <f t="shared" si="42"/>
        <v>2</v>
      </c>
    </row>
    <row r="180" spans="1:20" x14ac:dyDescent="0.3">
      <c r="A180" s="7"/>
      <c r="B180" s="50"/>
      <c r="C180" s="24" t="s">
        <v>189</v>
      </c>
      <c r="D180" s="49"/>
      <c r="E180" s="6">
        <v>0</v>
      </c>
      <c r="F180" s="6">
        <v>0</v>
      </c>
      <c r="G180" s="6">
        <v>1</v>
      </c>
      <c r="H180" s="6">
        <v>0</v>
      </c>
      <c r="I180" s="6">
        <v>0</v>
      </c>
      <c r="J180" s="6">
        <v>0</v>
      </c>
      <c r="K180" s="6">
        <v>0</v>
      </c>
      <c r="L180" s="6">
        <v>1</v>
      </c>
      <c r="M180" s="6">
        <v>0</v>
      </c>
      <c r="N180" s="6">
        <v>0</v>
      </c>
      <c r="O180" s="6">
        <v>0</v>
      </c>
      <c r="P180" s="6">
        <v>1</v>
      </c>
      <c r="Q180" s="6">
        <v>0</v>
      </c>
      <c r="R180" s="6">
        <v>0</v>
      </c>
      <c r="S180" s="6">
        <v>0</v>
      </c>
      <c r="T180" s="5">
        <f t="shared" si="42"/>
        <v>3</v>
      </c>
    </row>
    <row r="181" spans="1:20" x14ac:dyDescent="0.3">
      <c r="A181" s="7"/>
      <c r="B181" s="50"/>
      <c r="C181" s="24" t="s">
        <v>190</v>
      </c>
      <c r="D181" s="49"/>
      <c r="E181" s="6">
        <v>0</v>
      </c>
      <c r="F181" s="6">
        <v>0</v>
      </c>
      <c r="G181" s="6">
        <v>1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5">
        <f t="shared" si="42"/>
        <v>1</v>
      </c>
    </row>
    <row r="182" spans="1:20" x14ac:dyDescent="0.3">
      <c r="A182" s="7"/>
      <c r="B182" s="50"/>
      <c r="C182" s="24" t="s">
        <v>191</v>
      </c>
      <c r="D182" s="49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1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5">
        <f t="shared" si="42"/>
        <v>1</v>
      </c>
    </row>
    <row r="183" spans="1:20" x14ac:dyDescent="0.3">
      <c r="A183" s="7"/>
      <c r="B183" s="50"/>
      <c r="C183" s="24" t="s">
        <v>192</v>
      </c>
      <c r="D183" s="49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5">
        <f t="shared" si="42"/>
        <v>0</v>
      </c>
    </row>
    <row r="184" spans="1:20" x14ac:dyDescent="0.3">
      <c r="A184" s="7"/>
      <c r="B184" s="50"/>
      <c r="C184" s="24" t="s">
        <v>193</v>
      </c>
      <c r="D184" s="49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2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5">
        <f t="shared" si="42"/>
        <v>2</v>
      </c>
    </row>
    <row r="185" spans="1:20" x14ac:dyDescent="0.3">
      <c r="A185" s="7"/>
      <c r="B185" s="50"/>
      <c r="C185" s="24" t="s">
        <v>194</v>
      </c>
      <c r="D185" s="49"/>
      <c r="E185" s="6">
        <v>0</v>
      </c>
      <c r="F185" s="6">
        <v>0</v>
      </c>
      <c r="G185" s="6">
        <v>1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5">
        <f t="shared" si="42"/>
        <v>1</v>
      </c>
    </row>
    <row r="186" spans="1:20" x14ac:dyDescent="0.3">
      <c r="A186" s="7"/>
      <c r="B186" s="50"/>
      <c r="C186" s="24" t="s">
        <v>195</v>
      </c>
      <c r="D186" s="49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5">
        <f t="shared" si="42"/>
        <v>0</v>
      </c>
    </row>
    <row r="187" spans="1:20" ht="13.15" customHeight="1" x14ac:dyDescent="0.3">
      <c r="A187" s="6" t="s">
        <v>26</v>
      </c>
      <c r="B187" s="84" t="s">
        <v>51</v>
      </c>
      <c r="C187" s="87"/>
      <c r="D187" s="88"/>
      <c r="E187" s="5">
        <f t="shared" ref="E187:T187" si="43">SUM(E177:E186)</f>
        <v>0</v>
      </c>
      <c r="F187" s="5">
        <f t="shared" si="43"/>
        <v>2</v>
      </c>
      <c r="G187" s="5">
        <f t="shared" si="43"/>
        <v>7</v>
      </c>
      <c r="H187" s="5">
        <f t="shared" si="43"/>
        <v>0</v>
      </c>
      <c r="I187" s="5">
        <f t="shared" si="43"/>
        <v>0</v>
      </c>
      <c r="J187" s="5">
        <f t="shared" si="43"/>
        <v>0</v>
      </c>
      <c r="K187" s="5">
        <f t="shared" si="43"/>
        <v>38</v>
      </c>
      <c r="L187" s="5">
        <f t="shared" si="43"/>
        <v>1</v>
      </c>
      <c r="M187" s="5">
        <f t="shared" si="43"/>
        <v>0</v>
      </c>
      <c r="N187" s="5">
        <f t="shared" si="43"/>
        <v>0</v>
      </c>
      <c r="O187" s="5">
        <f t="shared" si="43"/>
        <v>0</v>
      </c>
      <c r="P187" s="5">
        <f t="shared" si="43"/>
        <v>3</v>
      </c>
      <c r="Q187" s="5">
        <f t="shared" si="43"/>
        <v>0</v>
      </c>
      <c r="R187" s="5">
        <f t="shared" si="43"/>
        <v>1</v>
      </c>
      <c r="S187" s="5">
        <f t="shared" si="43"/>
        <v>0</v>
      </c>
      <c r="T187" s="5">
        <f t="shared" si="43"/>
        <v>52</v>
      </c>
    </row>
    <row r="188" spans="1:20" x14ac:dyDescent="0.3">
      <c r="A188" s="62"/>
      <c r="B188" s="89"/>
      <c r="C188" s="89"/>
      <c r="D188" s="89"/>
      <c r="E188" s="90"/>
      <c r="F188" s="18"/>
      <c r="G188" s="18"/>
      <c r="H188" s="18"/>
      <c r="I188" s="18"/>
      <c r="J188" s="18"/>
      <c r="K188" s="18"/>
      <c r="L188" s="18"/>
      <c r="M188" s="18"/>
      <c r="N188" s="18"/>
      <c r="T188" s="5"/>
    </row>
    <row r="189" spans="1:20" x14ac:dyDescent="0.3">
      <c r="A189" s="11" t="s">
        <v>48</v>
      </c>
      <c r="B189" s="17" t="s">
        <v>71</v>
      </c>
      <c r="C189" s="86" t="s">
        <v>72</v>
      </c>
      <c r="D189" s="64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5">
        <f t="shared" ref="T189:T198" si="44">SUM(E189:S189)</f>
        <v>0</v>
      </c>
    </row>
    <row r="190" spans="1:20" x14ac:dyDescent="0.3">
      <c r="A190" s="11" t="s">
        <v>50</v>
      </c>
      <c r="B190" s="50"/>
      <c r="C190" s="24" t="s">
        <v>196</v>
      </c>
      <c r="D190" s="49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>
        <v>1</v>
      </c>
      <c r="T190" s="5">
        <f t="shared" si="44"/>
        <v>1</v>
      </c>
    </row>
    <row r="191" spans="1:20" x14ac:dyDescent="0.3">
      <c r="A191" s="7"/>
      <c r="B191" s="50"/>
      <c r="C191" s="24" t="s">
        <v>197</v>
      </c>
      <c r="D191" s="49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5">
        <f t="shared" si="44"/>
        <v>0</v>
      </c>
    </row>
    <row r="192" spans="1:20" x14ac:dyDescent="0.3">
      <c r="A192" s="7"/>
      <c r="B192" s="50"/>
      <c r="C192" s="24" t="s">
        <v>198</v>
      </c>
      <c r="D192" s="49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5">
        <f t="shared" si="44"/>
        <v>0</v>
      </c>
    </row>
    <row r="193" spans="1:20" x14ac:dyDescent="0.3">
      <c r="A193" s="7"/>
      <c r="B193" s="50"/>
      <c r="C193" s="24" t="s">
        <v>199</v>
      </c>
      <c r="D193" s="49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5">
        <f t="shared" si="44"/>
        <v>0</v>
      </c>
    </row>
    <row r="194" spans="1:20" x14ac:dyDescent="0.3">
      <c r="A194" s="7"/>
      <c r="B194" s="50"/>
      <c r="C194" s="24" t="s">
        <v>200</v>
      </c>
      <c r="D194" s="49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5">
        <f t="shared" si="44"/>
        <v>0</v>
      </c>
    </row>
    <row r="195" spans="1:20" x14ac:dyDescent="0.3">
      <c r="A195" s="7"/>
      <c r="B195" s="50"/>
      <c r="C195" s="24" t="s">
        <v>201</v>
      </c>
      <c r="D195" s="49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5">
        <f t="shared" si="44"/>
        <v>0</v>
      </c>
    </row>
    <row r="196" spans="1:20" ht="13.15" customHeight="1" x14ac:dyDescent="0.3">
      <c r="A196" s="7"/>
      <c r="B196" s="50"/>
      <c r="C196" s="24" t="s">
        <v>202</v>
      </c>
      <c r="D196" s="49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5">
        <f t="shared" si="44"/>
        <v>0</v>
      </c>
    </row>
    <row r="197" spans="1:20" ht="13.15" customHeight="1" x14ac:dyDescent="0.3">
      <c r="A197" s="7"/>
      <c r="B197" s="50"/>
      <c r="C197" s="24" t="s">
        <v>203</v>
      </c>
      <c r="D197" s="49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5">
        <f t="shared" si="44"/>
        <v>0</v>
      </c>
    </row>
    <row r="198" spans="1:20" ht="13.15" customHeight="1" x14ac:dyDescent="0.3">
      <c r="A198" s="7"/>
      <c r="B198" s="50"/>
      <c r="C198" s="24" t="s">
        <v>204</v>
      </c>
      <c r="D198" s="49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5">
        <f t="shared" si="44"/>
        <v>0</v>
      </c>
    </row>
    <row r="199" spans="1:20" x14ac:dyDescent="0.3">
      <c r="A199" s="6" t="s">
        <v>26</v>
      </c>
      <c r="B199" s="84" t="s">
        <v>51</v>
      </c>
      <c r="C199" s="87"/>
      <c r="D199" s="88"/>
      <c r="E199" s="5">
        <f t="shared" ref="E199:T199" si="45">SUM(E189:E198)</f>
        <v>0</v>
      </c>
      <c r="F199" s="5">
        <f t="shared" si="45"/>
        <v>0</v>
      </c>
      <c r="G199" s="5">
        <f t="shared" si="45"/>
        <v>0</v>
      </c>
      <c r="H199" s="5">
        <f t="shared" si="45"/>
        <v>0</v>
      </c>
      <c r="I199" s="5">
        <f t="shared" si="45"/>
        <v>0</v>
      </c>
      <c r="J199" s="5">
        <f t="shared" si="45"/>
        <v>0</v>
      </c>
      <c r="K199" s="5">
        <f t="shared" si="45"/>
        <v>0</v>
      </c>
      <c r="L199" s="5">
        <f t="shared" si="45"/>
        <v>0</v>
      </c>
      <c r="M199" s="5">
        <f t="shared" si="45"/>
        <v>0</v>
      </c>
      <c r="N199" s="5">
        <f t="shared" si="45"/>
        <v>0</v>
      </c>
      <c r="O199" s="5">
        <f t="shared" si="45"/>
        <v>0</v>
      </c>
      <c r="P199" s="5">
        <f t="shared" si="45"/>
        <v>0</v>
      </c>
      <c r="Q199" s="5">
        <f t="shared" si="45"/>
        <v>0</v>
      </c>
      <c r="R199" s="5">
        <f t="shared" si="45"/>
        <v>0</v>
      </c>
      <c r="S199" s="5">
        <f t="shared" si="45"/>
        <v>1</v>
      </c>
      <c r="T199" s="5">
        <f t="shared" si="45"/>
        <v>1</v>
      </c>
    </row>
    <row r="200" spans="1:20" x14ac:dyDescent="0.3">
      <c r="A200" s="62"/>
      <c r="B200" s="89"/>
      <c r="C200" s="89"/>
      <c r="D200" s="89"/>
      <c r="E200" s="90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</row>
    <row r="201" spans="1:20" x14ac:dyDescent="0.3">
      <c r="A201" s="11" t="s">
        <v>48</v>
      </c>
      <c r="B201" s="17" t="s">
        <v>73</v>
      </c>
      <c r="C201" s="86" t="s">
        <v>74</v>
      </c>
      <c r="D201" s="64"/>
      <c r="E201" s="6">
        <v>1</v>
      </c>
      <c r="F201" s="6">
        <v>1</v>
      </c>
      <c r="G201" s="6">
        <v>3</v>
      </c>
      <c r="H201" s="6">
        <v>0</v>
      </c>
      <c r="I201" s="6">
        <v>7</v>
      </c>
      <c r="J201" s="6">
        <v>2</v>
      </c>
      <c r="K201" s="6">
        <v>4</v>
      </c>
      <c r="L201" s="6">
        <v>13</v>
      </c>
      <c r="M201" s="6">
        <v>6</v>
      </c>
      <c r="N201" s="6">
        <v>1</v>
      </c>
      <c r="O201" s="6">
        <v>6</v>
      </c>
      <c r="P201" s="6">
        <v>4</v>
      </c>
      <c r="Q201" s="6">
        <v>4</v>
      </c>
      <c r="R201" s="6">
        <v>3</v>
      </c>
      <c r="S201" s="6">
        <v>2</v>
      </c>
      <c r="T201" s="5">
        <f t="shared" ref="T201:T210" si="46">SUM(E201:S201)</f>
        <v>57</v>
      </c>
    </row>
    <row r="202" spans="1:20" x14ac:dyDescent="0.3">
      <c r="A202" s="11" t="s">
        <v>50</v>
      </c>
      <c r="B202" s="50"/>
      <c r="C202" s="24" t="s">
        <v>205</v>
      </c>
      <c r="D202" s="49"/>
      <c r="E202" s="6">
        <v>0</v>
      </c>
      <c r="F202" s="6">
        <v>2</v>
      </c>
      <c r="G202" s="6">
        <v>1</v>
      </c>
      <c r="H202" s="6">
        <v>2</v>
      </c>
      <c r="I202" s="6">
        <v>1</v>
      </c>
      <c r="J202" s="6">
        <v>4</v>
      </c>
      <c r="K202" s="6">
        <v>1</v>
      </c>
      <c r="L202" s="6">
        <v>5</v>
      </c>
      <c r="M202" s="6">
        <v>1</v>
      </c>
      <c r="N202" s="6">
        <v>2</v>
      </c>
      <c r="O202" s="6">
        <v>0</v>
      </c>
      <c r="P202" s="6">
        <v>3</v>
      </c>
      <c r="Q202" s="6">
        <v>4</v>
      </c>
      <c r="R202" s="6">
        <v>4</v>
      </c>
      <c r="S202" s="6">
        <v>5</v>
      </c>
      <c r="T202" s="5">
        <f t="shared" si="46"/>
        <v>35</v>
      </c>
    </row>
    <row r="203" spans="1:20" x14ac:dyDescent="0.3">
      <c r="A203" s="7"/>
      <c r="B203" s="50"/>
      <c r="C203" s="24" t="s">
        <v>206</v>
      </c>
      <c r="D203" s="49"/>
      <c r="E203" s="6">
        <v>2</v>
      </c>
      <c r="F203" s="6">
        <v>0</v>
      </c>
      <c r="G203" s="6">
        <v>1</v>
      </c>
      <c r="H203" s="6">
        <v>20</v>
      </c>
      <c r="I203" s="6">
        <v>5</v>
      </c>
      <c r="J203" s="6">
        <v>0</v>
      </c>
      <c r="K203" s="6">
        <v>1</v>
      </c>
      <c r="L203" s="6">
        <v>14</v>
      </c>
      <c r="M203" s="6">
        <v>6</v>
      </c>
      <c r="N203" s="6">
        <v>3</v>
      </c>
      <c r="O203" s="6">
        <v>3</v>
      </c>
      <c r="P203" s="6">
        <v>1</v>
      </c>
      <c r="Q203" s="6">
        <v>0</v>
      </c>
      <c r="R203" s="6">
        <v>3</v>
      </c>
      <c r="S203" s="6">
        <v>1</v>
      </c>
      <c r="T203" s="5">
        <f t="shared" si="46"/>
        <v>60</v>
      </c>
    </row>
    <row r="204" spans="1:20" x14ac:dyDescent="0.3">
      <c r="A204" s="7"/>
      <c r="B204" s="50"/>
      <c r="C204" s="24" t="s">
        <v>207</v>
      </c>
      <c r="D204" s="49"/>
      <c r="E204" s="6">
        <v>1</v>
      </c>
      <c r="F204" s="6">
        <v>1</v>
      </c>
      <c r="G204" s="6">
        <v>0</v>
      </c>
      <c r="H204" s="6">
        <v>0</v>
      </c>
      <c r="I204" s="6">
        <v>0</v>
      </c>
      <c r="J204" s="6">
        <v>0</v>
      </c>
      <c r="K204" s="6">
        <v>1</v>
      </c>
      <c r="L204" s="6">
        <v>1</v>
      </c>
      <c r="M204" s="6">
        <v>1</v>
      </c>
      <c r="N204" s="6">
        <v>0</v>
      </c>
      <c r="O204" s="6">
        <v>1</v>
      </c>
      <c r="P204" s="6">
        <v>0</v>
      </c>
      <c r="Q204" s="6">
        <v>0</v>
      </c>
      <c r="R204" s="6">
        <v>0</v>
      </c>
      <c r="S204" s="6">
        <v>0</v>
      </c>
      <c r="T204" s="5">
        <f t="shared" si="46"/>
        <v>6</v>
      </c>
    </row>
    <row r="205" spans="1:20" x14ac:dyDescent="0.3">
      <c r="A205" s="7"/>
      <c r="B205" s="50"/>
      <c r="C205" s="24" t="s">
        <v>208</v>
      </c>
      <c r="D205" s="49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1</v>
      </c>
      <c r="L205" s="6">
        <v>6</v>
      </c>
      <c r="M205" s="6">
        <v>2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5">
        <f t="shared" si="46"/>
        <v>9</v>
      </c>
    </row>
    <row r="206" spans="1:20" x14ac:dyDescent="0.3">
      <c r="A206" s="7"/>
      <c r="B206" s="50"/>
      <c r="C206" s="24" t="s">
        <v>209</v>
      </c>
      <c r="D206" s="49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1</v>
      </c>
      <c r="M206" s="6">
        <v>2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5">
        <f t="shared" si="46"/>
        <v>3</v>
      </c>
    </row>
    <row r="207" spans="1:20" ht="13.15" customHeight="1" x14ac:dyDescent="0.3">
      <c r="A207" s="7"/>
      <c r="B207" s="50"/>
      <c r="C207" s="24" t="s">
        <v>210</v>
      </c>
      <c r="D207" s="49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2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1</v>
      </c>
      <c r="S207" s="6">
        <v>0</v>
      </c>
      <c r="T207" s="5">
        <f t="shared" si="46"/>
        <v>3</v>
      </c>
    </row>
    <row r="208" spans="1:20" x14ac:dyDescent="0.3">
      <c r="A208" s="7"/>
      <c r="B208" s="50"/>
      <c r="C208" s="24" t="s">
        <v>211</v>
      </c>
      <c r="D208" s="49"/>
      <c r="E208" s="6">
        <v>0</v>
      </c>
      <c r="F208" s="6">
        <v>0</v>
      </c>
      <c r="G208" s="6">
        <v>0</v>
      </c>
      <c r="H208" s="6">
        <v>0</v>
      </c>
      <c r="I208" s="6">
        <v>1</v>
      </c>
      <c r="J208" s="6">
        <v>1</v>
      </c>
      <c r="K208" s="6">
        <v>0</v>
      </c>
      <c r="L208" s="6">
        <v>0</v>
      </c>
      <c r="M208" s="6">
        <v>1</v>
      </c>
      <c r="N208" s="6">
        <v>1</v>
      </c>
      <c r="O208" s="6">
        <v>1</v>
      </c>
      <c r="P208" s="6">
        <v>0</v>
      </c>
      <c r="Q208" s="6">
        <v>1</v>
      </c>
      <c r="R208" s="6">
        <v>0</v>
      </c>
      <c r="S208" s="6">
        <v>0</v>
      </c>
      <c r="T208" s="5">
        <f t="shared" si="46"/>
        <v>6</v>
      </c>
    </row>
    <row r="209" spans="1:20" x14ac:dyDescent="0.3">
      <c r="A209" s="7"/>
      <c r="B209" s="50"/>
      <c r="C209" s="24" t="s">
        <v>212</v>
      </c>
      <c r="D209" s="49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5">
        <f t="shared" si="46"/>
        <v>0</v>
      </c>
    </row>
    <row r="210" spans="1:20" x14ac:dyDescent="0.3">
      <c r="A210" s="7"/>
      <c r="B210" s="50"/>
      <c r="C210" s="24" t="s">
        <v>213</v>
      </c>
      <c r="D210" s="49"/>
      <c r="E210" s="6">
        <v>0</v>
      </c>
      <c r="F210" s="6">
        <v>0</v>
      </c>
      <c r="G210" s="6">
        <v>0</v>
      </c>
      <c r="H210" s="6">
        <v>1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1</v>
      </c>
      <c r="R210" s="6">
        <v>0</v>
      </c>
      <c r="S210" s="6">
        <v>0</v>
      </c>
      <c r="T210" s="5">
        <f t="shared" si="46"/>
        <v>2</v>
      </c>
    </row>
    <row r="211" spans="1:20" x14ac:dyDescent="0.3">
      <c r="A211" s="6" t="s">
        <v>26</v>
      </c>
      <c r="B211" s="84" t="s">
        <v>51</v>
      </c>
      <c r="C211" s="87"/>
      <c r="D211" s="88"/>
      <c r="E211" s="5">
        <f t="shared" ref="E211:T211" si="47">SUM(E201:E210)</f>
        <v>4</v>
      </c>
      <c r="F211" s="5">
        <f t="shared" si="47"/>
        <v>4</v>
      </c>
      <c r="G211" s="5">
        <f t="shared" si="47"/>
        <v>5</v>
      </c>
      <c r="H211" s="5">
        <f t="shared" si="47"/>
        <v>23</v>
      </c>
      <c r="I211" s="5">
        <f t="shared" si="47"/>
        <v>14</v>
      </c>
      <c r="J211" s="5">
        <f t="shared" si="47"/>
        <v>7</v>
      </c>
      <c r="K211" s="5">
        <f t="shared" si="47"/>
        <v>8</v>
      </c>
      <c r="L211" s="5">
        <f t="shared" si="47"/>
        <v>42</v>
      </c>
      <c r="M211" s="5">
        <f t="shared" si="47"/>
        <v>19</v>
      </c>
      <c r="N211" s="5">
        <f t="shared" si="47"/>
        <v>7</v>
      </c>
      <c r="O211" s="5">
        <f t="shared" si="47"/>
        <v>11</v>
      </c>
      <c r="P211" s="5">
        <f t="shared" si="47"/>
        <v>8</v>
      </c>
      <c r="Q211" s="5">
        <f t="shared" si="47"/>
        <v>10</v>
      </c>
      <c r="R211" s="5">
        <f t="shared" si="47"/>
        <v>11</v>
      </c>
      <c r="S211" s="5">
        <f t="shared" si="47"/>
        <v>8</v>
      </c>
      <c r="T211" s="5">
        <f t="shared" si="47"/>
        <v>181</v>
      </c>
    </row>
    <row r="212" spans="1:20" x14ac:dyDescent="0.3">
      <c r="A212" s="62"/>
      <c r="B212" s="89"/>
      <c r="C212" s="89"/>
      <c r="D212" s="89"/>
      <c r="E212" s="90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</row>
    <row r="213" spans="1:20" x14ac:dyDescent="0.3">
      <c r="A213" s="11" t="s">
        <v>48</v>
      </c>
      <c r="B213" s="17" t="s">
        <v>75</v>
      </c>
      <c r="C213" s="86" t="s">
        <v>76</v>
      </c>
      <c r="D213" s="64"/>
      <c r="E213" s="6">
        <v>1</v>
      </c>
      <c r="F213" s="6">
        <v>0</v>
      </c>
      <c r="G213" s="6">
        <v>0</v>
      </c>
      <c r="H213" s="6">
        <v>0</v>
      </c>
      <c r="I213" s="6">
        <v>0</v>
      </c>
      <c r="J213" s="6">
        <v>3</v>
      </c>
      <c r="K213" s="6">
        <v>5</v>
      </c>
      <c r="L213" s="6">
        <v>0</v>
      </c>
      <c r="M213" s="6">
        <v>1</v>
      </c>
      <c r="N213" s="6">
        <v>3</v>
      </c>
      <c r="O213" s="6">
        <v>1</v>
      </c>
      <c r="P213" s="6">
        <v>1</v>
      </c>
      <c r="Q213" s="6">
        <v>0</v>
      </c>
      <c r="R213" s="6">
        <v>0</v>
      </c>
      <c r="S213" s="6">
        <v>0</v>
      </c>
      <c r="T213" s="5">
        <f>SUM(E213:S213)</f>
        <v>15</v>
      </c>
    </row>
    <row r="214" spans="1:20" x14ac:dyDescent="0.3">
      <c r="A214" s="11" t="s">
        <v>50</v>
      </c>
      <c r="B214" s="50"/>
      <c r="C214" s="24" t="s">
        <v>214</v>
      </c>
      <c r="D214" s="49"/>
      <c r="E214" s="6">
        <v>1</v>
      </c>
      <c r="F214" s="6">
        <v>0</v>
      </c>
      <c r="G214" s="6">
        <v>2</v>
      </c>
      <c r="H214" s="6">
        <v>1</v>
      </c>
      <c r="I214" s="6">
        <v>0</v>
      </c>
      <c r="J214" s="6">
        <v>1</v>
      </c>
      <c r="K214" s="6">
        <v>5</v>
      </c>
      <c r="L214" s="6">
        <v>0</v>
      </c>
      <c r="M214" s="6">
        <v>1</v>
      </c>
      <c r="N214" s="6">
        <v>2</v>
      </c>
      <c r="O214" s="6">
        <v>2</v>
      </c>
      <c r="P214" s="6">
        <v>1</v>
      </c>
      <c r="Q214" s="6">
        <v>0</v>
      </c>
      <c r="R214" s="6">
        <v>2</v>
      </c>
      <c r="S214" s="6">
        <v>0</v>
      </c>
      <c r="T214" s="5">
        <f>SUM(E214:S214)</f>
        <v>18</v>
      </c>
    </row>
    <row r="215" spans="1:20" x14ac:dyDescent="0.3">
      <c r="A215" s="7"/>
      <c r="B215" s="50"/>
      <c r="C215" s="24" t="s">
        <v>215</v>
      </c>
      <c r="D215" s="49"/>
      <c r="E215" s="6">
        <v>1</v>
      </c>
      <c r="F215" s="6">
        <v>0</v>
      </c>
      <c r="G215" s="6">
        <v>2</v>
      </c>
      <c r="H215" s="6">
        <v>0</v>
      </c>
      <c r="I215" s="6">
        <v>0</v>
      </c>
      <c r="J215" s="6">
        <v>1</v>
      </c>
      <c r="K215" s="6">
        <v>1</v>
      </c>
      <c r="L215" s="6">
        <v>0</v>
      </c>
      <c r="M215" s="6">
        <v>0</v>
      </c>
      <c r="N215" s="6">
        <v>2</v>
      </c>
      <c r="O215" s="6">
        <v>0</v>
      </c>
      <c r="P215" s="6">
        <v>0</v>
      </c>
      <c r="Q215" s="6">
        <v>2</v>
      </c>
      <c r="R215" s="6">
        <v>1</v>
      </c>
      <c r="S215" s="6">
        <v>0</v>
      </c>
      <c r="T215" s="5">
        <f t="shared" ref="T215:T222" si="48">SUM(E215:S215)</f>
        <v>10</v>
      </c>
    </row>
    <row r="216" spans="1:20" x14ac:dyDescent="0.3">
      <c r="A216" s="7"/>
      <c r="B216" s="50"/>
      <c r="C216" s="24" t="s">
        <v>216</v>
      </c>
      <c r="D216" s="49"/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1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5">
        <f t="shared" si="48"/>
        <v>1</v>
      </c>
    </row>
    <row r="217" spans="1:20" x14ac:dyDescent="0.3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5">
        <f t="shared" si="48"/>
        <v>0</v>
      </c>
    </row>
    <row r="218" spans="1:20" ht="13.15" customHeight="1" x14ac:dyDescent="0.3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5">
        <f t="shared" si="48"/>
        <v>0</v>
      </c>
    </row>
    <row r="219" spans="1:20" x14ac:dyDescent="0.3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5">
        <f t="shared" si="48"/>
        <v>0</v>
      </c>
    </row>
    <row r="220" spans="1:20" x14ac:dyDescent="0.3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5">
        <f t="shared" si="48"/>
        <v>0</v>
      </c>
    </row>
    <row r="221" spans="1:20" x14ac:dyDescent="0.3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5">
        <f t="shared" si="48"/>
        <v>0</v>
      </c>
    </row>
    <row r="222" spans="1:20" x14ac:dyDescent="0.3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5">
        <f t="shared" si="48"/>
        <v>0</v>
      </c>
    </row>
    <row r="223" spans="1:20" x14ac:dyDescent="0.3">
      <c r="A223" s="6" t="s">
        <v>26</v>
      </c>
      <c r="B223" s="84" t="s">
        <v>51</v>
      </c>
      <c r="C223" s="87"/>
      <c r="D223" s="88"/>
      <c r="E223" s="5">
        <f t="shared" ref="E223:T223" si="49">SUM(E213:E222)</f>
        <v>3</v>
      </c>
      <c r="F223" s="5">
        <f t="shared" si="49"/>
        <v>0</v>
      </c>
      <c r="G223" s="5">
        <f t="shared" si="49"/>
        <v>4</v>
      </c>
      <c r="H223" s="5">
        <f t="shared" si="49"/>
        <v>1</v>
      </c>
      <c r="I223" s="5">
        <f t="shared" si="49"/>
        <v>0</v>
      </c>
      <c r="J223" s="5">
        <f t="shared" si="49"/>
        <v>5</v>
      </c>
      <c r="K223" s="5">
        <f t="shared" si="49"/>
        <v>11</v>
      </c>
      <c r="L223" s="5">
        <f t="shared" si="49"/>
        <v>0</v>
      </c>
      <c r="M223" s="5">
        <f t="shared" si="49"/>
        <v>2</v>
      </c>
      <c r="N223" s="5">
        <f t="shared" si="49"/>
        <v>8</v>
      </c>
      <c r="O223" s="5">
        <f t="shared" si="49"/>
        <v>3</v>
      </c>
      <c r="P223" s="5">
        <f t="shared" si="49"/>
        <v>2</v>
      </c>
      <c r="Q223" s="5">
        <f t="shared" si="49"/>
        <v>2</v>
      </c>
      <c r="R223" s="5">
        <f t="shared" si="49"/>
        <v>3</v>
      </c>
      <c r="S223" s="5">
        <f t="shared" si="49"/>
        <v>0</v>
      </c>
      <c r="T223" s="5">
        <f t="shared" si="49"/>
        <v>44</v>
      </c>
    </row>
    <row r="224" spans="1:20" x14ac:dyDescent="0.3">
      <c r="A224" s="62"/>
      <c r="B224" s="89"/>
      <c r="C224" s="89"/>
      <c r="D224" s="89"/>
      <c r="E224" s="90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</row>
    <row r="225" spans="1:20" x14ac:dyDescent="0.3">
      <c r="A225" s="11" t="s">
        <v>48</v>
      </c>
      <c r="B225" s="17" t="s">
        <v>77</v>
      </c>
      <c r="C225" s="86" t="s">
        <v>78</v>
      </c>
      <c r="D225" s="64"/>
      <c r="E225" s="6"/>
      <c r="F225" s="6"/>
      <c r="G225" s="6">
        <v>1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>
        <v>1</v>
      </c>
      <c r="S225" s="6"/>
      <c r="T225" s="5">
        <f>SUM(E225:S225)</f>
        <v>2</v>
      </c>
    </row>
    <row r="226" spans="1:20" x14ac:dyDescent="0.3">
      <c r="A226" s="11" t="s">
        <v>50</v>
      </c>
      <c r="B226" s="50"/>
      <c r="C226" s="24" t="s">
        <v>217</v>
      </c>
      <c r="D226" s="49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5">
        <f>SUM(E226:S226)</f>
        <v>0</v>
      </c>
    </row>
    <row r="227" spans="1:20" x14ac:dyDescent="0.3">
      <c r="A227" s="7"/>
      <c r="B227" s="50"/>
      <c r="C227" s="24" t="s">
        <v>218</v>
      </c>
      <c r="D227" s="49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5">
        <f>SUM(E227:S227)</f>
        <v>0</v>
      </c>
    </row>
    <row r="228" spans="1:20" x14ac:dyDescent="0.3">
      <c r="A228" s="7"/>
      <c r="B228" s="50"/>
      <c r="C228" s="24" t="s">
        <v>219</v>
      </c>
      <c r="D228" s="49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5">
        <f t="shared" ref="T228:T234" si="50">SUM(E228:S228)</f>
        <v>0</v>
      </c>
    </row>
    <row r="229" spans="1:20" ht="13.15" customHeight="1" x14ac:dyDescent="0.3">
      <c r="A229" s="7"/>
      <c r="B229" s="50"/>
      <c r="C229" s="24" t="s">
        <v>220</v>
      </c>
      <c r="D229" s="49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5">
        <f t="shared" si="50"/>
        <v>0</v>
      </c>
    </row>
    <row r="230" spans="1:20" x14ac:dyDescent="0.3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5">
        <f t="shared" si="50"/>
        <v>0</v>
      </c>
    </row>
    <row r="231" spans="1:20" x14ac:dyDescent="0.3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5">
        <f t="shared" si="50"/>
        <v>0</v>
      </c>
    </row>
    <row r="232" spans="1:20" x14ac:dyDescent="0.3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5">
        <f t="shared" si="50"/>
        <v>0</v>
      </c>
    </row>
    <row r="233" spans="1:20" x14ac:dyDescent="0.3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5">
        <f t="shared" si="50"/>
        <v>0</v>
      </c>
    </row>
    <row r="234" spans="1:20" x14ac:dyDescent="0.3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5">
        <f t="shared" si="50"/>
        <v>0</v>
      </c>
    </row>
    <row r="235" spans="1:20" x14ac:dyDescent="0.3">
      <c r="A235" s="6" t="s">
        <v>26</v>
      </c>
      <c r="B235" s="84" t="s">
        <v>51</v>
      </c>
      <c r="C235" s="87"/>
      <c r="D235" s="88"/>
      <c r="E235" s="5">
        <f t="shared" ref="E235:T235" si="51">SUM(E225:E234)</f>
        <v>0</v>
      </c>
      <c r="F235" s="5">
        <f t="shared" si="51"/>
        <v>0</v>
      </c>
      <c r="G235" s="5">
        <f t="shared" si="51"/>
        <v>1</v>
      </c>
      <c r="H235" s="5">
        <f t="shared" si="51"/>
        <v>0</v>
      </c>
      <c r="I235" s="5">
        <f t="shared" si="51"/>
        <v>0</v>
      </c>
      <c r="J235" s="5">
        <f t="shared" si="51"/>
        <v>0</v>
      </c>
      <c r="K235" s="5">
        <f t="shared" si="51"/>
        <v>0</v>
      </c>
      <c r="L235" s="5">
        <f t="shared" si="51"/>
        <v>0</v>
      </c>
      <c r="M235" s="5">
        <f t="shared" si="51"/>
        <v>0</v>
      </c>
      <c r="N235" s="5">
        <f t="shared" si="51"/>
        <v>0</v>
      </c>
      <c r="O235" s="5">
        <f t="shared" si="51"/>
        <v>0</v>
      </c>
      <c r="P235" s="5">
        <f t="shared" si="51"/>
        <v>0</v>
      </c>
      <c r="Q235" s="5">
        <f t="shared" si="51"/>
        <v>0</v>
      </c>
      <c r="R235" s="5">
        <f t="shared" si="51"/>
        <v>1</v>
      </c>
      <c r="S235" s="5">
        <f t="shared" si="51"/>
        <v>0</v>
      </c>
      <c r="T235" s="5">
        <f t="shared" si="51"/>
        <v>2</v>
      </c>
    </row>
    <row r="236" spans="1:20" x14ac:dyDescent="0.3">
      <c r="A236" s="62"/>
      <c r="B236" s="89"/>
      <c r="C236" s="89"/>
      <c r="D236" s="89"/>
      <c r="E236" s="90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</row>
    <row r="237" spans="1:20" x14ac:dyDescent="0.3">
      <c r="A237" s="11" t="s">
        <v>48</v>
      </c>
      <c r="B237" s="17" t="s">
        <v>79</v>
      </c>
      <c r="C237" s="86" t="s">
        <v>80</v>
      </c>
      <c r="D237" s="64"/>
      <c r="E237" s="6">
        <v>1</v>
      </c>
      <c r="F237" s="6">
        <v>0</v>
      </c>
      <c r="G237" s="6">
        <v>0</v>
      </c>
      <c r="H237" s="6">
        <v>0</v>
      </c>
      <c r="I237" s="6">
        <v>5</v>
      </c>
      <c r="J237" s="6">
        <v>3</v>
      </c>
      <c r="K237" s="6">
        <v>1</v>
      </c>
      <c r="L237" s="6">
        <v>3</v>
      </c>
      <c r="M237" s="6">
        <v>1</v>
      </c>
      <c r="N237" s="6">
        <v>1</v>
      </c>
      <c r="O237" s="6">
        <v>0</v>
      </c>
      <c r="P237" s="6">
        <v>1</v>
      </c>
      <c r="Q237" s="6">
        <v>1</v>
      </c>
      <c r="R237" s="6">
        <v>0</v>
      </c>
      <c r="S237" s="6">
        <v>1</v>
      </c>
      <c r="T237" s="5">
        <f t="shared" ref="T237:T246" si="52">SUM(E237:S237)</f>
        <v>18</v>
      </c>
    </row>
    <row r="238" spans="1:20" x14ac:dyDescent="0.3">
      <c r="A238" s="11" t="s">
        <v>50</v>
      </c>
      <c r="B238" s="50"/>
      <c r="C238" s="24" t="s">
        <v>221</v>
      </c>
      <c r="D238" s="49"/>
      <c r="E238" s="6">
        <v>4</v>
      </c>
      <c r="F238" s="6">
        <v>0</v>
      </c>
      <c r="G238" s="6">
        <v>3</v>
      </c>
      <c r="H238" s="6">
        <v>0</v>
      </c>
      <c r="I238" s="6">
        <v>4</v>
      </c>
      <c r="J238" s="6">
        <v>4</v>
      </c>
      <c r="K238" s="6">
        <v>2</v>
      </c>
      <c r="L238" s="6">
        <v>0</v>
      </c>
      <c r="M238" s="6">
        <v>1</v>
      </c>
      <c r="N238" s="6">
        <v>0</v>
      </c>
      <c r="O238" s="6">
        <v>0</v>
      </c>
      <c r="P238" s="6">
        <v>1</v>
      </c>
      <c r="Q238" s="6">
        <v>4</v>
      </c>
      <c r="R238" s="6">
        <v>0</v>
      </c>
      <c r="S238" s="6">
        <v>1</v>
      </c>
      <c r="T238" s="5">
        <f t="shared" si="52"/>
        <v>24</v>
      </c>
    </row>
    <row r="239" spans="1:20" x14ac:dyDescent="0.3">
      <c r="A239" s="7"/>
      <c r="B239" s="50"/>
      <c r="C239" s="24" t="s">
        <v>222</v>
      </c>
      <c r="D239" s="49"/>
      <c r="E239" s="6">
        <v>0</v>
      </c>
      <c r="F239" s="6">
        <v>1</v>
      </c>
      <c r="G239" s="6">
        <v>2</v>
      </c>
      <c r="H239" s="6">
        <v>0</v>
      </c>
      <c r="I239" s="6">
        <v>2</v>
      </c>
      <c r="J239" s="6">
        <v>1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1</v>
      </c>
      <c r="Q239" s="6">
        <v>4</v>
      </c>
      <c r="R239" s="6">
        <v>0</v>
      </c>
      <c r="S239" s="6">
        <v>0</v>
      </c>
      <c r="T239" s="5">
        <f t="shared" si="52"/>
        <v>11</v>
      </c>
    </row>
    <row r="240" spans="1:20" ht="13.15" customHeight="1" x14ac:dyDescent="0.3">
      <c r="A240" s="7"/>
      <c r="B240" s="50"/>
      <c r="C240" s="24" t="s">
        <v>223</v>
      </c>
      <c r="D240" s="49"/>
      <c r="E240" s="6">
        <v>1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5">
        <f t="shared" si="52"/>
        <v>1</v>
      </c>
    </row>
    <row r="241" spans="1:20" x14ac:dyDescent="0.3">
      <c r="A241" s="7"/>
      <c r="B241" s="50"/>
      <c r="C241" s="24" t="s">
        <v>224</v>
      </c>
      <c r="D241" s="49"/>
      <c r="E241" s="6">
        <v>1</v>
      </c>
      <c r="F241" s="6">
        <v>0</v>
      </c>
      <c r="G241" s="6">
        <v>0</v>
      </c>
      <c r="H241" s="6">
        <v>0</v>
      </c>
      <c r="I241" s="6">
        <v>1</v>
      </c>
      <c r="J241" s="6">
        <v>1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1</v>
      </c>
      <c r="R241" s="6">
        <v>0</v>
      </c>
      <c r="S241" s="6">
        <v>0</v>
      </c>
      <c r="T241" s="5">
        <f t="shared" si="52"/>
        <v>4</v>
      </c>
    </row>
    <row r="242" spans="1:20" ht="12.75" customHeight="1" x14ac:dyDescent="0.3">
      <c r="A242" s="7"/>
      <c r="B242" s="50"/>
      <c r="C242" s="24" t="s">
        <v>225</v>
      </c>
      <c r="D242" s="49"/>
      <c r="E242" s="6">
        <v>1</v>
      </c>
      <c r="F242" s="6">
        <v>0</v>
      </c>
      <c r="G242" s="6">
        <v>0</v>
      </c>
      <c r="H242" s="6">
        <v>0</v>
      </c>
      <c r="I242" s="6">
        <v>2</v>
      </c>
      <c r="J242" s="6">
        <v>0</v>
      </c>
      <c r="K242" s="6">
        <v>0</v>
      </c>
      <c r="L242" s="6">
        <v>0</v>
      </c>
      <c r="M242" s="6">
        <v>0</v>
      </c>
      <c r="N242" s="6">
        <v>1</v>
      </c>
      <c r="O242" s="6">
        <v>0</v>
      </c>
      <c r="P242" s="6">
        <v>0</v>
      </c>
      <c r="Q242" s="6">
        <v>0</v>
      </c>
      <c r="R242" s="6">
        <v>2</v>
      </c>
      <c r="S242" s="6">
        <v>0</v>
      </c>
      <c r="T242" s="5">
        <f t="shared" si="52"/>
        <v>6</v>
      </c>
    </row>
    <row r="243" spans="1:20" x14ac:dyDescent="0.3">
      <c r="A243" s="7"/>
      <c r="B243" s="50"/>
      <c r="C243" s="24" t="s">
        <v>226</v>
      </c>
      <c r="D243" s="49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5">
        <f t="shared" si="52"/>
        <v>0</v>
      </c>
    </row>
    <row r="244" spans="1:20" x14ac:dyDescent="0.3">
      <c r="A244" s="7"/>
      <c r="B244" s="50"/>
      <c r="C244" s="24" t="s">
        <v>227</v>
      </c>
      <c r="D244" s="49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1</v>
      </c>
      <c r="T244" s="5">
        <f t="shared" si="52"/>
        <v>1</v>
      </c>
    </row>
    <row r="245" spans="1:20" x14ac:dyDescent="0.3">
      <c r="A245" s="7"/>
      <c r="B245" s="50"/>
      <c r="C245" s="24" t="s">
        <v>228</v>
      </c>
      <c r="D245" s="49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5">
        <f t="shared" si="52"/>
        <v>0</v>
      </c>
    </row>
    <row r="246" spans="1:20" x14ac:dyDescent="0.3">
      <c r="A246" s="7"/>
      <c r="B246" s="50"/>
      <c r="C246" s="24" t="s">
        <v>229</v>
      </c>
      <c r="D246" s="49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1</v>
      </c>
      <c r="R246" s="6">
        <v>0</v>
      </c>
      <c r="S246" s="6">
        <v>0</v>
      </c>
      <c r="T246" s="5">
        <f t="shared" si="52"/>
        <v>1</v>
      </c>
    </row>
    <row r="247" spans="1:20" ht="12.75" customHeight="1" x14ac:dyDescent="0.3">
      <c r="A247" s="6" t="s">
        <v>26</v>
      </c>
      <c r="B247" s="84" t="s">
        <v>51</v>
      </c>
      <c r="C247" s="87"/>
      <c r="D247" s="88"/>
      <c r="E247" s="5">
        <f t="shared" ref="E247:T247" si="53">SUM(E237:E246)</f>
        <v>8</v>
      </c>
      <c r="F247" s="5">
        <f t="shared" si="53"/>
        <v>1</v>
      </c>
      <c r="G247" s="5">
        <f t="shared" si="53"/>
        <v>5</v>
      </c>
      <c r="H247" s="5">
        <f t="shared" si="53"/>
        <v>0</v>
      </c>
      <c r="I247" s="5">
        <f t="shared" si="53"/>
        <v>14</v>
      </c>
      <c r="J247" s="5">
        <f t="shared" si="53"/>
        <v>9</v>
      </c>
      <c r="K247" s="5">
        <f t="shared" si="53"/>
        <v>3</v>
      </c>
      <c r="L247" s="5">
        <f t="shared" si="53"/>
        <v>3</v>
      </c>
      <c r="M247" s="5">
        <f t="shared" si="53"/>
        <v>2</v>
      </c>
      <c r="N247" s="5">
        <f t="shared" si="53"/>
        <v>2</v>
      </c>
      <c r="O247" s="5">
        <f t="shared" si="53"/>
        <v>0</v>
      </c>
      <c r="P247" s="5">
        <f t="shared" si="53"/>
        <v>3</v>
      </c>
      <c r="Q247" s="5">
        <f t="shared" si="53"/>
        <v>11</v>
      </c>
      <c r="R247" s="5">
        <f t="shared" si="53"/>
        <v>2</v>
      </c>
      <c r="S247" s="5">
        <f t="shared" si="53"/>
        <v>3</v>
      </c>
      <c r="T247" s="5">
        <f t="shared" si="53"/>
        <v>66</v>
      </c>
    </row>
    <row r="248" spans="1:20" x14ac:dyDescent="0.3">
      <c r="A248" s="62"/>
      <c r="B248" s="89"/>
      <c r="C248" s="89"/>
      <c r="D248" s="89"/>
      <c r="E248" s="90"/>
    </row>
    <row r="249" spans="1:20" x14ac:dyDescent="0.3">
      <c r="A249" s="11" t="s">
        <v>48</v>
      </c>
      <c r="B249" s="17" t="s">
        <v>81</v>
      </c>
      <c r="C249" s="86" t="s">
        <v>82</v>
      </c>
      <c r="D249" s="64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>
        <v>1</v>
      </c>
      <c r="T249" s="5">
        <f>SUM(E249:S249)</f>
        <v>1</v>
      </c>
    </row>
    <row r="250" spans="1:20" x14ac:dyDescent="0.3">
      <c r="A250" s="11" t="s">
        <v>50</v>
      </c>
      <c r="B250" s="50"/>
      <c r="C250" s="24" t="s">
        <v>230</v>
      </c>
      <c r="D250" s="49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5">
        <f>SUM(E250:S250)</f>
        <v>0</v>
      </c>
    </row>
    <row r="251" spans="1:20" x14ac:dyDescent="0.3">
      <c r="A251" s="7"/>
      <c r="B251" s="50"/>
      <c r="C251" s="24" t="s">
        <v>231</v>
      </c>
      <c r="D251" s="49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5">
        <f>SUM(E251:S251)</f>
        <v>0</v>
      </c>
    </row>
    <row r="252" spans="1:20" x14ac:dyDescent="0.3">
      <c r="A252" s="7"/>
      <c r="B252" s="50"/>
      <c r="C252" s="24" t="s">
        <v>232</v>
      </c>
      <c r="D252" s="49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5">
        <f t="shared" ref="T252:T258" si="54">SUM(E252:S252)</f>
        <v>0</v>
      </c>
    </row>
    <row r="253" spans="1:20" x14ac:dyDescent="0.3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5">
        <f t="shared" si="54"/>
        <v>0</v>
      </c>
    </row>
    <row r="254" spans="1:20" x14ac:dyDescent="0.3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5">
        <f t="shared" si="54"/>
        <v>0</v>
      </c>
    </row>
    <row r="255" spans="1:20" x14ac:dyDescent="0.3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5">
        <f t="shared" si="54"/>
        <v>0</v>
      </c>
    </row>
    <row r="256" spans="1:20" x14ac:dyDescent="0.3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5">
        <f t="shared" si="54"/>
        <v>0</v>
      </c>
    </row>
    <row r="257" spans="1:20" x14ac:dyDescent="0.3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5">
        <f t="shared" si="54"/>
        <v>0</v>
      </c>
    </row>
    <row r="258" spans="1:20" x14ac:dyDescent="0.3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5">
        <f t="shared" si="54"/>
        <v>0</v>
      </c>
    </row>
    <row r="259" spans="1:20" x14ac:dyDescent="0.3">
      <c r="A259" s="6" t="s">
        <v>26</v>
      </c>
      <c r="B259" s="84" t="s">
        <v>51</v>
      </c>
      <c r="C259" s="87"/>
      <c r="D259" s="88"/>
      <c r="E259" s="5">
        <f t="shared" ref="E259:T259" si="55">SUM(E249:E258)</f>
        <v>0</v>
      </c>
      <c r="F259" s="5">
        <f t="shared" si="55"/>
        <v>0</v>
      </c>
      <c r="G259" s="5">
        <f t="shared" si="55"/>
        <v>0</v>
      </c>
      <c r="H259" s="5">
        <f t="shared" si="55"/>
        <v>0</v>
      </c>
      <c r="I259" s="5">
        <f t="shared" si="55"/>
        <v>0</v>
      </c>
      <c r="J259" s="5">
        <f t="shared" si="55"/>
        <v>0</v>
      </c>
      <c r="K259" s="5">
        <f t="shared" si="55"/>
        <v>0</v>
      </c>
      <c r="L259" s="5">
        <f t="shared" si="55"/>
        <v>0</v>
      </c>
      <c r="M259" s="5">
        <f t="shared" si="55"/>
        <v>0</v>
      </c>
      <c r="N259" s="5">
        <f t="shared" si="55"/>
        <v>0</v>
      </c>
      <c r="O259" s="5">
        <f t="shared" si="55"/>
        <v>0</v>
      </c>
      <c r="P259" s="5">
        <f t="shared" si="55"/>
        <v>0</v>
      </c>
      <c r="Q259" s="5">
        <f t="shared" si="55"/>
        <v>0</v>
      </c>
      <c r="R259" s="5">
        <f t="shared" si="55"/>
        <v>0</v>
      </c>
      <c r="S259" s="5">
        <f t="shared" si="55"/>
        <v>1</v>
      </c>
      <c r="T259" s="5">
        <f t="shared" si="55"/>
        <v>1</v>
      </c>
    </row>
    <row r="261" spans="1:20" x14ac:dyDescent="0.3">
      <c r="A261" s="16" t="s">
        <v>83</v>
      </c>
      <c r="B261" s="65" t="s">
        <v>84</v>
      </c>
      <c r="C261" s="97"/>
      <c r="D261" s="98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15"/>
      <c r="T261" s="5"/>
    </row>
    <row r="262" spans="1:20" x14ac:dyDescent="0.3">
      <c r="A262" s="16"/>
      <c r="B262" s="19" t="s">
        <v>85</v>
      </c>
      <c r="C262" s="95" t="s">
        <v>86</v>
      </c>
      <c r="D262" s="96"/>
      <c r="E262" s="6">
        <f>E55+E67+E79+E91+E103+E115+E127+E139+E151+E163+E175+E187+E199+E211+E223+E235+E247+E259</f>
        <v>153</v>
      </c>
      <c r="F262" s="6">
        <f t="shared" ref="F262:S262" si="56">F55+F67+F79+F91+F103+F115+F127+F139+F151+F163+F175+F187+F199+F211+F223+F235+F247+F259</f>
        <v>146</v>
      </c>
      <c r="G262" s="6">
        <f t="shared" si="56"/>
        <v>174</v>
      </c>
      <c r="H262" s="6">
        <f t="shared" si="56"/>
        <v>176</v>
      </c>
      <c r="I262" s="6">
        <f t="shared" si="56"/>
        <v>174</v>
      </c>
      <c r="J262" s="6">
        <f t="shared" si="56"/>
        <v>159</v>
      </c>
      <c r="K262" s="6">
        <f t="shared" si="56"/>
        <v>203</v>
      </c>
      <c r="L262" s="6">
        <f t="shared" si="56"/>
        <v>182</v>
      </c>
      <c r="M262" s="6">
        <f t="shared" si="56"/>
        <v>179</v>
      </c>
      <c r="N262" s="6">
        <f t="shared" si="56"/>
        <v>172</v>
      </c>
      <c r="O262" s="6">
        <f t="shared" ref="O262:P262" si="57">O55+O67+O79+O91+O103+O115+O127+O139+O151+O163+O175+O187+O199+O211+O223+O235+O247+O259</f>
        <v>161</v>
      </c>
      <c r="P262" s="6">
        <f t="shared" si="57"/>
        <v>138</v>
      </c>
      <c r="Q262" s="6">
        <f t="shared" si="56"/>
        <v>168</v>
      </c>
      <c r="R262" s="6">
        <f t="shared" si="56"/>
        <v>173</v>
      </c>
      <c r="S262" s="6">
        <f t="shared" si="56"/>
        <v>99</v>
      </c>
      <c r="T262" s="5">
        <f>SUM(E262:S262)</f>
        <v>2457</v>
      </c>
    </row>
    <row r="263" spans="1:20" x14ac:dyDescent="0.3">
      <c r="A263" s="13"/>
      <c r="B263" s="19" t="s">
        <v>87</v>
      </c>
      <c r="C263" s="95" t="s">
        <v>88</v>
      </c>
      <c r="D263" s="96"/>
      <c r="E263" s="6">
        <v>47</v>
      </c>
      <c r="F263" s="6">
        <v>37</v>
      </c>
      <c r="G263" s="6">
        <v>37</v>
      </c>
      <c r="H263" s="6">
        <v>43</v>
      </c>
      <c r="I263" s="6">
        <v>47</v>
      </c>
      <c r="J263" s="6">
        <v>42</v>
      </c>
      <c r="K263" s="6">
        <v>24</v>
      </c>
      <c r="L263" s="6">
        <v>26</v>
      </c>
      <c r="M263" s="6">
        <v>19</v>
      </c>
      <c r="N263" s="6">
        <v>25</v>
      </c>
      <c r="O263" s="6">
        <v>38</v>
      </c>
      <c r="P263" s="6">
        <v>56</v>
      </c>
      <c r="Q263" s="6">
        <v>39</v>
      </c>
      <c r="R263" s="6">
        <v>22</v>
      </c>
      <c r="S263" s="6">
        <v>13</v>
      </c>
      <c r="T263" s="5">
        <f>SUM(E263:S263)</f>
        <v>515</v>
      </c>
    </row>
    <row r="264" spans="1:20" x14ac:dyDescent="0.3">
      <c r="A264" s="14"/>
      <c r="B264" s="19" t="s">
        <v>89</v>
      </c>
      <c r="C264" s="95" t="s">
        <v>90</v>
      </c>
      <c r="D264" s="96"/>
      <c r="E264" s="5">
        <f>SUM(E262:E263)</f>
        <v>200</v>
      </c>
      <c r="F264" s="5">
        <f t="shared" ref="F264:S264" si="58">SUM(F262:F263)</f>
        <v>183</v>
      </c>
      <c r="G264" s="5">
        <f t="shared" si="58"/>
        <v>211</v>
      </c>
      <c r="H264" s="5">
        <f t="shared" si="58"/>
        <v>219</v>
      </c>
      <c r="I264" s="5">
        <f t="shared" si="58"/>
        <v>221</v>
      </c>
      <c r="J264" s="5">
        <f t="shared" si="58"/>
        <v>201</v>
      </c>
      <c r="K264" s="5">
        <f t="shared" si="58"/>
        <v>227</v>
      </c>
      <c r="L264" s="5">
        <f t="shared" si="58"/>
        <v>208</v>
      </c>
      <c r="M264" s="5">
        <f t="shared" si="58"/>
        <v>198</v>
      </c>
      <c r="N264" s="5">
        <f t="shared" si="58"/>
        <v>197</v>
      </c>
      <c r="O264" s="5">
        <f t="shared" ref="O264:P264" si="59">SUM(O262:O263)</f>
        <v>199</v>
      </c>
      <c r="P264" s="5">
        <f t="shared" si="59"/>
        <v>194</v>
      </c>
      <c r="Q264" s="5">
        <f t="shared" si="58"/>
        <v>207</v>
      </c>
      <c r="R264" s="5">
        <f t="shared" si="58"/>
        <v>195</v>
      </c>
      <c r="S264" s="5">
        <f t="shared" si="58"/>
        <v>112</v>
      </c>
      <c r="T264" s="5">
        <f>SUM(E264:S264)</f>
        <v>2972</v>
      </c>
    </row>
  </sheetData>
  <mergeCells count="86"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C264:D264"/>
    <mergeCell ref="A248:E248"/>
    <mergeCell ref="C249:D249"/>
    <mergeCell ref="B259:D259"/>
    <mergeCell ref="B261:D261"/>
    <mergeCell ref="C262:D262"/>
    <mergeCell ref="C263:D263"/>
    <mergeCell ref="B199:D199"/>
    <mergeCell ref="B187:D187"/>
    <mergeCell ref="A188:E188"/>
    <mergeCell ref="A152:E152"/>
    <mergeCell ref="C153:D153"/>
    <mergeCell ref="B163:D163"/>
    <mergeCell ref="A164:E164"/>
    <mergeCell ref="C165:D165"/>
    <mergeCell ref="C189:D189"/>
    <mergeCell ref="B175:D175"/>
    <mergeCell ref="A176:E176"/>
    <mergeCell ref="C177:D177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S12"/>
    <mergeCell ref="T12:T13"/>
    <mergeCell ref="B13:D13"/>
    <mergeCell ref="B14:C16"/>
  </mergeCells>
  <phoneticPr fontId="9" type="noConversion"/>
  <conditionalFormatting sqref="E14:S15">
    <cfRule type="containsBlanks" dxfId="56" priority="20">
      <formula>LEN(TRIM(E14))=0</formula>
    </cfRule>
  </conditionalFormatting>
  <conditionalFormatting sqref="E19:S20">
    <cfRule type="containsBlanks" dxfId="55" priority="23">
      <formula>LEN(TRIM(E19))=0</formula>
    </cfRule>
  </conditionalFormatting>
  <conditionalFormatting sqref="E22:S23 E25:S26 E33:S33 E35:S35 E39:S40">
    <cfRule type="containsBlanks" dxfId="54" priority="24">
      <formula>LEN(TRIM(E22))=0</formula>
    </cfRule>
  </conditionalFormatting>
  <conditionalFormatting sqref="E30:S30">
    <cfRule type="expression" dxfId="53" priority="25">
      <formula>E30&lt;&gt;E47</formula>
    </cfRule>
    <cfRule type="expression" dxfId="52" priority="26">
      <formula>E30&lt;&gt;E34</formula>
    </cfRule>
  </conditionalFormatting>
  <conditionalFormatting sqref="E34:S34">
    <cfRule type="expression" dxfId="51" priority="21">
      <formula>E30&lt;&gt;E34</formula>
    </cfRule>
    <cfRule type="expression" dxfId="50" priority="22">
      <formula>E30=E34</formula>
    </cfRule>
    <cfRule type="expression" dxfId="49" priority="27">
      <formula>E34&lt;&gt;E30</formula>
    </cfRule>
    <cfRule type="expression" dxfId="48" priority="28">
      <formula>E34&lt;&gt;E64</formula>
    </cfRule>
  </conditionalFormatting>
  <conditionalFormatting sqref="E45:S54">
    <cfRule type="containsBlanks" dxfId="47" priority="19">
      <formula>LEN(TRIM(E45))=0</formula>
    </cfRule>
  </conditionalFormatting>
  <conditionalFormatting sqref="E57:S66">
    <cfRule type="containsBlanks" dxfId="46" priority="18">
      <formula>LEN(TRIM(E57))=0</formula>
    </cfRule>
  </conditionalFormatting>
  <conditionalFormatting sqref="E69:S78">
    <cfRule type="containsBlanks" dxfId="45" priority="17">
      <formula>LEN(TRIM(E69))=0</formula>
    </cfRule>
  </conditionalFormatting>
  <conditionalFormatting sqref="E81:S90">
    <cfRule type="containsBlanks" dxfId="44" priority="16">
      <formula>LEN(TRIM(E81))=0</formula>
    </cfRule>
  </conditionalFormatting>
  <conditionalFormatting sqref="E93:S102">
    <cfRule type="containsBlanks" dxfId="43" priority="15">
      <formula>LEN(TRIM(E93))=0</formula>
    </cfRule>
  </conditionalFormatting>
  <conditionalFormatting sqref="E105:S114">
    <cfRule type="containsBlanks" dxfId="42" priority="14">
      <formula>LEN(TRIM(E105))=0</formula>
    </cfRule>
  </conditionalFormatting>
  <conditionalFormatting sqref="E117:S126">
    <cfRule type="containsBlanks" dxfId="41" priority="1">
      <formula>LEN(TRIM(E117))=0</formula>
    </cfRule>
  </conditionalFormatting>
  <conditionalFormatting sqref="E129:S138">
    <cfRule type="containsBlanks" dxfId="40" priority="13">
      <formula>LEN(TRIM(E129))=0</formula>
    </cfRule>
  </conditionalFormatting>
  <conditionalFormatting sqref="E141:S150">
    <cfRule type="containsBlanks" dxfId="39" priority="12">
      <formula>LEN(TRIM(E141))=0</formula>
    </cfRule>
  </conditionalFormatting>
  <conditionalFormatting sqref="E153:S162">
    <cfRule type="containsBlanks" dxfId="38" priority="3">
      <formula>LEN(TRIM(E153))=0</formula>
    </cfRule>
  </conditionalFormatting>
  <conditionalFormatting sqref="E165:S174">
    <cfRule type="containsBlanks" dxfId="37" priority="11">
      <formula>LEN(TRIM(E165))=0</formula>
    </cfRule>
  </conditionalFormatting>
  <conditionalFormatting sqref="E177:S186">
    <cfRule type="containsBlanks" dxfId="36" priority="10">
      <formula>LEN(TRIM(E177))=0</formula>
    </cfRule>
  </conditionalFormatting>
  <conditionalFormatting sqref="E189:S198">
    <cfRule type="containsBlanks" dxfId="35" priority="9">
      <formula>LEN(TRIM(E189))=0</formula>
    </cfRule>
  </conditionalFormatting>
  <conditionalFormatting sqref="E201:S210">
    <cfRule type="containsBlanks" dxfId="34" priority="8">
      <formula>LEN(TRIM(E201))=0</formula>
    </cfRule>
  </conditionalFormatting>
  <conditionalFormatting sqref="E213:S222">
    <cfRule type="containsBlanks" dxfId="33" priority="7">
      <formula>LEN(TRIM(E213))=0</formula>
    </cfRule>
  </conditionalFormatting>
  <conditionalFormatting sqref="E225:S234">
    <cfRule type="containsBlanks" dxfId="32" priority="6">
      <formula>LEN(TRIM(E225))=0</formula>
    </cfRule>
  </conditionalFormatting>
  <conditionalFormatting sqref="E237:S246">
    <cfRule type="containsBlanks" dxfId="31" priority="5">
      <formula>LEN(TRIM(E237))=0</formula>
    </cfRule>
  </conditionalFormatting>
  <conditionalFormatting sqref="E249:S258">
    <cfRule type="containsBlanks" dxfId="30" priority="4">
      <formula>LEN(TRIM(E249))=0</formula>
    </cfRule>
  </conditionalFormatting>
  <conditionalFormatting sqref="E262:S263">
    <cfRule type="containsBlanks" dxfId="29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13B73-7E10-4BD4-AB78-28F27E3A65EB}">
  <dimension ref="A2:S264"/>
  <sheetViews>
    <sheetView topLeftCell="D9" zoomScale="70" zoomScaleNormal="70" workbookViewId="0">
      <selection activeCell="E251" sqref="E251"/>
    </sheetView>
  </sheetViews>
  <sheetFormatPr defaultRowHeight="13" x14ac:dyDescent="0.3"/>
  <cols>
    <col min="3" max="3" width="67.09765625" bestFit="1" customWidth="1"/>
    <col min="4" max="4" width="5.8984375" bestFit="1" customWidth="1"/>
    <col min="19" max="19" width="13.296875" customWidth="1"/>
  </cols>
  <sheetData>
    <row r="2" spans="1:19" x14ac:dyDescent="0.3">
      <c r="C2" s="43" t="s">
        <v>98</v>
      </c>
      <c r="D2" s="43" t="s">
        <v>104</v>
      </c>
    </row>
    <row r="3" spans="1:19" x14ac:dyDescent="0.3">
      <c r="C3" s="43" t="s">
        <v>99</v>
      </c>
      <c r="D3" s="43" t="s">
        <v>100</v>
      </c>
    </row>
    <row r="4" spans="1:19" x14ac:dyDescent="0.3">
      <c r="C4" s="43" t="s">
        <v>101</v>
      </c>
      <c r="D4" s="43" t="s">
        <v>102</v>
      </c>
    </row>
    <row r="5" spans="1:19" x14ac:dyDescent="0.3">
      <c r="C5" s="43"/>
      <c r="D5" s="43"/>
    </row>
    <row r="6" spans="1:19" x14ac:dyDescent="0.3">
      <c r="C6" s="43"/>
      <c r="D6" s="43"/>
    </row>
    <row r="7" spans="1:19" x14ac:dyDescent="0.3">
      <c r="C7" s="43"/>
      <c r="D7" s="43"/>
    </row>
    <row r="8" spans="1:19" x14ac:dyDescent="0.3">
      <c r="C8" s="43"/>
      <c r="D8" s="43"/>
    </row>
    <row r="9" spans="1:19" x14ac:dyDescent="0.3">
      <c r="C9" s="43" t="s">
        <v>103</v>
      </c>
      <c r="D9" s="43" t="s">
        <v>114</v>
      </c>
    </row>
    <row r="11" spans="1:19" x14ac:dyDescent="0.3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19" x14ac:dyDescent="0.3">
      <c r="A12" s="5" t="s">
        <v>0</v>
      </c>
      <c r="B12" s="65" t="s">
        <v>1</v>
      </c>
      <c r="C12" s="63"/>
      <c r="D12" s="64"/>
      <c r="E12" s="99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1" t="s">
        <v>97</v>
      </c>
    </row>
    <row r="13" spans="1:19" x14ac:dyDescent="0.3">
      <c r="A13" s="6" t="s">
        <v>2</v>
      </c>
      <c r="B13" s="76" t="s">
        <v>3</v>
      </c>
      <c r="C13" s="63"/>
      <c r="D13" s="6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102"/>
    </row>
    <row r="14" spans="1:19" x14ac:dyDescent="0.3">
      <c r="A14" s="7"/>
      <c r="B14" s="77" t="s">
        <v>22</v>
      </c>
      <c r="C14" s="78"/>
      <c r="D14" s="6" t="s">
        <v>23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5">
        <f>SUM(E14:R14)</f>
        <v>0</v>
      </c>
    </row>
    <row r="15" spans="1:19" x14ac:dyDescent="0.3">
      <c r="A15" s="7"/>
      <c r="B15" s="79"/>
      <c r="C15" s="67"/>
      <c r="D15" s="6" t="s">
        <v>24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5">
        <f>SUM(E15:R15)</f>
        <v>0</v>
      </c>
    </row>
    <row r="16" spans="1:19" x14ac:dyDescent="0.3">
      <c r="A16" s="8"/>
      <c r="B16" s="75"/>
      <c r="C16" s="68"/>
      <c r="D16" s="5" t="s">
        <v>25</v>
      </c>
      <c r="E16" s="5">
        <f t="shared" ref="E16:N16" si="0">SUM(E14:E15)</f>
        <v>0</v>
      </c>
      <c r="F16" s="5">
        <f t="shared" si="0"/>
        <v>0</v>
      </c>
      <c r="G16" s="5">
        <f t="shared" si="0"/>
        <v>0</v>
      </c>
      <c r="H16" s="5">
        <f t="shared" si="0"/>
        <v>0</v>
      </c>
      <c r="I16" s="5">
        <f t="shared" si="0"/>
        <v>0</v>
      </c>
      <c r="J16" s="5">
        <f t="shared" si="0"/>
        <v>0</v>
      </c>
      <c r="K16" s="5">
        <f t="shared" si="0"/>
        <v>0</v>
      </c>
      <c r="L16" s="5">
        <f t="shared" si="0"/>
        <v>0</v>
      </c>
      <c r="M16" s="5">
        <f t="shared" si="0"/>
        <v>0</v>
      </c>
      <c r="N16" s="5">
        <f t="shared" si="0"/>
        <v>0</v>
      </c>
      <c r="O16" s="5">
        <f t="shared" ref="O16:R16" si="1">SUM(O14:O15)</f>
        <v>0</v>
      </c>
      <c r="P16" s="5">
        <f t="shared" si="1"/>
        <v>0</v>
      </c>
      <c r="Q16" s="5">
        <f t="shared" si="1"/>
        <v>0</v>
      </c>
      <c r="R16" s="5">
        <f t="shared" si="1"/>
        <v>0</v>
      </c>
      <c r="S16" s="5">
        <f>SUM(E16:R16)</f>
        <v>0</v>
      </c>
    </row>
    <row r="17" spans="1:19" x14ac:dyDescent="0.3">
      <c r="A17" s="62"/>
      <c r="B17" s="63"/>
      <c r="C17" s="63"/>
      <c r="D17" s="64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28"/>
    </row>
    <row r="18" spans="1:19" x14ac:dyDescent="0.3">
      <c r="A18" s="11" t="s">
        <v>26</v>
      </c>
      <c r="B18" s="76" t="s">
        <v>27</v>
      </c>
      <c r="C18" s="63"/>
      <c r="D18" s="64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28"/>
    </row>
    <row r="19" spans="1:19" x14ac:dyDescent="0.3">
      <c r="A19" s="11"/>
      <c r="B19" s="66" t="s">
        <v>28</v>
      </c>
      <c r="C19" s="69" t="s">
        <v>29</v>
      </c>
      <c r="D19" s="6" t="s">
        <v>23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5">
        <f t="shared" ref="S19:S30" si="2">SUM(E19:R19)</f>
        <v>0</v>
      </c>
    </row>
    <row r="20" spans="1:19" x14ac:dyDescent="0.3">
      <c r="A20" s="12"/>
      <c r="B20" s="67"/>
      <c r="C20" s="70"/>
      <c r="D20" s="6" t="s">
        <v>24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5">
        <f t="shared" si="2"/>
        <v>0</v>
      </c>
    </row>
    <row r="21" spans="1:19" x14ac:dyDescent="0.3">
      <c r="A21" s="13"/>
      <c r="B21" s="68"/>
      <c r="C21" s="71"/>
      <c r="D21" s="5" t="s">
        <v>25</v>
      </c>
      <c r="E21" s="5">
        <f t="shared" ref="E21:N21" si="3">SUM(E19:E20)</f>
        <v>0</v>
      </c>
      <c r="F21" s="5">
        <f t="shared" si="3"/>
        <v>0</v>
      </c>
      <c r="G21" s="5">
        <f t="shared" si="3"/>
        <v>0</v>
      </c>
      <c r="H21" s="5">
        <f t="shared" si="3"/>
        <v>0</v>
      </c>
      <c r="I21" s="5">
        <f t="shared" si="3"/>
        <v>0</v>
      </c>
      <c r="J21" s="5">
        <f t="shared" si="3"/>
        <v>0</v>
      </c>
      <c r="K21" s="5">
        <f t="shared" si="3"/>
        <v>0</v>
      </c>
      <c r="L21" s="5">
        <f t="shared" si="3"/>
        <v>0</v>
      </c>
      <c r="M21" s="5">
        <f t="shared" si="3"/>
        <v>0</v>
      </c>
      <c r="N21" s="5">
        <f t="shared" si="3"/>
        <v>0</v>
      </c>
      <c r="O21" s="5">
        <f t="shared" ref="O21:R21" si="4">SUM(O19:O20)</f>
        <v>0</v>
      </c>
      <c r="P21" s="5">
        <f t="shared" si="4"/>
        <v>0</v>
      </c>
      <c r="Q21" s="5">
        <f t="shared" si="4"/>
        <v>0</v>
      </c>
      <c r="R21" s="5">
        <f t="shared" si="4"/>
        <v>0</v>
      </c>
      <c r="S21" s="5">
        <f t="shared" si="2"/>
        <v>0</v>
      </c>
    </row>
    <row r="22" spans="1:19" x14ac:dyDescent="0.3">
      <c r="A22" s="12"/>
      <c r="B22" s="66" t="s">
        <v>30</v>
      </c>
      <c r="C22" s="69" t="s">
        <v>31</v>
      </c>
      <c r="D22" s="6" t="s">
        <v>23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5">
        <f t="shared" si="2"/>
        <v>0</v>
      </c>
    </row>
    <row r="23" spans="1:19" x14ac:dyDescent="0.3">
      <c r="A23" s="12"/>
      <c r="B23" s="67"/>
      <c r="C23" s="70"/>
      <c r="D23" s="6" t="s">
        <v>24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5">
        <f t="shared" si="2"/>
        <v>0</v>
      </c>
    </row>
    <row r="24" spans="1:19" x14ac:dyDescent="0.3">
      <c r="A24" s="13"/>
      <c r="B24" s="68"/>
      <c r="C24" s="71"/>
      <c r="D24" s="5" t="s">
        <v>25</v>
      </c>
      <c r="E24" s="5">
        <f t="shared" ref="E24:N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0</v>
      </c>
      <c r="I24" s="5">
        <f t="shared" si="5"/>
        <v>0</v>
      </c>
      <c r="J24" s="5">
        <f t="shared" si="5"/>
        <v>0</v>
      </c>
      <c r="K24" s="5">
        <f t="shared" si="5"/>
        <v>0</v>
      </c>
      <c r="L24" s="5">
        <f t="shared" si="5"/>
        <v>0</v>
      </c>
      <c r="M24" s="5">
        <f t="shared" si="5"/>
        <v>0</v>
      </c>
      <c r="N24" s="5">
        <f t="shared" si="5"/>
        <v>0</v>
      </c>
      <c r="O24" s="5">
        <f t="shared" ref="O24:R24" si="6">SUM(O22:O23)</f>
        <v>0</v>
      </c>
      <c r="P24" s="5">
        <f t="shared" si="6"/>
        <v>0</v>
      </c>
      <c r="Q24" s="5">
        <f t="shared" si="6"/>
        <v>0</v>
      </c>
      <c r="R24" s="5">
        <f t="shared" si="6"/>
        <v>0</v>
      </c>
      <c r="S24" s="5">
        <f t="shared" si="2"/>
        <v>0</v>
      </c>
    </row>
    <row r="25" spans="1:19" x14ac:dyDescent="0.3">
      <c r="A25" s="12"/>
      <c r="B25" s="66" t="s">
        <v>32</v>
      </c>
      <c r="C25" s="69" t="s">
        <v>33</v>
      </c>
      <c r="D25" s="6" t="s">
        <v>23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5">
        <f t="shared" si="2"/>
        <v>0</v>
      </c>
    </row>
    <row r="26" spans="1:19" x14ac:dyDescent="0.3">
      <c r="A26" s="12"/>
      <c r="B26" s="67"/>
      <c r="C26" s="70"/>
      <c r="D26" s="6" t="s">
        <v>24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5">
        <f t="shared" si="2"/>
        <v>0</v>
      </c>
    </row>
    <row r="27" spans="1:19" x14ac:dyDescent="0.3">
      <c r="A27" s="13"/>
      <c r="B27" s="68"/>
      <c r="C27" s="71"/>
      <c r="D27" s="5" t="s">
        <v>25</v>
      </c>
      <c r="E27" s="5">
        <f t="shared" ref="E27:N27" si="7">SUM(E25:E26)</f>
        <v>0</v>
      </c>
      <c r="F27" s="5">
        <f t="shared" si="7"/>
        <v>0</v>
      </c>
      <c r="G27" s="5">
        <f t="shared" si="7"/>
        <v>0</v>
      </c>
      <c r="H27" s="5">
        <f t="shared" si="7"/>
        <v>0</v>
      </c>
      <c r="I27" s="5">
        <f t="shared" si="7"/>
        <v>0</v>
      </c>
      <c r="J27" s="5">
        <f t="shared" si="7"/>
        <v>0</v>
      </c>
      <c r="K27" s="5">
        <f t="shared" si="7"/>
        <v>0</v>
      </c>
      <c r="L27" s="5">
        <f t="shared" si="7"/>
        <v>0</v>
      </c>
      <c r="M27" s="5">
        <f t="shared" si="7"/>
        <v>0</v>
      </c>
      <c r="N27" s="5">
        <f t="shared" si="7"/>
        <v>0</v>
      </c>
      <c r="O27" s="5">
        <f t="shared" ref="O27:R27" si="8">SUM(O25:O26)</f>
        <v>0</v>
      </c>
      <c r="P27" s="5">
        <f t="shared" si="8"/>
        <v>0</v>
      </c>
      <c r="Q27" s="5">
        <f t="shared" si="8"/>
        <v>0</v>
      </c>
      <c r="R27" s="5">
        <f t="shared" si="8"/>
        <v>0</v>
      </c>
      <c r="S27" s="5">
        <f t="shared" si="2"/>
        <v>0</v>
      </c>
    </row>
    <row r="28" spans="1:19" x14ac:dyDescent="0.3">
      <c r="A28" s="13"/>
      <c r="B28" s="72" t="s">
        <v>34</v>
      </c>
      <c r="C28" s="73" t="s">
        <v>35</v>
      </c>
      <c r="D28" s="5" t="s">
        <v>23</v>
      </c>
      <c r="E28" s="5">
        <f>SUM(E19,E22,E25)</f>
        <v>0</v>
      </c>
      <c r="F28" s="5">
        <f t="shared" ref="F28:N29" si="9">SUM(F19,F22,F25)</f>
        <v>0</v>
      </c>
      <c r="G28" s="5">
        <f t="shared" si="9"/>
        <v>0</v>
      </c>
      <c r="H28" s="5">
        <f t="shared" si="9"/>
        <v>0</v>
      </c>
      <c r="I28" s="5">
        <f t="shared" si="9"/>
        <v>0</v>
      </c>
      <c r="J28" s="5">
        <f t="shared" si="9"/>
        <v>0</v>
      </c>
      <c r="K28" s="5">
        <f t="shared" si="9"/>
        <v>0</v>
      </c>
      <c r="L28" s="5">
        <f t="shared" si="9"/>
        <v>0</v>
      </c>
      <c r="M28" s="5">
        <f t="shared" si="9"/>
        <v>0</v>
      </c>
      <c r="N28" s="5">
        <f t="shared" si="9"/>
        <v>0</v>
      </c>
      <c r="O28" s="5">
        <f t="shared" ref="O28:R28" si="10">SUM(O19,O22,O25)</f>
        <v>0</v>
      </c>
      <c r="P28" s="5">
        <f t="shared" si="10"/>
        <v>0</v>
      </c>
      <c r="Q28" s="5">
        <f t="shared" si="10"/>
        <v>0</v>
      </c>
      <c r="R28" s="5">
        <f t="shared" si="10"/>
        <v>0</v>
      </c>
      <c r="S28" s="5">
        <f t="shared" si="2"/>
        <v>0</v>
      </c>
    </row>
    <row r="29" spans="1:19" x14ac:dyDescent="0.3">
      <c r="A29" s="13"/>
      <c r="B29" s="67"/>
      <c r="C29" s="70"/>
      <c r="D29" s="5" t="s">
        <v>24</v>
      </c>
      <c r="E29" s="5">
        <f>SUM(E20,E23,E26)</f>
        <v>0</v>
      </c>
      <c r="F29" s="5">
        <f t="shared" si="9"/>
        <v>0</v>
      </c>
      <c r="G29" s="5">
        <f t="shared" si="9"/>
        <v>0</v>
      </c>
      <c r="H29" s="5">
        <f t="shared" si="9"/>
        <v>0</v>
      </c>
      <c r="I29" s="5">
        <f t="shared" si="9"/>
        <v>0</v>
      </c>
      <c r="J29" s="5">
        <f t="shared" si="9"/>
        <v>0</v>
      </c>
      <c r="K29" s="5">
        <f t="shared" si="9"/>
        <v>0</v>
      </c>
      <c r="L29" s="5">
        <f t="shared" si="9"/>
        <v>0</v>
      </c>
      <c r="M29" s="5">
        <f t="shared" si="9"/>
        <v>0</v>
      </c>
      <c r="N29" s="5">
        <f t="shared" si="9"/>
        <v>0</v>
      </c>
      <c r="O29" s="5">
        <f t="shared" ref="O29:R29" si="11">SUM(O20,O23,O26)</f>
        <v>0</v>
      </c>
      <c r="P29" s="5">
        <f t="shared" si="11"/>
        <v>0</v>
      </c>
      <c r="Q29" s="5">
        <f t="shared" si="11"/>
        <v>0</v>
      </c>
      <c r="R29" s="5">
        <f t="shared" si="11"/>
        <v>0</v>
      </c>
      <c r="S29" s="5">
        <f t="shared" si="2"/>
        <v>0</v>
      </c>
    </row>
    <row r="30" spans="1:19" x14ac:dyDescent="0.3">
      <c r="A30" s="13"/>
      <c r="B30" s="68"/>
      <c r="C30" s="71"/>
      <c r="D30" s="5" t="s">
        <v>25</v>
      </c>
      <c r="E30" s="5">
        <f t="shared" ref="E30" si="12">SUM(E28:E29)</f>
        <v>0</v>
      </c>
      <c r="F30" s="5">
        <f t="shared" ref="F30:N30" si="13">SUM(F28:F29)</f>
        <v>0</v>
      </c>
      <c r="G30" s="5">
        <f t="shared" si="13"/>
        <v>0</v>
      </c>
      <c r="H30" s="5">
        <f t="shared" si="13"/>
        <v>0</v>
      </c>
      <c r="I30" s="5">
        <f t="shared" si="13"/>
        <v>0</v>
      </c>
      <c r="J30" s="5">
        <f t="shared" si="13"/>
        <v>0</v>
      </c>
      <c r="K30" s="5">
        <f t="shared" si="13"/>
        <v>0</v>
      </c>
      <c r="L30" s="5">
        <f t="shared" si="13"/>
        <v>0</v>
      </c>
      <c r="M30" s="5">
        <f t="shared" si="13"/>
        <v>0</v>
      </c>
      <c r="N30" s="5">
        <f t="shared" si="13"/>
        <v>0</v>
      </c>
      <c r="O30" s="5">
        <f t="shared" ref="O30:R30" si="14">SUM(O28:O29)</f>
        <v>0</v>
      </c>
      <c r="P30" s="5">
        <f t="shared" si="14"/>
        <v>0</v>
      </c>
      <c r="Q30" s="5">
        <f t="shared" si="14"/>
        <v>0</v>
      </c>
      <c r="R30" s="5">
        <f t="shared" si="14"/>
        <v>0</v>
      </c>
      <c r="S30" s="5">
        <f t="shared" si="2"/>
        <v>0</v>
      </c>
    </row>
    <row r="31" spans="1:19" x14ac:dyDescent="0.3">
      <c r="A31" s="62"/>
      <c r="B31" s="63"/>
      <c r="C31" s="63"/>
      <c r="D31" s="64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28"/>
    </row>
    <row r="32" spans="1:19" x14ac:dyDescent="0.3">
      <c r="A32" s="14" t="s">
        <v>36</v>
      </c>
      <c r="B32" s="65" t="s">
        <v>37</v>
      </c>
      <c r="C32" s="63"/>
      <c r="D32" s="64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28"/>
    </row>
    <row r="33" spans="1:19" x14ac:dyDescent="0.3">
      <c r="A33" s="6">
        <v>1</v>
      </c>
      <c r="B33" s="76" t="s">
        <v>38</v>
      </c>
      <c r="C33" s="63"/>
      <c r="D33" s="64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5">
        <f>SUM(E33:R33)</f>
        <v>0</v>
      </c>
    </row>
    <row r="34" spans="1:19" x14ac:dyDescent="0.3">
      <c r="A34" s="6">
        <v>2</v>
      </c>
      <c r="B34" s="76" t="s">
        <v>39</v>
      </c>
      <c r="C34" s="63"/>
      <c r="D34" s="6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>
        <f>SUM(E34:R34)</f>
        <v>0</v>
      </c>
    </row>
    <row r="35" spans="1:19" x14ac:dyDescent="0.3">
      <c r="A35" s="6">
        <v>3</v>
      </c>
      <c r="B35" s="76" t="s">
        <v>40</v>
      </c>
      <c r="C35" s="63"/>
      <c r="D35" s="64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5">
        <f>SUM(E35:R35)</f>
        <v>0</v>
      </c>
    </row>
    <row r="36" spans="1:19" x14ac:dyDescent="0.3">
      <c r="A36" s="6">
        <v>4</v>
      </c>
      <c r="B36" s="76" t="s">
        <v>41</v>
      </c>
      <c r="C36" s="63"/>
      <c r="D36" s="64"/>
      <c r="E36" s="5">
        <f t="shared" ref="E36:N36" si="15">E33-(E34+E35)</f>
        <v>0</v>
      </c>
      <c r="F36" s="5">
        <f t="shared" si="15"/>
        <v>0</v>
      </c>
      <c r="G36" s="5">
        <f t="shared" si="15"/>
        <v>0</v>
      </c>
      <c r="H36" s="5">
        <f t="shared" si="15"/>
        <v>0</v>
      </c>
      <c r="I36" s="5">
        <f t="shared" si="15"/>
        <v>0</v>
      </c>
      <c r="J36" s="5">
        <f t="shared" si="15"/>
        <v>0</v>
      </c>
      <c r="K36" s="5">
        <f t="shared" si="15"/>
        <v>0</v>
      </c>
      <c r="L36" s="5">
        <f t="shared" si="15"/>
        <v>0</v>
      </c>
      <c r="M36" s="5">
        <f t="shared" si="15"/>
        <v>0</v>
      </c>
      <c r="N36" s="5">
        <f t="shared" si="15"/>
        <v>0</v>
      </c>
      <c r="O36" s="5">
        <f t="shared" ref="O36:R36" si="16">O33-(O34+O35)</f>
        <v>0</v>
      </c>
      <c r="P36" s="5">
        <f t="shared" si="16"/>
        <v>0</v>
      </c>
      <c r="Q36" s="5">
        <f t="shared" si="16"/>
        <v>0</v>
      </c>
      <c r="R36" s="5">
        <f t="shared" si="16"/>
        <v>0</v>
      </c>
      <c r="S36" s="5">
        <f>SUM(E36:R36)</f>
        <v>0</v>
      </c>
    </row>
    <row r="37" spans="1:19" x14ac:dyDescent="0.3">
      <c r="A37" s="62"/>
      <c r="B37" s="63"/>
      <c r="C37" s="63"/>
      <c r="D37" s="63"/>
      <c r="E37" s="62"/>
      <c r="F37" s="103"/>
      <c r="G37" s="103"/>
      <c r="H37" s="103"/>
      <c r="I37" s="104"/>
      <c r="J37" s="6"/>
      <c r="K37" s="6"/>
      <c r="L37" s="6"/>
      <c r="M37" s="6"/>
      <c r="N37" s="10"/>
      <c r="O37" s="26"/>
      <c r="P37" s="26"/>
      <c r="Q37" s="26"/>
      <c r="R37" s="26"/>
      <c r="S37" s="28"/>
    </row>
    <row r="38" spans="1:19" x14ac:dyDescent="0.3">
      <c r="A38" s="16" t="s">
        <v>42</v>
      </c>
      <c r="B38" s="65" t="s">
        <v>43</v>
      </c>
      <c r="C38" s="63"/>
      <c r="D38" s="64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28"/>
    </row>
    <row r="39" spans="1:19" x14ac:dyDescent="0.3">
      <c r="A39" s="11"/>
      <c r="B39" s="80" t="s">
        <v>44</v>
      </c>
      <c r="C39" s="78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5">
        <f>SUM(E39:R39)</f>
        <v>0</v>
      </c>
    </row>
    <row r="40" spans="1:19" x14ac:dyDescent="0.3">
      <c r="A40" s="12"/>
      <c r="B40" s="81"/>
      <c r="C40" s="67"/>
      <c r="D40" s="6" t="s">
        <v>24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5">
        <f>SUM(E40:R40)</f>
        <v>0</v>
      </c>
    </row>
    <row r="41" spans="1:19" x14ac:dyDescent="0.3">
      <c r="A41" s="14"/>
      <c r="B41" s="82"/>
      <c r="C41" s="68"/>
      <c r="D41" s="5" t="s">
        <v>25</v>
      </c>
      <c r="E41" s="5">
        <f t="shared" ref="E41:N41" si="17">SUM(E39:E40)</f>
        <v>0</v>
      </c>
      <c r="F41" s="5">
        <f t="shared" si="17"/>
        <v>0</v>
      </c>
      <c r="G41" s="5">
        <f t="shared" si="17"/>
        <v>0</v>
      </c>
      <c r="H41" s="5">
        <f t="shared" si="17"/>
        <v>0</v>
      </c>
      <c r="I41" s="5">
        <f t="shared" si="17"/>
        <v>0</v>
      </c>
      <c r="J41" s="5">
        <f t="shared" si="17"/>
        <v>0</v>
      </c>
      <c r="K41" s="5">
        <f t="shared" si="17"/>
        <v>0</v>
      </c>
      <c r="L41" s="5">
        <f t="shared" si="17"/>
        <v>0</v>
      </c>
      <c r="M41" s="5">
        <f t="shared" si="17"/>
        <v>0</v>
      </c>
      <c r="N41" s="5">
        <f t="shared" si="17"/>
        <v>0</v>
      </c>
      <c r="O41" s="5">
        <f t="shared" ref="O41:R41" si="18">SUM(O39:O40)</f>
        <v>0</v>
      </c>
      <c r="P41" s="5">
        <f t="shared" si="18"/>
        <v>0</v>
      </c>
      <c r="Q41" s="5">
        <f t="shared" si="18"/>
        <v>0</v>
      </c>
      <c r="R41" s="5">
        <f t="shared" si="18"/>
        <v>0</v>
      </c>
      <c r="S41" s="5">
        <f>SUM(E41:R41)</f>
        <v>0</v>
      </c>
    </row>
    <row r="42" spans="1:19" x14ac:dyDescent="0.3">
      <c r="A42" s="83"/>
      <c r="B42" s="82"/>
      <c r="C42" s="82"/>
      <c r="D42" s="68"/>
      <c r="E42" s="62"/>
      <c r="F42" s="63"/>
      <c r="G42" s="63"/>
      <c r="H42" s="63"/>
      <c r="I42" s="64"/>
      <c r="J42" s="6"/>
      <c r="K42" s="6"/>
      <c r="L42" s="6"/>
      <c r="M42" s="6"/>
      <c r="N42" s="10"/>
      <c r="O42" s="6"/>
      <c r="P42" s="10"/>
      <c r="Q42" s="6"/>
      <c r="R42" s="10"/>
      <c r="S42" s="5"/>
    </row>
    <row r="43" spans="1:19" ht="13.15" customHeight="1" x14ac:dyDescent="0.3">
      <c r="A43" s="16" t="s">
        <v>45</v>
      </c>
      <c r="B43" s="65" t="s">
        <v>46</v>
      </c>
      <c r="C43" s="63"/>
      <c r="D43" s="6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</row>
    <row r="44" spans="1:19" ht="13.15" customHeight="1" x14ac:dyDescent="0.3">
      <c r="A44" s="80" t="s">
        <v>47</v>
      </c>
      <c r="B44" s="85"/>
      <c r="C44" s="85"/>
      <c r="D44" s="78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5"/>
    </row>
    <row r="45" spans="1:19" x14ac:dyDescent="0.3">
      <c r="A45" s="11" t="s">
        <v>48</v>
      </c>
      <c r="B45" s="17" t="s">
        <v>28</v>
      </c>
      <c r="C45" s="86" t="s">
        <v>49</v>
      </c>
      <c r="D45" s="64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5">
        <f t="shared" ref="S45:S54" si="19">SUM(E45:R45)</f>
        <v>0</v>
      </c>
    </row>
    <row r="46" spans="1:19" x14ac:dyDescent="0.3">
      <c r="A46" s="11" t="s">
        <v>50</v>
      </c>
      <c r="B46" s="50"/>
      <c r="C46" s="24" t="s">
        <v>115</v>
      </c>
      <c r="D46" s="49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5">
        <f t="shared" si="19"/>
        <v>0</v>
      </c>
    </row>
    <row r="47" spans="1:19" x14ac:dyDescent="0.3">
      <c r="A47" s="7"/>
      <c r="B47" s="50"/>
      <c r="C47" s="24" t="s">
        <v>116</v>
      </c>
      <c r="D47" s="49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5">
        <f t="shared" si="19"/>
        <v>0</v>
      </c>
    </row>
    <row r="48" spans="1:19" x14ac:dyDescent="0.3">
      <c r="A48" s="7"/>
      <c r="B48" s="50"/>
      <c r="C48" s="24" t="s">
        <v>117</v>
      </c>
      <c r="D48" s="49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5">
        <f t="shared" si="19"/>
        <v>0</v>
      </c>
    </row>
    <row r="49" spans="1:19" x14ac:dyDescent="0.3">
      <c r="A49" s="7"/>
      <c r="B49" s="50"/>
      <c r="C49" s="24" t="s">
        <v>118</v>
      </c>
      <c r="D49" s="49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5">
        <f t="shared" si="19"/>
        <v>0</v>
      </c>
    </row>
    <row r="50" spans="1:19" x14ac:dyDescent="0.3">
      <c r="A50" s="7"/>
      <c r="B50" s="50"/>
      <c r="C50" s="24" t="s">
        <v>119</v>
      </c>
      <c r="D50" s="49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5">
        <f t="shared" si="19"/>
        <v>0</v>
      </c>
    </row>
    <row r="51" spans="1:19" x14ac:dyDescent="0.3">
      <c r="A51" s="7"/>
      <c r="B51" s="50"/>
      <c r="C51" s="24" t="s">
        <v>120</v>
      </c>
      <c r="D51" s="49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5">
        <f t="shared" si="19"/>
        <v>0</v>
      </c>
    </row>
    <row r="52" spans="1:19" ht="13.15" customHeight="1" x14ac:dyDescent="0.3">
      <c r="A52" s="7"/>
      <c r="B52" s="50"/>
      <c r="C52" s="24" t="s">
        <v>121</v>
      </c>
      <c r="D52" s="49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5">
        <f t="shared" si="19"/>
        <v>0</v>
      </c>
    </row>
    <row r="53" spans="1:19" ht="13.15" customHeight="1" x14ac:dyDescent="0.3">
      <c r="A53" s="7"/>
      <c r="B53" s="50"/>
      <c r="C53" s="24" t="s">
        <v>122</v>
      </c>
      <c r="D53" s="51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5">
        <f t="shared" si="19"/>
        <v>0</v>
      </c>
    </row>
    <row r="54" spans="1:19" ht="13.15" customHeight="1" x14ac:dyDescent="0.3">
      <c r="A54" s="7"/>
      <c r="B54" s="50"/>
      <c r="C54" s="24" t="s">
        <v>123</v>
      </c>
      <c r="D54" s="49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5">
        <f t="shared" si="19"/>
        <v>0</v>
      </c>
    </row>
    <row r="55" spans="1:19" x14ac:dyDescent="0.3">
      <c r="A55" s="6" t="s">
        <v>26</v>
      </c>
      <c r="B55" s="84" t="s">
        <v>51</v>
      </c>
      <c r="C55" s="63"/>
      <c r="D55" s="64"/>
      <c r="E55" s="5">
        <f>SUM(E45:E54)</f>
        <v>0</v>
      </c>
      <c r="F55" s="5">
        <f t="shared" ref="F55:S55" si="20">SUM(F45:F54)</f>
        <v>0</v>
      </c>
      <c r="G55" s="5">
        <f t="shared" si="20"/>
        <v>0</v>
      </c>
      <c r="H55" s="5">
        <f t="shared" si="20"/>
        <v>0</v>
      </c>
      <c r="I55" s="5">
        <f t="shared" si="20"/>
        <v>0</v>
      </c>
      <c r="J55" s="5">
        <f t="shared" si="20"/>
        <v>0</v>
      </c>
      <c r="K55" s="5">
        <f t="shared" si="20"/>
        <v>0</v>
      </c>
      <c r="L55" s="5">
        <f t="shared" si="20"/>
        <v>0</v>
      </c>
      <c r="M55" s="5">
        <f t="shared" si="20"/>
        <v>0</v>
      </c>
      <c r="N55" s="5">
        <f t="shared" si="20"/>
        <v>0</v>
      </c>
      <c r="O55" s="5">
        <f t="shared" si="20"/>
        <v>0</v>
      </c>
      <c r="P55" s="5">
        <f t="shared" si="20"/>
        <v>0</v>
      </c>
      <c r="Q55" s="5">
        <f t="shared" si="20"/>
        <v>0</v>
      </c>
      <c r="R55" s="5">
        <f t="shared" si="20"/>
        <v>0</v>
      </c>
      <c r="S55" s="5">
        <f t="shared" si="20"/>
        <v>0</v>
      </c>
    </row>
    <row r="56" spans="1:19" x14ac:dyDescent="0.3">
      <c r="A56" s="83"/>
      <c r="B56" s="82"/>
      <c r="C56" s="82"/>
      <c r="D56" s="82"/>
      <c r="E56" s="82"/>
      <c r="S56" s="5"/>
    </row>
    <row r="57" spans="1:19" x14ac:dyDescent="0.3">
      <c r="A57" s="11" t="s">
        <v>48</v>
      </c>
      <c r="B57" s="17" t="s">
        <v>30</v>
      </c>
      <c r="C57" s="86" t="s">
        <v>52</v>
      </c>
      <c r="D57" s="64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5">
        <f t="shared" ref="S57:S66" si="21">SUM(E57:R57)</f>
        <v>0</v>
      </c>
    </row>
    <row r="58" spans="1:19" x14ac:dyDescent="0.3">
      <c r="A58" s="11" t="s">
        <v>50</v>
      </c>
      <c r="B58" s="50"/>
      <c r="C58" s="24" t="s">
        <v>124</v>
      </c>
      <c r="D58" s="49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5">
        <f t="shared" si="21"/>
        <v>0</v>
      </c>
    </row>
    <row r="59" spans="1:19" x14ac:dyDescent="0.3">
      <c r="A59" s="7"/>
      <c r="B59" s="50"/>
      <c r="C59" s="24" t="s">
        <v>125</v>
      </c>
      <c r="D59" s="49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5">
        <f t="shared" si="21"/>
        <v>0</v>
      </c>
    </row>
    <row r="60" spans="1:19" x14ac:dyDescent="0.3">
      <c r="A60" s="7"/>
      <c r="B60" s="50"/>
      <c r="C60" s="24" t="s">
        <v>126</v>
      </c>
      <c r="D60" s="49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5">
        <f t="shared" si="21"/>
        <v>0</v>
      </c>
    </row>
    <row r="61" spans="1:19" x14ac:dyDescent="0.3">
      <c r="A61" s="7"/>
      <c r="B61" s="50"/>
      <c r="C61" s="24" t="s">
        <v>127</v>
      </c>
      <c r="D61" s="49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5">
        <f t="shared" si="21"/>
        <v>0</v>
      </c>
    </row>
    <row r="62" spans="1:19" x14ac:dyDescent="0.3">
      <c r="A62" s="7"/>
      <c r="B62" s="50"/>
      <c r="C62" s="24" t="s">
        <v>128</v>
      </c>
      <c r="D62" s="49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5">
        <f t="shared" si="21"/>
        <v>0</v>
      </c>
    </row>
    <row r="63" spans="1:19" ht="13.15" customHeight="1" x14ac:dyDescent="0.3">
      <c r="A63" s="7"/>
      <c r="B63" s="50"/>
      <c r="C63" s="24" t="s">
        <v>129</v>
      </c>
      <c r="D63" s="49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5">
        <f t="shared" si="21"/>
        <v>0</v>
      </c>
    </row>
    <row r="64" spans="1:19" x14ac:dyDescent="0.3">
      <c r="A64" s="7"/>
      <c r="B64" s="50"/>
      <c r="C64" s="24" t="s">
        <v>130</v>
      </c>
      <c r="D64" s="49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5">
        <f t="shared" si="21"/>
        <v>0</v>
      </c>
    </row>
    <row r="65" spans="1:19" x14ac:dyDescent="0.3">
      <c r="A65" s="7"/>
      <c r="B65" s="50"/>
      <c r="C65" s="24" t="s">
        <v>131</v>
      </c>
      <c r="D65" s="49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5">
        <f t="shared" si="21"/>
        <v>0</v>
      </c>
    </row>
    <row r="66" spans="1:19" x14ac:dyDescent="0.3">
      <c r="A66" s="7"/>
      <c r="B66" s="50"/>
      <c r="C66" s="24" t="s">
        <v>132</v>
      </c>
      <c r="D66" s="49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5">
        <f t="shared" si="21"/>
        <v>0</v>
      </c>
    </row>
    <row r="67" spans="1:19" x14ac:dyDescent="0.3">
      <c r="A67" s="6" t="s">
        <v>26</v>
      </c>
      <c r="B67" s="84" t="s">
        <v>51</v>
      </c>
      <c r="C67" s="63"/>
      <c r="D67" s="64"/>
      <c r="E67" s="5">
        <f t="shared" ref="E67:S67" si="22">SUM(E57:E66)</f>
        <v>0</v>
      </c>
      <c r="F67" s="5">
        <f t="shared" si="22"/>
        <v>0</v>
      </c>
      <c r="G67" s="5">
        <f t="shared" si="22"/>
        <v>0</v>
      </c>
      <c r="H67" s="5">
        <f t="shared" si="22"/>
        <v>0</v>
      </c>
      <c r="I67" s="5">
        <f t="shared" si="22"/>
        <v>0</v>
      </c>
      <c r="J67" s="5">
        <f t="shared" si="22"/>
        <v>0</v>
      </c>
      <c r="K67" s="5">
        <f t="shared" si="22"/>
        <v>0</v>
      </c>
      <c r="L67" s="5">
        <f t="shared" si="22"/>
        <v>0</v>
      </c>
      <c r="M67" s="5">
        <f t="shared" si="22"/>
        <v>0</v>
      </c>
      <c r="N67" s="5">
        <f t="shared" si="22"/>
        <v>0</v>
      </c>
      <c r="O67" s="5">
        <f t="shared" si="22"/>
        <v>0</v>
      </c>
      <c r="P67" s="5">
        <f t="shared" si="22"/>
        <v>0</v>
      </c>
      <c r="Q67" s="5">
        <f t="shared" si="22"/>
        <v>0</v>
      </c>
      <c r="R67" s="5">
        <f t="shared" si="22"/>
        <v>0</v>
      </c>
      <c r="S67" s="5">
        <f t="shared" si="22"/>
        <v>0</v>
      </c>
    </row>
    <row r="68" spans="1:19" x14ac:dyDescent="0.3">
      <c r="A68" s="83"/>
      <c r="B68" s="82"/>
      <c r="C68" s="82"/>
      <c r="D68" s="82"/>
      <c r="E68" s="82"/>
    </row>
    <row r="69" spans="1:19" x14ac:dyDescent="0.3">
      <c r="A69" s="11" t="s">
        <v>48</v>
      </c>
      <c r="B69" s="17" t="s">
        <v>32</v>
      </c>
      <c r="C69" s="86" t="s">
        <v>53</v>
      </c>
      <c r="D69" s="64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5">
        <f t="shared" ref="S69:S78" si="23">SUM(E69:R69)</f>
        <v>0</v>
      </c>
    </row>
    <row r="70" spans="1:19" x14ac:dyDescent="0.3">
      <c r="A70" s="11" t="s">
        <v>50</v>
      </c>
      <c r="B70" s="50"/>
      <c r="C70" s="24" t="s">
        <v>133</v>
      </c>
      <c r="D70" s="49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5">
        <f t="shared" si="23"/>
        <v>0</v>
      </c>
    </row>
    <row r="71" spans="1:19" x14ac:dyDescent="0.3">
      <c r="A71" s="7"/>
      <c r="B71" s="50"/>
      <c r="C71" s="24" t="s">
        <v>134</v>
      </c>
      <c r="D71" s="49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5">
        <f t="shared" si="23"/>
        <v>0</v>
      </c>
    </row>
    <row r="72" spans="1:19" x14ac:dyDescent="0.3">
      <c r="A72" s="7"/>
      <c r="B72" s="50"/>
      <c r="C72" s="24" t="s">
        <v>135</v>
      </c>
      <c r="D72" s="49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5">
        <f t="shared" si="23"/>
        <v>0</v>
      </c>
    </row>
    <row r="73" spans="1:19" x14ac:dyDescent="0.3">
      <c r="A73" s="7"/>
      <c r="B73" s="50"/>
      <c r="C73" s="24" t="s">
        <v>136</v>
      </c>
      <c r="D73" s="49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5">
        <f t="shared" si="23"/>
        <v>0</v>
      </c>
    </row>
    <row r="74" spans="1:19" ht="13.15" customHeight="1" x14ac:dyDescent="0.3">
      <c r="A74" s="7"/>
      <c r="B74" s="50"/>
      <c r="C74" s="24" t="s">
        <v>137</v>
      </c>
      <c r="D74" s="49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5">
        <f t="shared" si="23"/>
        <v>0</v>
      </c>
    </row>
    <row r="75" spans="1:19" x14ac:dyDescent="0.3">
      <c r="A75" s="7"/>
      <c r="B75" s="50"/>
      <c r="C75" s="24" t="s">
        <v>138</v>
      </c>
      <c r="D75" s="49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5">
        <f t="shared" si="23"/>
        <v>0</v>
      </c>
    </row>
    <row r="76" spans="1:19" x14ac:dyDescent="0.3">
      <c r="A76" s="7"/>
      <c r="B76" s="50"/>
      <c r="C76" s="24" t="s">
        <v>139</v>
      </c>
      <c r="D76" s="49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5">
        <f t="shared" si="23"/>
        <v>0</v>
      </c>
    </row>
    <row r="77" spans="1:19" x14ac:dyDescent="0.3">
      <c r="A77" s="7"/>
      <c r="B77" s="50"/>
      <c r="C77" s="24" t="s">
        <v>140</v>
      </c>
      <c r="D77" s="49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5">
        <f t="shared" si="23"/>
        <v>0</v>
      </c>
    </row>
    <row r="78" spans="1:19" x14ac:dyDescent="0.3">
      <c r="A78" s="7"/>
      <c r="B78" s="50"/>
      <c r="C78" s="24" t="s">
        <v>141</v>
      </c>
      <c r="D78" s="49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5">
        <f t="shared" si="23"/>
        <v>0</v>
      </c>
    </row>
    <row r="79" spans="1:19" x14ac:dyDescent="0.3">
      <c r="A79" s="6" t="s">
        <v>26</v>
      </c>
      <c r="B79" s="84" t="s">
        <v>51</v>
      </c>
      <c r="C79" s="63"/>
      <c r="D79" s="64"/>
      <c r="E79" s="5">
        <f t="shared" ref="E79:S79" si="24">SUM(E69:E78)</f>
        <v>0</v>
      </c>
      <c r="F79" s="5">
        <f t="shared" si="24"/>
        <v>0</v>
      </c>
      <c r="G79" s="5">
        <f t="shared" si="24"/>
        <v>0</v>
      </c>
      <c r="H79" s="5">
        <f t="shared" si="24"/>
        <v>0</v>
      </c>
      <c r="I79" s="5">
        <f t="shared" si="24"/>
        <v>0</v>
      </c>
      <c r="J79" s="5">
        <f t="shared" si="24"/>
        <v>0</v>
      </c>
      <c r="K79" s="5">
        <f t="shared" si="24"/>
        <v>0</v>
      </c>
      <c r="L79" s="5">
        <f t="shared" si="24"/>
        <v>0</v>
      </c>
      <c r="M79" s="5">
        <f t="shared" si="24"/>
        <v>0</v>
      </c>
      <c r="N79" s="5">
        <f t="shared" si="24"/>
        <v>0</v>
      </c>
      <c r="O79" s="5">
        <f t="shared" si="24"/>
        <v>0</v>
      </c>
      <c r="P79" s="5">
        <f t="shared" si="24"/>
        <v>0</v>
      </c>
      <c r="Q79" s="5">
        <f t="shared" si="24"/>
        <v>0</v>
      </c>
      <c r="R79" s="5">
        <f t="shared" si="24"/>
        <v>0</v>
      </c>
      <c r="S79" s="5">
        <f t="shared" si="24"/>
        <v>0</v>
      </c>
    </row>
    <row r="80" spans="1:19" x14ac:dyDescent="0.3">
      <c r="A80" s="83"/>
      <c r="B80" s="82"/>
      <c r="C80" s="82"/>
      <c r="D80" s="82"/>
      <c r="E80" s="82"/>
    </row>
    <row r="81" spans="1:19" x14ac:dyDescent="0.3">
      <c r="A81" s="11" t="s">
        <v>48</v>
      </c>
      <c r="B81" s="17" t="s">
        <v>34</v>
      </c>
      <c r="C81" s="86" t="s">
        <v>54</v>
      </c>
      <c r="D81" s="64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5">
        <f t="shared" ref="S81:S90" si="25">SUM(E81:R81)</f>
        <v>0</v>
      </c>
    </row>
    <row r="82" spans="1:19" x14ac:dyDescent="0.3">
      <c r="A82" s="11" t="s">
        <v>50</v>
      </c>
      <c r="B82" s="50"/>
      <c r="C82" s="24" t="s">
        <v>142</v>
      </c>
      <c r="D82" s="49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5">
        <f t="shared" si="25"/>
        <v>0</v>
      </c>
    </row>
    <row r="83" spans="1:19" x14ac:dyDescent="0.3">
      <c r="A83" s="7"/>
      <c r="B83" s="50"/>
      <c r="C83" s="24" t="s">
        <v>143</v>
      </c>
      <c r="D83" s="49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5">
        <f t="shared" si="25"/>
        <v>0</v>
      </c>
    </row>
    <row r="84" spans="1:19" x14ac:dyDescent="0.3">
      <c r="A84" s="7"/>
      <c r="B84" s="50"/>
      <c r="C84" s="24" t="s">
        <v>144</v>
      </c>
      <c r="D84" s="49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5">
        <f t="shared" si="25"/>
        <v>0</v>
      </c>
    </row>
    <row r="85" spans="1:19" ht="13.15" customHeight="1" x14ac:dyDescent="0.3">
      <c r="A85" s="7"/>
      <c r="B85" s="50"/>
      <c r="C85" s="24" t="s">
        <v>145</v>
      </c>
      <c r="D85" s="49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5">
        <f t="shared" si="25"/>
        <v>0</v>
      </c>
    </row>
    <row r="86" spans="1:19" x14ac:dyDescent="0.3">
      <c r="A86" s="7"/>
      <c r="B86" s="50"/>
      <c r="C86" s="24" t="s">
        <v>146</v>
      </c>
      <c r="D86" s="49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5">
        <f t="shared" si="25"/>
        <v>0</v>
      </c>
    </row>
    <row r="87" spans="1:19" x14ac:dyDescent="0.3">
      <c r="A87" s="7"/>
      <c r="B87" s="50"/>
      <c r="C87" s="24" t="s">
        <v>147</v>
      </c>
      <c r="D87" s="49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5">
        <f t="shared" si="25"/>
        <v>0</v>
      </c>
    </row>
    <row r="88" spans="1:19" x14ac:dyDescent="0.3">
      <c r="A88" s="7"/>
      <c r="B88" s="50"/>
      <c r="C88" s="24" t="s">
        <v>148</v>
      </c>
      <c r="D88" s="49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5">
        <f t="shared" si="25"/>
        <v>0</v>
      </c>
    </row>
    <row r="89" spans="1:19" x14ac:dyDescent="0.3">
      <c r="A89" s="7"/>
      <c r="B89" s="50"/>
      <c r="C89" s="24" t="s">
        <v>149</v>
      </c>
      <c r="D89" s="49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5">
        <f t="shared" si="25"/>
        <v>0</v>
      </c>
    </row>
    <row r="90" spans="1:19" x14ac:dyDescent="0.3">
      <c r="A90" s="7"/>
      <c r="B90" s="50"/>
      <c r="C90" s="24" t="s">
        <v>150</v>
      </c>
      <c r="D90" s="49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5">
        <f t="shared" si="25"/>
        <v>0</v>
      </c>
    </row>
    <row r="91" spans="1:19" x14ac:dyDescent="0.3">
      <c r="A91" s="6" t="s">
        <v>26</v>
      </c>
      <c r="B91" s="84" t="s">
        <v>51</v>
      </c>
      <c r="C91" s="63"/>
      <c r="D91" s="64"/>
      <c r="E91" s="5">
        <f t="shared" ref="E91:S91" si="26">SUM(E81:E90)</f>
        <v>0</v>
      </c>
      <c r="F91" s="5">
        <f t="shared" si="26"/>
        <v>0</v>
      </c>
      <c r="G91" s="5">
        <f t="shared" si="26"/>
        <v>0</v>
      </c>
      <c r="H91" s="5">
        <f t="shared" si="26"/>
        <v>0</v>
      </c>
      <c r="I91" s="5">
        <f t="shared" si="26"/>
        <v>0</v>
      </c>
      <c r="J91" s="5">
        <f t="shared" si="26"/>
        <v>0</v>
      </c>
      <c r="K91" s="5">
        <f t="shared" si="26"/>
        <v>0</v>
      </c>
      <c r="L91" s="5">
        <f t="shared" si="26"/>
        <v>0</v>
      </c>
      <c r="M91" s="5">
        <f t="shared" si="26"/>
        <v>0</v>
      </c>
      <c r="N91" s="5">
        <f t="shared" si="26"/>
        <v>0</v>
      </c>
      <c r="O91" s="5">
        <f t="shared" si="26"/>
        <v>0</v>
      </c>
      <c r="P91" s="5">
        <f t="shared" si="26"/>
        <v>0</v>
      </c>
      <c r="Q91" s="5">
        <f t="shared" si="26"/>
        <v>0</v>
      </c>
      <c r="R91" s="5">
        <f t="shared" si="26"/>
        <v>0</v>
      </c>
      <c r="S91" s="5">
        <f t="shared" si="26"/>
        <v>0</v>
      </c>
    </row>
    <row r="92" spans="1:19" x14ac:dyDescent="0.3">
      <c r="A92" s="83"/>
      <c r="B92" s="82"/>
      <c r="C92" s="82"/>
      <c r="D92" s="82"/>
      <c r="E92" s="82"/>
    </row>
    <row r="93" spans="1:19" x14ac:dyDescent="0.3">
      <c r="A93" s="11" t="s">
        <v>48</v>
      </c>
      <c r="B93" s="17" t="s">
        <v>55</v>
      </c>
      <c r="C93" s="86" t="s">
        <v>56</v>
      </c>
      <c r="D93" s="64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5">
        <f t="shared" ref="S93:S102" si="27">SUM(E93:R93)</f>
        <v>0</v>
      </c>
    </row>
    <row r="94" spans="1:19" x14ac:dyDescent="0.3">
      <c r="A94" s="11" t="s">
        <v>50</v>
      </c>
      <c r="B94" s="50"/>
      <c r="C94" s="24" t="s">
        <v>151</v>
      </c>
      <c r="D94" s="51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5">
        <f t="shared" si="27"/>
        <v>0</v>
      </c>
    </row>
    <row r="95" spans="1:19" x14ac:dyDescent="0.3">
      <c r="A95" s="7"/>
      <c r="B95" s="50"/>
      <c r="C95" s="24" t="s">
        <v>152</v>
      </c>
      <c r="D95" s="51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5">
        <f t="shared" si="27"/>
        <v>0</v>
      </c>
    </row>
    <row r="96" spans="1:19" ht="13.15" customHeight="1" x14ac:dyDescent="0.3">
      <c r="A96" s="7"/>
      <c r="B96" s="50"/>
      <c r="C96" s="24" t="s">
        <v>153</v>
      </c>
      <c r="D96" s="51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5">
        <f t="shared" si="27"/>
        <v>0</v>
      </c>
    </row>
    <row r="97" spans="1:19" x14ac:dyDescent="0.3">
      <c r="A97" s="7"/>
      <c r="B97" s="50"/>
      <c r="C97" s="24" t="s">
        <v>154</v>
      </c>
      <c r="D97" s="51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5">
        <f t="shared" si="27"/>
        <v>0</v>
      </c>
    </row>
    <row r="98" spans="1:19" x14ac:dyDescent="0.3">
      <c r="A98" s="7"/>
      <c r="B98" s="50"/>
      <c r="C98" s="24" t="s">
        <v>155</v>
      </c>
      <c r="D98" s="49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5">
        <f t="shared" si="27"/>
        <v>0</v>
      </c>
    </row>
    <row r="99" spans="1:19" x14ac:dyDescent="0.3">
      <c r="A99" s="7"/>
      <c r="B99" s="50"/>
      <c r="C99" s="24" t="s">
        <v>156</v>
      </c>
      <c r="D99" s="49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5">
        <f t="shared" si="27"/>
        <v>0</v>
      </c>
    </row>
    <row r="100" spans="1:19" x14ac:dyDescent="0.3">
      <c r="A100" s="7"/>
      <c r="B100" s="50"/>
      <c r="C100" s="24" t="s">
        <v>157</v>
      </c>
      <c r="D100" s="51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5">
        <f t="shared" si="27"/>
        <v>0</v>
      </c>
    </row>
    <row r="101" spans="1:19" x14ac:dyDescent="0.3">
      <c r="A101" s="7"/>
      <c r="B101" s="50"/>
      <c r="C101" s="24" t="s">
        <v>158</v>
      </c>
      <c r="D101" s="51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5">
        <f t="shared" si="27"/>
        <v>0</v>
      </c>
    </row>
    <row r="102" spans="1:19" x14ac:dyDescent="0.3">
      <c r="A102" s="7"/>
      <c r="B102" s="50"/>
      <c r="C102" s="24" t="s">
        <v>159</v>
      </c>
      <c r="D102" s="51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5">
        <f t="shared" si="27"/>
        <v>0</v>
      </c>
    </row>
    <row r="103" spans="1:19" x14ac:dyDescent="0.3">
      <c r="A103" s="6" t="s">
        <v>26</v>
      </c>
      <c r="B103" s="84" t="s">
        <v>51</v>
      </c>
      <c r="C103" s="63"/>
      <c r="D103" s="64"/>
      <c r="E103" s="5">
        <f t="shared" ref="E103:S103" si="28">SUM(E93:E102)</f>
        <v>0</v>
      </c>
      <c r="F103" s="5">
        <f t="shared" si="28"/>
        <v>0</v>
      </c>
      <c r="G103" s="5">
        <f t="shared" si="28"/>
        <v>0</v>
      </c>
      <c r="H103" s="5">
        <f t="shared" si="28"/>
        <v>0</v>
      </c>
      <c r="I103" s="5">
        <f t="shared" si="28"/>
        <v>0</v>
      </c>
      <c r="J103" s="5">
        <f t="shared" si="28"/>
        <v>0</v>
      </c>
      <c r="K103" s="5">
        <f t="shared" si="28"/>
        <v>0</v>
      </c>
      <c r="L103" s="5">
        <f t="shared" si="28"/>
        <v>0</v>
      </c>
      <c r="M103" s="5">
        <f t="shared" si="28"/>
        <v>0</v>
      </c>
      <c r="N103" s="5">
        <f t="shared" si="28"/>
        <v>0</v>
      </c>
      <c r="O103" s="5">
        <f t="shared" si="28"/>
        <v>0</v>
      </c>
      <c r="P103" s="5">
        <f t="shared" si="28"/>
        <v>0</v>
      </c>
      <c r="Q103" s="5">
        <f t="shared" si="28"/>
        <v>0</v>
      </c>
      <c r="R103" s="5">
        <f t="shared" si="28"/>
        <v>0</v>
      </c>
      <c r="S103" s="5">
        <f t="shared" si="28"/>
        <v>0</v>
      </c>
    </row>
    <row r="104" spans="1:19" x14ac:dyDescent="0.3">
      <c r="A104" s="83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</row>
    <row r="105" spans="1:19" x14ac:dyDescent="0.3">
      <c r="A105" s="11" t="s">
        <v>48</v>
      </c>
      <c r="B105" s="17" t="s">
        <v>57</v>
      </c>
      <c r="C105" s="86" t="s">
        <v>58</v>
      </c>
      <c r="D105" s="64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5">
        <f t="shared" ref="S105:S114" si="29">SUM(E105:R105)</f>
        <v>0</v>
      </c>
    </row>
    <row r="106" spans="1:19" x14ac:dyDescent="0.3">
      <c r="A106" s="11" t="s">
        <v>50</v>
      </c>
      <c r="B106" s="50"/>
      <c r="C106" s="24" t="s">
        <v>160</v>
      </c>
      <c r="D106" s="49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5">
        <f t="shared" si="29"/>
        <v>0</v>
      </c>
    </row>
    <row r="107" spans="1:19" ht="13.15" customHeight="1" x14ac:dyDescent="0.3">
      <c r="A107" s="7"/>
      <c r="B107" s="50"/>
      <c r="C107" s="24" t="s">
        <v>161</v>
      </c>
      <c r="D107" s="49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5">
        <f t="shared" si="29"/>
        <v>0</v>
      </c>
    </row>
    <row r="108" spans="1:19" x14ac:dyDescent="0.3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5">
        <f t="shared" si="29"/>
        <v>0</v>
      </c>
    </row>
    <row r="109" spans="1:19" x14ac:dyDescent="0.3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5">
        <f t="shared" si="29"/>
        <v>0</v>
      </c>
    </row>
    <row r="110" spans="1:19" x14ac:dyDescent="0.3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5">
        <f t="shared" si="29"/>
        <v>0</v>
      </c>
    </row>
    <row r="111" spans="1:19" x14ac:dyDescent="0.3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5">
        <f t="shared" si="29"/>
        <v>0</v>
      </c>
    </row>
    <row r="112" spans="1:19" x14ac:dyDescent="0.3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5">
        <f t="shared" si="29"/>
        <v>0</v>
      </c>
    </row>
    <row r="113" spans="1:19" x14ac:dyDescent="0.3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5">
        <f t="shared" si="29"/>
        <v>0</v>
      </c>
    </row>
    <row r="114" spans="1:19" x14ac:dyDescent="0.3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5">
        <f t="shared" si="29"/>
        <v>0</v>
      </c>
    </row>
    <row r="115" spans="1:19" ht="13.15" customHeight="1" x14ac:dyDescent="0.3">
      <c r="A115" s="6" t="s">
        <v>26</v>
      </c>
      <c r="B115" s="84" t="s">
        <v>51</v>
      </c>
      <c r="C115" s="87"/>
      <c r="D115" s="88"/>
      <c r="E115" s="5">
        <f t="shared" ref="E115:S115" si="30">SUM(E105:E114)</f>
        <v>0</v>
      </c>
      <c r="F115" s="5">
        <f t="shared" si="30"/>
        <v>0</v>
      </c>
      <c r="G115" s="5">
        <f t="shared" si="30"/>
        <v>0</v>
      </c>
      <c r="H115" s="5">
        <f t="shared" si="30"/>
        <v>0</v>
      </c>
      <c r="I115" s="5">
        <f t="shared" si="30"/>
        <v>0</v>
      </c>
      <c r="J115" s="5">
        <f t="shared" si="30"/>
        <v>0</v>
      </c>
      <c r="K115" s="5">
        <f t="shared" si="30"/>
        <v>0</v>
      </c>
      <c r="L115" s="5">
        <f t="shared" si="30"/>
        <v>0</v>
      </c>
      <c r="M115" s="5">
        <f t="shared" si="30"/>
        <v>0</v>
      </c>
      <c r="N115" s="5">
        <f t="shared" si="30"/>
        <v>0</v>
      </c>
      <c r="O115" s="5">
        <f t="shared" si="30"/>
        <v>0</v>
      </c>
      <c r="P115" s="5">
        <f t="shared" si="30"/>
        <v>0</v>
      </c>
      <c r="Q115" s="5">
        <f t="shared" si="30"/>
        <v>0</v>
      </c>
      <c r="R115" s="5">
        <f t="shared" si="30"/>
        <v>0</v>
      </c>
      <c r="S115" s="5">
        <f t="shared" si="30"/>
        <v>0</v>
      </c>
    </row>
    <row r="116" spans="1:19" x14ac:dyDescent="0.3">
      <c r="A116" s="62"/>
      <c r="B116" s="89"/>
      <c r="C116" s="89"/>
      <c r="D116" s="89"/>
      <c r="E116" s="90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5"/>
    </row>
    <row r="117" spans="1:19" x14ac:dyDescent="0.3">
      <c r="A117" s="11" t="s">
        <v>48</v>
      </c>
      <c r="B117" s="17" t="s">
        <v>59</v>
      </c>
      <c r="C117" s="86" t="s">
        <v>60</v>
      </c>
      <c r="D117" s="64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5">
        <f t="shared" ref="S117:S126" si="31">SUM(E117:R117)</f>
        <v>0</v>
      </c>
    </row>
    <row r="118" spans="1:19" x14ac:dyDescent="0.3">
      <c r="A118" s="11" t="s">
        <v>50</v>
      </c>
      <c r="B118" s="50"/>
      <c r="C118" s="24" t="s">
        <v>162</v>
      </c>
      <c r="D118" s="49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5">
        <f t="shared" si="31"/>
        <v>0</v>
      </c>
    </row>
    <row r="119" spans="1:19" x14ac:dyDescent="0.3">
      <c r="A119" s="7"/>
      <c r="B119" s="50"/>
      <c r="C119" s="24" t="s">
        <v>163</v>
      </c>
      <c r="D119" s="49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5">
        <f t="shared" si="31"/>
        <v>0</v>
      </c>
    </row>
    <row r="120" spans="1:19" x14ac:dyDescent="0.3">
      <c r="A120" s="7"/>
      <c r="B120" s="50"/>
      <c r="C120" s="24" t="s">
        <v>164</v>
      </c>
      <c r="D120" s="49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5">
        <f t="shared" si="31"/>
        <v>0</v>
      </c>
    </row>
    <row r="121" spans="1:19" x14ac:dyDescent="0.3">
      <c r="A121" s="7"/>
      <c r="B121" s="50"/>
      <c r="C121" s="24" t="s">
        <v>165</v>
      </c>
      <c r="D121" s="49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5">
        <f t="shared" si="31"/>
        <v>0</v>
      </c>
    </row>
    <row r="122" spans="1:19" x14ac:dyDescent="0.3">
      <c r="A122" s="7"/>
      <c r="B122" s="50"/>
      <c r="C122" s="24" t="s">
        <v>166</v>
      </c>
      <c r="D122" s="49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5">
        <f t="shared" si="31"/>
        <v>0</v>
      </c>
    </row>
    <row r="123" spans="1:19" x14ac:dyDescent="0.3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5">
        <f t="shared" si="31"/>
        <v>0</v>
      </c>
    </row>
    <row r="124" spans="1:19" x14ac:dyDescent="0.3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5">
        <f t="shared" si="31"/>
        <v>0</v>
      </c>
    </row>
    <row r="125" spans="1:19" x14ac:dyDescent="0.3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5">
        <f t="shared" si="31"/>
        <v>0</v>
      </c>
    </row>
    <row r="126" spans="1:19" x14ac:dyDescent="0.3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5">
        <f t="shared" si="31"/>
        <v>0</v>
      </c>
    </row>
    <row r="127" spans="1:19" x14ac:dyDescent="0.3">
      <c r="A127" s="6" t="s">
        <v>26</v>
      </c>
      <c r="B127" s="84" t="s">
        <v>51</v>
      </c>
      <c r="C127" s="87"/>
      <c r="D127" s="88"/>
      <c r="E127" s="5">
        <f t="shared" ref="E127:S127" si="32">SUM(E117:E126)</f>
        <v>0</v>
      </c>
      <c r="F127" s="5">
        <f t="shared" si="32"/>
        <v>0</v>
      </c>
      <c r="G127" s="5">
        <f t="shared" si="32"/>
        <v>0</v>
      </c>
      <c r="H127" s="5">
        <f t="shared" si="32"/>
        <v>0</v>
      </c>
      <c r="I127" s="5">
        <f t="shared" si="32"/>
        <v>0</v>
      </c>
      <c r="J127" s="5">
        <f t="shared" si="32"/>
        <v>0</v>
      </c>
      <c r="K127" s="5">
        <f t="shared" si="32"/>
        <v>0</v>
      </c>
      <c r="L127" s="5">
        <f t="shared" si="32"/>
        <v>0</v>
      </c>
      <c r="M127" s="5">
        <f t="shared" si="32"/>
        <v>0</v>
      </c>
      <c r="N127" s="5">
        <f t="shared" si="32"/>
        <v>0</v>
      </c>
      <c r="O127" s="5">
        <f t="shared" si="32"/>
        <v>0</v>
      </c>
      <c r="P127" s="5">
        <f t="shared" si="32"/>
        <v>0</v>
      </c>
      <c r="Q127" s="5">
        <f t="shared" si="32"/>
        <v>0</v>
      </c>
      <c r="R127" s="5">
        <f t="shared" si="32"/>
        <v>0</v>
      </c>
      <c r="S127" s="5">
        <f t="shared" si="32"/>
        <v>0</v>
      </c>
    </row>
    <row r="128" spans="1:19" x14ac:dyDescent="0.3">
      <c r="A128" s="62"/>
      <c r="B128" s="89"/>
      <c r="C128" s="89"/>
      <c r="D128" s="89"/>
      <c r="E128" s="90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</row>
    <row r="129" spans="1:19" x14ac:dyDescent="0.3">
      <c r="A129" s="11" t="s">
        <v>48</v>
      </c>
      <c r="B129" s="17" t="s">
        <v>61</v>
      </c>
      <c r="C129" s="86" t="s">
        <v>62</v>
      </c>
      <c r="D129" s="64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5">
        <f t="shared" ref="S129:S138" si="33">SUM(E129:R129)</f>
        <v>0</v>
      </c>
    </row>
    <row r="130" spans="1:19" ht="13.15" customHeight="1" x14ac:dyDescent="0.3">
      <c r="A130" s="11" t="s">
        <v>50</v>
      </c>
      <c r="B130" s="50"/>
      <c r="C130" s="24" t="s">
        <v>167</v>
      </c>
      <c r="D130" s="49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5">
        <f t="shared" si="33"/>
        <v>0</v>
      </c>
    </row>
    <row r="131" spans="1:19" x14ac:dyDescent="0.3">
      <c r="A131" s="7"/>
      <c r="B131" s="50"/>
      <c r="C131" s="24" t="s">
        <v>168</v>
      </c>
      <c r="D131" s="49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5">
        <f t="shared" si="33"/>
        <v>0</v>
      </c>
    </row>
    <row r="132" spans="1:19" x14ac:dyDescent="0.3">
      <c r="A132" s="7"/>
      <c r="B132" s="50"/>
      <c r="C132" s="24" t="s">
        <v>169</v>
      </c>
      <c r="D132" s="49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5">
        <f t="shared" si="33"/>
        <v>0</v>
      </c>
    </row>
    <row r="133" spans="1:19" x14ac:dyDescent="0.3">
      <c r="A133" s="7"/>
      <c r="B133" s="50"/>
      <c r="C133" s="24" t="s">
        <v>170</v>
      </c>
      <c r="D133" s="49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5">
        <f t="shared" si="33"/>
        <v>0</v>
      </c>
    </row>
    <row r="134" spans="1:19" x14ac:dyDescent="0.3">
      <c r="A134" s="7"/>
      <c r="B134" s="50"/>
      <c r="C134" s="24" t="s">
        <v>171</v>
      </c>
      <c r="D134" s="49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5">
        <f t="shared" si="33"/>
        <v>0</v>
      </c>
    </row>
    <row r="135" spans="1:19" x14ac:dyDescent="0.3">
      <c r="A135" s="7"/>
      <c r="B135" s="50"/>
      <c r="C135" s="24" t="s">
        <v>172</v>
      </c>
      <c r="D135" s="49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5">
        <f t="shared" si="33"/>
        <v>0</v>
      </c>
    </row>
    <row r="136" spans="1:19" x14ac:dyDescent="0.3">
      <c r="A136" s="7"/>
      <c r="B136" s="50"/>
      <c r="C136" s="24" t="s">
        <v>173</v>
      </c>
      <c r="D136" s="49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5">
        <f t="shared" si="33"/>
        <v>0</v>
      </c>
    </row>
    <row r="137" spans="1:19" x14ac:dyDescent="0.3">
      <c r="A137" s="7"/>
      <c r="B137" s="50"/>
      <c r="C137" s="24" t="s">
        <v>174</v>
      </c>
      <c r="D137" s="49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5">
        <f t="shared" si="33"/>
        <v>0</v>
      </c>
    </row>
    <row r="138" spans="1:19" x14ac:dyDescent="0.3">
      <c r="A138" s="7"/>
      <c r="B138" s="50"/>
      <c r="C138" s="24" t="s">
        <v>175</v>
      </c>
      <c r="D138" s="49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5">
        <f t="shared" si="33"/>
        <v>0</v>
      </c>
    </row>
    <row r="139" spans="1:19" x14ac:dyDescent="0.3">
      <c r="A139" s="6" t="s">
        <v>26</v>
      </c>
      <c r="B139" s="84" t="s">
        <v>51</v>
      </c>
      <c r="C139" s="87"/>
      <c r="D139" s="88"/>
      <c r="E139" s="5">
        <f t="shared" ref="E139:S139" si="34">SUM(E129:E138)</f>
        <v>0</v>
      </c>
      <c r="F139" s="5">
        <f t="shared" si="34"/>
        <v>0</v>
      </c>
      <c r="G139" s="5">
        <f t="shared" si="34"/>
        <v>0</v>
      </c>
      <c r="H139" s="5">
        <f t="shared" si="34"/>
        <v>0</v>
      </c>
      <c r="I139" s="5">
        <f t="shared" si="34"/>
        <v>0</v>
      </c>
      <c r="J139" s="5">
        <f t="shared" si="34"/>
        <v>0</v>
      </c>
      <c r="K139" s="5">
        <f t="shared" si="34"/>
        <v>0</v>
      </c>
      <c r="L139" s="5">
        <f t="shared" si="34"/>
        <v>0</v>
      </c>
      <c r="M139" s="5">
        <f t="shared" si="34"/>
        <v>0</v>
      </c>
      <c r="N139" s="5">
        <f t="shared" si="34"/>
        <v>0</v>
      </c>
      <c r="O139" s="5">
        <f t="shared" si="34"/>
        <v>0</v>
      </c>
      <c r="P139" s="5">
        <f t="shared" si="34"/>
        <v>0</v>
      </c>
      <c r="Q139" s="5">
        <f t="shared" si="34"/>
        <v>0</v>
      </c>
      <c r="R139" s="5">
        <f t="shared" si="34"/>
        <v>0</v>
      </c>
      <c r="S139" s="5">
        <f t="shared" si="34"/>
        <v>0</v>
      </c>
    </row>
    <row r="140" spans="1:19" x14ac:dyDescent="0.3">
      <c r="A140" s="62"/>
      <c r="B140" s="89"/>
      <c r="C140" s="89"/>
      <c r="D140" s="89"/>
      <c r="E140" s="90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</row>
    <row r="141" spans="1:19" ht="13.15" customHeight="1" x14ac:dyDescent="0.3">
      <c r="A141" s="11" t="s">
        <v>48</v>
      </c>
      <c r="B141" s="17" t="s">
        <v>63</v>
      </c>
      <c r="C141" s="86" t="s">
        <v>64</v>
      </c>
      <c r="D141" s="64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5">
        <f t="shared" ref="S141:S150" si="35">SUM(E141:R141)</f>
        <v>0</v>
      </c>
    </row>
    <row r="142" spans="1:19" x14ac:dyDescent="0.3">
      <c r="A142" s="11" t="s">
        <v>50</v>
      </c>
      <c r="B142" s="50"/>
      <c r="C142" s="24" t="s">
        <v>176</v>
      </c>
      <c r="D142" s="49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5">
        <f t="shared" si="35"/>
        <v>0</v>
      </c>
    </row>
    <row r="143" spans="1:19" x14ac:dyDescent="0.3">
      <c r="A143" s="7"/>
      <c r="B143" s="50"/>
      <c r="C143" s="24" t="s">
        <v>177</v>
      </c>
      <c r="D143" s="49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5">
        <f t="shared" si="35"/>
        <v>0</v>
      </c>
    </row>
    <row r="144" spans="1:19" x14ac:dyDescent="0.3">
      <c r="A144" s="7"/>
      <c r="B144" s="50"/>
      <c r="C144" s="24" t="s">
        <v>178</v>
      </c>
      <c r="D144" s="49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5">
        <f t="shared" si="35"/>
        <v>0</v>
      </c>
    </row>
    <row r="145" spans="1:19" x14ac:dyDescent="0.3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5">
        <f t="shared" si="35"/>
        <v>0</v>
      </c>
    </row>
    <row r="146" spans="1:19" x14ac:dyDescent="0.3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5">
        <f t="shared" si="35"/>
        <v>0</v>
      </c>
    </row>
    <row r="147" spans="1:19" x14ac:dyDescent="0.3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5">
        <f t="shared" si="35"/>
        <v>0</v>
      </c>
    </row>
    <row r="148" spans="1:19" x14ac:dyDescent="0.3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5">
        <f t="shared" si="35"/>
        <v>0</v>
      </c>
    </row>
    <row r="149" spans="1:19" x14ac:dyDescent="0.3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5">
        <f t="shared" si="35"/>
        <v>0</v>
      </c>
    </row>
    <row r="150" spans="1:19" x14ac:dyDescent="0.3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5">
        <f t="shared" si="35"/>
        <v>0</v>
      </c>
    </row>
    <row r="151" spans="1:19" ht="13.15" customHeight="1" x14ac:dyDescent="0.3">
      <c r="A151" s="6" t="s">
        <v>26</v>
      </c>
      <c r="B151" s="84" t="s">
        <v>51</v>
      </c>
      <c r="C151" s="87"/>
      <c r="D151" s="88"/>
      <c r="E151" s="5">
        <f t="shared" ref="E151:S151" si="36">SUM(E141:E150)</f>
        <v>0</v>
      </c>
      <c r="F151" s="5">
        <f t="shared" si="36"/>
        <v>0</v>
      </c>
      <c r="G151" s="5">
        <f t="shared" si="36"/>
        <v>0</v>
      </c>
      <c r="H151" s="5">
        <f t="shared" si="36"/>
        <v>0</v>
      </c>
      <c r="I151" s="5">
        <f t="shared" si="36"/>
        <v>0</v>
      </c>
      <c r="J151" s="5">
        <f t="shared" si="36"/>
        <v>0</v>
      </c>
      <c r="K151" s="5">
        <f t="shared" si="36"/>
        <v>0</v>
      </c>
      <c r="L151" s="5">
        <f t="shared" si="36"/>
        <v>0</v>
      </c>
      <c r="M151" s="5">
        <f t="shared" si="36"/>
        <v>0</v>
      </c>
      <c r="N151" s="5">
        <f t="shared" si="36"/>
        <v>0</v>
      </c>
      <c r="O151" s="5">
        <f t="shared" si="36"/>
        <v>0</v>
      </c>
      <c r="P151" s="5">
        <f t="shared" si="36"/>
        <v>0</v>
      </c>
      <c r="Q151" s="5">
        <f t="shared" si="36"/>
        <v>0</v>
      </c>
      <c r="R151" s="5">
        <f t="shared" si="36"/>
        <v>0</v>
      </c>
      <c r="S151" s="5">
        <f t="shared" si="36"/>
        <v>0</v>
      </c>
    </row>
    <row r="152" spans="1:19" x14ac:dyDescent="0.3">
      <c r="A152" s="62"/>
      <c r="B152" s="89"/>
      <c r="C152" s="89"/>
      <c r="D152" s="89"/>
      <c r="E152" s="90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5"/>
    </row>
    <row r="153" spans="1:19" x14ac:dyDescent="0.3">
      <c r="A153" s="11" t="s">
        <v>48</v>
      </c>
      <c r="B153" s="44" t="s">
        <v>65</v>
      </c>
      <c r="C153" s="91" t="s">
        <v>66</v>
      </c>
      <c r="D153" s="78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5">
        <f>SUM(E154:R154)</f>
        <v>0</v>
      </c>
    </row>
    <row r="154" spans="1:19" x14ac:dyDescent="0.3">
      <c r="A154" s="52" t="s">
        <v>50</v>
      </c>
      <c r="B154" s="50"/>
      <c r="C154" s="24" t="s">
        <v>179</v>
      </c>
      <c r="D154" s="49"/>
      <c r="E154" s="53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5">
        <f>SUM(E155:R155)</f>
        <v>0</v>
      </c>
    </row>
    <row r="155" spans="1:19" x14ac:dyDescent="0.3">
      <c r="A155" s="7"/>
      <c r="B155" s="50"/>
      <c r="C155" s="24" t="s">
        <v>180</v>
      </c>
      <c r="D155" s="49"/>
      <c r="E155" s="53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5">
        <f>SUM(E156:R156)</f>
        <v>0</v>
      </c>
    </row>
    <row r="156" spans="1:19" x14ac:dyDescent="0.3">
      <c r="A156" s="7"/>
      <c r="B156" s="50"/>
      <c r="C156" s="24" t="s">
        <v>181</v>
      </c>
      <c r="D156" s="49"/>
      <c r="E156" s="53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5">
        <f>SUM(E157:R157)</f>
        <v>0</v>
      </c>
    </row>
    <row r="157" spans="1:19" x14ac:dyDescent="0.3">
      <c r="A157" s="7"/>
      <c r="B157" s="50"/>
      <c r="C157" s="24" t="s">
        <v>182</v>
      </c>
      <c r="D157" s="49"/>
      <c r="E157" s="53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5">
        <f t="shared" ref="S157:S162" si="37">SUM(E163:R163)</f>
        <v>0</v>
      </c>
    </row>
    <row r="158" spans="1:19" x14ac:dyDescent="0.3">
      <c r="A158" s="7"/>
      <c r="B158" s="50"/>
      <c r="C158" s="24" t="s">
        <v>183</v>
      </c>
      <c r="D158" s="49"/>
      <c r="E158" s="53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5">
        <f t="shared" si="37"/>
        <v>0</v>
      </c>
    </row>
    <row r="159" spans="1:19" x14ac:dyDescent="0.3">
      <c r="A159" s="7"/>
      <c r="B159" s="50"/>
      <c r="C159" s="24" t="s">
        <v>184</v>
      </c>
      <c r="D159" s="49"/>
      <c r="E159" s="53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5">
        <f t="shared" si="37"/>
        <v>0</v>
      </c>
    </row>
    <row r="160" spans="1:19" x14ac:dyDescent="0.3">
      <c r="A160" s="7"/>
      <c r="B160" s="50"/>
      <c r="C160" s="24" t="s">
        <v>185</v>
      </c>
      <c r="D160" s="49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5">
        <f t="shared" si="37"/>
        <v>0</v>
      </c>
    </row>
    <row r="161" spans="1:19" x14ac:dyDescent="0.3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5">
        <f t="shared" si="37"/>
        <v>0</v>
      </c>
    </row>
    <row r="162" spans="1:19" x14ac:dyDescent="0.3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5">
        <f t="shared" si="37"/>
        <v>0</v>
      </c>
    </row>
    <row r="163" spans="1:19" x14ac:dyDescent="0.3">
      <c r="A163" s="6" t="s">
        <v>26</v>
      </c>
      <c r="B163" s="92" t="s">
        <v>51</v>
      </c>
      <c r="C163" s="93"/>
      <c r="D163" s="94"/>
      <c r="E163" s="5">
        <f t="shared" ref="E163:S163" si="38">SUM(E153:E162)</f>
        <v>0</v>
      </c>
      <c r="F163" s="5">
        <f t="shared" si="38"/>
        <v>0</v>
      </c>
      <c r="G163" s="5">
        <f t="shared" si="38"/>
        <v>0</v>
      </c>
      <c r="H163" s="5">
        <f t="shared" si="38"/>
        <v>0</v>
      </c>
      <c r="I163" s="5">
        <f t="shared" si="38"/>
        <v>0</v>
      </c>
      <c r="J163" s="5">
        <f t="shared" si="38"/>
        <v>0</v>
      </c>
      <c r="K163" s="5">
        <f t="shared" si="38"/>
        <v>0</v>
      </c>
      <c r="L163" s="5">
        <f t="shared" si="38"/>
        <v>0</v>
      </c>
      <c r="M163" s="5">
        <f t="shared" si="38"/>
        <v>0</v>
      </c>
      <c r="N163" s="5">
        <f t="shared" si="38"/>
        <v>0</v>
      </c>
      <c r="O163" s="5">
        <f t="shared" si="38"/>
        <v>0</v>
      </c>
      <c r="P163" s="5">
        <f t="shared" si="38"/>
        <v>0</v>
      </c>
      <c r="Q163" s="5">
        <f t="shared" si="38"/>
        <v>0</v>
      </c>
      <c r="R163" s="5">
        <f t="shared" si="38"/>
        <v>0</v>
      </c>
      <c r="S163" s="5">
        <f t="shared" si="38"/>
        <v>0</v>
      </c>
    </row>
    <row r="164" spans="1:19" x14ac:dyDescent="0.3">
      <c r="A164" s="62"/>
      <c r="B164" s="89"/>
      <c r="C164" s="89"/>
      <c r="D164" s="89"/>
      <c r="E164" s="90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</row>
    <row r="165" spans="1:19" ht="13.15" customHeight="1" x14ac:dyDescent="0.3">
      <c r="A165" s="11" t="s">
        <v>48</v>
      </c>
      <c r="B165" s="17" t="s">
        <v>67</v>
      </c>
      <c r="C165" s="86" t="s">
        <v>68</v>
      </c>
      <c r="D165" s="64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5">
        <f t="shared" ref="S165:S174" si="39">SUM(E165:R165)</f>
        <v>0</v>
      </c>
    </row>
    <row r="166" spans="1:19" x14ac:dyDescent="0.3">
      <c r="A166" s="11" t="s">
        <v>50</v>
      </c>
      <c r="B166" s="50"/>
      <c r="C166" s="24" t="s">
        <v>186</v>
      </c>
      <c r="D166" s="49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5">
        <f t="shared" si="39"/>
        <v>0</v>
      </c>
    </row>
    <row r="167" spans="1:19" x14ac:dyDescent="0.3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5">
        <f t="shared" si="39"/>
        <v>0</v>
      </c>
    </row>
    <row r="168" spans="1:19" x14ac:dyDescent="0.3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5">
        <f t="shared" si="39"/>
        <v>0</v>
      </c>
    </row>
    <row r="169" spans="1:19" x14ac:dyDescent="0.3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5">
        <f t="shared" si="39"/>
        <v>0</v>
      </c>
    </row>
    <row r="170" spans="1:19" x14ac:dyDescent="0.3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5">
        <f t="shared" si="39"/>
        <v>0</v>
      </c>
    </row>
    <row r="171" spans="1:19" x14ac:dyDescent="0.3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5">
        <f t="shared" si="39"/>
        <v>0</v>
      </c>
    </row>
    <row r="172" spans="1:19" x14ac:dyDescent="0.3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5">
        <f t="shared" si="39"/>
        <v>0</v>
      </c>
    </row>
    <row r="173" spans="1:19" x14ac:dyDescent="0.3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5">
        <f t="shared" si="39"/>
        <v>0</v>
      </c>
    </row>
    <row r="174" spans="1:19" x14ac:dyDescent="0.3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5">
        <f t="shared" si="39"/>
        <v>0</v>
      </c>
    </row>
    <row r="175" spans="1:19" x14ac:dyDescent="0.3">
      <c r="A175" s="6" t="s">
        <v>26</v>
      </c>
      <c r="B175" s="84" t="s">
        <v>51</v>
      </c>
      <c r="C175" s="87"/>
      <c r="D175" s="88"/>
      <c r="E175" s="5">
        <f t="shared" ref="E175:S175" si="40">SUM(E165:E174)</f>
        <v>0</v>
      </c>
      <c r="F175" s="5">
        <f t="shared" si="40"/>
        <v>0</v>
      </c>
      <c r="G175" s="5">
        <f t="shared" si="40"/>
        <v>0</v>
      </c>
      <c r="H175" s="5">
        <f t="shared" si="40"/>
        <v>0</v>
      </c>
      <c r="I175" s="5">
        <f t="shared" si="40"/>
        <v>0</v>
      </c>
      <c r="J175" s="5">
        <f t="shared" si="40"/>
        <v>0</v>
      </c>
      <c r="K175" s="5">
        <f t="shared" si="40"/>
        <v>0</v>
      </c>
      <c r="L175" s="5">
        <f t="shared" si="40"/>
        <v>0</v>
      </c>
      <c r="M175" s="5">
        <f t="shared" si="40"/>
        <v>0</v>
      </c>
      <c r="N175" s="5">
        <f t="shared" si="40"/>
        <v>0</v>
      </c>
      <c r="O175" s="5">
        <f t="shared" si="40"/>
        <v>0</v>
      </c>
      <c r="P175" s="5">
        <f t="shared" si="40"/>
        <v>0</v>
      </c>
      <c r="Q175" s="5">
        <f t="shared" si="40"/>
        <v>0</v>
      </c>
      <c r="R175" s="5">
        <f t="shared" si="40"/>
        <v>0</v>
      </c>
      <c r="S175" s="5">
        <f t="shared" si="40"/>
        <v>0</v>
      </c>
    </row>
    <row r="176" spans="1:19" ht="13.15" customHeight="1" x14ac:dyDescent="0.3">
      <c r="A176" s="62"/>
      <c r="B176" s="89"/>
      <c r="C176" s="89"/>
      <c r="D176" s="89"/>
      <c r="E176" s="90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</row>
    <row r="177" spans="1:19" x14ac:dyDescent="0.3">
      <c r="A177" s="11" t="s">
        <v>48</v>
      </c>
      <c r="B177" s="17" t="s">
        <v>69</v>
      </c>
      <c r="C177" s="86" t="s">
        <v>70</v>
      </c>
      <c r="D177" s="64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5">
        <f t="shared" ref="S177:S186" si="41">SUM(E177:R177)</f>
        <v>0</v>
      </c>
    </row>
    <row r="178" spans="1:19" x14ac:dyDescent="0.3">
      <c r="A178" s="11" t="s">
        <v>50</v>
      </c>
      <c r="B178" s="50"/>
      <c r="C178" s="24" t="s">
        <v>187</v>
      </c>
      <c r="D178" s="49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5">
        <f t="shared" si="41"/>
        <v>0</v>
      </c>
    </row>
    <row r="179" spans="1:19" x14ac:dyDescent="0.3">
      <c r="A179" s="7"/>
      <c r="B179" s="50"/>
      <c r="C179" s="24" t="s">
        <v>188</v>
      </c>
      <c r="D179" s="49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5">
        <f t="shared" si="41"/>
        <v>0</v>
      </c>
    </row>
    <row r="180" spans="1:19" x14ac:dyDescent="0.3">
      <c r="A180" s="7"/>
      <c r="B180" s="50"/>
      <c r="C180" s="24" t="s">
        <v>189</v>
      </c>
      <c r="D180" s="49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5">
        <f t="shared" si="41"/>
        <v>0</v>
      </c>
    </row>
    <row r="181" spans="1:19" x14ac:dyDescent="0.3">
      <c r="A181" s="7"/>
      <c r="B181" s="50"/>
      <c r="C181" s="24" t="s">
        <v>190</v>
      </c>
      <c r="D181" s="49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5">
        <f t="shared" si="41"/>
        <v>0</v>
      </c>
    </row>
    <row r="182" spans="1:19" x14ac:dyDescent="0.3">
      <c r="A182" s="7"/>
      <c r="B182" s="50"/>
      <c r="C182" s="24" t="s">
        <v>191</v>
      </c>
      <c r="D182" s="49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5">
        <f t="shared" si="41"/>
        <v>0</v>
      </c>
    </row>
    <row r="183" spans="1:19" x14ac:dyDescent="0.3">
      <c r="A183" s="7"/>
      <c r="B183" s="50"/>
      <c r="C183" s="24" t="s">
        <v>192</v>
      </c>
      <c r="D183" s="49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5">
        <f t="shared" si="41"/>
        <v>0</v>
      </c>
    </row>
    <row r="184" spans="1:19" x14ac:dyDescent="0.3">
      <c r="A184" s="7"/>
      <c r="B184" s="50"/>
      <c r="C184" s="24" t="s">
        <v>193</v>
      </c>
      <c r="D184" s="49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5">
        <f t="shared" si="41"/>
        <v>0</v>
      </c>
    </row>
    <row r="185" spans="1:19" x14ac:dyDescent="0.3">
      <c r="A185" s="7"/>
      <c r="B185" s="50"/>
      <c r="C185" s="24" t="s">
        <v>194</v>
      </c>
      <c r="D185" s="49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5">
        <f t="shared" si="41"/>
        <v>0</v>
      </c>
    </row>
    <row r="186" spans="1:19" x14ac:dyDescent="0.3">
      <c r="A186" s="7"/>
      <c r="B186" s="50"/>
      <c r="C186" s="24" t="s">
        <v>195</v>
      </c>
      <c r="D186" s="49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5">
        <f t="shared" si="41"/>
        <v>0</v>
      </c>
    </row>
    <row r="187" spans="1:19" ht="13.15" customHeight="1" x14ac:dyDescent="0.3">
      <c r="A187" s="6" t="s">
        <v>26</v>
      </c>
      <c r="B187" s="84" t="s">
        <v>51</v>
      </c>
      <c r="C187" s="87"/>
      <c r="D187" s="88"/>
      <c r="E187" s="5">
        <f t="shared" ref="E187:S187" si="42">SUM(E177:E186)</f>
        <v>0</v>
      </c>
      <c r="F187" s="5">
        <f t="shared" si="42"/>
        <v>0</v>
      </c>
      <c r="G187" s="5">
        <f t="shared" si="42"/>
        <v>0</v>
      </c>
      <c r="H187" s="5">
        <f t="shared" si="42"/>
        <v>0</v>
      </c>
      <c r="I187" s="5">
        <f t="shared" si="42"/>
        <v>0</v>
      </c>
      <c r="J187" s="5">
        <f t="shared" si="42"/>
        <v>0</v>
      </c>
      <c r="K187" s="5">
        <f t="shared" si="42"/>
        <v>0</v>
      </c>
      <c r="L187" s="5">
        <f t="shared" si="42"/>
        <v>0</v>
      </c>
      <c r="M187" s="5">
        <f t="shared" si="42"/>
        <v>0</v>
      </c>
      <c r="N187" s="5">
        <f t="shared" si="42"/>
        <v>0</v>
      </c>
      <c r="O187" s="5">
        <f t="shared" si="42"/>
        <v>0</v>
      </c>
      <c r="P187" s="5">
        <f t="shared" si="42"/>
        <v>0</v>
      </c>
      <c r="Q187" s="5">
        <f t="shared" si="42"/>
        <v>0</v>
      </c>
      <c r="R187" s="5">
        <f t="shared" si="42"/>
        <v>0</v>
      </c>
      <c r="S187" s="5">
        <f t="shared" si="42"/>
        <v>0</v>
      </c>
    </row>
    <row r="188" spans="1:19" x14ac:dyDescent="0.3">
      <c r="A188" s="62"/>
      <c r="B188" s="89"/>
      <c r="C188" s="89"/>
      <c r="D188" s="89"/>
      <c r="E188" s="90"/>
      <c r="F188" s="18"/>
      <c r="G188" s="18"/>
      <c r="H188" s="18"/>
      <c r="I188" s="18"/>
      <c r="J188" s="18"/>
      <c r="K188" s="18"/>
      <c r="L188" s="18"/>
      <c r="M188" s="18"/>
      <c r="N188" s="18"/>
      <c r="S188" s="5"/>
    </row>
    <row r="189" spans="1:19" x14ac:dyDescent="0.3">
      <c r="A189" s="11" t="s">
        <v>48</v>
      </c>
      <c r="B189" s="17" t="s">
        <v>71</v>
      </c>
      <c r="C189" s="86" t="s">
        <v>72</v>
      </c>
      <c r="D189" s="64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5">
        <f t="shared" ref="S189:S198" si="43">SUM(E189:R189)</f>
        <v>0</v>
      </c>
    </row>
    <row r="190" spans="1:19" x14ac:dyDescent="0.3">
      <c r="A190" s="11" t="s">
        <v>50</v>
      </c>
      <c r="B190" s="50"/>
      <c r="C190" s="24" t="s">
        <v>196</v>
      </c>
      <c r="D190" s="49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5">
        <f t="shared" si="43"/>
        <v>0</v>
      </c>
    </row>
    <row r="191" spans="1:19" x14ac:dyDescent="0.3">
      <c r="A191" s="7"/>
      <c r="B191" s="50"/>
      <c r="C191" s="24" t="s">
        <v>197</v>
      </c>
      <c r="D191" s="49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5">
        <f t="shared" si="43"/>
        <v>0</v>
      </c>
    </row>
    <row r="192" spans="1:19" x14ac:dyDescent="0.3">
      <c r="A192" s="7"/>
      <c r="B192" s="50"/>
      <c r="C192" s="24" t="s">
        <v>198</v>
      </c>
      <c r="D192" s="49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5">
        <f t="shared" si="43"/>
        <v>0</v>
      </c>
    </row>
    <row r="193" spans="1:19" x14ac:dyDescent="0.3">
      <c r="A193" s="7"/>
      <c r="B193" s="50"/>
      <c r="C193" s="24" t="s">
        <v>199</v>
      </c>
      <c r="D193" s="49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5">
        <f t="shared" si="43"/>
        <v>0</v>
      </c>
    </row>
    <row r="194" spans="1:19" x14ac:dyDescent="0.3">
      <c r="A194" s="7"/>
      <c r="B194" s="50"/>
      <c r="C194" s="24" t="s">
        <v>200</v>
      </c>
      <c r="D194" s="49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5">
        <f t="shared" si="43"/>
        <v>0</v>
      </c>
    </row>
    <row r="195" spans="1:19" x14ac:dyDescent="0.3">
      <c r="A195" s="7"/>
      <c r="B195" s="50"/>
      <c r="C195" s="24" t="s">
        <v>201</v>
      </c>
      <c r="D195" s="49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5">
        <f t="shared" si="43"/>
        <v>0</v>
      </c>
    </row>
    <row r="196" spans="1:19" ht="13.15" customHeight="1" x14ac:dyDescent="0.3">
      <c r="A196" s="7"/>
      <c r="B196" s="50"/>
      <c r="C196" s="24" t="s">
        <v>202</v>
      </c>
      <c r="D196" s="49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5">
        <f t="shared" si="43"/>
        <v>0</v>
      </c>
    </row>
    <row r="197" spans="1:19" ht="13.15" customHeight="1" x14ac:dyDescent="0.3">
      <c r="A197" s="7"/>
      <c r="B197" s="50"/>
      <c r="C197" s="24" t="s">
        <v>203</v>
      </c>
      <c r="D197" s="49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5">
        <f t="shared" si="43"/>
        <v>0</v>
      </c>
    </row>
    <row r="198" spans="1:19" ht="13.15" customHeight="1" x14ac:dyDescent="0.3">
      <c r="A198" s="7"/>
      <c r="B198" s="50"/>
      <c r="C198" s="24" t="s">
        <v>204</v>
      </c>
      <c r="D198" s="49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5">
        <f t="shared" si="43"/>
        <v>0</v>
      </c>
    </row>
    <row r="199" spans="1:19" x14ac:dyDescent="0.3">
      <c r="A199" s="6" t="s">
        <v>26</v>
      </c>
      <c r="B199" s="84" t="s">
        <v>51</v>
      </c>
      <c r="C199" s="87"/>
      <c r="D199" s="88"/>
      <c r="E199" s="5">
        <f t="shared" ref="E199:S199" si="44">SUM(E189:E198)</f>
        <v>0</v>
      </c>
      <c r="F199" s="5">
        <f t="shared" si="44"/>
        <v>0</v>
      </c>
      <c r="G199" s="5">
        <f t="shared" si="44"/>
        <v>0</v>
      </c>
      <c r="H199" s="5">
        <f t="shared" si="44"/>
        <v>0</v>
      </c>
      <c r="I199" s="5">
        <f t="shared" si="44"/>
        <v>0</v>
      </c>
      <c r="J199" s="5">
        <f t="shared" si="44"/>
        <v>0</v>
      </c>
      <c r="K199" s="5">
        <f t="shared" si="44"/>
        <v>0</v>
      </c>
      <c r="L199" s="5">
        <f t="shared" si="44"/>
        <v>0</v>
      </c>
      <c r="M199" s="5">
        <f t="shared" si="44"/>
        <v>0</v>
      </c>
      <c r="N199" s="5">
        <f t="shared" si="44"/>
        <v>0</v>
      </c>
      <c r="O199" s="5">
        <f t="shared" si="44"/>
        <v>0</v>
      </c>
      <c r="P199" s="5">
        <f t="shared" si="44"/>
        <v>0</v>
      </c>
      <c r="Q199" s="5">
        <f t="shared" si="44"/>
        <v>0</v>
      </c>
      <c r="R199" s="5">
        <f t="shared" si="44"/>
        <v>0</v>
      </c>
      <c r="S199" s="5">
        <f t="shared" si="44"/>
        <v>0</v>
      </c>
    </row>
    <row r="200" spans="1:19" x14ac:dyDescent="0.3">
      <c r="A200" s="62"/>
      <c r="B200" s="89"/>
      <c r="C200" s="89"/>
      <c r="D200" s="89"/>
      <c r="E200" s="90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</row>
    <row r="201" spans="1:19" x14ac:dyDescent="0.3">
      <c r="A201" s="11" t="s">
        <v>48</v>
      </c>
      <c r="B201" s="17" t="s">
        <v>73</v>
      </c>
      <c r="C201" s="86" t="s">
        <v>74</v>
      </c>
      <c r="D201" s="64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5">
        <f t="shared" ref="S201:S210" si="45">SUM(E201:R201)</f>
        <v>0</v>
      </c>
    </row>
    <row r="202" spans="1:19" x14ac:dyDescent="0.3">
      <c r="A202" s="11" t="s">
        <v>50</v>
      </c>
      <c r="B202" s="50"/>
      <c r="C202" s="24" t="s">
        <v>205</v>
      </c>
      <c r="D202" s="49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5">
        <f t="shared" si="45"/>
        <v>0</v>
      </c>
    </row>
    <row r="203" spans="1:19" x14ac:dyDescent="0.3">
      <c r="A203" s="7"/>
      <c r="B203" s="50"/>
      <c r="C203" s="24" t="s">
        <v>206</v>
      </c>
      <c r="D203" s="49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5">
        <f t="shared" si="45"/>
        <v>0</v>
      </c>
    </row>
    <row r="204" spans="1:19" x14ac:dyDescent="0.3">
      <c r="A204" s="7"/>
      <c r="B204" s="50"/>
      <c r="C204" s="24" t="s">
        <v>207</v>
      </c>
      <c r="D204" s="49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5">
        <f t="shared" si="45"/>
        <v>0</v>
      </c>
    </row>
    <row r="205" spans="1:19" x14ac:dyDescent="0.3">
      <c r="A205" s="7"/>
      <c r="B205" s="50"/>
      <c r="C205" s="24" t="s">
        <v>208</v>
      </c>
      <c r="D205" s="49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5">
        <f t="shared" si="45"/>
        <v>0</v>
      </c>
    </row>
    <row r="206" spans="1:19" x14ac:dyDescent="0.3">
      <c r="A206" s="7"/>
      <c r="B206" s="50"/>
      <c r="C206" s="24" t="s">
        <v>209</v>
      </c>
      <c r="D206" s="49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5">
        <f t="shared" si="45"/>
        <v>0</v>
      </c>
    </row>
    <row r="207" spans="1:19" ht="13.15" customHeight="1" x14ac:dyDescent="0.3">
      <c r="A207" s="7"/>
      <c r="B207" s="50"/>
      <c r="C207" s="24" t="s">
        <v>210</v>
      </c>
      <c r="D207" s="49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5">
        <f t="shared" si="45"/>
        <v>0</v>
      </c>
    </row>
    <row r="208" spans="1:19" x14ac:dyDescent="0.3">
      <c r="A208" s="7"/>
      <c r="B208" s="50"/>
      <c r="C208" s="24" t="s">
        <v>211</v>
      </c>
      <c r="D208" s="49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5">
        <f t="shared" si="45"/>
        <v>0</v>
      </c>
    </row>
    <row r="209" spans="1:19" x14ac:dyDescent="0.3">
      <c r="A209" s="7"/>
      <c r="B209" s="50"/>
      <c r="C209" s="24" t="s">
        <v>212</v>
      </c>
      <c r="D209" s="49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5">
        <f t="shared" si="45"/>
        <v>0</v>
      </c>
    </row>
    <row r="210" spans="1:19" x14ac:dyDescent="0.3">
      <c r="A210" s="7"/>
      <c r="B210" s="50"/>
      <c r="C210" s="24" t="s">
        <v>213</v>
      </c>
      <c r="D210" s="49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5">
        <f t="shared" si="45"/>
        <v>0</v>
      </c>
    </row>
    <row r="211" spans="1:19" x14ac:dyDescent="0.3">
      <c r="A211" s="6" t="s">
        <v>26</v>
      </c>
      <c r="B211" s="84" t="s">
        <v>51</v>
      </c>
      <c r="C211" s="87"/>
      <c r="D211" s="88"/>
      <c r="E211" s="5">
        <f t="shared" ref="E211:S211" si="46">SUM(E201:E210)</f>
        <v>0</v>
      </c>
      <c r="F211" s="5">
        <f t="shared" si="46"/>
        <v>0</v>
      </c>
      <c r="G211" s="5">
        <f t="shared" si="46"/>
        <v>0</v>
      </c>
      <c r="H211" s="5">
        <f t="shared" si="46"/>
        <v>0</v>
      </c>
      <c r="I211" s="5">
        <f t="shared" si="46"/>
        <v>0</v>
      </c>
      <c r="J211" s="5">
        <f t="shared" si="46"/>
        <v>0</v>
      </c>
      <c r="K211" s="5">
        <f t="shared" si="46"/>
        <v>0</v>
      </c>
      <c r="L211" s="5">
        <f t="shared" si="46"/>
        <v>0</v>
      </c>
      <c r="M211" s="5">
        <f t="shared" si="46"/>
        <v>0</v>
      </c>
      <c r="N211" s="5">
        <f t="shared" si="46"/>
        <v>0</v>
      </c>
      <c r="O211" s="5">
        <f t="shared" si="46"/>
        <v>0</v>
      </c>
      <c r="P211" s="5">
        <f t="shared" si="46"/>
        <v>0</v>
      </c>
      <c r="Q211" s="5">
        <f t="shared" si="46"/>
        <v>0</v>
      </c>
      <c r="R211" s="5">
        <f t="shared" si="46"/>
        <v>0</v>
      </c>
      <c r="S211" s="5">
        <f t="shared" si="46"/>
        <v>0</v>
      </c>
    </row>
    <row r="212" spans="1:19" x14ac:dyDescent="0.3">
      <c r="A212" s="62"/>
      <c r="B212" s="89"/>
      <c r="C212" s="89"/>
      <c r="D212" s="89"/>
      <c r="E212" s="90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</row>
    <row r="213" spans="1:19" x14ac:dyDescent="0.3">
      <c r="A213" s="11" t="s">
        <v>48</v>
      </c>
      <c r="B213" s="17" t="s">
        <v>75</v>
      </c>
      <c r="C213" s="86" t="s">
        <v>76</v>
      </c>
      <c r="D213" s="64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5">
        <f t="shared" ref="S213:S222" si="47">SUM(E213:R213)</f>
        <v>0</v>
      </c>
    </row>
    <row r="214" spans="1:19" x14ac:dyDescent="0.3">
      <c r="A214" s="11" t="s">
        <v>50</v>
      </c>
      <c r="B214" s="50"/>
      <c r="C214" s="24" t="s">
        <v>214</v>
      </c>
      <c r="D214" s="49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5">
        <f t="shared" si="47"/>
        <v>0</v>
      </c>
    </row>
    <row r="215" spans="1:19" x14ac:dyDescent="0.3">
      <c r="A215" s="7"/>
      <c r="B215" s="50"/>
      <c r="C215" s="24" t="s">
        <v>215</v>
      </c>
      <c r="D215" s="49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5">
        <f t="shared" si="47"/>
        <v>0</v>
      </c>
    </row>
    <row r="216" spans="1:19" x14ac:dyDescent="0.3">
      <c r="A216" s="7"/>
      <c r="B216" s="50"/>
      <c r="C216" s="24" t="s">
        <v>216</v>
      </c>
      <c r="D216" s="49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5">
        <f t="shared" si="47"/>
        <v>0</v>
      </c>
    </row>
    <row r="217" spans="1:19" x14ac:dyDescent="0.3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5">
        <f t="shared" si="47"/>
        <v>0</v>
      </c>
    </row>
    <row r="218" spans="1:19" ht="13.15" customHeight="1" x14ac:dyDescent="0.3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5">
        <f t="shared" si="47"/>
        <v>0</v>
      </c>
    </row>
    <row r="219" spans="1:19" x14ac:dyDescent="0.3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5">
        <f t="shared" si="47"/>
        <v>0</v>
      </c>
    </row>
    <row r="220" spans="1:19" x14ac:dyDescent="0.3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5">
        <f t="shared" si="47"/>
        <v>0</v>
      </c>
    </row>
    <row r="221" spans="1:19" x14ac:dyDescent="0.3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5">
        <f t="shared" si="47"/>
        <v>0</v>
      </c>
    </row>
    <row r="222" spans="1:19" x14ac:dyDescent="0.3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5">
        <f t="shared" si="47"/>
        <v>0</v>
      </c>
    </row>
    <row r="223" spans="1:19" x14ac:dyDescent="0.3">
      <c r="A223" s="6" t="s">
        <v>26</v>
      </c>
      <c r="B223" s="84" t="s">
        <v>51</v>
      </c>
      <c r="C223" s="87"/>
      <c r="D223" s="88"/>
      <c r="E223" s="5">
        <f t="shared" ref="E223:S223" si="48">SUM(E213:E222)</f>
        <v>0</v>
      </c>
      <c r="F223" s="5">
        <f t="shared" si="48"/>
        <v>0</v>
      </c>
      <c r="G223" s="5">
        <f t="shared" si="48"/>
        <v>0</v>
      </c>
      <c r="H223" s="5">
        <f t="shared" si="48"/>
        <v>0</v>
      </c>
      <c r="I223" s="5">
        <f t="shared" si="48"/>
        <v>0</v>
      </c>
      <c r="J223" s="5">
        <f t="shared" si="48"/>
        <v>0</v>
      </c>
      <c r="K223" s="5">
        <f t="shared" si="48"/>
        <v>0</v>
      </c>
      <c r="L223" s="5">
        <f t="shared" si="48"/>
        <v>0</v>
      </c>
      <c r="M223" s="5">
        <f t="shared" si="48"/>
        <v>0</v>
      </c>
      <c r="N223" s="5">
        <f t="shared" si="48"/>
        <v>0</v>
      </c>
      <c r="O223" s="5">
        <f t="shared" si="48"/>
        <v>0</v>
      </c>
      <c r="P223" s="5">
        <f t="shared" si="48"/>
        <v>0</v>
      </c>
      <c r="Q223" s="5">
        <f t="shared" si="48"/>
        <v>0</v>
      </c>
      <c r="R223" s="5">
        <f t="shared" si="48"/>
        <v>0</v>
      </c>
      <c r="S223" s="5">
        <f t="shared" si="48"/>
        <v>0</v>
      </c>
    </row>
    <row r="224" spans="1:19" x14ac:dyDescent="0.3">
      <c r="A224" s="62"/>
      <c r="B224" s="89"/>
      <c r="C224" s="89"/>
      <c r="D224" s="89"/>
      <c r="E224" s="90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</row>
    <row r="225" spans="1:19" x14ac:dyDescent="0.3">
      <c r="A225" s="11" t="s">
        <v>48</v>
      </c>
      <c r="B225" s="17" t="s">
        <v>77</v>
      </c>
      <c r="C225" s="86" t="s">
        <v>78</v>
      </c>
      <c r="D225" s="64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5">
        <f t="shared" ref="S225:S234" si="49">SUM(E225:R225)</f>
        <v>0</v>
      </c>
    </row>
    <row r="226" spans="1:19" x14ac:dyDescent="0.3">
      <c r="A226" s="11" t="s">
        <v>50</v>
      </c>
      <c r="B226" s="50"/>
      <c r="C226" s="24" t="s">
        <v>217</v>
      </c>
      <c r="D226" s="49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5">
        <f t="shared" si="49"/>
        <v>0</v>
      </c>
    </row>
    <row r="227" spans="1:19" x14ac:dyDescent="0.3">
      <c r="A227" s="7"/>
      <c r="B227" s="50"/>
      <c r="C227" s="24" t="s">
        <v>218</v>
      </c>
      <c r="D227" s="49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5">
        <f t="shared" si="49"/>
        <v>0</v>
      </c>
    </row>
    <row r="228" spans="1:19" x14ac:dyDescent="0.3">
      <c r="A228" s="7"/>
      <c r="B228" s="50"/>
      <c r="C228" s="24" t="s">
        <v>219</v>
      </c>
      <c r="D228" s="49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5">
        <f t="shared" si="49"/>
        <v>0</v>
      </c>
    </row>
    <row r="229" spans="1:19" ht="13.15" customHeight="1" x14ac:dyDescent="0.3">
      <c r="A229" s="7"/>
      <c r="B229" s="50"/>
      <c r="C229" s="24" t="s">
        <v>220</v>
      </c>
      <c r="D229" s="49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5">
        <f t="shared" si="49"/>
        <v>0</v>
      </c>
    </row>
    <row r="230" spans="1:19" x14ac:dyDescent="0.3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5">
        <f t="shared" si="49"/>
        <v>0</v>
      </c>
    </row>
    <row r="231" spans="1:19" x14ac:dyDescent="0.3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5">
        <f t="shared" si="49"/>
        <v>0</v>
      </c>
    </row>
    <row r="232" spans="1:19" x14ac:dyDescent="0.3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5">
        <f t="shared" si="49"/>
        <v>0</v>
      </c>
    </row>
    <row r="233" spans="1:19" x14ac:dyDescent="0.3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5">
        <f t="shared" si="49"/>
        <v>0</v>
      </c>
    </row>
    <row r="234" spans="1:19" x14ac:dyDescent="0.3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5">
        <f t="shared" si="49"/>
        <v>0</v>
      </c>
    </row>
    <row r="235" spans="1:19" x14ac:dyDescent="0.3">
      <c r="A235" s="6" t="s">
        <v>26</v>
      </c>
      <c r="B235" s="84" t="s">
        <v>51</v>
      </c>
      <c r="C235" s="87"/>
      <c r="D235" s="88"/>
      <c r="E235" s="5">
        <f t="shared" ref="E235:S235" si="50">SUM(E225:E234)</f>
        <v>0</v>
      </c>
      <c r="F235" s="5">
        <f t="shared" si="50"/>
        <v>0</v>
      </c>
      <c r="G235" s="5">
        <f t="shared" si="50"/>
        <v>0</v>
      </c>
      <c r="H235" s="5">
        <f t="shared" si="50"/>
        <v>0</v>
      </c>
      <c r="I235" s="5">
        <f t="shared" si="50"/>
        <v>0</v>
      </c>
      <c r="J235" s="5">
        <f t="shared" si="50"/>
        <v>0</v>
      </c>
      <c r="K235" s="5">
        <f t="shared" si="50"/>
        <v>0</v>
      </c>
      <c r="L235" s="5">
        <f t="shared" si="50"/>
        <v>0</v>
      </c>
      <c r="M235" s="5">
        <f t="shared" si="50"/>
        <v>0</v>
      </c>
      <c r="N235" s="5">
        <f t="shared" si="50"/>
        <v>0</v>
      </c>
      <c r="O235" s="5">
        <f t="shared" si="50"/>
        <v>0</v>
      </c>
      <c r="P235" s="5">
        <f t="shared" si="50"/>
        <v>0</v>
      </c>
      <c r="Q235" s="5">
        <f t="shared" si="50"/>
        <v>0</v>
      </c>
      <c r="R235" s="5">
        <f t="shared" si="50"/>
        <v>0</v>
      </c>
      <c r="S235" s="5">
        <f t="shared" si="50"/>
        <v>0</v>
      </c>
    </row>
    <row r="236" spans="1:19" x14ac:dyDescent="0.3">
      <c r="A236" s="62"/>
      <c r="B236" s="89"/>
      <c r="C236" s="89"/>
      <c r="D236" s="89"/>
      <c r="E236" s="90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</row>
    <row r="237" spans="1:19" x14ac:dyDescent="0.3">
      <c r="A237" s="11" t="s">
        <v>48</v>
      </c>
      <c r="B237" s="17" t="s">
        <v>79</v>
      </c>
      <c r="C237" s="86" t="s">
        <v>80</v>
      </c>
      <c r="D237" s="64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5">
        <f t="shared" ref="S237:S246" si="51">SUM(E237:R237)</f>
        <v>0</v>
      </c>
    </row>
    <row r="238" spans="1:19" x14ac:dyDescent="0.3">
      <c r="A238" s="11" t="s">
        <v>50</v>
      </c>
      <c r="B238" s="50"/>
      <c r="C238" s="24" t="s">
        <v>221</v>
      </c>
      <c r="D238" s="49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5">
        <f t="shared" si="51"/>
        <v>0</v>
      </c>
    </row>
    <row r="239" spans="1:19" x14ac:dyDescent="0.3">
      <c r="A239" s="7"/>
      <c r="B239" s="50"/>
      <c r="C239" s="24" t="s">
        <v>222</v>
      </c>
      <c r="D239" s="49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5">
        <f t="shared" si="51"/>
        <v>0</v>
      </c>
    </row>
    <row r="240" spans="1:19" ht="13.15" customHeight="1" x14ac:dyDescent="0.3">
      <c r="A240" s="7"/>
      <c r="B240" s="50"/>
      <c r="C240" s="24" t="s">
        <v>223</v>
      </c>
      <c r="D240" s="49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5">
        <f t="shared" si="51"/>
        <v>0</v>
      </c>
    </row>
    <row r="241" spans="1:19" x14ac:dyDescent="0.3">
      <c r="A241" s="7"/>
      <c r="B241" s="50"/>
      <c r="C241" s="24" t="s">
        <v>224</v>
      </c>
      <c r="D241" s="49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5">
        <f t="shared" si="51"/>
        <v>0</v>
      </c>
    </row>
    <row r="242" spans="1:19" ht="12.75" customHeight="1" x14ac:dyDescent="0.3">
      <c r="A242" s="7"/>
      <c r="B242" s="50"/>
      <c r="C242" s="24" t="s">
        <v>225</v>
      </c>
      <c r="D242" s="49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5">
        <f t="shared" si="51"/>
        <v>0</v>
      </c>
    </row>
    <row r="243" spans="1:19" x14ac:dyDescent="0.3">
      <c r="A243" s="7"/>
      <c r="B243" s="50"/>
      <c r="C243" s="24" t="s">
        <v>226</v>
      </c>
      <c r="D243" s="49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5">
        <f t="shared" si="51"/>
        <v>0</v>
      </c>
    </row>
    <row r="244" spans="1:19" x14ac:dyDescent="0.3">
      <c r="A244" s="7"/>
      <c r="B244" s="50"/>
      <c r="C244" s="24" t="s">
        <v>227</v>
      </c>
      <c r="D244" s="49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5">
        <f t="shared" si="51"/>
        <v>0</v>
      </c>
    </row>
    <row r="245" spans="1:19" x14ac:dyDescent="0.3">
      <c r="A245" s="7"/>
      <c r="B245" s="50"/>
      <c r="C245" s="24" t="s">
        <v>228</v>
      </c>
      <c r="D245" s="49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5">
        <f t="shared" si="51"/>
        <v>0</v>
      </c>
    </row>
    <row r="246" spans="1:19" x14ac:dyDescent="0.3">
      <c r="A246" s="7"/>
      <c r="B246" s="50"/>
      <c r="C246" s="24" t="s">
        <v>229</v>
      </c>
      <c r="D246" s="49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5">
        <f t="shared" si="51"/>
        <v>0</v>
      </c>
    </row>
    <row r="247" spans="1:19" ht="12.75" customHeight="1" x14ac:dyDescent="0.3">
      <c r="A247" s="6" t="s">
        <v>26</v>
      </c>
      <c r="B247" s="84" t="s">
        <v>51</v>
      </c>
      <c r="C247" s="87"/>
      <c r="D247" s="88"/>
      <c r="E247" s="5">
        <f t="shared" ref="E247:S247" si="52">SUM(E237:E246)</f>
        <v>0</v>
      </c>
      <c r="F247" s="5">
        <f t="shared" si="52"/>
        <v>0</v>
      </c>
      <c r="G247" s="5">
        <f t="shared" si="52"/>
        <v>0</v>
      </c>
      <c r="H247" s="5">
        <f t="shared" si="52"/>
        <v>0</v>
      </c>
      <c r="I247" s="5">
        <f t="shared" si="52"/>
        <v>0</v>
      </c>
      <c r="J247" s="5">
        <f t="shared" si="52"/>
        <v>0</v>
      </c>
      <c r="K247" s="5">
        <f t="shared" si="52"/>
        <v>0</v>
      </c>
      <c r="L247" s="5">
        <f t="shared" si="52"/>
        <v>0</v>
      </c>
      <c r="M247" s="5">
        <f t="shared" si="52"/>
        <v>0</v>
      </c>
      <c r="N247" s="5">
        <f t="shared" si="52"/>
        <v>0</v>
      </c>
      <c r="O247" s="5">
        <f t="shared" si="52"/>
        <v>0</v>
      </c>
      <c r="P247" s="5">
        <f t="shared" si="52"/>
        <v>0</v>
      </c>
      <c r="Q247" s="5">
        <f t="shared" si="52"/>
        <v>0</v>
      </c>
      <c r="R247" s="5">
        <f t="shared" si="52"/>
        <v>0</v>
      </c>
      <c r="S247" s="5">
        <f t="shared" si="52"/>
        <v>0</v>
      </c>
    </row>
    <row r="248" spans="1:19" x14ac:dyDescent="0.3">
      <c r="A248" s="62"/>
      <c r="B248" s="89"/>
      <c r="C248" s="89"/>
      <c r="D248" s="89"/>
      <c r="E248" s="90"/>
    </row>
    <row r="249" spans="1:19" x14ac:dyDescent="0.3">
      <c r="A249" s="11" t="s">
        <v>48</v>
      </c>
      <c r="B249" s="17" t="s">
        <v>81</v>
      </c>
      <c r="C249" s="86" t="s">
        <v>82</v>
      </c>
      <c r="D249" s="64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5">
        <f t="shared" ref="S249:S258" si="53">SUM(E249:R249)</f>
        <v>0</v>
      </c>
    </row>
    <row r="250" spans="1:19" x14ac:dyDescent="0.3">
      <c r="A250" s="11" t="s">
        <v>50</v>
      </c>
      <c r="B250" s="50"/>
      <c r="C250" s="24" t="s">
        <v>230</v>
      </c>
      <c r="D250" s="49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5">
        <f t="shared" si="53"/>
        <v>0</v>
      </c>
    </row>
    <row r="251" spans="1:19" x14ac:dyDescent="0.3">
      <c r="A251" s="7"/>
      <c r="B251" s="50"/>
      <c r="C251" s="24" t="s">
        <v>231</v>
      </c>
      <c r="D251" s="49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5">
        <f t="shared" si="53"/>
        <v>0</v>
      </c>
    </row>
    <row r="252" spans="1:19" x14ac:dyDescent="0.3">
      <c r="A252" s="7"/>
      <c r="B252" s="50"/>
      <c r="C252" s="24" t="s">
        <v>232</v>
      </c>
      <c r="D252" s="49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5">
        <f t="shared" si="53"/>
        <v>0</v>
      </c>
    </row>
    <row r="253" spans="1:19" x14ac:dyDescent="0.3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5">
        <f t="shared" si="53"/>
        <v>0</v>
      </c>
    </row>
    <row r="254" spans="1:19" x14ac:dyDescent="0.3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5">
        <f t="shared" si="53"/>
        <v>0</v>
      </c>
    </row>
    <row r="255" spans="1:19" x14ac:dyDescent="0.3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5">
        <f t="shared" si="53"/>
        <v>0</v>
      </c>
    </row>
    <row r="256" spans="1:19" x14ac:dyDescent="0.3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5">
        <f t="shared" si="53"/>
        <v>0</v>
      </c>
    </row>
    <row r="257" spans="1:19" x14ac:dyDescent="0.3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5">
        <f t="shared" si="53"/>
        <v>0</v>
      </c>
    </row>
    <row r="258" spans="1:19" x14ac:dyDescent="0.3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5">
        <f t="shared" si="53"/>
        <v>0</v>
      </c>
    </row>
    <row r="259" spans="1:19" x14ac:dyDescent="0.3">
      <c r="A259" s="6" t="s">
        <v>26</v>
      </c>
      <c r="B259" s="84" t="s">
        <v>51</v>
      </c>
      <c r="C259" s="87"/>
      <c r="D259" s="88"/>
      <c r="E259" s="5">
        <f t="shared" ref="E259:S259" si="54">SUM(E249:E258)</f>
        <v>0</v>
      </c>
      <c r="F259" s="5">
        <f t="shared" si="54"/>
        <v>0</v>
      </c>
      <c r="G259" s="5">
        <f t="shared" si="54"/>
        <v>0</v>
      </c>
      <c r="H259" s="5">
        <f t="shared" si="54"/>
        <v>0</v>
      </c>
      <c r="I259" s="5">
        <f t="shared" si="54"/>
        <v>0</v>
      </c>
      <c r="J259" s="5">
        <f t="shared" si="54"/>
        <v>0</v>
      </c>
      <c r="K259" s="5">
        <f t="shared" si="54"/>
        <v>0</v>
      </c>
      <c r="L259" s="5">
        <f t="shared" si="54"/>
        <v>0</v>
      </c>
      <c r="M259" s="5">
        <f t="shared" si="54"/>
        <v>0</v>
      </c>
      <c r="N259" s="5">
        <f t="shared" si="54"/>
        <v>0</v>
      </c>
      <c r="O259" s="5">
        <f t="shared" si="54"/>
        <v>0</v>
      </c>
      <c r="P259" s="5">
        <f t="shared" si="54"/>
        <v>0</v>
      </c>
      <c r="Q259" s="5">
        <f t="shared" si="54"/>
        <v>0</v>
      </c>
      <c r="R259" s="5">
        <f t="shared" si="54"/>
        <v>0</v>
      </c>
      <c r="S259" s="5">
        <f t="shared" si="54"/>
        <v>0</v>
      </c>
    </row>
    <row r="261" spans="1:19" x14ac:dyDescent="0.3">
      <c r="A261" s="16" t="s">
        <v>83</v>
      </c>
      <c r="B261" s="65" t="s">
        <v>84</v>
      </c>
      <c r="C261" s="97"/>
      <c r="D261" s="98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5"/>
    </row>
    <row r="262" spans="1:19" x14ac:dyDescent="0.3">
      <c r="A262" s="16"/>
      <c r="B262" s="19" t="s">
        <v>85</v>
      </c>
      <c r="C262" s="95" t="s">
        <v>86</v>
      </c>
      <c r="D262" s="96"/>
      <c r="E262" s="6">
        <f>E55+E67+E79+E91+E103+E115+E127+E139+E151+E163+E175+E187+E199+E211+E223+E235+E247+E259</f>
        <v>0</v>
      </c>
      <c r="F262" s="6">
        <f t="shared" ref="F262:N262" si="55">F55+F67+F79+F91+F103+F115+F127+F139+F151+F163+F175+F187+F199+F211+F223+F235+F247+F259</f>
        <v>0</v>
      </c>
      <c r="G262" s="6">
        <f t="shared" si="55"/>
        <v>0</v>
      </c>
      <c r="H262" s="6">
        <f t="shared" si="55"/>
        <v>0</v>
      </c>
      <c r="I262" s="6">
        <f t="shared" si="55"/>
        <v>0</v>
      </c>
      <c r="J262" s="6">
        <f t="shared" si="55"/>
        <v>0</v>
      </c>
      <c r="K262" s="6">
        <f t="shared" si="55"/>
        <v>0</v>
      </c>
      <c r="L262" s="6">
        <f t="shared" si="55"/>
        <v>0</v>
      </c>
      <c r="M262" s="6">
        <f t="shared" si="55"/>
        <v>0</v>
      </c>
      <c r="N262" s="6">
        <f t="shared" si="55"/>
        <v>0</v>
      </c>
      <c r="O262" s="6">
        <f t="shared" ref="O262:R262" si="56">O55+O67+O79+O91+O103+O115+O127+O139+O151+O163+O175+O187+O199+O211+O223+O235+O247+O259</f>
        <v>0</v>
      </c>
      <c r="P262" s="6">
        <f t="shared" si="56"/>
        <v>0</v>
      </c>
      <c r="Q262" s="6">
        <f t="shared" si="56"/>
        <v>0</v>
      </c>
      <c r="R262" s="6">
        <f t="shared" si="56"/>
        <v>0</v>
      </c>
      <c r="S262" s="5">
        <f>SUM(E262:R262)</f>
        <v>0</v>
      </c>
    </row>
    <row r="263" spans="1:19" x14ac:dyDescent="0.3">
      <c r="A263" s="13"/>
      <c r="B263" s="19" t="s">
        <v>87</v>
      </c>
      <c r="C263" s="95" t="s">
        <v>88</v>
      </c>
      <c r="D263" s="9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5">
        <f>SUM(E263:R263)</f>
        <v>0</v>
      </c>
    </row>
    <row r="264" spans="1:19" x14ac:dyDescent="0.3">
      <c r="A264" s="14"/>
      <c r="B264" s="19" t="s">
        <v>89</v>
      </c>
      <c r="C264" s="95" t="s">
        <v>90</v>
      </c>
      <c r="D264" s="96"/>
      <c r="E264" s="5">
        <f>SUM(E262:E263)</f>
        <v>0</v>
      </c>
      <c r="F264" s="5">
        <f t="shared" ref="F264:N264" si="57">SUM(F262:F263)</f>
        <v>0</v>
      </c>
      <c r="G264" s="5">
        <f t="shared" si="57"/>
        <v>0</v>
      </c>
      <c r="H264" s="5">
        <f t="shared" si="57"/>
        <v>0</v>
      </c>
      <c r="I264" s="5">
        <f t="shared" si="57"/>
        <v>0</v>
      </c>
      <c r="J264" s="5">
        <f t="shared" si="57"/>
        <v>0</v>
      </c>
      <c r="K264" s="5">
        <f t="shared" si="57"/>
        <v>0</v>
      </c>
      <c r="L264" s="5">
        <f t="shared" si="57"/>
        <v>0</v>
      </c>
      <c r="M264" s="5">
        <f t="shared" si="57"/>
        <v>0</v>
      </c>
      <c r="N264" s="5">
        <f t="shared" si="57"/>
        <v>0</v>
      </c>
      <c r="O264" s="5">
        <f t="shared" ref="O264:R264" si="58">SUM(O262:O263)</f>
        <v>0</v>
      </c>
      <c r="P264" s="5">
        <f t="shared" si="58"/>
        <v>0</v>
      </c>
      <c r="Q264" s="5">
        <f t="shared" si="58"/>
        <v>0</v>
      </c>
      <c r="R264" s="5">
        <f t="shared" si="58"/>
        <v>0</v>
      </c>
      <c r="S264" s="5">
        <f>SUM(E264:R264)</f>
        <v>0</v>
      </c>
    </row>
  </sheetData>
  <mergeCells count="86"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C264:D264"/>
    <mergeCell ref="A248:E248"/>
    <mergeCell ref="C249:D249"/>
    <mergeCell ref="B259:D259"/>
    <mergeCell ref="B261:D261"/>
    <mergeCell ref="C262:D262"/>
    <mergeCell ref="C263:D263"/>
    <mergeCell ref="B199:D199"/>
    <mergeCell ref="B187:D187"/>
    <mergeCell ref="A188:E188"/>
    <mergeCell ref="A152:E152"/>
    <mergeCell ref="C153:D153"/>
    <mergeCell ref="B163:D163"/>
    <mergeCell ref="A164:E164"/>
    <mergeCell ref="C165:D165"/>
    <mergeCell ref="C189:D189"/>
    <mergeCell ref="B175:D175"/>
    <mergeCell ref="A176:E176"/>
    <mergeCell ref="C177:D177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R12"/>
    <mergeCell ref="S12:S13"/>
    <mergeCell ref="B13:D13"/>
    <mergeCell ref="B14:C16"/>
  </mergeCells>
  <phoneticPr fontId="9" type="noConversion"/>
  <conditionalFormatting sqref="E14:R15">
    <cfRule type="containsBlanks" dxfId="28" priority="20">
      <formula>LEN(TRIM(E14))=0</formula>
    </cfRule>
  </conditionalFormatting>
  <conditionalFormatting sqref="E19:R20">
    <cfRule type="containsBlanks" dxfId="27" priority="23">
      <formula>LEN(TRIM(E19))=0</formula>
    </cfRule>
  </conditionalFormatting>
  <conditionalFormatting sqref="E22:R23 E25:R26 E33:R33 E35:R35 E39:R40">
    <cfRule type="containsBlanks" dxfId="26" priority="24">
      <formula>LEN(TRIM(E22))=0</formula>
    </cfRule>
  </conditionalFormatting>
  <conditionalFormatting sqref="E30:R30">
    <cfRule type="expression" dxfId="25" priority="25">
      <formula>E30&lt;&gt;E47</formula>
    </cfRule>
    <cfRule type="expression" dxfId="24" priority="26">
      <formula>E30&lt;&gt;E34</formula>
    </cfRule>
  </conditionalFormatting>
  <conditionalFormatting sqref="E34:R34">
    <cfRule type="expression" dxfId="23" priority="21">
      <formula>E30&lt;&gt;E34</formula>
    </cfRule>
    <cfRule type="expression" dxfId="22" priority="22">
      <formula>E30=E34</formula>
    </cfRule>
    <cfRule type="expression" dxfId="21" priority="27">
      <formula>E34&lt;&gt;E30</formula>
    </cfRule>
    <cfRule type="expression" dxfId="20" priority="28">
      <formula>E34&lt;&gt;E64</formula>
    </cfRule>
  </conditionalFormatting>
  <conditionalFormatting sqref="E45:R54">
    <cfRule type="containsBlanks" dxfId="19" priority="19">
      <formula>LEN(TRIM(E45))=0</formula>
    </cfRule>
  </conditionalFormatting>
  <conditionalFormatting sqref="E57:R66">
    <cfRule type="containsBlanks" dxfId="18" priority="18">
      <formula>LEN(TRIM(E57))=0</formula>
    </cfRule>
  </conditionalFormatting>
  <conditionalFormatting sqref="E69:R78">
    <cfRule type="containsBlanks" dxfId="17" priority="17">
      <formula>LEN(TRIM(E69))=0</formula>
    </cfRule>
  </conditionalFormatting>
  <conditionalFormatting sqref="E81:R90">
    <cfRule type="containsBlanks" dxfId="16" priority="16">
      <formula>LEN(TRIM(E81))=0</formula>
    </cfRule>
  </conditionalFormatting>
  <conditionalFormatting sqref="E93:R102">
    <cfRule type="containsBlanks" dxfId="15" priority="15">
      <formula>LEN(TRIM(E93))=0</formula>
    </cfRule>
  </conditionalFormatting>
  <conditionalFormatting sqref="E105:R114">
    <cfRule type="containsBlanks" dxfId="14" priority="14">
      <formula>LEN(TRIM(E105))=0</formula>
    </cfRule>
  </conditionalFormatting>
  <conditionalFormatting sqref="E117:R126">
    <cfRule type="containsBlanks" dxfId="13" priority="1">
      <formula>LEN(TRIM(E117))=0</formula>
    </cfRule>
  </conditionalFormatting>
  <conditionalFormatting sqref="E129:R138">
    <cfRule type="containsBlanks" dxfId="12" priority="13">
      <formula>LEN(TRIM(E129))=0</formula>
    </cfRule>
  </conditionalFormatting>
  <conditionalFormatting sqref="E141:R150">
    <cfRule type="containsBlanks" dxfId="11" priority="12">
      <formula>LEN(TRIM(E141))=0</formula>
    </cfRule>
  </conditionalFormatting>
  <conditionalFormatting sqref="E153:R162">
    <cfRule type="containsBlanks" dxfId="10" priority="3">
      <formula>LEN(TRIM(E153))=0</formula>
    </cfRule>
  </conditionalFormatting>
  <conditionalFormatting sqref="E165:R174">
    <cfRule type="containsBlanks" dxfId="9" priority="11">
      <formula>LEN(TRIM(E165))=0</formula>
    </cfRule>
  </conditionalFormatting>
  <conditionalFormatting sqref="E177:R186">
    <cfRule type="containsBlanks" dxfId="8" priority="10">
      <formula>LEN(TRIM(E177))=0</formula>
    </cfRule>
  </conditionalFormatting>
  <conditionalFormatting sqref="E189:R198">
    <cfRule type="containsBlanks" dxfId="7" priority="9">
      <formula>LEN(TRIM(E189))=0</formula>
    </cfRule>
  </conditionalFormatting>
  <conditionalFormatting sqref="E201:R210">
    <cfRule type="containsBlanks" dxfId="6" priority="8">
      <formula>LEN(TRIM(E201))=0</formula>
    </cfRule>
  </conditionalFormatting>
  <conditionalFormatting sqref="E213:R222">
    <cfRule type="containsBlanks" dxfId="5" priority="7">
      <formula>LEN(TRIM(E213))=0</formula>
    </cfRule>
  </conditionalFormatting>
  <conditionalFormatting sqref="E225:R234">
    <cfRule type="containsBlanks" dxfId="4" priority="6">
      <formula>LEN(TRIM(E225))=0</formula>
    </cfRule>
  </conditionalFormatting>
  <conditionalFormatting sqref="E237:R246">
    <cfRule type="containsBlanks" dxfId="3" priority="5">
      <formula>LEN(TRIM(E237))=0</formula>
    </cfRule>
  </conditionalFormatting>
  <conditionalFormatting sqref="E249:R258">
    <cfRule type="containsBlanks" dxfId="2" priority="4">
      <formula>LEN(TRIM(E249))=0</formula>
    </cfRule>
  </conditionalFormatting>
  <conditionalFormatting sqref="E262:R263">
    <cfRule type="containsBlanks" dxfId="1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DPRD PROVINSI</vt:lpstr>
      <vt:lpstr>ALASMALANG</vt:lpstr>
      <vt:lpstr>BENELAN KIDUL</vt:lpstr>
      <vt:lpstr>CANTUK</vt:lpstr>
      <vt:lpstr>GAMBOR</vt:lpstr>
      <vt:lpstr>GUMIRIH</vt:lpstr>
      <vt:lpstr>KEMIRI</vt:lpstr>
      <vt:lpstr>LEMAHBANGKULON</vt:lpstr>
      <vt:lpstr>PADANG</vt:lpstr>
      <vt:lpstr>SINGOJURUH</vt:lpstr>
      <vt:lpstr>SINGOLATREN</vt:lpstr>
      <vt:lpstr>SUMBERBARU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TEKHUM KPU BWI</dc:creator>
  <cp:lastModifiedBy>Subbag Hukum SDM</cp:lastModifiedBy>
  <dcterms:created xsi:type="dcterms:W3CDTF">2026-01-14T02:26:01Z</dcterms:created>
  <dcterms:modified xsi:type="dcterms:W3CDTF">2026-01-29T04:30:36Z</dcterms:modified>
</cp:coreProperties>
</file>