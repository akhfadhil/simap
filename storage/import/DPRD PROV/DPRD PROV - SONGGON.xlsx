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SONGGON" sheetId="2" r:id="rId5"/>
    <sheet state="visible" name="BALAK" sheetId="3" r:id="rId6"/>
    <sheet state="visible" name="SRAGI" sheetId="4" r:id="rId7"/>
    <sheet state="visible" name="PARANGHARJO" sheetId="5" r:id="rId8"/>
    <sheet state="visible" name="BEDEWANG" sheetId="6" r:id="rId9"/>
    <sheet state="visible" name="BAYU" sheetId="7" r:id="rId10"/>
    <sheet state="visible" name="SUMBERARUM" sheetId="8" r:id="rId11"/>
    <sheet state="visible" name="SUMBERBULU" sheetId="9" r:id="rId12"/>
    <sheet state="visible" name="BANGUNSARI" sheetId="10" r:id="rId13"/>
  </sheets>
  <definedNames/>
  <calcPr/>
  <extLst>
    <ext uri="GoogleSheetsCustomDataVersion2">
      <go:sheetsCustomData xmlns:go="http://customooxmlschemas.google.com/" r:id="rId14" roundtripDataChecksum="gtLxwJZYts3l3ULa4JsWLhd8ybcc7tUtupq9mJjhCfQ="/>
    </ext>
  </extLst>
</workbook>
</file>

<file path=xl/sharedStrings.xml><?xml version="1.0" encoding="utf-8"?>
<sst xmlns="http://schemas.openxmlformats.org/spreadsheetml/2006/main" count="3029" uniqueCount="226">
  <si>
    <t>Kecamatan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</si>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</sst>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1</v>
      </c>
      <c r="D9" s="8" t="s">
        <v>2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3</v>
      </c>
      <c r="D10" s="8" t="s">
        <v>4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5</v>
      </c>
      <c r="B12" s="14" t="s">
        <v>6</v>
      </c>
      <c r="C12" s="15"/>
      <c r="D12" s="16"/>
      <c r="E12" s="17" t="s">
        <v>7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8</v>
      </c>
      <c r="B13" s="20" t="s">
        <v>9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10</v>
      </c>
      <c r="C14" s="23"/>
      <c r="D14" s="19" t="s">
        <v>11</v>
      </c>
      <c r="E14" s="24">
        <v>22660.0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12</v>
      </c>
      <c r="E15" s="24">
        <v>22859.0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13</v>
      </c>
      <c r="E16" s="29">
        <f>SUM(E14:E15)</f>
        <v>45519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14</v>
      </c>
      <c r="B18" s="20" t="s">
        <v>15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16</v>
      </c>
      <c r="C19" s="33" t="s">
        <v>17</v>
      </c>
      <c r="D19" s="19" t="s">
        <v>11</v>
      </c>
      <c r="E19" s="24">
        <v>16766.0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12</v>
      </c>
      <c r="E20" s="24">
        <v>18136.0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13</v>
      </c>
      <c r="E21" s="29">
        <f>SUM(E19:E20)</f>
        <v>34902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18</v>
      </c>
      <c r="C22" s="33" t="s">
        <v>19</v>
      </c>
      <c r="D22" s="19" t="s">
        <v>11</v>
      </c>
      <c r="E22" s="38">
        <v>6.0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12</v>
      </c>
      <c r="E23" s="38">
        <v>36.0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13</v>
      </c>
      <c r="E24" s="39">
        <f>SUM(E22:E23)</f>
        <v>42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20</v>
      </c>
      <c r="C25" s="33" t="s">
        <v>21</v>
      </c>
      <c r="D25" s="19" t="s">
        <v>11</v>
      </c>
      <c r="E25" s="38">
        <v>105.0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12</v>
      </c>
      <c r="E26" s="38">
        <v>114.0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13</v>
      </c>
      <c r="E27" s="39">
        <f>SUM(E25:E26)</f>
        <v>219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40" t="s">
        <v>22</v>
      </c>
      <c r="C28" s="41" t="s">
        <v>23</v>
      </c>
      <c r="D28" s="13" t="s">
        <v>11</v>
      </c>
      <c r="E28" s="29">
        <f t="shared" ref="E28:E29" si="1">E19+E22+E25</f>
        <v>16877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12</v>
      </c>
      <c r="E29" s="29">
        <f t="shared" si="1"/>
        <v>18286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13</v>
      </c>
      <c r="E30" s="29">
        <f>SUM(E28:E29)</f>
        <v>35163</v>
      </c>
      <c r="F30" s="4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3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4" t="s">
        <v>24</v>
      </c>
      <c r="B32" s="14" t="s">
        <v>25</v>
      </c>
      <c r="C32" s="15"/>
      <c r="D32" s="16"/>
      <c r="E32" s="3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26</v>
      </c>
      <c r="C33" s="15"/>
      <c r="D33" s="16"/>
      <c r="E33" s="24">
        <v>46120.0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27</v>
      </c>
      <c r="C34" s="15"/>
      <c r="D34" s="16"/>
      <c r="E34" s="24">
        <v>35163.0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28</v>
      </c>
      <c r="C35" s="15"/>
      <c r="D35" s="16"/>
      <c r="E35" s="38">
        <v>57.0</v>
      </c>
      <c r="F35" s="4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29</v>
      </c>
      <c r="C36" s="15"/>
      <c r="D36" s="16"/>
      <c r="E36" s="29">
        <f>E33-(E34+E35)</f>
        <v>10900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5" t="s">
        <v>30</v>
      </c>
      <c r="B38" s="14" t="s">
        <v>31</v>
      </c>
      <c r="C38" s="15"/>
      <c r="D38" s="16"/>
      <c r="E38" s="3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6" t="s">
        <v>32</v>
      </c>
      <c r="C39" s="23"/>
      <c r="D39" s="19" t="s">
        <v>11</v>
      </c>
      <c r="E39" s="38">
        <v>18.0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12</v>
      </c>
      <c r="E40" s="38">
        <v>27.0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4"/>
      <c r="B41" s="47"/>
      <c r="C41" s="28"/>
      <c r="D41" s="13" t="s">
        <v>13</v>
      </c>
      <c r="E41" s="39">
        <f>SUM(E39:E40)</f>
        <v>45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8"/>
      <c r="B42" s="47"/>
      <c r="C42" s="47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5" t="s">
        <v>33</v>
      </c>
      <c r="B43" s="14" t="s">
        <v>34</v>
      </c>
      <c r="C43" s="15"/>
      <c r="D43" s="16"/>
      <c r="E43" s="3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6" t="s">
        <v>35</v>
      </c>
      <c r="B44" s="49"/>
      <c r="C44" s="49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36</v>
      </c>
      <c r="B45" s="50" t="s">
        <v>16</v>
      </c>
      <c r="C45" s="51" t="s">
        <v>37</v>
      </c>
      <c r="D45" s="16"/>
      <c r="E45" s="24">
        <v>1568.0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1" t="s">
        <v>38</v>
      </c>
      <c r="B46" s="52"/>
      <c r="C46" s="53" t="s">
        <v>39</v>
      </c>
      <c r="D46" s="53"/>
      <c r="E46" s="24">
        <v>2891.0</v>
      </c>
      <c r="F46" s="54"/>
      <c r="G46" s="55"/>
      <c r="H46" s="55"/>
      <c r="I46" s="55"/>
      <c r="J46" s="55"/>
      <c r="K46" s="55"/>
      <c r="L46" s="55"/>
      <c r="M46" s="55"/>
      <c r="N46" s="55"/>
      <c r="O46" s="55"/>
      <c r="P46" s="56"/>
      <c r="Q46" s="3"/>
      <c r="R46" s="3"/>
      <c r="S46" s="3"/>
      <c r="T46" s="3"/>
      <c r="U46" s="3"/>
      <c r="V46" s="3"/>
      <c r="W46" s="57"/>
      <c r="X46" s="3"/>
      <c r="Y46" s="3"/>
      <c r="Z46" s="3"/>
    </row>
    <row r="47" ht="15.75" customHeight="1">
      <c r="A47" s="18"/>
      <c r="B47" s="58"/>
      <c r="C47" s="53" t="s">
        <v>40</v>
      </c>
      <c r="D47" s="53"/>
      <c r="E47" s="38">
        <v>626.0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8"/>
      <c r="C48" s="53" t="s">
        <v>41</v>
      </c>
      <c r="D48" s="53"/>
      <c r="E48" s="38">
        <v>160.0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8"/>
      <c r="C49" s="53" t="s">
        <v>42</v>
      </c>
      <c r="D49" s="53"/>
      <c r="E49" s="38">
        <v>210.0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8"/>
      <c r="C50" s="53" t="s">
        <v>43</v>
      </c>
      <c r="D50" s="53"/>
      <c r="E50" s="38">
        <v>115.0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8"/>
      <c r="C51" s="53" t="s">
        <v>44</v>
      </c>
      <c r="D51" s="53"/>
      <c r="E51" s="38">
        <v>70.0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8"/>
      <c r="C52" s="53" t="s">
        <v>45</v>
      </c>
      <c r="D52" s="53"/>
      <c r="E52" s="38">
        <v>62.0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8"/>
      <c r="C53" s="53" t="s">
        <v>46</v>
      </c>
      <c r="D53" s="53"/>
      <c r="E53" s="38">
        <v>34.0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8"/>
      <c r="C54" s="53" t="s">
        <v>47</v>
      </c>
      <c r="D54" s="53"/>
      <c r="E54" s="38">
        <v>25.0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14</v>
      </c>
      <c r="B55" s="50" t="s">
        <v>48</v>
      </c>
      <c r="C55" s="15"/>
      <c r="D55" s="16"/>
      <c r="E55" s="59">
        <f>SUM(E45:E52)</f>
        <v>5702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8"/>
      <c r="B56" s="47"/>
      <c r="C56" s="47"/>
      <c r="D56" s="47"/>
      <c r="E56" s="47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1" t="s">
        <v>36</v>
      </c>
      <c r="B57" s="50" t="s">
        <v>18</v>
      </c>
      <c r="C57" s="51" t="s">
        <v>49</v>
      </c>
      <c r="D57" s="16"/>
      <c r="E57" s="24">
        <v>1847.0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1" t="s">
        <v>38</v>
      </c>
      <c r="B58" s="58"/>
      <c r="C58" s="53" t="s">
        <v>50</v>
      </c>
      <c r="D58" s="60"/>
      <c r="E58" s="24">
        <v>1725.0</v>
      </c>
      <c r="F58" s="54"/>
      <c r="G58" s="55"/>
      <c r="H58" s="55"/>
      <c r="I58" s="55"/>
      <c r="J58" s="55"/>
      <c r="K58" s="55"/>
      <c r="L58" s="55"/>
      <c r="M58" s="55"/>
      <c r="N58" s="55"/>
      <c r="O58" s="55"/>
      <c r="P58" s="56"/>
      <c r="Q58" s="3"/>
      <c r="R58" s="3"/>
      <c r="S58" s="3"/>
      <c r="T58" s="3"/>
      <c r="U58" s="3"/>
      <c r="V58" s="3"/>
      <c r="W58" s="57"/>
      <c r="X58" s="3"/>
      <c r="Y58" s="3"/>
      <c r="Z58" s="3"/>
    </row>
    <row r="59" ht="15.75" customHeight="1">
      <c r="A59" s="18"/>
      <c r="B59" s="58"/>
      <c r="C59" s="53" t="s">
        <v>51</v>
      </c>
      <c r="D59" s="60"/>
      <c r="E59" s="24">
        <v>1722.0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8"/>
      <c r="C60" s="53" t="s">
        <v>52</v>
      </c>
      <c r="D60" s="60"/>
      <c r="E60" s="38">
        <v>352.0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8"/>
      <c r="C61" s="53" t="s">
        <v>53</v>
      </c>
      <c r="D61" s="60"/>
      <c r="E61" s="38">
        <v>905.0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8"/>
      <c r="C62" s="53" t="s">
        <v>54</v>
      </c>
      <c r="D62" s="60"/>
      <c r="E62" s="38">
        <v>185.0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8"/>
      <c r="C63" s="53" t="s">
        <v>55</v>
      </c>
      <c r="D63" s="61"/>
      <c r="E63" s="38">
        <v>71.0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8"/>
      <c r="C64" s="53" t="s">
        <v>56</v>
      </c>
      <c r="D64" s="60"/>
      <c r="E64" s="38">
        <v>33.0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8"/>
      <c r="C65" s="53" t="s">
        <v>57</v>
      </c>
      <c r="D65" s="60"/>
      <c r="E65" s="38">
        <v>23.0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8"/>
      <c r="C66" s="53" t="s">
        <v>58</v>
      </c>
      <c r="D66" s="60"/>
      <c r="E66" s="38">
        <v>49.0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14</v>
      </c>
      <c r="B67" s="50" t="s">
        <v>48</v>
      </c>
      <c r="C67" s="15"/>
      <c r="D67" s="16"/>
      <c r="E67" s="59">
        <f>SUM(E57:E64)</f>
        <v>6840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8"/>
      <c r="B68" s="47"/>
      <c r="C68" s="47"/>
      <c r="D68" s="47"/>
      <c r="E68" s="47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1" t="s">
        <v>36</v>
      </c>
      <c r="B69" s="50" t="s">
        <v>20</v>
      </c>
      <c r="C69" s="51" t="s">
        <v>59</v>
      </c>
      <c r="D69" s="16"/>
      <c r="E69" s="24">
        <v>2023.0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1" t="s">
        <v>38</v>
      </c>
      <c r="B70" s="58"/>
      <c r="C70" s="53" t="s">
        <v>60</v>
      </c>
      <c r="D70" s="61"/>
      <c r="E70" s="38">
        <v>784.0</v>
      </c>
      <c r="F70" s="54"/>
      <c r="G70" s="55"/>
      <c r="H70" s="55"/>
      <c r="I70" s="55"/>
      <c r="J70" s="55"/>
      <c r="K70" s="55"/>
      <c r="L70" s="55"/>
      <c r="M70" s="55"/>
      <c r="N70" s="55"/>
      <c r="O70" s="55"/>
      <c r="P70" s="56"/>
      <c r="Q70" s="3"/>
      <c r="R70" s="3"/>
      <c r="S70" s="3"/>
      <c r="T70" s="3"/>
      <c r="U70" s="3"/>
      <c r="V70" s="3"/>
      <c r="W70" s="57"/>
      <c r="X70" s="3"/>
      <c r="Y70" s="3"/>
      <c r="Z70" s="3"/>
    </row>
    <row r="71" ht="15.75" customHeight="1">
      <c r="A71" s="18"/>
      <c r="B71" s="58"/>
      <c r="C71" s="53" t="s">
        <v>61</v>
      </c>
      <c r="D71" s="61"/>
      <c r="E71" s="24">
        <v>2565.0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8"/>
      <c r="C72" s="53" t="s">
        <v>62</v>
      </c>
      <c r="D72" s="61"/>
      <c r="E72" s="38">
        <v>566.0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8"/>
      <c r="C73" s="53" t="s">
        <v>63</v>
      </c>
      <c r="D73" s="61"/>
      <c r="E73" s="38">
        <v>666.0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8"/>
      <c r="C74" s="53" t="s">
        <v>64</v>
      </c>
      <c r="D74" s="61"/>
      <c r="E74" s="38">
        <v>323.0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8"/>
      <c r="C75" s="53" t="s">
        <v>65</v>
      </c>
      <c r="D75" s="61"/>
      <c r="E75" s="38">
        <v>185.0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8"/>
      <c r="C76" s="53" t="s">
        <v>66</v>
      </c>
      <c r="D76" s="61"/>
      <c r="E76" s="38">
        <v>109.0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8"/>
      <c r="C77" s="53" t="s">
        <v>67</v>
      </c>
      <c r="D77" s="61"/>
      <c r="E77" s="38">
        <v>126.0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8"/>
      <c r="C78" s="53" t="s">
        <v>68</v>
      </c>
      <c r="D78" s="61"/>
      <c r="E78" s="38">
        <v>76.0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14</v>
      </c>
      <c r="B79" s="50" t="s">
        <v>48</v>
      </c>
      <c r="C79" s="15"/>
      <c r="D79" s="16"/>
      <c r="E79" s="59">
        <f>SUM(E69:E76)</f>
        <v>7221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8"/>
      <c r="B80" s="47"/>
      <c r="C80" s="47"/>
      <c r="D80" s="47"/>
      <c r="E80" s="47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1" t="s">
        <v>36</v>
      </c>
      <c r="B81" s="50" t="s">
        <v>22</v>
      </c>
      <c r="C81" s="51" t="s">
        <v>69</v>
      </c>
      <c r="D81" s="16"/>
      <c r="E81" s="38">
        <v>699.0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 t="s">
        <v>38</v>
      </c>
      <c r="B82" s="58"/>
      <c r="C82" s="53" t="s">
        <v>70</v>
      </c>
      <c r="D82" s="61"/>
      <c r="E82" s="24">
        <v>1300.0</v>
      </c>
      <c r="F82" s="54"/>
      <c r="G82" s="55"/>
      <c r="H82" s="55"/>
      <c r="I82" s="55"/>
      <c r="J82" s="55"/>
      <c r="K82" s="55"/>
      <c r="L82" s="55"/>
      <c r="M82" s="55"/>
      <c r="N82" s="55"/>
      <c r="O82" s="55"/>
      <c r="P82" s="56"/>
      <c r="Q82" s="3"/>
      <c r="R82" s="3"/>
      <c r="S82" s="3"/>
      <c r="T82" s="3"/>
      <c r="U82" s="3"/>
      <c r="V82" s="3"/>
      <c r="W82" s="57"/>
      <c r="X82" s="3"/>
      <c r="Y82" s="3"/>
      <c r="Z82" s="3"/>
    </row>
    <row r="83" ht="15.75" customHeight="1">
      <c r="A83" s="18"/>
      <c r="B83" s="58"/>
      <c r="C83" s="53" t="s">
        <v>71</v>
      </c>
      <c r="D83" s="61"/>
      <c r="E83" s="38">
        <v>180.0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8"/>
      <c r="C84" s="53" t="s">
        <v>72</v>
      </c>
      <c r="D84" s="61"/>
      <c r="E84" s="38">
        <v>197.0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8"/>
      <c r="C85" s="53" t="s">
        <v>73</v>
      </c>
      <c r="D85" s="61"/>
      <c r="E85" s="38">
        <v>236.0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8"/>
      <c r="C86" s="53" t="s">
        <v>74</v>
      </c>
      <c r="D86" s="61"/>
      <c r="E86" s="38">
        <v>852.0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8"/>
      <c r="C87" s="53" t="s">
        <v>75</v>
      </c>
      <c r="D87" s="61"/>
      <c r="E87" s="38">
        <v>29.0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8"/>
      <c r="C88" s="53" t="s">
        <v>76</v>
      </c>
      <c r="D88" s="61"/>
      <c r="E88" s="38">
        <v>17.0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8"/>
      <c r="C89" s="53" t="s">
        <v>77</v>
      </c>
      <c r="D89" s="61"/>
      <c r="E89" s="38">
        <v>10.0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8"/>
      <c r="C90" s="53" t="s">
        <v>78</v>
      </c>
      <c r="D90" s="61"/>
      <c r="E90" s="38">
        <v>36.0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14</v>
      </c>
      <c r="B91" s="50" t="s">
        <v>48</v>
      </c>
      <c r="C91" s="15"/>
      <c r="D91" s="16"/>
      <c r="E91" s="13">
        <f>SUM(E81:E88)</f>
        <v>3510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8"/>
      <c r="B92" s="47"/>
      <c r="C92" s="47"/>
      <c r="D92" s="47"/>
      <c r="E92" s="47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1" t="s">
        <v>36</v>
      </c>
      <c r="B93" s="50" t="s">
        <v>79</v>
      </c>
      <c r="C93" s="51" t="s">
        <v>80</v>
      </c>
      <c r="D93" s="16"/>
      <c r="E93" s="38">
        <v>266.0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 t="s">
        <v>38</v>
      </c>
      <c r="B94" s="58"/>
      <c r="C94" s="53" t="s">
        <v>81</v>
      </c>
      <c r="D94" s="61"/>
      <c r="E94" s="38">
        <v>313.0</v>
      </c>
      <c r="F94" s="54"/>
      <c r="G94" s="55"/>
      <c r="H94" s="55"/>
      <c r="I94" s="55"/>
      <c r="J94" s="55"/>
      <c r="K94" s="55"/>
      <c r="L94" s="55"/>
      <c r="M94" s="55"/>
      <c r="N94" s="55"/>
      <c r="O94" s="55"/>
      <c r="P94" s="56"/>
      <c r="Q94" s="3"/>
      <c r="R94" s="3"/>
      <c r="S94" s="3"/>
      <c r="T94" s="3"/>
      <c r="U94" s="3"/>
      <c r="V94" s="3"/>
      <c r="W94" s="57"/>
      <c r="X94" s="3"/>
      <c r="Y94" s="3"/>
      <c r="Z94" s="3"/>
    </row>
    <row r="95" ht="15.75" customHeight="1">
      <c r="A95" s="18"/>
      <c r="B95" s="58"/>
      <c r="C95" s="53" t="s">
        <v>82</v>
      </c>
      <c r="D95" s="61"/>
      <c r="E95" s="38">
        <v>58.0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8"/>
      <c r="C96" s="53" t="s">
        <v>83</v>
      </c>
      <c r="D96" s="61"/>
      <c r="E96" s="38">
        <v>32.0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8"/>
      <c r="C97" s="53" t="s">
        <v>84</v>
      </c>
      <c r="D97" s="61"/>
      <c r="E97" s="38">
        <v>56.0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8"/>
      <c r="C98" s="53" t="s">
        <v>85</v>
      </c>
      <c r="D98" s="61"/>
      <c r="E98" s="38">
        <v>22.0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8"/>
      <c r="C99" s="53" t="s">
        <v>86</v>
      </c>
      <c r="D99" s="61"/>
      <c r="E99" s="38">
        <v>17.0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8"/>
      <c r="C100" s="53" t="s">
        <v>87</v>
      </c>
      <c r="D100" s="61"/>
      <c r="E100" s="38">
        <v>6.0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8"/>
      <c r="C101" s="53" t="s">
        <v>88</v>
      </c>
      <c r="D101" s="61"/>
      <c r="E101" s="38">
        <v>3.0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8"/>
      <c r="C102" s="53" t="s">
        <v>89</v>
      </c>
      <c r="D102" s="61"/>
      <c r="E102" s="38">
        <v>5.0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14</v>
      </c>
      <c r="B103" s="50" t="s">
        <v>48</v>
      </c>
      <c r="C103" s="15"/>
      <c r="D103" s="16"/>
      <c r="E103" s="13">
        <f>SUM(E93:E100)</f>
        <v>770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8"/>
      <c r="B104" s="47"/>
      <c r="C104" s="47"/>
      <c r="D104" s="47"/>
      <c r="E104" s="47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1" t="s">
        <v>36</v>
      </c>
      <c r="B105" s="50" t="s">
        <v>90</v>
      </c>
      <c r="C105" s="51" t="s">
        <v>91</v>
      </c>
      <c r="D105" s="16"/>
      <c r="E105" s="38">
        <v>136.0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1" t="s">
        <v>38</v>
      </c>
      <c r="B106" s="58"/>
      <c r="C106" s="53" t="s">
        <v>92</v>
      </c>
      <c r="D106" s="61"/>
      <c r="E106" s="38">
        <v>53.0</v>
      </c>
      <c r="F106" s="54"/>
      <c r="G106" s="55"/>
      <c r="H106" s="55"/>
      <c r="I106" s="55"/>
      <c r="J106" s="55"/>
      <c r="K106" s="55"/>
      <c r="L106" s="55"/>
      <c r="M106" s="55"/>
      <c r="N106" s="55"/>
      <c r="O106" s="55"/>
      <c r="P106" s="56"/>
      <c r="Q106" s="3"/>
      <c r="R106" s="3"/>
      <c r="S106" s="3"/>
      <c r="T106" s="3"/>
      <c r="U106" s="3"/>
      <c r="V106" s="3"/>
      <c r="W106" s="57"/>
      <c r="X106" s="3"/>
      <c r="Y106" s="3"/>
      <c r="Z106" s="3"/>
    </row>
    <row r="107" ht="15.75" customHeight="1">
      <c r="A107" s="18"/>
      <c r="B107" s="58"/>
      <c r="C107" s="53" t="s">
        <v>93</v>
      </c>
      <c r="D107" s="61"/>
      <c r="E107" s="38">
        <v>15.0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62"/>
      <c r="C108" s="63"/>
      <c r="D108" s="64"/>
      <c r="E108" s="65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62"/>
      <c r="C109" s="63"/>
      <c r="D109" s="64"/>
      <c r="E109" s="65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62"/>
      <c r="C110" s="63"/>
      <c r="D110" s="64"/>
      <c r="E110" s="65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62"/>
      <c r="C111" s="63"/>
      <c r="D111" s="64"/>
      <c r="E111" s="65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62"/>
      <c r="C112" s="63"/>
      <c r="D112" s="64"/>
      <c r="E112" s="65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62"/>
      <c r="C113" s="63"/>
      <c r="D113" s="64"/>
      <c r="E113" s="65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62"/>
      <c r="C114" s="63"/>
      <c r="D114" s="64"/>
      <c r="E114" s="65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14</v>
      </c>
      <c r="B115" s="50" t="s">
        <v>48</v>
      </c>
      <c r="C115" s="15"/>
      <c r="D115" s="16"/>
      <c r="E115" s="13">
        <f>SUM(E105:E112)</f>
        <v>204</v>
      </c>
      <c r="F115" s="54"/>
      <c r="G115" s="55"/>
      <c r="H115" s="55"/>
      <c r="I115" s="55"/>
      <c r="J115" s="55"/>
      <c r="K115" s="55"/>
      <c r="L115" s="55"/>
      <c r="M115" s="55"/>
      <c r="N115" s="55"/>
      <c r="O115" s="55"/>
      <c r="P115" s="56"/>
      <c r="Q115" s="3"/>
      <c r="R115" s="3"/>
      <c r="S115" s="3"/>
      <c r="T115" s="3"/>
      <c r="U115" s="3"/>
      <c r="V115" s="3"/>
      <c r="W115" s="57"/>
      <c r="X115" s="3"/>
      <c r="Y115" s="3"/>
      <c r="Z115" s="3"/>
    </row>
    <row r="116" ht="15.75" customHeight="1">
      <c r="A116" s="30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1" t="s">
        <v>36</v>
      </c>
      <c r="B117" s="50" t="s">
        <v>94</v>
      </c>
      <c r="C117" s="51" t="s">
        <v>95</v>
      </c>
      <c r="D117" s="16"/>
      <c r="E117" s="38">
        <v>98.0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1" t="s">
        <v>38</v>
      </c>
      <c r="B118" s="58"/>
      <c r="C118" s="53" t="s">
        <v>96</v>
      </c>
      <c r="D118" s="61"/>
      <c r="E118" s="38">
        <v>46.0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8"/>
      <c r="C119" s="53" t="s">
        <v>97</v>
      </c>
      <c r="D119" s="61"/>
      <c r="E119" s="38">
        <v>17.0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8"/>
      <c r="C120" s="53" t="s">
        <v>98</v>
      </c>
      <c r="D120" s="61"/>
      <c r="E120" s="38">
        <v>15.0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8"/>
      <c r="C121" s="53" t="s">
        <v>99</v>
      </c>
      <c r="D121" s="61"/>
      <c r="E121" s="38">
        <v>17.0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8"/>
      <c r="C122" s="53" t="s">
        <v>100</v>
      </c>
      <c r="D122" s="61"/>
      <c r="E122" s="38">
        <v>10.0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62"/>
      <c r="C123" s="63"/>
      <c r="D123" s="64"/>
      <c r="E123" s="66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62"/>
      <c r="C124" s="63"/>
      <c r="D124" s="64"/>
      <c r="E124" s="66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62"/>
      <c r="C125" s="63"/>
      <c r="D125" s="64"/>
      <c r="E125" s="66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62"/>
      <c r="C126" s="63"/>
      <c r="D126" s="64"/>
      <c r="E126" s="66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14</v>
      </c>
      <c r="B127" s="50" t="s">
        <v>48</v>
      </c>
      <c r="C127" s="15"/>
      <c r="D127" s="16"/>
      <c r="E127" s="67">
        <f>SUM(E117:E120)</f>
        <v>176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0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1" t="s">
        <v>36</v>
      </c>
      <c r="B129" s="50" t="s">
        <v>101</v>
      </c>
      <c r="C129" s="51" t="s">
        <v>102</v>
      </c>
      <c r="D129" s="16"/>
      <c r="E129" s="38">
        <v>213.0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1" t="s">
        <v>38</v>
      </c>
      <c r="B130" s="58"/>
      <c r="C130" s="53" t="s">
        <v>103</v>
      </c>
      <c r="D130" s="60"/>
      <c r="E130" s="38">
        <v>549.0</v>
      </c>
      <c r="F130" s="54"/>
      <c r="G130" s="55"/>
      <c r="H130" s="55"/>
      <c r="I130" s="55"/>
      <c r="J130" s="55"/>
      <c r="K130" s="55"/>
      <c r="L130" s="55"/>
      <c r="M130" s="55"/>
      <c r="N130" s="55"/>
      <c r="O130" s="55"/>
      <c r="P130" s="56"/>
      <c r="Q130" s="3"/>
      <c r="R130" s="3"/>
      <c r="S130" s="3"/>
      <c r="T130" s="3"/>
      <c r="U130" s="3"/>
      <c r="V130" s="3"/>
      <c r="W130" s="57"/>
      <c r="X130" s="3"/>
      <c r="Y130" s="3"/>
      <c r="Z130" s="3"/>
    </row>
    <row r="131" ht="15.75" customHeight="1">
      <c r="A131" s="18"/>
      <c r="B131" s="58"/>
      <c r="C131" s="53" t="s">
        <v>104</v>
      </c>
      <c r="D131" s="60"/>
      <c r="E131" s="38">
        <v>34.0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8"/>
      <c r="C132" s="53" t="s">
        <v>105</v>
      </c>
      <c r="D132" s="60"/>
      <c r="E132" s="38">
        <v>31.0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8"/>
      <c r="C133" s="53" t="s">
        <v>106</v>
      </c>
      <c r="D133" s="60"/>
      <c r="E133" s="38">
        <v>13.0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8"/>
      <c r="C134" s="53" t="s">
        <v>107</v>
      </c>
      <c r="D134" s="60"/>
      <c r="E134" s="38">
        <v>12.0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8"/>
      <c r="C135" s="53" t="s">
        <v>108</v>
      </c>
      <c r="D135" s="61"/>
      <c r="E135" s="38">
        <v>28.0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8"/>
      <c r="C136" s="53" t="s">
        <v>109</v>
      </c>
      <c r="D136" s="60"/>
      <c r="E136" s="38">
        <v>5.0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8"/>
      <c r="C137" s="53" t="s">
        <v>110</v>
      </c>
      <c r="D137" s="60"/>
      <c r="E137" s="38">
        <v>12.0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8"/>
      <c r="C138" s="53" t="s">
        <v>111</v>
      </c>
      <c r="D138" s="60"/>
      <c r="E138" s="38">
        <v>11.0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14</v>
      </c>
      <c r="B139" s="50" t="s">
        <v>48</v>
      </c>
      <c r="C139" s="15"/>
      <c r="D139" s="16"/>
      <c r="E139" s="13">
        <f>SUM(E129:E136)</f>
        <v>885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0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1" t="s">
        <v>36</v>
      </c>
      <c r="B141" s="50" t="s">
        <v>112</v>
      </c>
      <c r="C141" s="51" t="s">
        <v>113</v>
      </c>
      <c r="D141" s="16"/>
      <c r="E141" s="38">
        <v>11.0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1" t="s">
        <v>38</v>
      </c>
      <c r="B142" s="58"/>
      <c r="C142" s="53" t="s">
        <v>114</v>
      </c>
      <c r="D142" s="61"/>
      <c r="E142" s="38">
        <v>7.0</v>
      </c>
      <c r="F142" s="54"/>
      <c r="G142" s="55"/>
      <c r="H142" s="55"/>
      <c r="I142" s="55"/>
      <c r="J142" s="55"/>
      <c r="K142" s="55"/>
      <c r="L142" s="55"/>
      <c r="M142" s="55"/>
      <c r="N142" s="55"/>
      <c r="O142" s="55"/>
      <c r="P142" s="56"/>
      <c r="Q142" s="3"/>
      <c r="R142" s="3"/>
      <c r="S142" s="3"/>
      <c r="T142" s="3"/>
      <c r="U142" s="3"/>
      <c r="V142" s="3"/>
      <c r="W142" s="57"/>
      <c r="X142" s="3"/>
      <c r="Y142" s="3"/>
      <c r="Z142" s="3"/>
    </row>
    <row r="143" ht="15.75" customHeight="1">
      <c r="A143" s="18"/>
      <c r="B143" s="58"/>
      <c r="C143" s="53" t="s">
        <v>115</v>
      </c>
      <c r="D143" s="61"/>
      <c r="E143" s="38">
        <v>1.0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8"/>
      <c r="C144" s="53" t="s">
        <v>116</v>
      </c>
      <c r="D144" s="61"/>
      <c r="E144" s="38">
        <v>2.0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62"/>
      <c r="C145" s="63"/>
      <c r="D145" s="64"/>
      <c r="E145" s="65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62"/>
      <c r="C146" s="63"/>
      <c r="D146" s="64"/>
      <c r="E146" s="65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62"/>
      <c r="C147" s="63"/>
      <c r="D147" s="64"/>
      <c r="E147" s="65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62"/>
      <c r="C148" s="63"/>
      <c r="D148" s="64"/>
      <c r="E148" s="65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62"/>
      <c r="C149" s="63"/>
      <c r="D149" s="64"/>
      <c r="E149" s="65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62"/>
      <c r="C150" s="63"/>
      <c r="D150" s="64"/>
      <c r="E150" s="65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14</v>
      </c>
      <c r="B151" s="50" t="s">
        <v>48</v>
      </c>
      <c r="C151" s="15"/>
      <c r="D151" s="16"/>
      <c r="E151" s="13">
        <f>SUM(E141:E148)</f>
        <v>21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0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1" t="s">
        <v>36</v>
      </c>
      <c r="B153" s="17" t="s">
        <v>117</v>
      </c>
      <c r="C153" s="68" t="s">
        <v>118</v>
      </c>
      <c r="D153" s="23"/>
      <c r="E153" s="38">
        <v>43.0</v>
      </c>
      <c r="F153" s="54"/>
      <c r="G153" s="55"/>
      <c r="H153" s="55"/>
      <c r="I153" s="55"/>
      <c r="J153" s="55"/>
      <c r="K153" s="55"/>
      <c r="L153" s="55"/>
      <c r="M153" s="55"/>
      <c r="N153" s="55"/>
      <c r="O153" s="55"/>
      <c r="P153" s="56"/>
      <c r="Q153" s="3"/>
      <c r="R153" s="3"/>
      <c r="S153" s="3"/>
      <c r="T153" s="3"/>
      <c r="U153" s="3"/>
      <c r="V153" s="3"/>
      <c r="W153" s="57"/>
      <c r="X153" s="3"/>
      <c r="Y153" s="3"/>
      <c r="Z153" s="3"/>
    </row>
    <row r="154" ht="15.75" customHeight="1">
      <c r="A154" s="69" t="s">
        <v>38</v>
      </c>
      <c r="B154" s="58"/>
      <c r="C154" s="53" t="s">
        <v>119</v>
      </c>
      <c r="D154" s="61"/>
      <c r="E154" s="38">
        <v>49.0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8"/>
      <c r="C155" s="53" t="s">
        <v>120</v>
      </c>
      <c r="D155" s="61"/>
      <c r="E155" s="38">
        <v>36.0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8"/>
      <c r="C156" s="53" t="s">
        <v>121</v>
      </c>
      <c r="D156" s="61"/>
      <c r="E156" s="38">
        <v>35.0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8"/>
      <c r="C157" s="53" t="s">
        <v>122</v>
      </c>
      <c r="D157" s="61"/>
      <c r="E157" s="38">
        <v>5.0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8"/>
      <c r="C158" s="53" t="s">
        <v>123</v>
      </c>
      <c r="D158" s="61"/>
      <c r="E158" s="38">
        <v>4.0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8"/>
      <c r="C159" s="53" t="s">
        <v>124</v>
      </c>
      <c r="D159" s="61"/>
      <c r="E159" s="38">
        <v>5.0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8"/>
      <c r="C160" s="53" t="s">
        <v>125</v>
      </c>
      <c r="D160" s="61"/>
      <c r="E160" s="38">
        <v>1.0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62"/>
      <c r="C161" s="70"/>
      <c r="D161" s="64"/>
      <c r="E161" s="66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62"/>
      <c r="C162" s="70"/>
      <c r="D162" s="64"/>
      <c r="E162" s="66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14</v>
      </c>
      <c r="B163" s="71" t="s">
        <v>48</v>
      </c>
      <c r="C163" s="47"/>
      <c r="D163" s="28"/>
      <c r="E163" s="13">
        <f>SUM(E153:E157)</f>
        <v>168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0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1" t="s">
        <v>36</v>
      </c>
      <c r="B165" s="50" t="s">
        <v>126</v>
      </c>
      <c r="C165" s="51" t="s">
        <v>127</v>
      </c>
      <c r="D165" s="16"/>
      <c r="E165" s="38">
        <v>45.0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1" t="s">
        <v>38</v>
      </c>
      <c r="B166" s="58"/>
      <c r="C166" s="53" t="s">
        <v>128</v>
      </c>
      <c r="D166" s="61"/>
      <c r="E166" s="38">
        <v>36.0</v>
      </c>
      <c r="F166" s="54"/>
      <c r="G166" s="55"/>
      <c r="H166" s="55"/>
      <c r="I166" s="55"/>
      <c r="J166" s="55"/>
      <c r="K166" s="55"/>
      <c r="L166" s="55"/>
      <c r="M166" s="55"/>
      <c r="N166" s="55"/>
      <c r="O166" s="55"/>
      <c r="P166" s="56"/>
      <c r="Q166" s="3"/>
      <c r="R166" s="3"/>
      <c r="S166" s="3"/>
      <c r="T166" s="3"/>
      <c r="U166" s="3"/>
      <c r="V166" s="3"/>
      <c r="W166" s="57"/>
      <c r="X166" s="3"/>
      <c r="Y166" s="3"/>
      <c r="Z166" s="3"/>
    </row>
    <row r="167" ht="15.75" customHeight="1">
      <c r="A167" s="18"/>
      <c r="B167" s="62"/>
      <c r="C167" s="63"/>
      <c r="D167" s="64"/>
      <c r="E167" s="65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62"/>
      <c r="C168" s="63"/>
      <c r="D168" s="64"/>
      <c r="E168" s="65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62"/>
      <c r="C169" s="63"/>
      <c r="D169" s="64"/>
      <c r="E169" s="65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62"/>
      <c r="C170" s="63"/>
      <c r="D170" s="64"/>
      <c r="E170" s="65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62"/>
      <c r="C171" s="63"/>
      <c r="D171" s="64"/>
      <c r="E171" s="65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62"/>
      <c r="C172" s="63"/>
      <c r="D172" s="64"/>
      <c r="E172" s="65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62"/>
      <c r="C173" s="63"/>
      <c r="D173" s="64"/>
      <c r="E173" s="65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62"/>
      <c r="C174" s="63"/>
      <c r="D174" s="64"/>
      <c r="E174" s="65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14</v>
      </c>
      <c r="B175" s="50" t="s">
        <v>48</v>
      </c>
      <c r="C175" s="15"/>
      <c r="D175" s="16"/>
      <c r="E175" s="13">
        <f>SUM(E165:E172)</f>
        <v>81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0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1" t="s">
        <v>36</v>
      </c>
      <c r="B177" s="50" t="s">
        <v>129</v>
      </c>
      <c r="C177" s="51" t="s">
        <v>130</v>
      </c>
      <c r="D177" s="16"/>
      <c r="E177" s="38">
        <v>74.0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1" t="s">
        <v>38</v>
      </c>
      <c r="B178" s="58"/>
      <c r="C178" s="53" t="s">
        <v>131</v>
      </c>
      <c r="D178" s="61"/>
      <c r="E178" s="38">
        <v>267.0</v>
      </c>
      <c r="F178" s="54"/>
      <c r="G178" s="55"/>
      <c r="H178" s="55"/>
      <c r="I178" s="55"/>
      <c r="J178" s="55"/>
      <c r="K178" s="55"/>
      <c r="L178" s="55"/>
      <c r="M178" s="55"/>
      <c r="N178" s="55"/>
      <c r="O178" s="55"/>
      <c r="P178" s="56"/>
      <c r="Q178" s="3"/>
      <c r="R178" s="3"/>
      <c r="S178" s="3"/>
      <c r="T178" s="3"/>
      <c r="U178" s="3"/>
      <c r="V178" s="3"/>
      <c r="W178" s="57"/>
      <c r="X178" s="3"/>
      <c r="Y178" s="3"/>
      <c r="Z178" s="3"/>
    </row>
    <row r="179" ht="15.75" customHeight="1">
      <c r="A179" s="18"/>
      <c r="B179" s="58"/>
      <c r="C179" s="53" t="s">
        <v>132</v>
      </c>
      <c r="D179" s="61"/>
      <c r="E179" s="38">
        <v>24.0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8"/>
      <c r="C180" s="53" t="s">
        <v>133</v>
      </c>
      <c r="D180" s="61"/>
      <c r="E180" s="38">
        <v>27.0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8"/>
      <c r="C181" s="53" t="s">
        <v>134</v>
      </c>
      <c r="D181" s="61"/>
      <c r="E181" s="38">
        <v>16.0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8"/>
      <c r="C182" s="53" t="s">
        <v>135</v>
      </c>
      <c r="D182" s="61"/>
      <c r="E182" s="38">
        <v>10.0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8"/>
      <c r="C183" s="53" t="s">
        <v>136</v>
      </c>
      <c r="D183" s="61"/>
      <c r="E183" s="38">
        <v>4.0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8"/>
      <c r="C184" s="53" t="s">
        <v>137</v>
      </c>
      <c r="D184" s="61"/>
      <c r="E184" s="38">
        <v>10.0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8"/>
      <c r="C185" s="53" t="s">
        <v>138</v>
      </c>
      <c r="D185" s="61"/>
      <c r="E185" s="38">
        <v>8.0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8"/>
      <c r="C186" s="53" t="s">
        <v>139</v>
      </c>
      <c r="D186" s="61"/>
      <c r="E186" s="38">
        <v>6.0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14</v>
      </c>
      <c r="B187" s="50" t="s">
        <v>48</v>
      </c>
      <c r="C187" s="15"/>
      <c r="D187" s="16"/>
      <c r="E187" s="13">
        <f>SUM(E177:E184)</f>
        <v>432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0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1" t="s">
        <v>36</v>
      </c>
      <c r="B189" s="50" t="s">
        <v>140</v>
      </c>
      <c r="C189" s="51" t="s">
        <v>141</v>
      </c>
      <c r="D189" s="16"/>
      <c r="E189" s="38">
        <v>21.0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1" t="s">
        <v>38</v>
      </c>
      <c r="B190" s="58"/>
      <c r="C190" s="53" t="s">
        <v>142</v>
      </c>
      <c r="D190" s="61"/>
      <c r="E190" s="38">
        <v>10.0</v>
      </c>
      <c r="F190" s="54"/>
      <c r="G190" s="55"/>
      <c r="H190" s="55"/>
      <c r="I190" s="55"/>
      <c r="J190" s="55"/>
      <c r="K190" s="55"/>
      <c r="L190" s="55"/>
      <c r="M190" s="55"/>
      <c r="N190" s="55"/>
      <c r="O190" s="55"/>
      <c r="P190" s="56"/>
      <c r="Q190" s="3"/>
      <c r="R190" s="3"/>
      <c r="S190" s="3"/>
      <c r="T190" s="3"/>
      <c r="U190" s="3"/>
      <c r="V190" s="3"/>
      <c r="W190" s="57"/>
      <c r="X190" s="3"/>
      <c r="Y190" s="3"/>
      <c r="Z190" s="3"/>
    </row>
    <row r="191" ht="15.75" customHeight="1">
      <c r="A191" s="18"/>
      <c r="B191" s="58"/>
      <c r="C191" s="53" t="s">
        <v>143</v>
      </c>
      <c r="D191" s="61"/>
      <c r="E191" s="38">
        <v>8.0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8"/>
      <c r="C192" s="53" t="s">
        <v>144</v>
      </c>
      <c r="D192" s="61"/>
      <c r="E192" s="38">
        <v>0.0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8"/>
      <c r="C193" s="53" t="s">
        <v>145</v>
      </c>
      <c r="D193" s="61"/>
      <c r="E193" s="38">
        <v>12.0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8"/>
      <c r="C194" s="53" t="s">
        <v>146</v>
      </c>
      <c r="D194" s="61"/>
      <c r="E194" s="38">
        <v>4.0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8"/>
      <c r="C195" s="53" t="s">
        <v>147</v>
      </c>
      <c r="D195" s="61"/>
      <c r="E195" s="38">
        <v>0.0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8"/>
      <c r="C196" s="53" t="s">
        <v>148</v>
      </c>
      <c r="D196" s="61"/>
      <c r="E196" s="38">
        <v>2.0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8"/>
      <c r="C197" s="53" t="s">
        <v>149</v>
      </c>
      <c r="D197" s="61"/>
      <c r="E197" s="38">
        <v>0.0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8"/>
      <c r="C198" s="53" t="s">
        <v>150</v>
      </c>
      <c r="D198" s="61"/>
      <c r="E198" s="38">
        <v>1.0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14</v>
      </c>
      <c r="B199" s="50" t="s">
        <v>48</v>
      </c>
      <c r="C199" s="15"/>
      <c r="D199" s="16"/>
      <c r="E199" s="13">
        <f>SUM(E189:E196)</f>
        <v>57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0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1" t="s">
        <v>36</v>
      </c>
      <c r="B201" s="50" t="s">
        <v>151</v>
      </c>
      <c r="C201" s="51" t="s">
        <v>152</v>
      </c>
      <c r="D201" s="16"/>
      <c r="E201" s="38">
        <v>607.0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1" t="s">
        <v>38</v>
      </c>
      <c r="B202" s="58"/>
      <c r="C202" s="53" t="s">
        <v>153</v>
      </c>
      <c r="D202" s="61"/>
      <c r="E202" s="38">
        <v>889.0</v>
      </c>
      <c r="F202" s="54"/>
      <c r="G202" s="55"/>
      <c r="H202" s="55"/>
      <c r="I202" s="55"/>
      <c r="J202" s="55"/>
      <c r="K202" s="55"/>
      <c r="L202" s="55"/>
      <c r="M202" s="55"/>
      <c r="N202" s="55"/>
      <c r="O202" s="55"/>
      <c r="P202" s="56"/>
      <c r="Q202" s="3"/>
      <c r="R202" s="3"/>
      <c r="S202" s="3"/>
      <c r="T202" s="3"/>
      <c r="U202" s="3"/>
      <c r="V202" s="3"/>
      <c r="W202" s="57"/>
      <c r="X202" s="3"/>
      <c r="Y202" s="3"/>
      <c r="Z202" s="3"/>
    </row>
    <row r="203" ht="15.75" customHeight="1">
      <c r="A203" s="18"/>
      <c r="B203" s="58"/>
      <c r="C203" s="53" t="s">
        <v>154</v>
      </c>
      <c r="D203" s="61"/>
      <c r="E203" s="38">
        <v>318.0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8"/>
      <c r="C204" s="53" t="s">
        <v>155</v>
      </c>
      <c r="D204" s="61"/>
      <c r="E204" s="38">
        <v>59.0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8"/>
      <c r="C205" s="53" t="s">
        <v>156</v>
      </c>
      <c r="D205" s="61"/>
      <c r="E205" s="38">
        <v>41.0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8"/>
      <c r="C206" s="53" t="s">
        <v>157</v>
      </c>
      <c r="D206" s="61"/>
      <c r="E206" s="38">
        <v>19.0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8"/>
      <c r="C207" s="53" t="s">
        <v>158</v>
      </c>
      <c r="D207" s="61"/>
      <c r="E207" s="38">
        <v>20.0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8"/>
      <c r="C208" s="53" t="s">
        <v>159</v>
      </c>
      <c r="D208" s="61"/>
      <c r="E208" s="38">
        <v>45.0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8"/>
      <c r="C209" s="53" t="s">
        <v>160</v>
      </c>
      <c r="D209" s="61"/>
      <c r="E209" s="38">
        <v>4.0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8"/>
      <c r="C210" s="53" t="s">
        <v>161</v>
      </c>
      <c r="D210" s="61"/>
      <c r="E210" s="38">
        <v>14.0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14</v>
      </c>
      <c r="B211" s="50" t="s">
        <v>48</v>
      </c>
      <c r="C211" s="15"/>
      <c r="D211" s="16"/>
      <c r="E211" s="13">
        <f>SUM(E201:E208)</f>
        <v>1998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0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1" t="s">
        <v>36</v>
      </c>
      <c r="B213" s="50" t="s">
        <v>162</v>
      </c>
      <c r="C213" s="51" t="s">
        <v>163</v>
      </c>
      <c r="D213" s="16"/>
      <c r="E213" s="38">
        <v>241.0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1" t="s">
        <v>38</v>
      </c>
      <c r="B214" s="58"/>
      <c r="C214" s="53" t="s">
        <v>164</v>
      </c>
      <c r="D214" s="60"/>
      <c r="E214" s="38">
        <v>168.0</v>
      </c>
      <c r="F214" s="54"/>
      <c r="G214" s="55"/>
      <c r="H214" s="55"/>
      <c r="I214" s="55"/>
      <c r="J214" s="55"/>
      <c r="K214" s="55"/>
      <c r="L214" s="55"/>
      <c r="M214" s="55"/>
      <c r="N214" s="55"/>
      <c r="O214" s="55"/>
      <c r="P214" s="56"/>
      <c r="Q214" s="3"/>
      <c r="R214" s="3"/>
      <c r="S214" s="3"/>
      <c r="T214" s="3"/>
      <c r="U214" s="3"/>
      <c r="V214" s="3"/>
      <c r="W214" s="57"/>
      <c r="X214" s="3"/>
      <c r="Y214" s="3"/>
      <c r="Z214" s="3"/>
    </row>
    <row r="215" ht="15.75" customHeight="1">
      <c r="A215" s="18"/>
      <c r="B215" s="58"/>
      <c r="C215" s="53" t="s">
        <v>165</v>
      </c>
      <c r="D215" s="60"/>
      <c r="E215" s="38">
        <v>149.0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8"/>
      <c r="C216" s="53" t="s">
        <v>166</v>
      </c>
      <c r="E216" s="38">
        <v>42.0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62"/>
      <c r="C217" s="63"/>
      <c r="D217" s="72"/>
      <c r="E217" s="65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62"/>
      <c r="C218" s="63"/>
      <c r="D218" s="72"/>
      <c r="E218" s="65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62"/>
      <c r="C219" s="63"/>
      <c r="D219" s="72"/>
      <c r="E219" s="65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62"/>
      <c r="C220" s="63"/>
      <c r="D220" s="72"/>
      <c r="E220" s="65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62"/>
      <c r="C221" s="63"/>
      <c r="D221" s="72"/>
      <c r="E221" s="65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62"/>
      <c r="C222" s="63"/>
      <c r="D222" s="72"/>
      <c r="E222" s="65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14</v>
      </c>
      <c r="B223" s="50" t="s">
        <v>48</v>
      </c>
      <c r="C223" s="15"/>
      <c r="D223" s="16"/>
      <c r="E223" s="13">
        <f>SUM(E213:E220)</f>
        <v>600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0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1" t="s">
        <v>36</v>
      </c>
      <c r="B225" s="50" t="s">
        <v>167</v>
      </c>
      <c r="C225" s="51" t="s">
        <v>168</v>
      </c>
      <c r="D225" s="16"/>
      <c r="E225" s="38">
        <v>32.0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1" t="s">
        <v>38</v>
      </c>
      <c r="B226" s="58"/>
      <c r="C226" s="53" t="s">
        <v>169</v>
      </c>
      <c r="D226" s="61"/>
      <c r="E226" s="38">
        <v>88.0</v>
      </c>
      <c r="F226" s="54"/>
      <c r="G226" s="55"/>
      <c r="H226" s="55"/>
      <c r="I226" s="55"/>
      <c r="J226" s="55"/>
      <c r="K226" s="55"/>
      <c r="L226" s="55"/>
      <c r="M226" s="55"/>
      <c r="N226" s="55"/>
      <c r="O226" s="55"/>
      <c r="P226" s="56"/>
      <c r="Q226" s="3"/>
      <c r="R226" s="3"/>
      <c r="S226" s="3"/>
      <c r="T226" s="3"/>
      <c r="U226" s="3"/>
      <c r="V226" s="3"/>
      <c r="W226" s="57"/>
      <c r="X226" s="3"/>
      <c r="Y226" s="3"/>
      <c r="Z226" s="3"/>
    </row>
    <row r="227" ht="15.75" customHeight="1">
      <c r="A227" s="18"/>
      <c r="B227" s="58"/>
      <c r="C227" s="53" t="s">
        <v>170</v>
      </c>
      <c r="D227" s="61"/>
      <c r="E227" s="38">
        <v>7.0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8"/>
      <c r="C228" s="53" t="s">
        <v>171</v>
      </c>
      <c r="D228" s="61"/>
      <c r="E228" s="38">
        <v>4.0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8"/>
      <c r="C229" s="53" t="s">
        <v>172</v>
      </c>
      <c r="D229" s="61"/>
      <c r="E229" s="38">
        <v>7.0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62"/>
      <c r="C230" s="63"/>
      <c r="D230" s="64"/>
      <c r="E230" s="65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62"/>
      <c r="C231" s="63"/>
      <c r="D231" s="64"/>
      <c r="E231" s="65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62"/>
      <c r="C232" s="63"/>
      <c r="D232" s="64"/>
      <c r="E232" s="65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62"/>
      <c r="C233" s="63"/>
      <c r="D233" s="64"/>
      <c r="E233" s="65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62"/>
      <c r="C234" s="63"/>
      <c r="D234" s="64"/>
      <c r="E234" s="65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14</v>
      </c>
      <c r="B235" s="50" t="s">
        <v>48</v>
      </c>
      <c r="C235" s="15"/>
      <c r="D235" s="16"/>
      <c r="E235" s="13">
        <f>SUM(E225:E232)</f>
        <v>138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0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1" t="s">
        <v>36</v>
      </c>
      <c r="B237" s="50" t="s">
        <v>173</v>
      </c>
      <c r="C237" s="51" t="s">
        <v>174</v>
      </c>
      <c r="D237" s="16"/>
      <c r="E237" s="38">
        <v>123.0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1" t="s">
        <v>38</v>
      </c>
      <c r="B238" s="58"/>
      <c r="C238" s="53" t="s">
        <v>175</v>
      </c>
      <c r="D238" s="61"/>
      <c r="E238" s="38">
        <v>89.0</v>
      </c>
      <c r="F238" s="54"/>
      <c r="G238" s="55"/>
      <c r="H238" s="55"/>
      <c r="I238" s="55"/>
      <c r="J238" s="55"/>
      <c r="K238" s="55"/>
      <c r="L238" s="55"/>
      <c r="M238" s="55"/>
      <c r="N238" s="55"/>
      <c r="O238" s="55"/>
      <c r="P238" s="56"/>
      <c r="Q238" s="3"/>
      <c r="R238" s="3"/>
      <c r="S238" s="3"/>
      <c r="T238" s="3"/>
      <c r="U238" s="3"/>
      <c r="V238" s="3"/>
      <c r="W238" s="57"/>
      <c r="X238" s="3"/>
      <c r="Y238" s="3"/>
      <c r="Z238" s="3"/>
    </row>
    <row r="239" ht="15.75" customHeight="1">
      <c r="A239" s="18"/>
      <c r="B239" s="58"/>
      <c r="C239" s="53" t="s">
        <v>176</v>
      </c>
      <c r="D239" s="61"/>
      <c r="E239" s="38">
        <v>248.0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8"/>
      <c r="C240" s="53" t="s">
        <v>177</v>
      </c>
      <c r="D240" s="61"/>
      <c r="E240" s="38">
        <v>15.0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8"/>
      <c r="C241" s="53" t="s">
        <v>178</v>
      </c>
      <c r="D241" s="61"/>
      <c r="E241" s="38">
        <v>21.0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8"/>
      <c r="C242" s="53" t="s">
        <v>179</v>
      </c>
      <c r="D242" s="61"/>
      <c r="E242" s="38">
        <v>124.0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8"/>
      <c r="C243" s="53" t="s">
        <v>180</v>
      </c>
      <c r="D243" s="61"/>
      <c r="E243" s="38">
        <v>14.0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8"/>
      <c r="C244" s="53" t="s">
        <v>181</v>
      </c>
      <c r="D244" s="61"/>
      <c r="E244" s="38">
        <v>11.0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8"/>
      <c r="C245" s="53" t="s">
        <v>182</v>
      </c>
      <c r="D245" s="61"/>
      <c r="E245" s="38">
        <v>5.0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8"/>
      <c r="C246" s="53" t="s">
        <v>183</v>
      </c>
      <c r="D246" s="61"/>
      <c r="E246" s="38">
        <v>13.0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14</v>
      </c>
      <c r="B247" s="50" t="s">
        <v>48</v>
      </c>
      <c r="C247" s="15"/>
      <c r="D247" s="16"/>
      <c r="E247" s="13">
        <f>SUM(E237:E244)</f>
        <v>645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0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1" t="s">
        <v>36</v>
      </c>
      <c r="B249" s="50" t="s">
        <v>184</v>
      </c>
      <c r="C249" s="51" t="s">
        <v>185</v>
      </c>
      <c r="D249" s="16"/>
      <c r="E249" s="38">
        <v>24.0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1" t="s">
        <v>38</v>
      </c>
      <c r="B250" s="58"/>
      <c r="C250" s="53" t="s">
        <v>186</v>
      </c>
      <c r="D250" s="61"/>
      <c r="E250" s="38">
        <v>22.0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8"/>
      <c r="C251" s="53" t="s">
        <v>187</v>
      </c>
      <c r="D251" s="61"/>
      <c r="E251" s="38">
        <v>3.0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8"/>
      <c r="C252" s="53" t="s">
        <v>188</v>
      </c>
      <c r="D252" s="61"/>
      <c r="E252" s="38">
        <v>5.0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62"/>
      <c r="C253" s="70"/>
      <c r="D253" s="64"/>
      <c r="E253" s="65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62"/>
      <c r="C254" s="70"/>
      <c r="D254" s="64"/>
      <c r="E254" s="65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62"/>
      <c r="C255" s="70"/>
      <c r="D255" s="64"/>
      <c r="E255" s="65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62"/>
      <c r="C256" s="70"/>
      <c r="D256" s="64"/>
      <c r="E256" s="65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62"/>
      <c r="C257" s="70"/>
      <c r="D257" s="64"/>
      <c r="E257" s="65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62"/>
      <c r="C258" s="70"/>
      <c r="D258" s="64"/>
      <c r="E258" s="65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14</v>
      </c>
      <c r="B259" s="50" t="s">
        <v>48</v>
      </c>
      <c r="C259" s="15"/>
      <c r="D259" s="16"/>
      <c r="E259" s="13">
        <f>SUM(E249:E255)</f>
        <v>54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5" t="s">
        <v>189</v>
      </c>
      <c r="B261" s="14" t="s">
        <v>190</v>
      </c>
      <c r="C261" s="15"/>
      <c r="D261" s="16"/>
      <c r="E261" s="7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5"/>
      <c r="B262" s="74" t="s">
        <v>191</v>
      </c>
      <c r="C262" s="75" t="s">
        <v>192</v>
      </c>
      <c r="D262" s="16"/>
      <c r="E262" s="38">
        <v>30000.0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6"/>
      <c r="B263" s="74" t="s">
        <v>193</v>
      </c>
      <c r="C263" s="75" t="s">
        <v>194</v>
      </c>
      <c r="D263" s="16"/>
      <c r="E263" s="38">
        <v>5163.0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4"/>
      <c r="B264" s="74" t="s">
        <v>195</v>
      </c>
      <c r="C264" s="75" t="s">
        <v>196</v>
      </c>
      <c r="D264" s="16"/>
      <c r="E264" s="13">
        <f>SUM(E262:E263)</f>
        <v>35163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6"/>
      <c r="C265" s="7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6"/>
      <c r="C266" s="7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6"/>
      <c r="C267" s="7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6"/>
      <c r="C268" s="7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6"/>
      <c r="C269" s="7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6"/>
      <c r="C270" s="7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6"/>
      <c r="C271" s="7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6"/>
      <c r="C272" s="7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6"/>
      <c r="C273" s="7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6"/>
      <c r="C274" s="7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6"/>
      <c r="C275" s="7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6"/>
      <c r="C276" s="7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6"/>
      <c r="C277" s="7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6"/>
      <c r="C278" s="7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6"/>
      <c r="C279" s="7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6"/>
      <c r="C280" s="7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6"/>
      <c r="C281" s="7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6"/>
      <c r="C282" s="7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6"/>
      <c r="C283" s="7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6"/>
      <c r="C284" s="7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6"/>
      <c r="C285" s="7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6"/>
      <c r="C286" s="7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6"/>
      <c r="C287" s="7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6"/>
      <c r="C288" s="7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6"/>
      <c r="C289" s="7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6"/>
      <c r="C290" s="7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6"/>
      <c r="C291" s="7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6"/>
      <c r="C292" s="7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6"/>
      <c r="C293" s="7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6"/>
      <c r="C294" s="7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6"/>
      <c r="C295" s="7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6"/>
      <c r="C296" s="7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6"/>
      <c r="C297" s="7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6"/>
      <c r="C298" s="7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6"/>
      <c r="C299" s="7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6"/>
      <c r="C300" s="7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6"/>
      <c r="C301" s="7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6"/>
      <c r="C302" s="7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6"/>
      <c r="C303" s="7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6"/>
      <c r="C304" s="7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6"/>
      <c r="C305" s="7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6"/>
      <c r="C306" s="7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6"/>
      <c r="C307" s="7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6"/>
      <c r="C308" s="7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6"/>
      <c r="C309" s="7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6"/>
      <c r="C310" s="7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6"/>
      <c r="C311" s="7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6"/>
      <c r="C312" s="7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6"/>
      <c r="C313" s="7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6"/>
      <c r="C314" s="7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6"/>
      <c r="C315" s="7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6"/>
      <c r="C316" s="7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6"/>
      <c r="C317" s="7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6"/>
      <c r="C318" s="7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6"/>
      <c r="C319" s="7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6"/>
      <c r="C320" s="7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6"/>
      <c r="C321" s="7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6"/>
      <c r="C322" s="7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6"/>
      <c r="C323" s="7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6"/>
      <c r="C324" s="7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6"/>
      <c r="C325" s="7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6"/>
      <c r="C326" s="7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6"/>
      <c r="C327" s="7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6"/>
      <c r="C328" s="7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6"/>
      <c r="C329" s="7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6"/>
      <c r="C330" s="7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6"/>
      <c r="C331" s="7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6"/>
      <c r="C332" s="7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6"/>
      <c r="C333" s="7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6"/>
      <c r="C334" s="7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6"/>
      <c r="C335" s="7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6"/>
      <c r="C336" s="7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6"/>
      <c r="C337" s="7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6"/>
      <c r="C338" s="7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6"/>
      <c r="C339" s="7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6"/>
      <c r="C340" s="7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6"/>
      <c r="C341" s="7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6"/>
      <c r="C342" s="7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6"/>
      <c r="C343" s="7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6"/>
      <c r="C344" s="7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6"/>
      <c r="C345" s="7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6"/>
      <c r="C346" s="7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6"/>
      <c r="C347" s="7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6"/>
      <c r="C348" s="7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6"/>
      <c r="C349" s="7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6"/>
      <c r="C350" s="7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6"/>
      <c r="C351" s="7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6"/>
      <c r="C352" s="7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6"/>
      <c r="C353" s="7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6"/>
      <c r="C354" s="7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6"/>
      <c r="C355" s="7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6"/>
      <c r="C356" s="7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6"/>
      <c r="C357" s="7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6"/>
      <c r="C358" s="7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6"/>
      <c r="C359" s="7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6"/>
      <c r="C360" s="7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6"/>
      <c r="C361" s="7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6"/>
      <c r="C362" s="7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6"/>
      <c r="C363" s="7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6"/>
      <c r="C364" s="7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6"/>
      <c r="C365" s="7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6"/>
      <c r="C366" s="7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6"/>
      <c r="C367" s="7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6"/>
      <c r="C368" s="7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6"/>
      <c r="C369" s="7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6"/>
      <c r="C370" s="7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6"/>
      <c r="C371" s="7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6"/>
      <c r="C372" s="7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6"/>
      <c r="C373" s="7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6"/>
      <c r="C374" s="7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6"/>
      <c r="C375" s="7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6"/>
      <c r="C376" s="7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6"/>
      <c r="C377" s="7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6"/>
      <c r="C378" s="7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6"/>
      <c r="C379" s="7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6"/>
      <c r="C380" s="7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6"/>
      <c r="C381" s="7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6"/>
      <c r="C382" s="7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6"/>
      <c r="C383" s="7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6"/>
      <c r="C384" s="7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6"/>
      <c r="C385" s="7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6"/>
      <c r="C386" s="7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6"/>
      <c r="C387" s="7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6"/>
      <c r="C388" s="7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6"/>
      <c r="C389" s="7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6"/>
      <c r="C390" s="7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6"/>
      <c r="C391" s="7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6"/>
      <c r="C392" s="7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6"/>
      <c r="C393" s="7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6"/>
      <c r="C394" s="7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6"/>
      <c r="C395" s="7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6"/>
      <c r="C396" s="7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6"/>
      <c r="C397" s="7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6"/>
      <c r="C398" s="7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6"/>
      <c r="C399" s="7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6"/>
      <c r="C400" s="7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6"/>
      <c r="C401" s="7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6"/>
      <c r="C402" s="7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6"/>
      <c r="C403" s="7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6"/>
      <c r="C404" s="7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6"/>
      <c r="C405" s="7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6"/>
      <c r="C406" s="7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6"/>
      <c r="C407" s="7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6"/>
      <c r="C408" s="7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6"/>
      <c r="C409" s="7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6"/>
      <c r="C410" s="7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6"/>
      <c r="C411" s="7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6"/>
      <c r="C412" s="7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6"/>
      <c r="C413" s="7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6"/>
      <c r="C414" s="7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6"/>
      <c r="C415" s="7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6"/>
      <c r="C416" s="7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6"/>
      <c r="C417" s="7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6"/>
      <c r="C418" s="7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6"/>
      <c r="C419" s="7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6"/>
      <c r="C420" s="7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6"/>
      <c r="C421" s="7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6"/>
      <c r="C422" s="7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6"/>
      <c r="C423" s="7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6"/>
      <c r="C424" s="7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6"/>
      <c r="C425" s="7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6"/>
      <c r="C426" s="7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6"/>
      <c r="C427" s="7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6"/>
      <c r="C428" s="7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6"/>
      <c r="C429" s="7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6"/>
      <c r="C430" s="7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6"/>
      <c r="C431" s="7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6"/>
      <c r="C432" s="7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6"/>
      <c r="C433" s="7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6"/>
      <c r="C434" s="7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6"/>
      <c r="C435" s="7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6"/>
      <c r="C436" s="7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6"/>
      <c r="C437" s="7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6"/>
      <c r="C438" s="7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6"/>
      <c r="C439" s="7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6"/>
      <c r="C440" s="7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6"/>
      <c r="C441" s="7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6"/>
      <c r="C442" s="7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6"/>
      <c r="C443" s="7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6"/>
      <c r="C444" s="7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6"/>
      <c r="C445" s="7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6"/>
      <c r="C446" s="7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6"/>
      <c r="C447" s="7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6"/>
      <c r="C448" s="7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6"/>
      <c r="C449" s="7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6"/>
      <c r="C450" s="7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6"/>
      <c r="C451" s="7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6"/>
      <c r="C452" s="7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6"/>
      <c r="C453" s="7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6"/>
      <c r="C454" s="7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6"/>
      <c r="C455" s="7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6"/>
      <c r="C456" s="7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6"/>
      <c r="C457" s="7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6"/>
      <c r="C458" s="7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6"/>
      <c r="C459" s="7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6"/>
      <c r="C460" s="7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6"/>
      <c r="C461" s="7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6"/>
      <c r="C462" s="77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6"/>
      <c r="C463" s="77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6"/>
      <c r="C464" s="77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5</v>
      </c>
      <c r="B12" s="14" t="s">
        <v>6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7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13" t="s">
        <v>217</v>
      </c>
      <c r="Y13" s="13" t="s">
        <v>218</v>
      </c>
      <c r="Z13" s="13" t="s">
        <v>219</v>
      </c>
      <c r="AA13" s="13" t="s">
        <v>220</v>
      </c>
      <c r="AB13" s="13" t="s">
        <v>221</v>
      </c>
      <c r="AC13" s="13" t="s">
        <v>222</v>
      </c>
      <c r="AD13" s="13" t="s">
        <v>223</v>
      </c>
      <c r="AE13" s="13" t="s">
        <v>224</v>
      </c>
      <c r="AF13" s="37"/>
    </row>
    <row r="14" ht="12.75" customHeight="1">
      <c r="A14" s="18"/>
      <c r="B14" s="22" t="s">
        <v>10</v>
      </c>
      <c r="C14" s="23"/>
      <c r="D14" s="19" t="s">
        <v>11</v>
      </c>
      <c r="E14" s="79">
        <v>105.0</v>
      </c>
      <c r="F14" s="79">
        <v>135.0</v>
      </c>
      <c r="G14" s="79">
        <v>112.0</v>
      </c>
      <c r="H14" s="79">
        <v>110.0</v>
      </c>
      <c r="I14" s="79">
        <v>120.0</v>
      </c>
      <c r="J14" s="79">
        <v>136.0</v>
      </c>
      <c r="K14" s="79">
        <v>146.0</v>
      </c>
      <c r="L14" s="79">
        <v>92.0</v>
      </c>
      <c r="M14" s="79">
        <v>81.0</v>
      </c>
      <c r="N14" s="79">
        <v>119.0</v>
      </c>
      <c r="O14" s="79">
        <v>140.0</v>
      </c>
      <c r="P14" s="79">
        <v>140.0</v>
      </c>
      <c r="Q14" s="79">
        <v>140.0</v>
      </c>
      <c r="R14" s="79">
        <v>145.0</v>
      </c>
      <c r="S14" s="79">
        <v>139.0</v>
      </c>
      <c r="T14" s="79">
        <v>94.0</v>
      </c>
      <c r="U14" s="79">
        <v>127.0</v>
      </c>
      <c r="V14" s="79">
        <v>157.0</v>
      </c>
      <c r="W14" s="79">
        <v>149.0</v>
      </c>
      <c r="X14" s="79">
        <v>127.0</v>
      </c>
      <c r="Y14" s="79">
        <v>140.0</v>
      </c>
      <c r="Z14" s="79">
        <v>127.0</v>
      </c>
      <c r="AA14" s="79">
        <v>122.0</v>
      </c>
      <c r="AB14" s="79">
        <v>147.0</v>
      </c>
      <c r="AC14" s="79">
        <v>150.0</v>
      </c>
      <c r="AD14" s="79">
        <v>148.0</v>
      </c>
      <c r="AE14" s="79">
        <v>136.0</v>
      </c>
      <c r="AF14" s="13">
        <f t="shared" ref="AF14:AF16" si="1">SUM(E14:AE14)</f>
        <v>3484</v>
      </c>
    </row>
    <row r="15" ht="12.75" customHeight="1">
      <c r="A15" s="18"/>
      <c r="B15" s="26"/>
      <c r="C15" s="27"/>
      <c r="D15" s="19" t="s">
        <v>12</v>
      </c>
      <c r="E15" s="79">
        <v>127.0</v>
      </c>
      <c r="F15" s="79">
        <v>134.0</v>
      </c>
      <c r="G15" s="79">
        <v>128.0</v>
      </c>
      <c r="H15" s="79">
        <v>110.0</v>
      </c>
      <c r="I15" s="79">
        <v>127.0</v>
      </c>
      <c r="J15" s="79">
        <v>130.0</v>
      </c>
      <c r="K15" s="79">
        <v>142.0</v>
      </c>
      <c r="L15" s="79">
        <v>98.0</v>
      </c>
      <c r="M15" s="79">
        <v>97.0</v>
      </c>
      <c r="N15" s="79">
        <v>129.0</v>
      </c>
      <c r="O15" s="79">
        <v>140.0</v>
      </c>
      <c r="P15" s="79">
        <v>136.0</v>
      </c>
      <c r="Q15" s="79">
        <v>134.0</v>
      </c>
      <c r="R15" s="79">
        <v>139.0</v>
      </c>
      <c r="S15" s="79">
        <v>141.0</v>
      </c>
      <c r="T15" s="79">
        <v>103.0</v>
      </c>
      <c r="U15" s="79">
        <v>127.0</v>
      </c>
      <c r="V15" s="79">
        <v>142.0</v>
      </c>
      <c r="W15" s="79">
        <v>148.0</v>
      </c>
      <c r="X15" s="79">
        <v>131.0</v>
      </c>
      <c r="Y15" s="79">
        <v>150.0</v>
      </c>
      <c r="Z15" s="79">
        <v>137.0</v>
      </c>
      <c r="AA15" s="79">
        <v>110.0</v>
      </c>
      <c r="AB15" s="79">
        <v>132.0</v>
      </c>
      <c r="AC15" s="79">
        <v>148.0</v>
      </c>
      <c r="AD15" s="79">
        <v>151.0</v>
      </c>
      <c r="AE15" s="79">
        <v>144.0</v>
      </c>
      <c r="AF15" s="13">
        <f t="shared" si="1"/>
        <v>3535</v>
      </c>
    </row>
    <row r="16" ht="12.75" customHeight="1">
      <c r="A16" s="25"/>
      <c r="B16" s="21"/>
      <c r="C16" s="28"/>
      <c r="D16" s="13" t="s">
        <v>13</v>
      </c>
      <c r="E16" s="13">
        <f t="shared" ref="E16:AE16" si="2">SUM(E14:E15)</f>
        <v>232</v>
      </c>
      <c r="F16" s="13">
        <f t="shared" si="2"/>
        <v>269</v>
      </c>
      <c r="G16" s="13">
        <f t="shared" si="2"/>
        <v>240</v>
      </c>
      <c r="H16" s="13">
        <f t="shared" si="2"/>
        <v>220</v>
      </c>
      <c r="I16" s="13">
        <f t="shared" si="2"/>
        <v>247</v>
      </c>
      <c r="J16" s="13">
        <f t="shared" si="2"/>
        <v>266</v>
      </c>
      <c r="K16" s="13">
        <f t="shared" si="2"/>
        <v>288</v>
      </c>
      <c r="L16" s="13">
        <f t="shared" si="2"/>
        <v>190</v>
      </c>
      <c r="M16" s="13">
        <f t="shared" si="2"/>
        <v>178</v>
      </c>
      <c r="N16" s="13">
        <f t="shared" si="2"/>
        <v>248</v>
      </c>
      <c r="O16" s="13">
        <f t="shared" si="2"/>
        <v>280</v>
      </c>
      <c r="P16" s="13">
        <f t="shared" si="2"/>
        <v>276</v>
      </c>
      <c r="Q16" s="13">
        <f t="shared" si="2"/>
        <v>274</v>
      </c>
      <c r="R16" s="13">
        <f t="shared" si="2"/>
        <v>284</v>
      </c>
      <c r="S16" s="13">
        <f t="shared" si="2"/>
        <v>280</v>
      </c>
      <c r="T16" s="13">
        <f t="shared" si="2"/>
        <v>197</v>
      </c>
      <c r="U16" s="13">
        <f t="shared" si="2"/>
        <v>254</v>
      </c>
      <c r="V16" s="13">
        <f t="shared" si="2"/>
        <v>299</v>
      </c>
      <c r="W16" s="13">
        <f t="shared" si="2"/>
        <v>297</v>
      </c>
      <c r="X16" s="13">
        <f t="shared" si="2"/>
        <v>258</v>
      </c>
      <c r="Y16" s="13">
        <f t="shared" si="2"/>
        <v>290</v>
      </c>
      <c r="Z16" s="13">
        <f t="shared" si="2"/>
        <v>264</v>
      </c>
      <c r="AA16" s="13">
        <f t="shared" si="2"/>
        <v>232</v>
      </c>
      <c r="AB16" s="13">
        <f t="shared" si="2"/>
        <v>279</v>
      </c>
      <c r="AC16" s="13">
        <f t="shared" si="2"/>
        <v>298</v>
      </c>
      <c r="AD16" s="13">
        <f t="shared" si="2"/>
        <v>299</v>
      </c>
      <c r="AE16" s="13">
        <f t="shared" si="2"/>
        <v>280</v>
      </c>
      <c r="AF16" s="13">
        <f t="shared" si="1"/>
        <v>7019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  <c r="O17" s="19"/>
      <c r="P17" s="19"/>
      <c r="Q17" s="19"/>
      <c r="R17" s="19"/>
      <c r="S17" s="80"/>
      <c r="T17" s="19"/>
      <c r="U17" s="19"/>
      <c r="V17" s="19"/>
      <c r="W17" s="19"/>
      <c r="X17" s="80"/>
      <c r="Y17" s="19"/>
      <c r="Z17" s="19"/>
      <c r="AA17" s="19"/>
      <c r="AB17" s="19"/>
      <c r="AC17" s="80"/>
      <c r="AD17" s="19"/>
      <c r="AE17" s="19"/>
      <c r="AF17" s="81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0"/>
      <c r="O18" s="19"/>
      <c r="P18" s="19"/>
      <c r="Q18" s="19"/>
      <c r="R18" s="19"/>
      <c r="S18" s="80"/>
      <c r="T18" s="19"/>
      <c r="U18" s="19"/>
      <c r="V18" s="19"/>
      <c r="W18" s="19"/>
      <c r="X18" s="80"/>
      <c r="Y18" s="19"/>
      <c r="Z18" s="19"/>
      <c r="AA18" s="19"/>
      <c r="AB18" s="19"/>
      <c r="AC18" s="80"/>
      <c r="AD18" s="19"/>
      <c r="AE18" s="19"/>
      <c r="AF18" s="81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79">
        <v>77.0</v>
      </c>
      <c r="F19" s="79">
        <v>95.0</v>
      </c>
      <c r="G19" s="79">
        <v>67.0</v>
      </c>
      <c r="H19" s="79">
        <v>84.0</v>
      </c>
      <c r="I19" s="79">
        <v>101.0</v>
      </c>
      <c r="J19" s="79">
        <v>95.0</v>
      </c>
      <c r="K19" s="79">
        <v>104.0</v>
      </c>
      <c r="L19" s="79">
        <v>65.0</v>
      </c>
      <c r="M19" s="79">
        <v>59.0</v>
      </c>
      <c r="N19" s="79">
        <v>80.0</v>
      </c>
      <c r="O19" s="79">
        <v>108.0</v>
      </c>
      <c r="P19" s="79">
        <v>103.0</v>
      </c>
      <c r="Q19" s="79">
        <v>109.0</v>
      </c>
      <c r="R19" s="79">
        <v>105.0</v>
      </c>
      <c r="S19" s="79">
        <v>101.0</v>
      </c>
      <c r="T19" s="79">
        <v>76.0</v>
      </c>
      <c r="U19" s="79">
        <v>95.0</v>
      </c>
      <c r="V19" s="79">
        <v>119.0</v>
      </c>
      <c r="W19" s="79">
        <v>110.0</v>
      </c>
      <c r="X19" s="79">
        <v>95.0</v>
      </c>
      <c r="Y19" s="79">
        <v>99.0</v>
      </c>
      <c r="Z19" s="79">
        <v>98.0</v>
      </c>
      <c r="AA19" s="79">
        <v>95.0</v>
      </c>
      <c r="AB19" s="79">
        <v>110.0</v>
      </c>
      <c r="AC19" s="79">
        <v>115.0</v>
      </c>
      <c r="AD19" s="79">
        <v>127.0</v>
      </c>
      <c r="AE19" s="79">
        <v>112.0</v>
      </c>
      <c r="AF19" s="13">
        <f t="shared" ref="AF19:AF30" si="3">SUM(E19:AE19)</f>
        <v>2604</v>
      </c>
    </row>
    <row r="20" ht="12.75" customHeight="1">
      <c r="A20" s="34"/>
      <c r="B20" s="27"/>
      <c r="C20" s="35"/>
      <c r="D20" s="19" t="s">
        <v>12</v>
      </c>
      <c r="E20" s="79">
        <v>107.0</v>
      </c>
      <c r="F20" s="79">
        <v>106.0</v>
      </c>
      <c r="G20" s="79">
        <v>88.0</v>
      </c>
      <c r="H20" s="79">
        <v>90.0</v>
      </c>
      <c r="I20" s="79">
        <v>104.0</v>
      </c>
      <c r="J20" s="79">
        <v>104.0</v>
      </c>
      <c r="K20" s="79">
        <v>108.0</v>
      </c>
      <c r="L20" s="79">
        <v>69.0</v>
      </c>
      <c r="M20" s="79">
        <v>69.0</v>
      </c>
      <c r="N20" s="79">
        <v>100.0</v>
      </c>
      <c r="O20" s="79">
        <v>108.0</v>
      </c>
      <c r="P20" s="79">
        <v>115.0</v>
      </c>
      <c r="Q20" s="79">
        <v>103.0</v>
      </c>
      <c r="R20" s="79">
        <v>115.0</v>
      </c>
      <c r="S20" s="79">
        <v>115.0</v>
      </c>
      <c r="T20" s="79">
        <v>81.0</v>
      </c>
      <c r="U20" s="79">
        <v>105.0</v>
      </c>
      <c r="V20" s="79">
        <v>120.0</v>
      </c>
      <c r="W20" s="79">
        <v>128.0</v>
      </c>
      <c r="X20" s="79">
        <v>110.0</v>
      </c>
      <c r="Y20" s="79">
        <v>116.0</v>
      </c>
      <c r="Z20" s="79">
        <v>116.0</v>
      </c>
      <c r="AA20" s="79">
        <v>93.0</v>
      </c>
      <c r="AB20" s="79">
        <v>109.0</v>
      </c>
      <c r="AC20" s="79">
        <v>114.0</v>
      </c>
      <c r="AD20" s="79">
        <v>132.0</v>
      </c>
      <c r="AE20" s="79">
        <v>127.0</v>
      </c>
      <c r="AF20" s="13">
        <f t="shared" si="3"/>
        <v>2852</v>
      </c>
    </row>
    <row r="21" ht="12.75" customHeight="1">
      <c r="A21" s="36"/>
      <c r="B21" s="28"/>
      <c r="C21" s="37"/>
      <c r="D21" s="13" t="s">
        <v>13</v>
      </c>
      <c r="E21" s="13">
        <f t="shared" ref="E21:AE21" si="4">SUM(E19:E20)</f>
        <v>184</v>
      </c>
      <c r="F21" s="13">
        <f t="shared" si="4"/>
        <v>201</v>
      </c>
      <c r="G21" s="13">
        <f t="shared" si="4"/>
        <v>155</v>
      </c>
      <c r="H21" s="13">
        <f t="shared" si="4"/>
        <v>174</v>
      </c>
      <c r="I21" s="13">
        <f t="shared" si="4"/>
        <v>205</v>
      </c>
      <c r="J21" s="13">
        <f t="shared" si="4"/>
        <v>199</v>
      </c>
      <c r="K21" s="13">
        <f t="shared" si="4"/>
        <v>212</v>
      </c>
      <c r="L21" s="13">
        <f t="shared" si="4"/>
        <v>134</v>
      </c>
      <c r="M21" s="13">
        <f t="shared" si="4"/>
        <v>128</v>
      </c>
      <c r="N21" s="13">
        <f t="shared" si="4"/>
        <v>180</v>
      </c>
      <c r="O21" s="13">
        <f t="shared" si="4"/>
        <v>216</v>
      </c>
      <c r="P21" s="13">
        <f t="shared" si="4"/>
        <v>218</v>
      </c>
      <c r="Q21" s="13">
        <f t="shared" si="4"/>
        <v>212</v>
      </c>
      <c r="R21" s="13">
        <f t="shared" si="4"/>
        <v>220</v>
      </c>
      <c r="S21" s="13">
        <f t="shared" si="4"/>
        <v>216</v>
      </c>
      <c r="T21" s="13">
        <f t="shared" si="4"/>
        <v>157</v>
      </c>
      <c r="U21" s="13">
        <f t="shared" si="4"/>
        <v>200</v>
      </c>
      <c r="V21" s="13">
        <f t="shared" si="4"/>
        <v>239</v>
      </c>
      <c r="W21" s="13">
        <f t="shared" si="4"/>
        <v>238</v>
      </c>
      <c r="X21" s="13">
        <f t="shared" si="4"/>
        <v>205</v>
      </c>
      <c r="Y21" s="13">
        <f t="shared" si="4"/>
        <v>215</v>
      </c>
      <c r="Z21" s="13">
        <f t="shared" si="4"/>
        <v>214</v>
      </c>
      <c r="AA21" s="13">
        <f t="shared" si="4"/>
        <v>188</v>
      </c>
      <c r="AB21" s="13">
        <f t="shared" si="4"/>
        <v>219</v>
      </c>
      <c r="AC21" s="13">
        <f t="shared" si="4"/>
        <v>229</v>
      </c>
      <c r="AD21" s="13">
        <f t="shared" si="4"/>
        <v>259</v>
      </c>
      <c r="AE21" s="13">
        <f t="shared" si="4"/>
        <v>239</v>
      </c>
      <c r="AF21" s="13">
        <f t="shared" si="3"/>
        <v>5456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1.0</v>
      </c>
      <c r="X22" s="79">
        <v>0.0</v>
      </c>
      <c r="Y22" s="79">
        <v>0.0</v>
      </c>
      <c r="Z22" s="79">
        <v>0.0</v>
      </c>
      <c r="AA22" s="79">
        <v>0.0</v>
      </c>
      <c r="AB22" s="79">
        <v>0.0</v>
      </c>
      <c r="AC22" s="79">
        <v>0.0</v>
      </c>
      <c r="AD22" s="79">
        <v>0.0</v>
      </c>
      <c r="AE22" s="79">
        <v>0.0</v>
      </c>
      <c r="AF22" s="13">
        <f t="shared" si="3"/>
        <v>1</v>
      </c>
    </row>
    <row r="23" ht="12.75" customHeight="1">
      <c r="A23" s="34"/>
      <c r="B23" s="27"/>
      <c r="C23" s="35"/>
      <c r="D23" s="19" t="s">
        <v>12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1.0</v>
      </c>
      <c r="X23" s="79">
        <v>0.0</v>
      </c>
      <c r="Y23" s="79">
        <v>1.0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13">
        <f t="shared" si="3"/>
        <v>2</v>
      </c>
    </row>
    <row r="24" ht="12.75" customHeight="1">
      <c r="A24" s="36"/>
      <c r="B24" s="28"/>
      <c r="C24" s="37"/>
      <c r="D24" s="13" t="s">
        <v>13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3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79">
        <v>0.0</v>
      </c>
      <c r="F25" s="79">
        <v>2.0</v>
      </c>
      <c r="G25" s="79">
        <v>1.0</v>
      </c>
      <c r="H25" s="79">
        <v>1.0</v>
      </c>
      <c r="I25" s="79">
        <v>3.0</v>
      </c>
      <c r="J25" s="79">
        <v>0.0</v>
      </c>
      <c r="K25" s="79">
        <v>0.0</v>
      </c>
      <c r="L25" s="79">
        <v>0.0</v>
      </c>
      <c r="M25" s="79">
        <v>0.0</v>
      </c>
      <c r="N25" s="79">
        <v>1.0</v>
      </c>
      <c r="O25" s="79">
        <v>1.0</v>
      </c>
      <c r="P25" s="79">
        <v>2.0</v>
      </c>
      <c r="Q25" s="79">
        <v>1.0</v>
      </c>
      <c r="R25" s="79">
        <v>1.0</v>
      </c>
      <c r="S25" s="79">
        <v>0.0</v>
      </c>
      <c r="T25" s="79">
        <v>1.0</v>
      </c>
      <c r="U25" s="79">
        <v>0.0</v>
      </c>
      <c r="V25" s="79">
        <v>0.0</v>
      </c>
      <c r="W25" s="79">
        <v>5.0</v>
      </c>
      <c r="X25" s="79">
        <v>0.0</v>
      </c>
      <c r="Y25" s="79">
        <v>0.0</v>
      </c>
      <c r="Z25" s="79">
        <v>1.0</v>
      </c>
      <c r="AA25" s="79">
        <v>1.0</v>
      </c>
      <c r="AB25" s="79">
        <v>0.0</v>
      </c>
      <c r="AC25" s="79">
        <v>0.0</v>
      </c>
      <c r="AD25" s="79">
        <v>0.0</v>
      </c>
      <c r="AE25" s="79">
        <v>0.0</v>
      </c>
      <c r="AF25" s="13">
        <f t="shared" si="3"/>
        <v>21</v>
      </c>
    </row>
    <row r="26" ht="12.75" customHeight="1">
      <c r="A26" s="34"/>
      <c r="B26" s="27"/>
      <c r="C26" s="35"/>
      <c r="D26" s="19" t="s">
        <v>12</v>
      </c>
      <c r="E26" s="79">
        <v>1.0</v>
      </c>
      <c r="F26" s="79">
        <v>0.0</v>
      </c>
      <c r="G26" s="79">
        <v>0.0</v>
      </c>
      <c r="H26" s="79">
        <v>0.0</v>
      </c>
      <c r="I26" s="79">
        <v>1.0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1.0</v>
      </c>
      <c r="R26" s="79">
        <v>1.0</v>
      </c>
      <c r="S26" s="79">
        <v>0.0</v>
      </c>
      <c r="T26" s="79">
        <v>0.0</v>
      </c>
      <c r="U26" s="79">
        <v>0.0</v>
      </c>
      <c r="V26" s="79">
        <v>0.0</v>
      </c>
      <c r="W26" s="79">
        <v>4.0</v>
      </c>
      <c r="X26" s="79">
        <v>1.0</v>
      </c>
      <c r="Y26" s="79">
        <v>1.0</v>
      </c>
      <c r="Z26" s="79">
        <v>0.0</v>
      </c>
      <c r="AA26" s="79">
        <v>2.0</v>
      </c>
      <c r="AB26" s="79">
        <v>0.0</v>
      </c>
      <c r="AC26" s="79">
        <v>0.0</v>
      </c>
      <c r="AD26" s="79">
        <v>0.0</v>
      </c>
      <c r="AE26" s="79">
        <v>0.0</v>
      </c>
      <c r="AF26" s="13">
        <f t="shared" si="3"/>
        <v>12</v>
      </c>
    </row>
    <row r="27" ht="12.75" customHeight="1">
      <c r="A27" s="36"/>
      <c r="B27" s="28"/>
      <c r="C27" s="37"/>
      <c r="D27" s="13" t="s">
        <v>13</v>
      </c>
      <c r="E27" s="13">
        <f t="shared" ref="E27:AE27" si="6">SUM(E25:E26)</f>
        <v>1</v>
      </c>
      <c r="F27" s="13">
        <f t="shared" si="6"/>
        <v>2</v>
      </c>
      <c r="G27" s="13">
        <f t="shared" si="6"/>
        <v>1</v>
      </c>
      <c r="H27" s="13">
        <f t="shared" si="6"/>
        <v>1</v>
      </c>
      <c r="I27" s="13">
        <f t="shared" si="6"/>
        <v>4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1</v>
      </c>
      <c r="O27" s="13">
        <f t="shared" si="6"/>
        <v>1</v>
      </c>
      <c r="P27" s="13">
        <f t="shared" si="6"/>
        <v>2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0</v>
      </c>
      <c r="W27" s="13">
        <f t="shared" si="6"/>
        <v>9</v>
      </c>
      <c r="X27" s="13">
        <f t="shared" si="6"/>
        <v>1</v>
      </c>
      <c r="Y27" s="13">
        <f t="shared" si="6"/>
        <v>1</v>
      </c>
      <c r="Z27" s="13">
        <f t="shared" si="6"/>
        <v>1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3"/>
        <v>33</v>
      </c>
    </row>
    <row r="28" ht="12.75" customHeight="1">
      <c r="A28" s="36"/>
      <c r="B28" s="40" t="s">
        <v>22</v>
      </c>
      <c r="C28" s="41" t="s">
        <v>23</v>
      </c>
      <c r="D28" s="13" t="s">
        <v>11</v>
      </c>
      <c r="E28" s="13">
        <f t="shared" ref="E28:AE28" si="7">SUM(E19,E22,E25)</f>
        <v>77</v>
      </c>
      <c r="F28" s="13">
        <f t="shared" si="7"/>
        <v>97</v>
      </c>
      <c r="G28" s="13">
        <f t="shared" si="7"/>
        <v>68</v>
      </c>
      <c r="H28" s="13">
        <f t="shared" si="7"/>
        <v>85</v>
      </c>
      <c r="I28" s="13">
        <f t="shared" si="7"/>
        <v>104</v>
      </c>
      <c r="J28" s="13">
        <f t="shared" si="7"/>
        <v>95</v>
      </c>
      <c r="K28" s="13">
        <f t="shared" si="7"/>
        <v>104</v>
      </c>
      <c r="L28" s="13">
        <f t="shared" si="7"/>
        <v>65</v>
      </c>
      <c r="M28" s="13">
        <f t="shared" si="7"/>
        <v>59</v>
      </c>
      <c r="N28" s="13">
        <f t="shared" si="7"/>
        <v>81</v>
      </c>
      <c r="O28" s="13">
        <f t="shared" si="7"/>
        <v>109</v>
      </c>
      <c r="P28" s="13">
        <f t="shared" si="7"/>
        <v>105</v>
      </c>
      <c r="Q28" s="13">
        <f t="shared" si="7"/>
        <v>110</v>
      </c>
      <c r="R28" s="13">
        <f t="shared" si="7"/>
        <v>106</v>
      </c>
      <c r="S28" s="13">
        <f t="shared" si="7"/>
        <v>101</v>
      </c>
      <c r="T28" s="13">
        <f t="shared" si="7"/>
        <v>77</v>
      </c>
      <c r="U28" s="13">
        <f t="shared" si="7"/>
        <v>95</v>
      </c>
      <c r="V28" s="13">
        <f t="shared" si="7"/>
        <v>119</v>
      </c>
      <c r="W28" s="13">
        <f t="shared" si="7"/>
        <v>116</v>
      </c>
      <c r="X28" s="13">
        <f t="shared" si="7"/>
        <v>95</v>
      </c>
      <c r="Y28" s="13">
        <f t="shared" si="7"/>
        <v>99</v>
      </c>
      <c r="Z28" s="13">
        <f t="shared" si="7"/>
        <v>99</v>
      </c>
      <c r="AA28" s="13">
        <f t="shared" si="7"/>
        <v>96</v>
      </c>
      <c r="AB28" s="13">
        <f t="shared" si="7"/>
        <v>110</v>
      </c>
      <c r="AC28" s="13">
        <f t="shared" si="7"/>
        <v>115</v>
      </c>
      <c r="AD28" s="13">
        <f t="shared" si="7"/>
        <v>127</v>
      </c>
      <c r="AE28" s="13">
        <f t="shared" si="7"/>
        <v>112</v>
      </c>
      <c r="AF28" s="13">
        <f t="shared" si="3"/>
        <v>2626</v>
      </c>
    </row>
    <row r="29" ht="12.75" customHeight="1">
      <c r="A29" s="36"/>
      <c r="B29" s="27"/>
      <c r="C29" s="35"/>
      <c r="D29" s="13" t="s">
        <v>12</v>
      </c>
      <c r="E29" s="13">
        <f t="shared" ref="E29:AE29" si="8">SUM(E20,E23,E26)</f>
        <v>108</v>
      </c>
      <c r="F29" s="13">
        <f t="shared" si="8"/>
        <v>106</v>
      </c>
      <c r="G29" s="13">
        <f t="shared" si="8"/>
        <v>88</v>
      </c>
      <c r="H29" s="13">
        <f t="shared" si="8"/>
        <v>90</v>
      </c>
      <c r="I29" s="13">
        <f t="shared" si="8"/>
        <v>105</v>
      </c>
      <c r="J29" s="13">
        <f t="shared" si="8"/>
        <v>104</v>
      </c>
      <c r="K29" s="13">
        <f t="shared" si="8"/>
        <v>108</v>
      </c>
      <c r="L29" s="13">
        <f t="shared" si="8"/>
        <v>69</v>
      </c>
      <c r="M29" s="13">
        <f t="shared" si="8"/>
        <v>69</v>
      </c>
      <c r="N29" s="13">
        <f t="shared" si="8"/>
        <v>100</v>
      </c>
      <c r="O29" s="13">
        <f t="shared" si="8"/>
        <v>108</v>
      </c>
      <c r="P29" s="13">
        <f t="shared" si="8"/>
        <v>115</v>
      </c>
      <c r="Q29" s="13">
        <f t="shared" si="8"/>
        <v>104</v>
      </c>
      <c r="R29" s="13">
        <f t="shared" si="8"/>
        <v>116</v>
      </c>
      <c r="S29" s="13">
        <f t="shared" si="8"/>
        <v>115</v>
      </c>
      <c r="T29" s="13">
        <f t="shared" si="8"/>
        <v>81</v>
      </c>
      <c r="U29" s="13">
        <f t="shared" si="8"/>
        <v>105</v>
      </c>
      <c r="V29" s="13">
        <f t="shared" si="8"/>
        <v>120</v>
      </c>
      <c r="W29" s="13">
        <f t="shared" si="8"/>
        <v>133</v>
      </c>
      <c r="X29" s="13">
        <f t="shared" si="8"/>
        <v>111</v>
      </c>
      <c r="Y29" s="13">
        <f t="shared" si="8"/>
        <v>118</v>
      </c>
      <c r="Z29" s="13">
        <f t="shared" si="8"/>
        <v>116</v>
      </c>
      <c r="AA29" s="13">
        <f t="shared" si="8"/>
        <v>95</v>
      </c>
      <c r="AB29" s="13">
        <f t="shared" si="8"/>
        <v>109</v>
      </c>
      <c r="AC29" s="13">
        <f t="shared" si="8"/>
        <v>114</v>
      </c>
      <c r="AD29" s="13">
        <f t="shared" si="8"/>
        <v>132</v>
      </c>
      <c r="AE29" s="13">
        <f t="shared" si="8"/>
        <v>127</v>
      </c>
      <c r="AF29" s="13">
        <f t="shared" si="3"/>
        <v>2866</v>
      </c>
    </row>
    <row r="30" ht="12.75" customHeight="1">
      <c r="A30" s="36"/>
      <c r="B30" s="28"/>
      <c r="C30" s="37"/>
      <c r="D30" s="13" t="s">
        <v>13</v>
      </c>
      <c r="E30" s="13">
        <f t="shared" ref="E30:AE30" si="9">SUM(E28:E29)</f>
        <v>185</v>
      </c>
      <c r="F30" s="13">
        <f t="shared" si="9"/>
        <v>203</v>
      </c>
      <c r="G30" s="13">
        <f t="shared" si="9"/>
        <v>156</v>
      </c>
      <c r="H30" s="13">
        <f t="shared" si="9"/>
        <v>175</v>
      </c>
      <c r="I30" s="13">
        <f t="shared" si="9"/>
        <v>209</v>
      </c>
      <c r="J30" s="13">
        <f t="shared" si="9"/>
        <v>199</v>
      </c>
      <c r="K30" s="13">
        <f t="shared" si="9"/>
        <v>212</v>
      </c>
      <c r="L30" s="13">
        <f t="shared" si="9"/>
        <v>134</v>
      </c>
      <c r="M30" s="13">
        <f t="shared" si="9"/>
        <v>128</v>
      </c>
      <c r="N30" s="13">
        <f t="shared" si="9"/>
        <v>181</v>
      </c>
      <c r="O30" s="13">
        <f t="shared" si="9"/>
        <v>217</v>
      </c>
      <c r="P30" s="13">
        <f t="shared" si="9"/>
        <v>220</v>
      </c>
      <c r="Q30" s="13">
        <f t="shared" si="9"/>
        <v>214</v>
      </c>
      <c r="R30" s="13">
        <f t="shared" si="9"/>
        <v>222</v>
      </c>
      <c r="S30" s="13">
        <f t="shared" si="9"/>
        <v>216</v>
      </c>
      <c r="T30" s="13">
        <f t="shared" si="9"/>
        <v>158</v>
      </c>
      <c r="U30" s="13">
        <f t="shared" si="9"/>
        <v>200</v>
      </c>
      <c r="V30" s="13">
        <f t="shared" si="9"/>
        <v>239</v>
      </c>
      <c r="W30" s="13">
        <f t="shared" si="9"/>
        <v>249</v>
      </c>
      <c r="X30" s="13">
        <f t="shared" si="9"/>
        <v>206</v>
      </c>
      <c r="Y30" s="13">
        <f t="shared" si="9"/>
        <v>217</v>
      </c>
      <c r="Z30" s="13">
        <f t="shared" si="9"/>
        <v>215</v>
      </c>
      <c r="AA30" s="13">
        <f t="shared" si="9"/>
        <v>191</v>
      </c>
      <c r="AB30" s="13">
        <f t="shared" si="9"/>
        <v>219</v>
      </c>
      <c r="AC30" s="13">
        <f t="shared" si="9"/>
        <v>229</v>
      </c>
      <c r="AD30" s="13">
        <f t="shared" si="9"/>
        <v>259</v>
      </c>
      <c r="AE30" s="13">
        <f t="shared" si="9"/>
        <v>239</v>
      </c>
      <c r="AF30" s="13">
        <f t="shared" si="3"/>
        <v>5492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  <c r="O31" s="19"/>
      <c r="P31" s="19"/>
      <c r="Q31" s="19"/>
      <c r="R31" s="19"/>
      <c r="S31" s="80"/>
      <c r="T31" s="19"/>
      <c r="U31" s="19"/>
      <c r="V31" s="19"/>
      <c r="W31" s="19"/>
      <c r="X31" s="80"/>
      <c r="Y31" s="19"/>
      <c r="Z31" s="19"/>
      <c r="AA31" s="19"/>
      <c r="AB31" s="19"/>
      <c r="AC31" s="80"/>
      <c r="AD31" s="19"/>
      <c r="AE31" s="19"/>
      <c r="AF31" s="81"/>
    </row>
    <row r="32" ht="12.75" customHeight="1">
      <c r="A32" s="44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2"/>
      <c r="O32" s="13"/>
      <c r="P32" s="13"/>
      <c r="Q32" s="13"/>
      <c r="R32" s="13"/>
      <c r="S32" s="82"/>
      <c r="T32" s="13"/>
      <c r="U32" s="13"/>
      <c r="V32" s="13"/>
      <c r="W32" s="13"/>
      <c r="X32" s="82"/>
      <c r="Y32" s="13"/>
      <c r="Z32" s="13"/>
      <c r="AA32" s="13"/>
      <c r="AB32" s="13"/>
      <c r="AC32" s="82"/>
      <c r="AD32" s="13"/>
      <c r="AE32" s="13"/>
      <c r="AF32" s="81"/>
    </row>
    <row r="33" ht="12.75" customHeight="1">
      <c r="A33" s="19">
        <v>1.0</v>
      </c>
      <c r="B33" s="20" t="s">
        <v>26</v>
      </c>
      <c r="C33" s="15"/>
      <c r="D33" s="16"/>
      <c r="E33" s="79">
        <v>237.0</v>
      </c>
      <c r="F33" s="79">
        <v>275.0</v>
      </c>
      <c r="G33" s="79">
        <v>245.0</v>
      </c>
      <c r="H33" s="79">
        <v>225.0</v>
      </c>
      <c r="I33" s="79">
        <v>252.0</v>
      </c>
      <c r="J33" s="79">
        <v>272.0</v>
      </c>
      <c r="K33" s="79">
        <v>294.0</v>
      </c>
      <c r="L33" s="79">
        <v>194.0</v>
      </c>
      <c r="M33" s="79">
        <v>182.0</v>
      </c>
      <c r="N33" s="79">
        <v>254.0</v>
      </c>
      <c r="O33" s="79">
        <v>286.0</v>
      </c>
      <c r="P33" s="79">
        <v>271.0</v>
      </c>
      <c r="Q33" s="79">
        <v>284.0</v>
      </c>
      <c r="R33" s="79">
        <v>317.0</v>
      </c>
      <c r="S33" s="79">
        <v>286.0</v>
      </c>
      <c r="T33" s="79">
        <v>201.0</v>
      </c>
      <c r="U33" s="79">
        <v>259.0</v>
      </c>
      <c r="V33" s="79">
        <v>322.0</v>
      </c>
      <c r="W33" s="79">
        <v>303.0</v>
      </c>
      <c r="X33" s="79">
        <v>264.0</v>
      </c>
      <c r="Y33" s="79">
        <v>297.0</v>
      </c>
      <c r="Z33" s="79">
        <v>271.0</v>
      </c>
      <c r="AA33" s="79">
        <v>240.0</v>
      </c>
      <c r="AB33" s="79">
        <v>286.0</v>
      </c>
      <c r="AC33" s="79">
        <v>300.0</v>
      </c>
      <c r="AD33" s="79">
        <v>305.0</v>
      </c>
      <c r="AE33" s="79">
        <v>286.0</v>
      </c>
      <c r="AF33" s="13">
        <f t="shared" ref="AF33:AF36" si="10">SUM(E33:AE33)</f>
        <v>7208</v>
      </c>
    </row>
    <row r="34" ht="12.75" customHeight="1">
      <c r="A34" s="19">
        <v>2.0</v>
      </c>
      <c r="B34" s="20" t="s">
        <v>27</v>
      </c>
      <c r="C34" s="15"/>
      <c r="D34" s="16"/>
      <c r="E34" s="73">
        <v>185.0</v>
      </c>
      <c r="F34" s="73">
        <v>203.0</v>
      </c>
      <c r="G34" s="73">
        <v>156.0</v>
      </c>
      <c r="H34" s="73">
        <v>175.0</v>
      </c>
      <c r="I34" s="73">
        <v>209.0</v>
      </c>
      <c r="J34" s="73">
        <v>199.0</v>
      </c>
      <c r="K34" s="73">
        <v>212.0</v>
      </c>
      <c r="L34" s="73">
        <v>134.0</v>
      </c>
      <c r="M34" s="73">
        <v>128.0</v>
      </c>
      <c r="N34" s="73">
        <v>181.0</v>
      </c>
      <c r="O34" s="73">
        <v>217.0</v>
      </c>
      <c r="P34" s="73">
        <v>220.0</v>
      </c>
      <c r="Q34" s="73">
        <v>214.0</v>
      </c>
      <c r="R34" s="73">
        <v>222.0</v>
      </c>
      <c r="S34" s="73">
        <v>216.0</v>
      </c>
      <c r="T34" s="73">
        <v>158.0</v>
      </c>
      <c r="U34" s="73">
        <v>200.0</v>
      </c>
      <c r="V34" s="73">
        <v>239.0</v>
      </c>
      <c r="W34" s="73">
        <v>249.0</v>
      </c>
      <c r="X34" s="73">
        <v>206.0</v>
      </c>
      <c r="Y34" s="73">
        <v>217.0</v>
      </c>
      <c r="Z34" s="73">
        <v>215.0</v>
      </c>
      <c r="AA34" s="73">
        <v>191.0</v>
      </c>
      <c r="AB34" s="73">
        <v>219.0</v>
      </c>
      <c r="AC34" s="73">
        <v>229.0</v>
      </c>
      <c r="AD34" s="73">
        <v>259.0</v>
      </c>
      <c r="AE34" s="73">
        <v>239.0</v>
      </c>
      <c r="AF34" s="13">
        <f t="shared" si="10"/>
        <v>5492</v>
      </c>
    </row>
    <row r="35" ht="12.75" customHeight="1">
      <c r="A35" s="19">
        <v>3.0</v>
      </c>
      <c r="B35" s="20" t="s">
        <v>28</v>
      </c>
      <c r="C35" s="15"/>
      <c r="D35" s="16"/>
      <c r="E35" s="79">
        <v>0.0</v>
      </c>
      <c r="F35" s="79">
        <v>1.0</v>
      </c>
      <c r="G35" s="79">
        <v>0.0</v>
      </c>
      <c r="H35" s="79">
        <v>1.0</v>
      </c>
      <c r="I35" s="79">
        <v>1.0</v>
      </c>
      <c r="J35" s="79">
        <v>0.0</v>
      </c>
      <c r="K35" s="79">
        <v>0.0</v>
      </c>
      <c r="L35" s="79">
        <v>0.0</v>
      </c>
      <c r="M35" s="79">
        <v>1.0</v>
      </c>
      <c r="N35" s="79">
        <v>0.0</v>
      </c>
      <c r="O35" s="79">
        <v>1.0</v>
      </c>
      <c r="P35" s="79">
        <v>0.0</v>
      </c>
      <c r="Q35" s="79">
        <v>2.0</v>
      </c>
      <c r="R35" s="79">
        <v>0.0</v>
      </c>
      <c r="S35" s="79">
        <v>0.0</v>
      </c>
      <c r="T35" s="79">
        <v>0.0</v>
      </c>
      <c r="U35" s="79">
        <v>0.0</v>
      </c>
      <c r="V35" s="79">
        <v>0.0</v>
      </c>
      <c r="W35" s="79">
        <v>0.0</v>
      </c>
      <c r="X35" s="79">
        <v>0.0</v>
      </c>
      <c r="Y35" s="79">
        <v>1.0</v>
      </c>
      <c r="Z35" s="79">
        <v>0.0</v>
      </c>
      <c r="AA35" s="79">
        <v>0.0</v>
      </c>
      <c r="AB35" s="79">
        <v>0.0</v>
      </c>
      <c r="AC35" s="79">
        <v>0.0</v>
      </c>
      <c r="AD35" s="79">
        <v>0.0</v>
      </c>
      <c r="AE35" s="79">
        <v>0.0</v>
      </c>
      <c r="AF35" s="13">
        <f t="shared" si="10"/>
        <v>8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E36" si="11">E33-(E34+E35)</f>
        <v>52</v>
      </c>
      <c r="F36" s="13">
        <f t="shared" si="11"/>
        <v>71</v>
      </c>
      <c r="G36" s="13">
        <f t="shared" si="11"/>
        <v>89</v>
      </c>
      <c r="H36" s="13">
        <f t="shared" si="11"/>
        <v>49</v>
      </c>
      <c r="I36" s="13">
        <f t="shared" si="11"/>
        <v>42</v>
      </c>
      <c r="J36" s="13">
        <f t="shared" si="11"/>
        <v>73</v>
      </c>
      <c r="K36" s="13">
        <f t="shared" si="11"/>
        <v>82</v>
      </c>
      <c r="L36" s="13">
        <f t="shared" si="11"/>
        <v>60</v>
      </c>
      <c r="M36" s="13">
        <f t="shared" si="11"/>
        <v>53</v>
      </c>
      <c r="N36" s="13">
        <f t="shared" si="11"/>
        <v>73</v>
      </c>
      <c r="O36" s="13">
        <f t="shared" si="11"/>
        <v>68</v>
      </c>
      <c r="P36" s="13">
        <f t="shared" si="11"/>
        <v>51</v>
      </c>
      <c r="Q36" s="13">
        <f t="shared" si="11"/>
        <v>68</v>
      </c>
      <c r="R36" s="13">
        <f t="shared" si="11"/>
        <v>95</v>
      </c>
      <c r="S36" s="13">
        <f t="shared" si="11"/>
        <v>70</v>
      </c>
      <c r="T36" s="13">
        <f t="shared" si="11"/>
        <v>43</v>
      </c>
      <c r="U36" s="13">
        <f t="shared" si="11"/>
        <v>59</v>
      </c>
      <c r="V36" s="13">
        <f t="shared" si="11"/>
        <v>83</v>
      </c>
      <c r="W36" s="13">
        <f t="shared" si="11"/>
        <v>54</v>
      </c>
      <c r="X36" s="13">
        <f t="shared" si="11"/>
        <v>58</v>
      </c>
      <c r="Y36" s="13">
        <f t="shared" si="11"/>
        <v>79</v>
      </c>
      <c r="Z36" s="13">
        <f t="shared" si="11"/>
        <v>56</v>
      </c>
      <c r="AA36" s="13">
        <f t="shared" si="11"/>
        <v>49</v>
      </c>
      <c r="AB36" s="13">
        <f t="shared" si="11"/>
        <v>67</v>
      </c>
      <c r="AC36" s="13">
        <f t="shared" si="11"/>
        <v>71</v>
      </c>
      <c r="AD36" s="13">
        <f t="shared" si="11"/>
        <v>46</v>
      </c>
      <c r="AE36" s="13">
        <f t="shared" si="11"/>
        <v>47</v>
      </c>
      <c r="AF36" s="13">
        <f t="shared" si="10"/>
        <v>1708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  <c r="O37" s="19"/>
      <c r="P37" s="19"/>
      <c r="Q37" s="19"/>
      <c r="R37" s="19"/>
      <c r="S37" s="80"/>
      <c r="T37" s="19"/>
      <c r="U37" s="19"/>
      <c r="V37" s="19"/>
      <c r="W37" s="19"/>
      <c r="X37" s="80"/>
      <c r="Y37" s="19"/>
      <c r="Z37" s="19"/>
      <c r="AA37" s="19"/>
      <c r="AB37" s="19"/>
      <c r="AC37" s="80"/>
      <c r="AD37" s="19"/>
      <c r="AE37" s="19"/>
      <c r="AF37" s="81"/>
    </row>
    <row r="38" ht="12.75" customHeight="1">
      <c r="A38" s="45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2"/>
      <c r="O38" s="13"/>
      <c r="P38" s="13"/>
      <c r="Q38" s="13"/>
      <c r="R38" s="13"/>
      <c r="S38" s="82"/>
      <c r="T38" s="13"/>
      <c r="U38" s="13"/>
      <c r="V38" s="13"/>
      <c r="W38" s="13"/>
      <c r="X38" s="82"/>
      <c r="Y38" s="13"/>
      <c r="Z38" s="13"/>
      <c r="AA38" s="13"/>
      <c r="AB38" s="13"/>
      <c r="AC38" s="82"/>
      <c r="AD38" s="13"/>
      <c r="AE38" s="13"/>
      <c r="AF38" s="81"/>
    </row>
    <row r="39" ht="12.75" customHeight="1">
      <c r="A39" s="31"/>
      <c r="B39" s="46" t="s">
        <v>32</v>
      </c>
      <c r="C39" s="23"/>
      <c r="D39" s="19" t="s">
        <v>11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1.0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2.0</v>
      </c>
      <c r="S39" s="79">
        <v>0.0</v>
      </c>
      <c r="T39" s="79">
        <v>0.0</v>
      </c>
      <c r="U39" s="79">
        <v>0.0</v>
      </c>
      <c r="V39" s="79">
        <v>2.0</v>
      </c>
      <c r="W39" s="79">
        <v>0.0</v>
      </c>
      <c r="X39" s="79">
        <v>0.0</v>
      </c>
      <c r="Y39" s="79">
        <v>0.0</v>
      </c>
      <c r="Z39" s="79">
        <v>0.0</v>
      </c>
      <c r="AA39" s="79">
        <v>0.0</v>
      </c>
      <c r="AB39" s="79">
        <v>0.0</v>
      </c>
      <c r="AC39" s="79">
        <v>0.0</v>
      </c>
      <c r="AD39" s="79">
        <v>0.0</v>
      </c>
      <c r="AE39" s="79">
        <v>0.0</v>
      </c>
      <c r="AF39" s="13">
        <f t="shared" ref="AF39:AF41" si="12">SUM(E39:AE39)</f>
        <v>5</v>
      </c>
    </row>
    <row r="40" ht="12.75" customHeight="1">
      <c r="A40" s="34"/>
      <c r="C40" s="27"/>
      <c r="D40" s="19" t="s">
        <v>12</v>
      </c>
      <c r="E40" s="79">
        <v>0.0</v>
      </c>
      <c r="F40" s="79">
        <v>0.0</v>
      </c>
      <c r="G40" s="79">
        <v>0.0</v>
      </c>
      <c r="H40" s="79">
        <v>0.0</v>
      </c>
      <c r="I40" s="79">
        <v>1.0</v>
      </c>
      <c r="J40" s="79">
        <v>0.0</v>
      </c>
      <c r="K40" s="79">
        <v>0.0</v>
      </c>
      <c r="L40" s="79">
        <v>0.0</v>
      </c>
      <c r="M40" s="79">
        <v>0.0</v>
      </c>
      <c r="N40" s="79">
        <v>2.0</v>
      </c>
      <c r="O40" s="79">
        <v>0.0</v>
      </c>
      <c r="P40" s="79">
        <v>0.0</v>
      </c>
      <c r="Q40" s="79">
        <v>0.0</v>
      </c>
      <c r="R40" s="79">
        <v>4.0</v>
      </c>
      <c r="S40" s="79">
        <v>0.0</v>
      </c>
      <c r="T40" s="79">
        <v>0.0</v>
      </c>
      <c r="U40" s="79">
        <v>0.0</v>
      </c>
      <c r="V40" s="79">
        <v>2.0</v>
      </c>
      <c r="W40" s="79">
        <v>0.0</v>
      </c>
      <c r="X40" s="79">
        <v>0.0</v>
      </c>
      <c r="Y40" s="79">
        <v>2.0</v>
      </c>
      <c r="Z40" s="79">
        <v>0.0</v>
      </c>
      <c r="AA40" s="79">
        <v>0.0</v>
      </c>
      <c r="AB40" s="79">
        <v>0.0</v>
      </c>
      <c r="AC40" s="79">
        <v>0.0</v>
      </c>
      <c r="AD40" s="79">
        <v>0.0</v>
      </c>
      <c r="AE40" s="79">
        <v>0.0</v>
      </c>
      <c r="AF40" s="13">
        <f t="shared" si="12"/>
        <v>11</v>
      </c>
    </row>
    <row r="41" ht="12.75" customHeight="1">
      <c r="A41" s="44"/>
      <c r="B41" s="47"/>
      <c r="C41" s="28"/>
      <c r="D41" s="13" t="s">
        <v>13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6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4</v>
      </c>
      <c r="W41" s="13">
        <f t="shared" si="13"/>
        <v>0</v>
      </c>
      <c r="X41" s="13">
        <f t="shared" si="13"/>
        <v>0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16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0"/>
      <c r="O42" s="19"/>
      <c r="P42" s="19"/>
      <c r="Q42" s="19"/>
      <c r="R42" s="19"/>
      <c r="S42" s="80"/>
      <c r="T42" s="19"/>
      <c r="U42" s="19"/>
      <c r="V42" s="19"/>
      <c r="W42" s="19"/>
      <c r="X42" s="80"/>
      <c r="Y42" s="19"/>
      <c r="Z42" s="19"/>
      <c r="AA42" s="19"/>
      <c r="AB42" s="19"/>
      <c r="AC42" s="80"/>
      <c r="AD42" s="19"/>
      <c r="AE42" s="19"/>
      <c r="AF42" s="13"/>
    </row>
    <row r="43" ht="12.75" customHeight="1">
      <c r="A43" s="45" t="s">
        <v>33</v>
      </c>
      <c r="B43" s="14" t="s">
        <v>34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82"/>
      <c r="O43" s="13"/>
      <c r="P43" s="13"/>
      <c r="Q43" s="13"/>
      <c r="R43" s="13"/>
      <c r="S43" s="82"/>
      <c r="T43" s="13"/>
      <c r="U43" s="13"/>
      <c r="V43" s="13"/>
      <c r="W43" s="13"/>
      <c r="X43" s="82"/>
      <c r="Y43" s="13"/>
      <c r="Z43" s="13"/>
      <c r="AA43" s="13"/>
      <c r="AB43" s="13"/>
      <c r="AC43" s="82"/>
      <c r="AD43" s="13"/>
      <c r="AE43" s="13"/>
      <c r="AF43" s="13"/>
    </row>
    <row r="44" ht="12.75" customHeight="1">
      <c r="A44" s="46" t="s">
        <v>35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0"/>
      <c r="O44" s="19"/>
      <c r="P44" s="19"/>
      <c r="Q44" s="19"/>
      <c r="R44" s="19"/>
      <c r="S44" s="80"/>
      <c r="T44" s="19"/>
      <c r="U44" s="19"/>
      <c r="V44" s="19"/>
      <c r="W44" s="19"/>
      <c r="X44" s="80"/>
      <c r="Y44" s="19"/>
      <c r="Z44" s="19"/>
      <c r="AA44" s="19"/>
      <c r="AB44" s="19"/>
      <c r="AC44" s="80"/>
      <c r="AD44" s="19"/>
      <c r="AE44" s="19"/>
      <c r="AF44" s="13"/>
    </row>
    <row r="45" ht="12.75" customHeight="1">
      <c r="A45" s="31" t="s">
        <v>36</v>
      </c>
      <c r="B45" s="50" t="s">
        <v>16</v>
      </c>
      <c r="C45" s="51" t="s">
        <v>37</v>
      </c>
      <c r="D45" s="16"/>
      <c r="E45" s="79">
        <v>10.0</v>
      </c>
      <c r="F45" s="79">
        <v>12.0</v>
      </c>
      <c r="G45" s="79">
        <v>9.0</v>
      </c>
      <c r="H45" s="79">
        <v>8.0</v>
      </c>
      <c r="I45" s="79">
        <v>7.0</v>
      </c>
      <c r="J45" s="79">
        <v>8.0</v>
      </c>
      <c r="K45" s="79">
        <v>7.0</v>
      </c>
      <c r="L45" s="79">
        <v>2.0</v>
      </c>
      <c r="M45" s="79">
        <v>7.0</v>
      </c>
      <c r="N45" s="79">
        <v>10.0</v>
      </c>
      <c r="O45" s="79">
        <v>12.0</v>
      </c>
      <c r="P45" s="79">
        <v>9.0</v>
      </c>
      <c r="Q45" s="79">
        <v>4.0</v>
      </c>
      <c r="R45" s="79">
        <v>14.0</v>
      </c>
      <c r="S45" s="79">
        <v>12.0</v>
      </c>
      <c r="T45" s="79">
        <v>8.0</v>
      </c>
      <c r="U45" s="79">
        <v>6.0</v>
      </c>
      <c r="V45" s="79">
        <v>9.0</v>
      </c>
      <c r="W45" s="79">
        <v>7.0</v>
      </c>
      <c r="X45" s="79">
        <v>14.0</v>
      </c>
      <c r="Y45" s="79">
        <v>13.0</v>
      </c>
      <c r="Z45" s="79">
        <v>9.0</v>
      </c>
      <c r="AA45" s="79">
        <v>10.0</v>
      </c>
      <c r="AB45" s="79">
        <v>11.0</v>
      </c>
      <c r="AC45" s="79">
        <v>5.0</v>
      </c>
      <c r="AD45" s="79">
        <v>7.0</v>
      </c>
      <c r="AE45" s="79">
        <v>4.0</v>
      </c>
      <c r="AF45" s="13">
        <f t="shared" ref="AF45:AF55" si="14">SUM(E45:AE45)</f>
        <v>234</v>
      </c>
    </row>
    <row r="46" ht="12.75" customHeight="1">
      <c r="A46" s="31" t="s">
        <v>38</v>
      </c>
      <c r="B46" s="52"/>
      <c r="C46" s="53" t="s">
        <v>39</v>
      </c>
      <c r="D46" s="53"/>
      <c r="E46" s="79">
        <v>16.0</v>
      </c>
      <c r="F46" s="79">
        <v>21.0</v>
      </c>
      <c r="G46" s="79">
        <v>11.0</v>
      </c>
      <c r="H46" s="79">
        <v>11.0</v>
      </c>
      <c r="I46" s="79">
        <v>25.0</v>
      </c>
      <c r="J46" s="79">
        <v>20.0</v>
      </c>
      <c r="K46" s="79">
        <v>5.0</v>
      </c>
      <c r="L46" s="79">
        <v>6.0</v>
      </c>
      <c r="M46" s="79">
        <v>13.0</v>
      </c>
      <c r="N46" s="79">
        <v>13.0</v>
      </c>
      <c r="O46" s="79">
        <v>16.0</v>
      </c>
      <c r="P46" s="79">
        <v>13.0</v>
      </c>
      <c r="Q46" s="79">
        <v>11.0</v>
      </c>
      <c r="R46" s="79">
        <v>15.0</v>
      </c>
      <c r="S46" s="79">
        <v>24.0</v>
      </c>
      <c r="T46" s="79">
        <v>4.0</v>
      </c>
      <c r="U46" s="79">
        <v>3.0</v>
      </c>
      <c r="V46" s="79">
        <v>37.0</v>
      </c>
      <c r="W46" s="79">
        <v>32.0</v>
      </c>
      <c r="X46" s="79">
        <v>20.0</v>
      </c>
      <c r="Y46" s="79">
        <v>15.0</v>
      </c>
      <c r="Z46" s="79">
        <v>12.0</v>
      </c>
      <c r="AA46" s="79">
        <v>6.0</v>
      </c>
      <c r="AB46" s="79">
        <v>12.0</v>
      </c>
      <c r="AC46" s="79">
        <v>14.0</v>
      </c>
      <c r="AD46" s="79">
        <v>19.0</v>
      </c>
      <c r="AE46" s="79">
        <v>8.0</v>
      </c>
      <c r="AF46" s="13">
        <f t="shared" si="14"/>
        <v>402</v>
      </c>
    </row>
    <row r="47" ht="12.75" customHeight="1">
      <c r="A47" s="18"/>
      <c r="B47" s="58"/>
      <c r="C47" s="53" t="s">
        <v>40</v>
      </c>
      <c r="D47" s="53"/>
      <c r="E47" s="79">
        <v>5.0</v>
      </c>
      <c r="F47" s="79">
        <v>3.0</v>
      </c>
      <c r="G47" s="79">
        <v>1.0</v>
      </c>
      <c r="H47" s="79">
        <v>4.0</v>
      </c>
      <c r="I47" s="79">
        <v>2.0</v>
      </c>
      <c r="J47" s="79">
        <v>2.0</v>
      </c>
      <c r="K47" s="79">
        <v>2.0</v>
      </c>
      <c r="L47" s="79">
        <v>0.0</v>
      </c>
      <c r="M47" s="79">
        <v>0.0</v>
      </c>
      <c r="N47" s="79">
        <v>3.0</v>
      </c>
      <c r="O47" s="79">
        <v>4.0</v>
      </c>
      <c r="P47" s="79">
        <v>2.0</v>
      </c>
      <c r="Q47" s="79">
        <v>4.0</v>
      </c>
      <c r="R47" s="79">
        <v>5.0</v>
      </c>
      <c r="S47" s="79">
        <v>2.0</v>
      </c>
      <c r="T47" s="79">
        <v>2.0</v>
      </c>
      <c r="U47" s="79">
        <v>4.0</v>
      </c>
      <c r="V47" s="79">
        <v>1.0</v>
      </c>
      <c r="W47" s="79">
        <v>3.0</v>
      </c>
      <c r="X47" s="79">
        <v>10.0</v>
      </c>
      <c r="Y47" s="79">
        <v>2.0</v>
      </c>
      <c r="Z47" s="79">
        <v>4.0</v>
      </c>
      <c r="AA47" s="79">
        <v>0.0</v>
      </c>
      <c r="AB47" s="79">
        <v>2.0</v>
      </c>
      <c r="AC47" s="79">
        <v>9.0</v>
      </c>
      <c r="AD47" s="79">
        <v>2.0</v>
      </c>
      <c r="AE47" s="79">
        <v>2.0</v>
      </c>
      <c r="AF47" s="13">
        <f t="shared" si="14"/>
        <v>80</v>
      </c>
    </row>
    <row r="48" ht="12.75" customHeight="1">
      <c r="A48" s="18"/>
      <c r="B48" s="58"/>
      <c r="C48" s="53" t="s">
        <v>41</v>
      </c>
      <c r="D48" s="53"/>
      <c r="E48" s="79">
        <v>1.0</v>
      </c>
      <c r="F48" s="79">
        <v>3.0</v>
      </c>
      <c r="G48" s="79">
        <v>2.0</v>
      </c>
      <c r="H48" s="79">
        <v>1.0</v>
      </c>
      <c r="I48" s="79">
        <v>2.0</v>
      </c>
      <c r="J48" s="79">
        <v>2.0</v>
      </c>
      <c r="K48" s="79">
        <v>0.0</v>
      </c>
      <c r="L48" s="79">
        <v>0.0</v>
      </c>
      <c r="M48" s="19"/>
      <c r="N48" s="79">
        <v>0.0</v>
      </c>
      <c r="O48" s="79">
        <v>1.0</v>
      </c>
      <c r="P48" s="79">
        <v>2.0</v>
      </c>
      <c r="Q48" s="79">
        <v>1.0</v>
      </c>
      <c r="R48" s="79">
        <v>2.0</v>
      </c>
      <c r="S48" s="79">
        <v>2.0</v>
      </c>
      <c r="T48" s="79">
        <v>0.0</v>
      </c>
      <c r="U48" s="79">
        <v>1.0</v>
      </c>
      <c r="V48" s="79">
        <v>3.0</v>
      </c>
      <c r="W48" s="79">
        <v>1.0</v>
      </c>
      <c r="X48" s="79">
        <v>1.0</v>
      </c>
      <c r="Y48" s="79">
        <v>1.0</v>
      </c>
      <c r="Z48" s="19"/>
      <c r="AA48" s="79">
        <v>0.0</v>
      </c>
      <c r="AB48" s="79">
        <v>0.0</v>
      </c>
      <c r="AC48" s="79">
        <v>2.0</v>
      </c>
      <c r="AD48" s="79">
        <v>1.0</v>
      </c>
      <c r="AE48" s="79">
        <v>0.0</v>
      </c>
      <c r="AF48" s="13">
        <f t="shared" si="14"/>
        <v>29</v>
      </c>
    </row>
    <row r="49" ht="12.75" customHeight="1">
      <c r="A49" s="18"/>
      <c r="B49" s="58"/>
      <c r="C49" s="53" t="s">
        <v>42</v>
      </c>
      <c r="D49" s="53"/>
      <c r="E49" s="79">
        <v>1.0</v>
      </c>
      <c r="F49" s="79">
        <v>3.0</v>
      </c>
      <c r="G49" s="79">
        <v>1.0</v>
      </c>
      <c r="H49" s="79">
        <v>2.0</v>
      </c>
      <c r="I49" s="79">
        <v>0.0</v>
      </c>
      <c r="J49" s="79">
        <v>1.0</v>
      </c>
      <c r="K49" s="79">
        <v>0.0</v>
      </c>
      <c r="L49" s="79">
        <v>0.0</v>
      </c>
      <c r="M49" s="19"/>
      <c r="N49" s="79">
        <v>1.0</v>
      </c>
      <c r="O49" s="79">
        <v>2.0</v>
      </c>
      <c r="P49" s="79">
        <v>1.0</v>
      </c>
      <c r="Q49" s="79">
        <v>1.0</v>
      </c>
      <c r="R49" s="79">
        <v>3.0</v>
      </c>
      <c r="S49" s="79">
        <v>5.0</v>
      </c>
      <c r="T49" s="79">
        <v>1.0</v>
      </c>
      <c r="U49" s="79">
        <v>0.0</v>
      </c>
      <c r="V49" s="79">
        <v>0.0</v>
      </c>
      <c r="W49" s="79">
        <v>3.0</v>
      </c>
      <c r="X49" s="79">
        <v>0.0</v>
      </c>
      <c r="Y49" s="79">
        <v>5.0</v>
      </c>
      <c r="Z49" s="19"/>
      <c r="AA49" s="79">
        <v>1.0</v>
      </c>
      <c r="AB49" s="79">
        <v>3.0</v>
      </c>
      <c r="AC49" s="79">
        <v>2.0</v>
      </c>
      <c r="AD49" s="79">
        <v>1.0</v>
      </c>
      <c r="AE49" s="79">
        <v>1.0</v>
      </c>
      <c r="AF49" s="13">
        <f t="shared" si="14"/>
        <v>38</v>
      </c>
    </row>
    <row r="50" ht="12.75" customHeight="1">
      <c r="A50" s="18"/>
      <c r="B50" s="58"/>
      <c r="C50" s="53" t="s">
        <v>43</v>
      </c>
      <c r="D50" s="53"/>
      <c r="E50" s="79">
        <v>1.0</v>
      </c>
      <c r="F50" s="79">
        <v>2.0</v>
      </c>
      <c r="G50" s="19"/>
      <c r="H50" s="79">
        <v>1.0</v>
      </c>
      <c r="I50" s="79">
        <v>2.0</v>
      </c>
      <c r="J50" s="79">
        <v>0.0</v>
      </c>
      <c r="K50" s="79">
        <v>0.0</v>
      </c>
      <c r="L50" s="79">
        <v>2.0</v>
      </c>
      <c r="M50" s="19"/>
      <c r="N50" s="79">
        <v>1.0</v>
      </c>
      <c r="O50" s="79">
        <v>0.0</v>
      </c>
      <c r="P50" s="79">
        <v>4.0</v>
      </c>
      <c r="Q50" s="79">
        <v>0.0</v>
      </c>
      <c r="R50" s="79">
        <v>0.0</v>
      </c>
      <c r="S50" s="79">
        <v>1.0</v>
      </c>
      <c r="T50" s="19"/>
      <c r="U50" s="79">
        <v>0.0</v>
      </c>
      <c r="V50" s="79">
        <v>1.0</v>
      </c>
      <c r="W50" s="79">
        <v>0.0</v>
      </c>
      <c r="X50" s="79">
        <v>0.0</v>
      </c>
      <c r="Y50" s="79">
        <v>0.0</v>
      </c>
      <c r="Z50" s="19"/>
      <c r="AA50" s="79">
        <v>1.0</v>
      </c>
      <c r="AB50" s="79">
        <v>0.0</v>
      </c>
      <c r="AC50" s="79">
        <v>2.0</v>
      </c>
      <c r="AD50" s="79">
        <v>1.0</v>
      </c>
      <c r="AE50" s="79">
        <v>0.0</v>
      </c>
      <c r="AF50" s="13">
        <f t="shared" si="14"/>
        <v>19</v>
      </c>
    </row>
    <row r="51" ht="12.75" customHeight="1">
      <c r="A51" s="18"/>
      <c r="B51" s="58"/>
      <c r="C51" s="53" t="s">
        <v>44</v>
      </c>
      <c r="D51" s="53"/>
      <c r="E51" s="19"/>
      <c r="F51" s="79">
        <v>0.0</v>
      </c>
      <c r="G51" s="79">
        <v>1.0</v>
      </c>
      <c r="H51" s="79">
        <v>0.0</v>
      </c>
      <c r="I51" s="79">
        <v>0.0</v>
      </c>
      <c r="J51" s="79">
        <v>1.0</v>
      </c>
      <c r="K51" s="79">
        <v>0.0</v>
      </c>
      <c r="L51" s="79">
        <v>0.0</v>
      </c>
      <c r="M51" s="19"/>
      <c r="N51" s="79">
        <v>1.0</v>
      </c>
      <c r="O51" s="79">
        <v>1.0</v>
      </c>
      <c r="P51" s="79">
        <v>0.0</v>
      </c>
      <c r="Q51" s="79">
        <v>0.0</v>
      </c>
      <c r="R51" s="79">
        <v>1.0</v>
      </c>
      <c r="S51" s="79">
        <v>1.0</v>
      </c>
      <c r="T51" s="19"/>
      <c r="U51" s="79">
        <v>0.0</v>
      </c>
      <c r="V51" s="79">
        <v>1.0</v>
      </c>
      <c r="W51" s="79">
        <v>0.0</v>
      </c>
      <c r="X51" s="79">
        <v>0.0</v>
      </c>
      <c r="Y51" s="79">
        <v>1.0</v>
      </c>
      <c r="Z51" s="19"/>
      <c r="AA51" s="79">
        <v>0.0</v>
      </c>
      <c r="AB51" s="79">
        <v>0.0</v>
      </c>
      <c r="AC51" s="79">
        <v>4.0</v>
      </c>
      <c r="AD51" s="79">
        <v>0.0</v>
      </c>
      <c r="AE51" s="79">
        <v>0.0</v>
      </c>
      <c r="AF51" s="13">
        <f t="shared" si="14"/>
        <v>12</v>
      </c>
    </row>
    <row r="52" ht="12.75" customHeight="1">
      <c r="A52" s="18"/>
      <c r="B52" s="58"/>
      <c r="C52" s="53" t="s">
        <v>45</v>
      </c>
      <c r="D52" s="53"/>
      <c r="E52" s="19"/>
      <c r="F52" s="79">
        <v>0.0</v>
      </c>
      <c r="G52" s="79">
        <v>1.0</v>
      </c>
      <c r="H52" s="79">
        <v>0.0</v>
      </c>
      <c r="I52" s="79">
        <v>1.0</v>
      </c>
      <c r="J52" s="79">
        <v>1.0</v>
      </c>
      <c r="K52" s="79">
        <v>0.0</v>
      </c>
      <c r="L52" s="79">
        <v>0.0</v>
      </c>
      <c r="M52" s="19"/>
      <c r="N52" s="79">
        <v>0.0</v>
      </c>
      <c r="O52" s="79">
        <v>1.0</v>
      </c>
      <c r="P52" s="79">
        <v>0.0</v>
      </c>
      <c r="Q52" s="79">
        <v>0.0</v>
      </c>
      <c r="R52" s="79">
        <v>0.0</v>
      </c>
      <c r="S52" s="79">
        <v>1.0</v>
      </c>
      <c r="T52" s="19"/>
      <c r="U52" s="79">
        <v>0.0</v>
      </c>
      <c r="V52" s="79">
        <v>0.0</v>
      </c>
      <c r="W52" s="79">
        <v>0.0</v>
      </c>
      <c r="X52" s="79">
        <v>0.0</v>
      </c>
      <c r="Y52" s="79">
        <v>1.0</v>
      </c>
      <c r="Z52" s="19"/>
      <c r="AA52" s="79">
        <v>0.0</v>
      </c>
      <c r="AB52" s="79">
        <v>0.0</v>
      </c>
      <c r="AC52" s="79">
        <v>1.0</v>
      </c>
      <c r="AD52" s="79">
        <v>0.0</v>
      </c>
      <c r="AE52" s="79">
        <v>2.0</v>
      </c>
      <c r="AF52" s="13">
        <f t="shared" si="14"/>
        <v>9</v>
      </c>
    </row>
    <row r="53" ht="12.75" customHeight="1">
      <c r="A53" s="18"/>
      <c r="B53" s="58"/>
      <c r="C53" s="53" t="s">
        <v>46</v>
      </c>
      <c r="D53" s="53"/>
      <c r="E53" s="19"/>
      <c r="F53" s="79">
        <v>2.0</v>
      </c>
      <c r="G53" s="79">
        <v>1.0</v>
      </c>
      <c r="H53" s="79">
        <v>2.0</v>
      </c>
      <c r="I53" s="79">
        <v>0.0</v>
      </c>
      <c r="J53" s="79">
        <v>0.0</v>
      </c>
      <c r="K53" s="79">
        <v>0.0</v>
      </c>
      <c r="L53" s="79">
        <v>0.0</v>
      </c>
      <c r="M53" s="19"/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19"/>
      <c r="U53" s="79">
        <v>0.0</v>
      </c>
      <c r="V53" s="79">
        <v>1.0</v>
      </c>
      <c r="W53" s="79">
        <v>1.0</v>
      </c>
      <c r="X53" s="79">
        <v>0.0</v>
      </c>
      <c r="Y53" s="79">
        <v>0.0</v>
      </c>
      <c r="Z53" s="19"/>
      <c r="AA53" s="79">
        <v>0.0</v>
      </c>
      <c r="AB53" s="79">
        <v>0.0</v>
      </c>
      <c r="AC53" s="79">
        <v>0.0</v>
      </c>
      <c r="AD53" s="79">
        <v>0.0</v>
      </c>
      <c r="AE53" s="19"/>
      <c r="AF53" s="13">
        <f t="shared" si="14"/>
        <v>7</v>
      </c>
    </row>
    <row r="54" ht="12.75" customHeight="1">
      <c r="A54" s="18"/>
      <c r="B54" s="58"/>
      <c r="C54" s="53" t="s">
        <v>47</v>
      </c>
      <c r="D54" s="53"/>
      <c r="E54" s="19"/>
      <c r="F54" s="79">
        <v>1.0</v>
      </c>
      <c r="G54" s="79">
        <v>0.0</v>
      </c>
      <c r="H54" s="79">
        <v>1.0</v>
      </c>
      <c r="I54" s="79">
        <v>0.0</v>
      </c>
      <c r="J54" s="79">
        <v>0.0</v>
      </c>
      <c r="K54" s="79">
        <v>0.0</v>
      </c>
      <c r="L54" s="79">
        <v>0.0</v>
      </c>
      <c r="M54" s="19"/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19"/>
      <c r="U54" s="79">
        <v>0.0</v>
      </c>
      <c r="V54" s="79">
        <v>0.0</v>
      </c>
      <c r="W54" s="79">
        <v>0.0</v>
      </c>
      <c r="X54" s="79">
        <v>0.0</v>
      </c>
      <c r="Y54" s="79">
        <v>0.0</v>
      </c>
      <c r="Z54" s="19"/>
      <c r="AA54" s="79">
        <v>0.0</v>
      </c>
      <c r="AB54" s="79">
        <v>0.0</v>
      </c>
      <c r="AC54" s="79">
        <v>0.0</v>
      </c>
      <c r="AD54" s="79">
        <v>1.0</v>
      </c>
      <c r="AE54" s="19"/>
      <c r="AF54" s="13">
        <f t="shared" si="14"/>
        <v>3</v>
      </c>
    </row>
    <row r="55" ht="12.75" customHeight="1">
      <c r="A55" s="19" t="s">
        <v>14</v>
      </c>
      <c r="B55" s="50" t="s">
        <v>48</v>
      </c>
      <c r="C55" s="15"/>
      <c r="D55" s="16"/>
      <c r="E55" s="13">
        <f t="shared" ref="E55:AE55" si="15">SUM(E45:E54)</f>
        <v>34</v>
      </c>
      <c r="F55" s="13">
        <f t="shared" si="15"/>
        <v>47</v>
      </c>
      <c r="G55" s="13">
        <f t="shared" si="15"/>
        <v>27</v>
      </c>
      <c r="H55" s="13">
        <f t="shared" si="15"/>
        <v>30</v>
      </c>
      <c r="I55" s="13">
        <f t="shared" si="15"/>
        <v>39</v>
      </c>
      <c r="J55" s="13">
        <f t="shared" si="15"/>
        <v>35</v>
      </c>
      <c r="K55" s="13">
        <f t="shared" si="15"/>
        <v>14</v>
      </c>
      <c r="L55" s="13">
        <f t="shared" si="15"/>
        <v>10</v>
      </c>
      <c r="M55" s="13">
        <f t="shared" si="15"/>
        <v>20</v>
      </c>
      <c r="N55" s="13">
        <f t="shared" si="15"/>
        <v>29</v>
      </c>
      <c r="O55" s="13">
        <f t="shared" si="15"/>
        <v>37</v>
      </c>
      <c r="P55" s="13">
        <f t="shared" si="15"/>
        <v>31</v>
      </c>
      <c r="Q55" s="13">
        <f t="shared" si="15"/>
        <v>21</v>
      </c>
      <c r="R55" s="13">
        <f t="shared" si="15"/>
        <v>40</v>
      </c>
      <c r="S55" s="13">
        <f t="shared" si="15"/>
        <v>48</v>
      </c>
      <c r="T55" s="13">
        <f t="shared" si="15"/>
        <v>15</v>
      </c>
      <c r="U55" s="13">
        <f t="shared" si="15"/>
        <v>14</v>
      </c>
      <c r="V55" s="13">
        <f t="shared" si="15"/>
        <v>53</v>
      </c>
      <c r="W55" s="13">
        <f t="shared" si="15"/>
        <v>47</v>
      </c>
      <c r="X55" s="13">
        <f t="shared" si="15"/>
        <v>45</v>
      </c>
      <c r="Y55" s="13">
        <f t="shared" si="15"/>
        <v>38</v>
      </c>
      <c r="Z55" s="13">
        <f t="shared" si="15"/>
        <v>25</v>
      </c>
      <c r="AA55" s="13">
        <f t="shared" si="15"/>
        <v>18</v>
      </c>
      <c r="AB55" s="13">
        <f t="shared" si="15"/>
        <v>28</v>
      </c>
      <c r="AC55" s="13">
        <f t="shared" si="15"/>
        <v>39</v>
      </c>
      <c r="AD55" s="13">
        <f t="shared" si="15"/>
        <v>32</v>
      </c>
      <c r="AE55" s="13">
        <f t="shared" si="15"/>
        <v>17</v>
      </c>
      <c r="AF55" s="13">
        <f t="shared" si="14"/>
        <v>833</v>
      </c>
    </row>
    <row r="56" ht="12.75" customHeight="1">
      <c r="A56" s="48"/>
      <c r="B56" s="47"/>
      <c r="C56" s="47"/>
      <c r="D56" s="47"/>
      <c r="E56" s="47"/>
      <c r="AF56" s="13"/>
    </row>
    <row r="57" ht="12.75" customHeight="1">
      <c r="A57" s="31" t="s">
        <v>36</v>
      </c>
      <c r="B57" s="50" t="s">
        <v>18</v>
      </c>
      <c r="C57" s="51" t="s">
        <v>49</v>
      </c>
      <c r="D57" s="16"/>
      <c r="E57" s="79">
        <v>20.0</v>
      </c>
      <c r="F57" s="79">
        <v>16.0</v>
      </c>
      <c r="G57" s="79">
        <v>8.0</v>
      </c>
      <c r="H57" s="79">
        <v>6.0</v>
      </c>
      <c r="I57" s="79">
        <v>10.0</v>
      </c>
      <c r="J57" s="79">
        <v>15.0</v>
      </c>
      <c r="K57" s="79">
        <v>14.0</v>
      </c>
      <c r="L57" s="79">
        <v>10.0</v>
      </c>
      <c r="M57" s="79">
        <v>13.0</v>
      </c>
      <c r="N57" s="79">
        <v>10.0</v>
      </c>
      <c r="O57" s="79">
        <v>17.0</v>
      </c>
      <c r="P57" s="79">
        <v>16.0</v>
      </c>
      <c r="Q57" s="79">
        <v>14.0</v>
      </c>
      <c r="R57" s="79">
        <v>16.0</v>
      </c>
      <c r="S57" s="79">
        <v>8.0</v>
      </c>
      <c r="T57" s="79">
        <v>10.0</v>
      </c>
      <c r="U57" s="79">
        <v>14.0</v>
      </c>
      <c r="V57" s="79">
        <v>9.0</v>
      </c>
      <c r="W57" s="79">
        <v>2.0</v>
      </c>
      <c r="X57" s="79">
        <v>9.0</v>
      </c>
      <c r="Y57" s="79">
        <v>15.0</v>
      </c>
      <c r="Z57" s="79">
        <v>8.0</v>
      </c>
      <c r="AA57" s="79">
        <v>10.0</v>
      </c>
      <c r="AB57" s="79">
        <v>5.0</v>
      </c>
      <c r="AC57" s="79">
        <v>13.0</v>
      </c>
      <c r="AD57" s="79">
        <v>10.0</v>
      </c>
      <c r="AE57" s="79">
        <v>12.0</v>
      </c>
      <c r="AF57" s="13">
        <f t="shared" ref="AF57:AF67" si="16">SUM(E57:AE57)</f>
        <v>310</v>
      </c>
    </row>
    <row r="58" ht="12.75" customHeight="1">
      <c r="A58" s="31" t="s">
        <v>38</v>
      </c>
      <c r="B58" s="58"/>
      <c r="C58" s="53" t="s">
        <v>50</v>
      </c>
      <c r="D58" s="60"/>
      <c r="E58" s="79">
        <v>11.0</v>
      </c>
      <c r="F58" s="79">
        <v>6.0</v>
      </c>
      <c r="G58" s="79">
        <v>5.0</v>
      </c>
      <c r="H58" s="79">
        <v>4.0</v>
      </c>
      <c r="I58" s="79">
        <v>10.0</v>
      </c>
      <c r="J58" s="79">
        <v>7.0</v>
      </c>
      <c r="K58" s="79">
        <v>4.0</v>
      </c>
      <c r="L58" s="79">
        <v>5.0</v>
      </c>
      <c r="M58" s="79">
        <v>2.0</v>
      </c>
      <c r="N58" s="79">
        <v>4.0</v>
      </c>
      <c r="O58" s="79">
        <v>6.0</v>
      </c>
      <c r="P58" s="79">
        <v>3.0</v>
      </c>
      <c r="Q58" s="79">
        <v>4.0</v>
      </c>
      <c r="R58" s="79">
        <v>7.0</v>
      </c>
      <c r="S58" s="79">
        <v>2.0</v>
      </c>
      <c r="T58" s="79">
        <v>3.0</v>
      </c>
      <c r="U58" s="79">
        <v>0.0</v>
      </c>
      <c r="V58" s="79">
        <v>9.0</v>
      </c>
      <c r="W58" s="79">
        <v>5.0</v>
      </c>
      <c r="X58" s="79">
        <v>5.0</v>
      </c>
      <c r="Y58" s="79">
        <v>6.0</v>
      </c>
      <c r="Z58" s="79">
        <v>7.0</v>
      </c>
      <c r="AA58" s="79">
        <v>3.0</v>
      </c>
      <c r="AB58" s="79">
        <v>0.0</v>
      </c>
      <c r="AC58" s="79">
        <v>6.0</v>
      </c>
      <c r="AD58" s="79">
        <v>9.0</v>
      </c>
      <c r="AE58" s="79">
        <v>13.0</v>
      </c>
      <c r="AF58" s="13">
        <f t="shared" si="16"/>
        <v>146</v>
      </c>
    </row>
    <row r="59" ht="12.75" customHeight="1">
      <c r="A59" s="18"/>
      <c r="B59" s="58"/>
      <c r="C59" s="53" t="s">
        <v>51</v>
      </c>
      <c r="D59" s="60"/>
      <c r="E59" s="79">
        <v>7.0</v>
      </c>
      <c r="F59" s="79">
        <v>5.0</v>
      </c>
      <c r="G59" s="79">
        <v>8.0</v>
      </c>
      <c r="H59" s="79">
        <v>1.0</v>
      </c>
      <c r="I59" s="79">
        <v>3.0</v>
      </c>
      <c r="J59" s="79">
        <v>2.0</v>
      </c>
      <c r="K59" s="79">
        <v>5.0</v>
      </c>
      <c r="L59" s="79">
        <v>1.0</v>
      </c>
      <c r="M59" s="79">
        <v>2.0</v>
      </c>
      <c r="N59" s="79">
        <v>6.0</v>
      </c>
      <c r="O59" s="79">
        <v>13.0</v>
      </c>
      <c r="P59" s="79">
        <v>28.0</v>
      </c>
      <c r="Q59" s="79">
        <v>3.0</v>
      </c>
      <c r="R59" s="79">
        <v>13.0</v>
      </c>
      <c r="S59" s="79">
        <v>16.0</v>
      </c>
      <c r="T59" s="79">
        <v>10.0</v>
      </c>
      <c r="U59" s="79">
        <v>25.0</v>
      </c>
      <c r="V59" s="79">
        <v>35.0</v>
      </c>
      <c r="W59" s="79">
        <v>52.0</v>
      </c>
      <c r="X59" s="79">
        <v>6.0</v>
      </c>
      <c r="Y59" s="79">
        <v>12.0</v>
      </c>
      <c r="Z59" s="79">
        <v>3.0</v>
      </c>
      <c r="AA59" s="79">
        <v>4.0</v>
      </c>
      <c r="AB59" s="79">
        <v>4.0</v>
      </c>
      <c r="AC59" s="79">
        <v>4.0</v>
      </c>
      <c r="AD59" s="79">
        <v>4.0</v>
      </c>
      <c r="AE59" s="79">
        <v>38.0</v>
      </c>
      <c r="AF59" s="13">
        <f t="shared" si="16"/>
        <v>310</v>
      </c>
    </row>
    <row r="60" ht="12.75" customHeight="1">
      <c r="A60" s="18"/>
      <c r="B60" s="58"/>
      <c r="C60" s="53" t="s">
        <v>52</v>
      </c>
      <c r="D60" s="60"/>
      <c r="E60" s="79">
        <v>2.0</v>
      </c>
      <c r="F60" s="79">
        <v>2.0</v>
      </c>
      <c r="G60" s="79">
        <v>0.0</v>
      </c>
      <c r="H60" s="79">
        <v>1.0</v>
      </c>
      <c r="I60" s="79">
        <v>2.0</v>
      </c>
      <c r="J60" s="79">
        <v>4.0</v>
      </c>
      <c r="K60" s="79">
        <v>4.0</v>
      </c>
      <c r="L60" s="79">
        <v>1.0</v>
      </c>
      <c r="M60" s="19"/>
      <c r="N60" s="79">
        <v>3.0</v>
      </c>
      <c r="O60" s="79">
        <v>0.0</v>
      </c>
      <c r="P60" s="79">
        <v>3.0</v>
      </c>
      <c r="Q60" s="79">
        <v>1.0</v>
      </c>
      <c r="R60" s="79">
        <v>1.0</v>
      </c>
      <c r="S60" s="79">
        <v>6.0</v>
      </c>
      <c r="T60" s="79">
        <v>1.0</v>
      </c>
      <c r="U60" s="79">
        <v>5.0</v>
      </c>
      <c r="V60" s="79">
        <v>1.0</v>
      </c>
      <c r="W60" s="79">
        <v>2.0</v>
      </c>
      <c r="X60" s="79">
        <v>0.0</v>
      </c>
      <c r="Y60" s="79">
        <v>4.0</v>
      </c>
      <c r="Z60" s="79">
        <v>1.0</v>
      </c>
      <c r="AA60" s="79">
        <v>2.0</v>
      </c>
      <c r="AB60" s="79">
        <v>1.0</v>
      </c>
      <c r="AC60" s="79">
        <v>1.0</v>
      </c>
      <c r="AD60" s="79">
        <v>0.0</v>
      </c>
      <c r="AE60" s="79">
        <v>1.0</v>
      </c>
      <c r="AF60" s="13">
        <f t="shared" si="16"/>
        <v>49</v>
      </c>
    </row>
    <row r="61" ht="12.75" customHeight="1">
      <c r="A61" s="18"/>
      <c r="B61" s="58"/>
      <c r="C61" s="53" t="s">
        <v>53</v>
      </c>
      <c r="D61" s="60"/>
      <c r="E61" s="19"/>
      <c r="F61" s="79">
        <v>6.0</v>
      </c>
      <c r="G61" s="79">
        <v>3.0</v>
      </c>
      <c r="H61" s="79">
        <v>13.0</v>
      </c>
      <c r="I61" s="79">
        <v>1.0</v>
      </c>
      <c r="J61" s="79">
        <v>1.0</v>
      </c>
      <c r="K61" s="79">
        <v>0.0</v>
      </c>
      <c r="L61" s="79">
        <v>0.0</v>
      </c>
      <c r="M61" s="19"/>
      <c r="N61" s="79">
        <v>2.0</v>
      </c>
      <c r="O61" s="79">
        <v>1.0</v>
      </c>
      <c r="P61" s="79">
        <v>7.0</v>
      </c>
      <c r="Q61" s="79">
        <v>7.0</v>
      </c>
      <c r="R61" s="79">
        <v>8.0</v>
      </c>
      <c r="S61" s="79">
        <v>3.0</v>
      </c>
      <c r="T61" s="79">
        <v>1.0</v>
      </c>
      <c r="U61" s="79">
        <v>3.0</v>
      </c>
      <c r="V61" s="79">
        <v>3.0</v>
      </c>
      <c r="W61" s="79">
        <v>3.0</v>
      </c>
      <c r="X61" s="79">
        <v>2.0</v>
      </c>
      <c r="Y61" s="79">
        <v>5.0</v>
      </c>
      <c r="Z61" s="79">
        <v>4.0</v>
      </c>
      <c r="AA61" s="79">
        <v>3.0</v>
      </c>
      <c r="AB61" s="79">
        <v>1.0</v>
      </c>
      <c r="AC61" s="79">
        <v>3.0</v>
      </c>
      <c r="AD61" s="79">
        <v>3.0</v>
      </c>
      <c r="AE61" s="79">
        <v>2.0</v>
      </c>
      <c r="AF61" s="13">
        <f t="shared" si="16"/>
        <v>85</v>
      </c>
    </row>
    <row r="62" ht="12.75" customHeight="1">
      <c r="A62" s="18"/>
      <c r="B62" s="58"/>
      <c r="C62" s="53" t="s">
        <v>54</v>
      </c>
      <c r="D62" s="60"/>
      <c r="E62" s="19"/>
      <c r="F62" s="79">
        <v>1.0</v>
      </c>
      <c r="G62" s="79">
        <v>2.0</v>
      </c>
      <c r="H62" s="79">
        <v>3.0</v>
      </c>
      <c r="I62" s="79">
        <v>0.0</v>
      </c>
      <c r="J62" s="79">
        <v>0.0</v>
      </c>
      <c r="K62" s="79">
        <v>0.0</v>
      </c>
      <c r="L62" s="79">
        <v>0.0</v>
      </c>
      <c r="M62" s="19"/>
      <c r="N62" s="79">
        <v>0.0</v>
      </c>
      <c r="O62" s="79">
        <v>3.0</v>
      </c>
      <c r="P62" s="79">
        <v>1.0</v>
      </c>
      <c r="Q62" s="79">
        <v>1.0</v>
      </c>
      <c r="R62" s="79">
        <v>1.0</v>
      </c>
      <c r="S62" s="79">
        <v>0.0</v>
      </c>
      <c r="T62" s="79">
        <v>1.0</v>
      </c>
      <c r="U62" s="79">
        <v>0.0</v>
      </c>
      <c r="V62" s="79">
        <v>0.0</v>
      </c>
      <c r="W62" s="79">
        <v>1.0</v>
      </c>
      <c r="X62" s="79">
        <v>0.0</v>
      </c>
      <c r="Y62" s="79">
        <v>5.0</v>
      </c>
      <c r="Z62" s="79">
        <v>6.0</v>
      </c>
      <c r="AA62" s="79">
        <v>2.0</v>
      </c>
      <c r="AB62" s="79">
        <v>1.0</v>
      </c>
      <c r="AC62" s="79">
        <v>1.0</v>
      </c>
      <c r="AD62" s="79">
        <v>1.0</v>
      </c>
      <c r="AE62" s="19"/>
      <c r="AF62" s="13">
        <f t="shared" si="16"/>
        <v>30</v>
      </c>
    </row>
    <row r="63" ht="12.75" customHeight="1">
      <c r="A63" s="18"/>
      <c r="B63" s="58"/>
      <c r="C63" s="53" t="s">
        <v>55</v>
      </c>
      <c r="D63" s="61"/>
      <c r="E63" s="79">
        <v>1.0</v>
      </c>
      <c r="F63" s="79">
        <v>0.0</v>
      </c>
      <c r="G63" s="19"/>
      <c r="H63" s="79">
        <v>0.0</v>
      </c>
      <c r="I63" s="79">
        <v>0.0</v>
      </c>
      <c r="J63" s="79">
        <v>0.0</v>
      </c>
      <c r="K63" s="79">
        <v>1.0</v>
      </c>
      <c r="L63" s="79">
        <v>0.0</v>
      </c>
      <c r="M63" s="19"/>
      <c r="N63" s="79">
        <v>1.0</v>
      </c>
      <c r="O63" s="79">
        <v>0.0</v>
      </c>
      <c r="P63" s="79">
        <v>0.0</v>
      </c>
      <c r="Q63" s="79">
        <v>1.0</v>
      </c>
      <c r="R63" s="79">
        <v>0.0</v>
      </c>
      <c r="S63" s="79">
        <v>0.0</v>
      </c>
      <c r="T63" s="79">
        <v>0.0</v>
      </c>
      <c r="U63" s="79">
        <v>0.0</v>
      </c>
      <c r="V63" s="79">
        <v>1.0</v>
      </c>
      <c r="W63" s="79">
        <v>1.0</v>
      </c>
      <c r="X63" s="79">
        <v>0.0</v>
      </c>
      <c r="Y63" s="79">
        <v>0.0</v>
      </c>
      <c r="Z63" s="19"/>
      <c r="AA63" s="79">
        <v>1.0</v>
      </c>
      <c r="AB63" s="79">
        <v>1.0</v>
      </c>
      <c r="AC63" s="79">
        <v>0.0</v>
      </c>
      <c r="AD63" s="79">
        <v>1.0</v>
      </c>
      <c r="AE63" s="19"/>
      <c r="AF63" s="13">
        <f t="shared" si="16"/>
        <v>9</v>
      </c>
    </row>
    <row r="64" ht="12.75" customHeight="1">
      <c r="A64" s="18"/>
      <c r="B64" s="58"/>
      <c r="C64" s="53" t="s">
        <v>56</v>
      </c>
      <c r="D64" s="60"/>
      <c r="E64" s="19"/>
      <c r="F64" s="79">
        <v>0.0</v>
      </c>
      <c r="G64" s="19"/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1.0</v>
      </c>
      <c r="N64" s="79">
        <v>0.0</v>
      </c>
      <c r="O64" s="79">
        <v>0.0</v>
      </c>
      <c r="P64" s="79">
        <v>0.0</v>
      </c>
      <c r="Q64" s="79">
        <v>0.0</v>
      </c>
      <c r="R64" s="79">
        <v>1.0</v>
      </c>
      <c r="S64" s="79">
        <v>0.0</v>
      </c>
      <c r="T64" s="79">
        <v>1.0</v>
      </c>
      <c r="U64" s="79">
        <v>1.0</v>
      </c>
      <c r="V64" s="79">
        <v>0.0</v>
      </c>
      <c r="W64" s="79">
        <v>1.0</v>
      </c>
      <c r="X64" s="79">
        <v>0.0</v>
      </c>
      <c r="Y64" s="79">
        <v>0.0</v>
      </c>
      <c r="Z64" s="19"/>
      <c r="AA64" s="79">
        <v>2.0</v>
      </c>
      <c r="AB64" s="79">
        <v>0.0</v>
      </c>
      <c r="AC64" s="79">
        <v>0.0</v>
      </c>
      <c r="AD64" s="79">
        <v>0.0</v>
      </c>
      <c r="AE64" s="19"/>
      <c r="AF64" s="13">
        <f t="shared" si="16"/>
        <v>7</v>
      </c>
    </row>
    <row r="65" ht="12.75" customHeight="1">
      <c r="A65" s="18"/>
      <c r="B65" s="58"/>
      <c r="C65" s="53" t="s">
        <v>57</v>
      </c>
      <c r="D65" s="60"/>
      <c r="E65" s="19"/>
      <c r="F65" s="79">
        <v>0.0</v>
      </c>
      <c r="G65" s="19"/>
      <c r="H65" s="79">
        <v>1.0</v>
      </c>
      <c r="I65" s="79">
        <v>0.0</v>
      </c>
      <c r="J65" s="79">
        <v>0.0</v>
      </c>
      <c r="K65" s="79">
        <v>1.0</v>
      </c>
      <c r="L65" s="79">
        <v>0.0</v>
      </c>
      <c r="M65" s="19"/>
      <c r="N65" s="79">
        <v>0.0</v>
      </c>
      <c r="O65" s="79">
        <v>0.0</v>
      </c>
      <c r="P65" s="79">
        <v>0.0</v>
      </c>
      <c r="Q65" s="79">
        <v>1.0</v>
      </c>
      <c r="R65" s="79">
        <v>0.0</v>
      </c>
      <c r="S65" s="79">
        <v>0.0</v>
      </c>
      <c r="T65" s="19"/>
      <c r="U65" s="79">
        <v>1.0</v>
      </c>
      <c r="V65" s="79">
        <v>0.0</v>
      </c>
      <c r="W65" s="79">
        <v>0.0</v>
      </c>
      <c r="X65" s="79">
        <v>0.0</v>
      </c>
      <c r="Y65" s="79">
        <v>0.0</v>
      </c>
      <c r="Z65" s="19"/>
      <c r="AA65" s="79">
        <v>0.0</v>
      </c>
      <c r="AB65" s="79">
        <v>0.0</v>
      </c>
      <c r="AC65" s="79">
        <v>0.0</v>
      </c>
      <c r="AD65" s="79">
        <v>0.0</v>
      </c>
      <c r="AE65" s="19"/>
      <c r="AF65" s="13">
        <f t="shared" si="16"/>
        <v>4</v>
      </c>
    </row>
    <row r="66" ht="12.75" customHeight="1">
      <c r="A66" s="18"/>
      <c r="B66" s="58"/>
      <c r="C66" s="53" t="s">
        <v>58</v>
      </c>
      <c r="D66" s="60"/>
      <c r="E66" s="19"/>
      <c r="F66" s="79">
        <v>0.0</v>
      </c>
      <c r="G66" s="79">
        <v>1.0</v>
      </c>
      <c r="H66" s="79">
        <v>0.0</v>
      </c>
      <c r="I66" s="79">
        <v>1.0</v>
      </c>
      <c r="J66" s="79">
        <v>0.0</v>
      </c>
      <c r="K66" s="79">
        <v>0.0</v>
      </c>
      <c r="L66" s="79">
        <v>0.0</v>
      </c>
      <c r="M66" s="19"/>
      <c r="N66" s="79">
        <v>5.0</v>
      </c>
      <c r="O66" s="79">
        <v>1.0</v>
      </c>
      <c r="P66" s="79">
        <v>1.0</v>
      </c>
      <c r="Q66" s="79">
        <v>1.0</v>
      </c>
      <c r="R66" s="79">
        <v>0.0</v>
      </c>
      <c r="S66" s="79">
        <v>0.0</v>
      </c>
      <c r="T66" s="19"/>
      <c r="U66" s="79">
        <v>1.0</v>
      </c>
      <c r="V66" s="79">
        <v>1.0</v>
      </c>
      <c r="W66" s="79">
        <v>0.0</v>
      </c>
      <c r="X66" s="79">
        <v>0.0</v>
      </c>
      <c r="Y66" s="79">
        <v>0.0</v>
      </c>
      <c r="Z66" s="19"/>
      <c r="AA66" s="79">
        <v>0.0</v>
      </c>
      <c r="AB66" s="79">
        <v>0.0</v>
      </c>
      <c r="AC66" s="79">
        <v>0.0</v>
      </c>
      <c r="AD66" s="79">
        <v>0.0</v>
      </c>
      <c r="AE66" s="19"/>
      <c r="AF66" s="13">
        <f t="shared" si="16"/>
        <v>12</v>
      </c>
    </row>
    <row r="67" ht="12.75" customHeight="1">
      <c r="A67" s="19" t="s">
        <v>14</v>
      </c>
      <c r="B67" s="50" t="s">
        <v>48</v>
      </c>
      <c r="C67" s="15"/>
      <c r="D67" s="16"/>
      <c r="E67" s="13">
        <f t="shared" ref="E67:AE67" si="17">SUM(E57:E66)</f>
        <v>41</v>
      </c>
      <c r="F67" s="13">
        <f t="shared" si="17"/>
        <v>36</v>
      </c>
      <c r="G67" s="13">
        <f t="shared" si="17"/>
        <v>27</v>
      </c>
      <c r="H67" s="13">
        <f t="shared" si="17"/>
        <v>29</v>
      </c>
      <c r="I67" s="13">
        <f t="shared" si="17"/>
        <v>27</v>
      </c>
      <c r="J67" s="13">
        <f t="shared" si="17"/>
        <v>29</v>
      </c>
      <c r="K67" s="13">
        <f t="shared" si="17"/>
        <v>29</v>
      </c>
      <c r="L67" s="13">
        <f t="shared" si="17"/>
        <v>17</v>
      </c>
      <c r="M67" s="13">
        <f t="shared" si="17"/>
        <v>18</v>
      </c>
      <c r="N67" s="13">
        <f t="shared" si="17"/>
        <v>31</v>
      </c>
      <c r="O67" s="13">
        <f t="shared" si="17"/>
        <v>41</v>
      </c>
      <c r="P67" s="13">
        <f t="shared" si="17"/>
        <v>59</v>
      </c>
      <c r="Q67" s="13">
        <f t="shared" si="17"/>
        <v>33</v>
      </c>
      <c r="R67" s="13">
        <f t="shared" si="17"/>
        <v>47</v>
      </c>
      <c r="S67" s="13">
        <f t="shared" si="17"/>
        <v>35</v>
      </c>
      <c r="T67" s="13">
        <f t="shared" si="17"/>
        <v>27</v>
      </c>
      <c r="U67" s="13">
        <f t="shared" si="17"/>
        <v>50</v>
      </c>
      <c r="V67" s="13">
        <f t="shared" si="17"/>
        <v>59</v>
      </c>
      <c r="W67" s="13">
        <f t="shared" si="17"/>
        <v>67</v>
      </c>
      <c r="X67" s="13">
        <f t="shared" si="17"/>
        <v>22</v>
      </c>
      <c r="Y67" s="13">
        <f t="shared" si="17"/>
        <v>47</v>
      </c>
      <c r="Z67" s="13">
        <f t="shared" si="17"/>
        <v>29</v>
      </c>
      <c r="AA67" s="13">
        <f t="shared" si="17"/>
        <v>27</v>
      </c>
      <c r="AB67" s="13">
        <f t="shared" si="17"/>
        <v>13</v>
      </c>
      <c r="AC67" s="13">
        <f t="shared" si="17"/>
        <v>28</v>
      </c>
      <c r="AD67" s="13">
        <f t="shared" si="17"/>
        <v>28</v>
      </c>
      <c r="AE67" s="13">
        <f t="shared" si="17"/>
        <v>66</v>
      </c>
      <c r="AF67" s="13">
        <f t="shared" si="16"/>
        <v>962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36</v>
      </c>
      <c r="B69" s="50" t="s">
        <v>20</v>
      </c>
      <c r="C69" s="51" t="s">
        <v>59</v>
      </c>
      <c r="D69" s="16"/>
      <c r="E69" s="79">
        <v>11.0</v>
      </c>
      <c r="F69" s="79">
        <v>17.0</v>
      </c>
      <c r="G69" s="79">
        <v>15.0</v>
      </c>
      <c r="H69" s="79">
        <v>22.0</v>
      </c>
      <c r="I69" s="79">
        <v>18.0</v>
      </c>
      <c r="J69" s="79">
        <v>7.0</v>
      </c>
      <c r="K69" s="79">
        <v>19.0</v>
      </c>
      <c r="L69" s="79">
        <v>19.0</v>
      </c>
      <c r="M69" s="79">
        <v>11.0</v>
      </c>
      <c r="N69" s="79">
        <v>9.0</v>
      </c>
      <c r="O69" s="79">
        <v>18.0</v>
      </c>
      <c r="P69" s="79">
        <v>16.0</v>
      </c>
      <c r="Q69" s="79">
        <v>13.0</v>
      </c>
      <c r="R69" s="79">
        <v>19.0</v>
      </c>
      <c r="S69" s="79">
        <v>16.0</v>
      </c>
      <c r="T69" s="79">
        <v>19.0</v>
      </c>
      <c r="U69" s="79">
        <v>16.0</v>
      </c>
      <c r="V69" s="79">
        <v>7.0</v>
      </c>
      <c r="W69" s="79">
        <v>6.0</v>
      </c>
      <c r="X69" s="79">
        <v>11.0</v>
      </c>
      <c r="Y69" s="79">
        <v>26.0</v>
      </c>
      <c r="Z69" s="79">
        <v>18.0</v>
      </c>
      <c r="AA69" s="79">
        <v>12.0</v>
      </c>
      <c r="AB69" s="79">
        <v>19.0</v>
      </c>
      <c r="AC69" s="79">
        <v>24.0</v>
      </c>
      <c r="AD69" s="79">
        <v>19.0</v>
      </c>
      <c r="AE69" s="79">
        <v>8.0</v>
      </c>
      <c r="AF69" s="13">
        <f t="shared" ref="AF69:AF79" si="18">SUM(E69:AE69)</f>
        <v>415</v>
      </c>
    </row>
    <row r="70" ht="12.75" customHeight="1">
      <c r="A70" s="31" t="s">
        <v>38</v>
      </c>
      <c r="B70" s="58"/>
      <c r="C70" s="53" t="s">
        <v>60</v>
      </c>
      <c r="D70" s="61"/>
      <c r="E70" s="79">
        <v>5.0</v>
      </c>
      <c r="F70" s="79">
        <v>3.0</v>
      </c>
      <c r="G70" s="79">
        <v>2.0</v>
      </c>
      <c r="H70" s="79">
        <v>4.0</v>
      </c>
      <c r="I70" s="79">
        <v>8.0</v>
      </c>
      <c r="J70" s="79">
        <v>4.0</v>
      </c>
      <c r="K70" s="79">
        <v>3.0</v>
      </c>
      <c r="L70" s="79">
        <v>3.0</v>
      </c>
      <c r="M70" s="79">
        <v>3.0</v>
      </c>
      <c r="N70" s="79">
        <v>5.0</v>
      </c>
      <c r="O70" s="79">
        <v>4.0</v>
      </c>
      <c r="P70" s="79">
        <v>7.0</v>
      </c>
      <c r="Q70" s="79">
        <v>6.0</v>
      </c>
      <c r="R70" s="79">
        <v>6.0</v>
      </c>
      <c r="S70" s="79">
        <v>3.0</v>
      </c>
      <c r="T70" s="79">
        <v>2.0</v>
      </c>
      <c r="U70" s="79">
        <v>5.0</v>
      </c>
      <c r="V70" s="79">
        <v>3.0</v>
      </c>
      <c r="W70" s="79">
        <v>3.0</v>
      </c>
      <c r="X70" s="79">
        <v>3.0</v>
      </c>
      <c r="Y70" s="79">
        <v>8.0</v>
      </c>
      <c r="Z70" s="79">
        <v>11.0</v>
      </c>
      <c r="AA70" s="79">
        <v>5.0</v>
      </c>
      <c r="AB70" s="79">
        <v>4.0</v>
      </c>
      <c r="AC70" s="79">
        <v>5.0</v>
      </c>
      <c r="AD70" s="79">
        <v>7.0</v>
      </c>
      <c r="AE70" s="79">
        <v>11.0</v>
      </c>
      <c r="AF70" s="13">
        <f t="shared" si="18"/>
        <v>133</v>
      </c>
    </row>
    <row r="71" ht="12.75" customHeight="1">
      <c r="A71" s="18"/>
      <c r="B71" s="58"/>
      <c r="C71" s="53" t="s">
        <v>61</v>
      </c>
      <c r="D71" s="61"/>
      <c r="E71" s="79">
        <v>2.0</v>
      </c>
      <c r="F71" s="79">
        <v>5.0</v>
      </c>
      <c r="G71" s="79">
        <v>2.0</v>
      </c>
      <c r="H71" s="79">
        <v>5.0</v>
      </c>
      <c r="I71" s="79">
        <v>4.0</v>
      </c>
      <c r="J71" s="79">
        <v>2.0</v>
      </c>
      <c r="K71" s="79">
        <v>7.0</v>
      </c>
      <c r="L71" s="79">
        <v>10.0</v>
      </c>
      <c r="M71" s="79">
        <v>2.0</v>
      </c>
      <c r="N71" s="79">
        <v>3.0</v>
      </c>
      <c r="O71" s="79">
        <v>24.0</v>
      </c>
      <c r="P71" s="79">
        <v>9.0</v>
      </c>
      <c r="Q71" s="79">
        <v>59.0</v>
      </c>
      <c r="R71" s="79">
        <v>42.0</v>
      </c>
      <c r="S71" s="79">
        <v>9.0</v>
      </c>
      <c r="T71" s="79">
        <v>12.0</v>
      </c>
      <c r="U71" s="79">
        <v>13.0</v>
      </c>
      <c r="V71" s="79">
        <v>6.0</v>
      </c>
      <c r="W71" s="79">
        <v>2.0</v>
      </c>
      <c r="X71" s="79">
        <v>12.0</v>
      </c>
      <c r="Y71" s="79">
        <v>5.0</v>
      </c>
      <c r="Z71" s="79">
        <v>32.0</v>
      </c>
      <c r="AA71" s="79">
        <v>38.0</v>
      </c>
      <c r="AB71" s="79">
        <v>111.0</v>
      </c>
      <c r="AC71" s="79">
        <v>54.0</v>
      </c>
      <c r="AD71" s="79">
        <v>32.0</v>
      </c>
      <c r="AE71" s="79">
        <v>43.0</v>
      </c>
      <c r="AF71" s="13">
        <f t="shared" si="18"/>
        <v>545</v>
      </c>
    </row>
    <row r="72" ht="12.75" customHeight="1">
      <c r="A72" s="18"/>
      <c r="B72" s="58"/>
      <c r="C72" s="53" t="s">
        <v>62</v>
      </c>
      <c r="D72" s="61"/>
      <c r="E72" s="79">
        <v>2.0</v>
      </c>
      <c r="F72" s="79">
        <v>0.0</v>
      </c>
      <c r="G72" s="79">
        <v>2.0</v>
      </c>
      <c r="H72" s="79">
        <v>3.0</v>
      </c>
      <c r="I72" s="79">
        <v>5.0</v>
      </c>
      <c r="J72" s="79">
        <v>0.0</v>
      </c>
      <c r="K72" s="79">
        <v>2.0</v>
      </c>
      <c r="L72" s="79">
        <v>5.0</v>
      </c>
      <c r="M72" s="79">
        <v>2.0</v>
      </c>
      <c r="N72" s="79">
        <v>3.0</v>
      </c>
      <c r="O72" s="79">
        <v>5.0</v>
      </c>
      <c r="P72" s="79">
        <v>3.0</v>
      </c>
      <c r="Q72" s="79">
        <v>5.0</v>
      </c>
      <c r="R72" s="79">
        <v>7.0</v>
      </c>
      <c r="S72" s="79">
        <v>6.0</v>
      </c>
      <c r="T72" s="79">
        <v>9.0</v>
      </c>
      <c r="U72" s="79">
        <v>3.0</v>
      </c>
      <c r="V72" s="79">
        <v>1.0</v>
      </c>
      <c r="W72" s="79">
        <v>4.0</v>
      </c>
      <c r="X72" s="79">
        <v>4.0</v>
      </c>
      <c r="Y72" s="79">
        <v>4.0</v>
      </c>
      <c r="Z72" s="79">
        <v>5.0</v>
      </c>
      <c r="AA72" s="79">
        <v>4.0</v>
      </c>
      <c r="AB72" s="79">
        <v>2.0</v>
      </c>
      <c r="AC72" s="79">
        <v>2.0</v>
      </c>
      <c r="AD72" s="79">
        <v>5.0</v>
      </c>
      <c r="AE72" s="79">
        <v>2.0</v>
      </c>
      <c r="AF72" s="13">
        <f t="shared" si="18"/>
        <v>95</v>
      </c>
    </row>
    <row r="73" ht="12.75" customHeight="1">
      <c r="A73" s="18"/>
      <c r="B73" s="58"/>
      <c r="C73" s="53" t="s">
        <v>63</v>
      </c>
      <c r="D73" s="61"/>
      <c r="E73" s="79">
        <v>2.0</v>
      </c>
      <c r="F73" s="79">
        <v>3.0</v>
      </c>
      <c r="G73" s="79">
        <v>2.0</v>
      </c>
      <c r="H73" s="79">
        <v>0.0</v>
      </c>
      <c r="I73" s="79">
        <v>4.0</v>
      </c>
      <c r="J73" s="79">
        <v>1.0</v>
      </c>
      <c r="K73" s="79">
        <v>1.0</v>
      </c>
      <c r="L73" s="79">
        <v>6.0</v>
      </c>
      <c r="M73" s="79">
        <v>3.0</v>
      </c>
      <c r="N73" s="79">
        <v>2.0</v>
      </c>
      <c r="O73" s="79">
        <v>1.0</v>
      </c>
      <c r="P73" s="79">
        <v>4.0</v>
      </c>
      <c r="Q73" s="79">
        <v>1.0</v>
      </c>
      <c r="R73" s="79">
        <v>1.0</v>
      </c>
      <c r="S73" s="79">
        <v>2.0</v>
      </c>
      <c r="T73" s="79">
        <v>1.0</v>
      </c>
      <c r="U73" s="79">
        <v>8.0</v>
      </c>
      <c r="V73" s="79">
        <v>2.0</v>
      </c>
      <c r="W73" s="79">
        <v>0.0</v>
      </c>
      <c r="X73" s="79">
        <v>3.0</v>
      </c>
      <c r="Y73" s="79">
        <v>5.0</v>
      </c>
      <c r="Z73" s="79">
        <v>2.0</v>
      </c>
      <c r="AA73" s="79">
        <v>6.0</v>
      </c>
      <c r="AB73" s="79">
        <v>2.0</v>
      </c>
      <c r="AC73" s="79">
        <v>2.0</v>
      </c>
      <c r="AD73" s="79">
        <v>20.0</v>
      </c>
      <c r="AE73" s="79">
        <v>7.0</v>
      </c>
      <c r="AF73" s="13">
        <f t="shared" si="18"/>
        <v>91</v>
      </c>
    </row>
    <row r="74" ht="12.75" customHeight="1">
      <c r="A74" s="18"/>
      <c r="B74" s="58"/>
      <c r="C74" s="53" t="s">
        <v>64</v>
      </c>
      <c r="D74" s="61"/>
      <c r="E74" s="79">
        <v>1.0</v>
      </c>
      <c r="F74" s="79">
        <v>2.0</v>
      </c>
      <c r="G74" s="79">
        <v>2.0</v>
      </c>
      <c r="H74" s="79">
        <v>5.0</v>
      </c>
      <c r="I74" s="79">
        <v>3.0</v>
      </c>
      <c r="J74" s="79">
        <v>3.0</v>
      </c>
      <c r="K74" s="79">
        <v>5.0</v>
      </c>
      <c r="L74" s="79">
        <v>6.0</v>
      </c>
      <c r="M74" s="79">
        <v>1.0</v>
      </c>
      <c r="N74" s="79">
        <v>3.0</v>
      </c>
      <c r="O74" s="79">
        <v>5.0</v>
      </c>
      <c r="P74" s="79">
        <v>5.0</v>
      </c>
      <c r="Q74" s="79">
        <v>1.0</v>
      </c>
      <c r="R74" s="79">
        <v>3.0</v>
      </c>
      <c r="S74" s="79">
        <v>2.0</v>
      </c>
      <c r="T74" s="79">
        <v>4.0</v>
      </c>
      <c r="U74" s="79">
        <v>7.0</v>
      </c>
      <c r="V74" s="79">
        <v>0.0</v>
      </c>
      <c r="W74" s="79">
        <v>0.0</v>
      </c>
      <c r="X74" s="79">
        <v>2.0</v>
      </c>
      <c r="Y74" s="79">
        <v>3.0</v>
      </c>
      <c r="Z74" s="79">
        <v>7.0</v>
      </c>
      <c r="AA74" s="79">
        <v>2.0</v>
      </c>
      <c r="AB74" s="79">
        <v>2.0</v>
      </c>
      <c r="AC74" s="79">
        <v>4.0</v>
      </c>
      <c r="AD74" s="79">
        <v>7.0</v>
      </c>
      <c r="AE74" s="79">
        <v>3.0</v>
      </c>
      <c r="AF74" s="13">
        <f t="shared" si="18"/>
        <v>88</v>
      </c>
    </row>
    <row r="75" ht="12.75" customHeight="1">
      <c r="A75" s="18"/>
      <c r="B75" s="58"/>
      <c r="C75" s="53" t="s">
        <v>65</v>
      </c>
      <c r="D75" s="61"/>
      <c r="E75" s="79">
        <v>0.0</v>
      </c>
      <c r="F75" s="79">
        <v>1.0</v>
      </c>
      <c r="G75" s="79">
        <v>1.0</v>
      </c>
      <c r="H75" s="79">
        <v>0.0</v>
      </c>
      <c r="I75" s="79">
        <v>0.0</v>
      </c>
      <c r="J75" s="79">
        <v>0.0</v>
      </c>
      <c r="K75" s="79">
        <v>2.0</v>
      </c>
      <c r="L75" s="79">
        <v>3.0</v>
      </c>
      <c r="M75" s="19"/>
      <c r="N75" s="79">
        <v>2.0</v>
      </c>
      <c r="O75" s="79">
        <v>2.0</v>
      </c>
      <c r="P75" s="79">
        <v>1.0</v>
      </c>
      <c r="Q75" s="79">
        <v>2.0</v>
      </c>
      <c r="R75" s="79">
        <v>0.0</v>
      </c>
      <c r="S75" s="79">
        <v>2.0</v>
      </c>
      <c r="T75" s="79">
        <v>2.0</v>
      </c>
      <c r="U75" s="79">
        <v>3.0</v>
      </c>
      <c r="V75" s="79">
        <v>0.0</v>
      </c>
      <c r="W75" s="79">
        <v>2.0</v>
      </c>
      <c r="X75" s="79">
        <v>0.0</v>
      </c>
      <c r="Y75" s="79">
        <v>2.0</v>
      </c>
      <c r="Z75" s="79">
        <v>3.0</v>
      </c>
      <c r="AA75" s="79">
        <v>1.0</v>
      </c>
      <c r="AB75" s="79">
        <v>1.0</v>
      </c>
      <c r="AC75" s="79">
        <v>3.0</v>
      </c>
      <c r="AD75" s="79">
        <v>2.0</v>
      </c>
      <c r="AE75" s="79">
        <v>1.0</v>
      </c>
      <c r="AF75" s="13">
        <f t="shared" si="18"/>
        <v>36</v>
      </c>
    </row>
    <row r="76" ht="12.75" customHeight="1">
      <c r="A76" s="18"/>
      <c r="B76" s="58"/>
      <c r="C76" s="53" t="s">
        <v>66</v>
      </c>
      <c r="D76" s="61"/>
      <c r="E76" s="79">
        <v>0.0</v>
      </c>
      <c r="F76" s="79">
        <v>1.0</v>
      </c>
      <c r="G76" s="79">
        <v>1.0</v>
      </c>
      <c r="H76" s="79">
        <v>0.0</v>
      </c>
      <c r="I76" s="79">
        <v>0.0</v>
      </c>
      <c r="J76" s="79">
        <v>0.0</v>
      </c>
      <c r="K76" s="79">
        <v>2.0</v>
      </c>
      <c r="L76" s="79">
        <v>0.0</v>
      </c>
      <c r="M76" s="19"/>
      <c r="N76" s="79">
        <v>0.0</v>
      </c>
      <c r="O76" s="79">
        <v>2.0</v>
      </c>
      <c r="P76" s="79">
        <v>2.0</v>
      </c>
      <c r="Q76" s="79">
        <v>0.0</v>
      </c>
      <c r="R76" s="79">
        <v>0.0</v>
      </c>
      <c r="S76" s="79">
        <v>10.0</v>
      </c>
      <c r="T76" s="79">
        <v>1.0</v>
      </c>
      <c r="U76" s="79">
        <v>1.0</v>
      </c>
      <c r="V76" s="79">
        <v>0.0</v>
      </c>
      <c r="W76" s="79">
        <v>0.0</v>
      </c>
      <c r="X76" s="79">
        <v>3.0</v>
      </c>
      <c r="Y76" s="79">
        <v>0.0</v>
      </c>
      <c r="Z76" s="79">
        <v>0.0</v>
      </c>
      <c r="AA76" s="79">
        <v>1.0</v>
      </c>
      <c r="AB76" s="79">
        <v>0.0</v>
      </c>
      <c r="AC76" s="79">
        <v>2.0</v>
      </c>
      <c r="AD76" s="79">
        <v>0.0</v>
      </c>
      <c r="AE76" s="19"/>
      <c r="AF76" s="13">
        <f t="shared" si="18"/>
        <v>26</v>
      </c>
    </row>
    <row r="77" ht="12.75" customHeight="1">
      <c r="A77" s="18"/>
      <c r="B77" s="58"/>
      <c r="C77" s="53" t="s">
        <v>67</v>
      </c>
      <c r="D77" s="61"/>
      <c r="E77" s="19"/>
      <c r="F77" s="79">
        <v>0.0</v>
      </c>
      <c r="G77" s="79">
        <v>2.0</v>
      </c>
      <c r="H77" s="79">
        <v>1.0</v>
      </c>
      <c r="I77" s="79">
        <v>3.0</v>
      </c>
      <c r="J77" s="79">
        <v>1.0</v>
      </c>
      <c r="K77" s="79">
        <v>4.0</v>
      </c>
      <c r="L77" s="79">
        <v>2.0</v>
      </c>
      <c r="M77" s="19"/>
      <c r="N77" s="79">
        <v>3.0</v>
      </c>
      <c r="O77" s="79">
        <v>0.0</v>
      </c>
      <c r="P77" s="79">
        <v>2.0</v>
      </c>
      <c r="Q77" s="79">
        <v>2.0</v>
      </c>
      <c r="R77" s="79">
        <v>1.0</v>
      </c>
      <c r="S77" s="79">
        <v>1.0</v>
      </c>
      <c r="T77" s="79">
        <v>3.0</v>
      </c>
      <c r="U77" s="79">
        <v>1.0</v>
      </c>
      <c r="V77" s="79">
        <v>0.0</v>
      </c>
      <c r="W77" s="79">
        <v>0.0</v>
      </c>
      <c r="X77" s="79">
        <v>0.0</v>
      </c>
      <c r="Y77" s="79">
        <v>5.0</v>
      </c>
      <c r="Z77" s="79">
        <v>4.0</v>
      </c>
      <c r="AA77" s="79">
        <v>1.0</v>
      </c>
      <c r="AB77" s="79">
        <v>0.0</v>
      </c>
      <c r="AC77" s="79">
        <v>0.0</v>
      </c>
      <c r="AD77" s="79">
        <v>1.0</v>
      </c>
      <c r="AE77" s="19"/>
      <c r="AF77" s="13">
        <f t="shared" si="18"/>
        <v>37</v>
      </c>
    </row>
    <row r="78" ht="12.75" customHeight="1">
      <c r="A78" s="18"/>
      <c r="B78" s="58"/>
      <c r="C78" s="53" t="s">
        <v>68</v>
      </c>
      <c r="D78" s="61"/>
      <c r="E78" s="79">
        <v>1.0</v>
      </c>
      <c r="F78" s="79">
        <v>2.0</v>
      </c>
      <c r="G78" s="79">
        <v>0.0</v>
      </c>
      <c r="H78" s="79">
        <v>0.0</v>
      </c>
      <c r="I78" s="79">
        <v>1.0</v>
      </c>
      <c r="J78" s="79">
        <v>0.0</v>
      </c>
      <c r="K78" s="79">
        <v>1.0</v>
      </c>
      <c r="L78" s="79">
        <v>1.0</v>
      </c>
      <c r="M78" s="19"/>
      <c r="N78" s="79">
        <v>0.0</v>
      </c>
      <c r="O78" s="79">
        <v>0.0</v>
      </c>
      <c r="P78" s="79">
        <v>1.0</v>
      </c>
      <c r="Q78" s="79">
        <v>1.0</v>
      </c>
      <c r="R78" s="79">
        <v>0.0</v>
      </c>
      <c r="S78" s="79">
        <v>0.0</v>
      </c>
      <c r="T78" s="79">
        <v>2.0</v>
      </c>
      <c r="U78" s="79">
        <v>1.0</v>
      </c>
      <c r="V78" s="79">
        <v>0.0</v>
      </c>
      <c r="W78" s="79">
        <v>0.0</v>
      </c>
      <c r="X78" s="79">
        <v>0.0</v>
      </c>
      <c r="Y78" s="79">
        <v>2.0</v>
      </c>
      <c r="Z78" s="79">
        <v>0.0</v>
      </c>
      <c r="AA78" s="79">
        <v>1.0</v>
      </c>
      <c r="AB78" s="79">
        <v>0.0</v>
      </c>
      <c r="AC78" s="79">
        <v>0.0</v>
      </c>
      <c r="AD78" s="79">
        <v>1.0</v>
      </c>
      <c r="AE78" s="19"/>
      <c r="AF78" s="13">
        <f t="shared" si="18"/>
        <v>15</v>
      </c>
    </row>
    <row r="79" ht="12.75" customHeight="1">
      <c r="A79" s="19" t="s">
        <v>14</v>
      </c>
      <c r="B79" s="50" t="s">
        <v>48</v>
      </c>
      <c r="C79" s="15"/>
      <c r="D79" s="16"/>
      <c r="E79" s="13">
        <f t="shared" ref="E79:AE79" si="19">SUM(E69:E78)</f>
        <v>24</v>
      </c>
      <c r="F79" s="13">
        <f t="shared" si="19"/>
        <v>34</v>
      </c>
      <c r="G79" s="13">
        <f t="shared" si="19"/>
        <v>29</v>
      </c>
      <c r="H79" s="13">
        <f t="shared" si="19"/>
        <v>40</v>
      </c>
      <c r="I79" s="13">
        <f t="shared" si="19"/>
        <v>46</v>
      </c>
      <c r="J79" s="13">
        <f t="shared" si="19"/>
        <v>18</v>
      </c>
      <c r="K79" s="13">
        <f t="shared" si="19"/>
        <v>46</v>
      </c>
      <c r="L79" s="13">
        <f t="shared" si="19"/>
        <v>55</v>
      </c>
      <c r="M79" s="13">
        <f t="shared" si="19"/>
        <v>22</v>
      </c>
      <c r="N79" s="13">
        <f t="shared" si="19"/>
        <v>30</v>
      </c>
      <c r="O79" s="13">
        <f t="shared" si="19"/>
        <v>61</v>
      </c>
      <c r="P79" s="13">
        <f t="shared" si="19"/>
        <v>50</v>
      </c>
      <c r="Q79" s="13">
        <f t="shared" si="19"/>
        <v>90</v>
      </c>
      <c r="R79" s="13">
        <f t="shared" si="19"/>
        <v>79</v>
      </c>
      <c r="S79" s="13">
        <f t="shared" si="19"/>
        <v>51</v>
      </c>
      <c r="T79" s="13">
        <f t="shared" si="19"/>
        <v>55</v>
      </c>
      <c r="U79" s="13">
        <f t="shared" si="19"/>
        <v>58</v>
      </c>
      <c r="V79" s="13">
        <f t="shared" si="19"/>
        <v>19</v>
      </c>
      <c r="W79" s="13">
        <f t="shared" si="19"/>
        <v>17</v>
      </c>
      <c r="X79" s="13">
        <f t="shared" si="19"/>
        <v>38</v>
      </c>
      <c r="Y79" s="13">
        <f t="shared" si="19"/>
        <v>60</v>
      </c>
      <c r="Z79" s="13">
        <f t="shared" si="19"/>
        <v>82</v>
      </c>
      <c r="AA79" s="13">
        <f t="shared" si="19"/>
        <v>71</v>
      </c>
      <c r="AB79" s="13">
        <f t="shared" si="19"/>
        <v>141</v>
      </c>
      <c r="AC79" s="13">
        <f t="shared" si="19"/>
        <v>96</v>
      </c>
      <c r="AD79" s="13">
        <f t="shared" si="19"/>
        <v>94</v>
      </c>
      <c r="AE79" s="13">
        <f t="shared" si="19"/>
        <v>75</v>
      </c>
      <c r="AF79" s="13">
        <f t="shared" si="18"/>
        <v>1481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36</v>
      </c>
      <c r="B81" s="50" t="s">
        <v>22</v>
      </c>
      <c r="C81" s="51" t="s">
        <v>69</v>
      </c>
      <c r="D81" s="16"/>
      <c r="E81" s="79">
        <v>2.0</v>
      </c>
      <c r="F81" s="79">
        <v>3.0</v>
      </c>
      <c r="G81" s="79">
        <v>7.0</v>
      </c>
      <c r="H81" s="79">
        <v>4.0</v>
      </c>
      <c r="I81" s="79">
        <v>1.0</v>
      </c>
      <c r="J81" s="79">
        <v>5.0</v>
      </c>
      <c r="K81" s="79">
        <v>3.0</v>
      </c>
      <c r="L81" s="79">
        <v>0.0</v>
      </c>
      <c r="M81" s="19"/>
      <c r="N81" s="79">
        <v>4.0</v>
      </c>
      <c r="O81" s="79">
        <v>2.0</v>
      </c>
      <c r="P81" s="79">
        <v>2.0</v>
      </c>
      <c r="Q81" s="79">
        <v>2.0</v>
      </c>
      <c r="R81" s="79">
        <v>2.0</v>
      </c>
      <c r="S81" s="79">
        <v>3.0</v>
      </c>
      <c r="T81" s="79">
        <v>3.0</v>
      </c>
      <c r="U81" s="79">
        <v>4.0</v>
      </c>
      <c r="V81" s="79">
        <v>3.0</v>
      </c>
      <c r="W81" s="79">
        <v>1.0</v>
      </c>
      <c r="X81" s="79">
        <v>3.0</v>
      </c>
      <c r="Y81" s="79">
        <v>4.0</v>
      </c>
      <c r="Z81" s="79">
        <v>7.0</v>
      </c>
      <c r="AA81" s="79">
        <v>8.0</v>
      </c>
      <c r="AB81" s="79">
        <v>1.0</v>
      </c>
      <c r="AC81" s="79">
        <v>6.0</v>
      </c>
      <c r="AD81" s="79">
        <v>3.0</v>
      </c>
      <c r="AE81" s="79">
        <v>6.0</v>
      </c>
      <c r="AF81" s="13">
        <f t="shared" ref="AF81:AF91" si="20">SUM(E81:AE81)</f>
        <v>89</v>
      </c>
    </row>
    <row r="82" ht="12.75" customHeight="1">
      <c r="A82" s="31" t="s">
        <v>38</v>
      </c>
      <c r="B82" s="58"/>
      <c r="C82" s="53" t="s">
        <v>70</v>
      </c>
      <c r="D82" s="61"/>
      <c r="E82" s="79">
        <v>2.0</v>
      </c>
      <c r="F82" s="79">
        <v>7.0</v>
      </c>
      <c r="G82" s="79">
        <v>1.0</v>
      </c>
      <c r="H82" s="79">
        <v>3.0</v>
      </c>
      <c r="I82" s="79">
        <v>17.0</v>
      </c>
      <c r="J82" s="79">
        <v>1.0</v>
      </c>
      <c r="K82" s="79">
        <v>2.0</v>
      </c>
      <c r="L82" s="79">
        <v>0.0</v>
      </c>
      <c r="M82" s="79">
        <v>3.0</v>
      </c>
      <c r="N82" s="79">
        <v>12.0</v>
      </c>
      <c r="O82" s="79">
        <v>2.0</v>
      </c>
      <c r="P82" s="79">
        <v>2.0</v>
      </c>
      <c r="Q82" s="79">
        <v>2.0</v>
      </c>
      <c r="R82" s="79">
        <v>4.0</v>
      </c>
      <c r="S82" s="79">
        <v>3.0</v>
      </c>
      <c r="T82" s="79">
        <v>5.0</v>
      </c>
      <c r="U82" s="79">
        <v>3.0</v>
      </c>
      <c r="V82" s="79">
        <v>16.0</v>
      </c>
      <c r="W82" s="79">
        <v>9.0</v>
      </c>
      <c r="X82" s="79">
        <v>5.0</v>
      </c>
      <c r="Y82" s="79">
        <v>7.0</v>
      </c>
      <c r="Z82" s="79">
        <v>8.0</v>
      </c>
      <c r="AA82" s="79">
        <v>5.0</v>
      </c>
      <c r="AB82" s="79">
        <v>2.0</v>
      </c>
      <c r="AC82" s="79">
        <v>0.0</v>
      </c>
      <c r="AD82" s="79">
        <v>1.0</v>
      </c>
      <c r="AE82" s="79">
        <v>1.0</v>
      </c>
      <c r="AF82" s="13">
        <f t="shared" si="20"/>
        <v>123</v>
      </c>
    </row>
    <row r="83" ht="12.75" customHeight="1">
      <c r="A83" s="18"/>
      <c r="B83" s="58"/>
      <c r="C83" s="53" t="s">
        <v>71</v>
      </c>
      <c r="D83" s="61"/>
      <c r="E83" s="79">
        <v>0.0</v>
      </c>
      <c r="F83" s="79">
        <v>1.0</v>
      </c>
      <c r="G83" s="79">
        <v>1.0</v>
      </c>
      <c r="H83" s="79">
        <v>0.0</v>
      </c>
      <c r="I83" s="79">
        <v>0.0</v>
      </c>
      <c r="J83" s="79">
        <v>0.0</v>
      </c>
      <c r="K83" s="79">
        <v>0.0</v>
      </c>
      <c r="L83" s="79">
        <v>2.0</v>
      </c>
      <c r="M83" s="79">
        <v>3.0</v>
      </c>
      <c r="N83" s="79">
        <v>1.0</v>
      </c>
      <c r="O83" s="79">
        <v>0.0</v>
      </c>
      <c r="P83" s="79">
        <v>1.0</v>
      </c>
      <c r="Q83" s="79">
        <v>2.0</v>
      </c>
      <c r="R83" s="79">
        <v>0.0</v>
      </c>
      <c r="S83" s="79">
        <v>0.0</v>
      </c>
      <c r="T83" s="79">
        <v>1.0</v>
      </c>
      <c r="U83" s="79">
        <v>1.0</v>
      </c>
      <c r="V83" s="79">
        <v>4.0</v>
      </c>
      <c r="W83" s="79">
        <v>1.0</v>
      </c>
      <c r="X83" s="79">
        <v>1.0</v>
      </c>
      <c r="Y83" s="79">
        <v>1.0</v>
      </c>
      <c r="Z83" s="79">
        <v>2.0</v>
      </c>
      <c r="AA83" s="79">
        <v>2.0</v>
      </c>
      <c r="AB83" s="79">
        <v>0.0</v>
      </c>
      <c r="AC83" s="79">
        <v>1.0</v>
      </c>
      <c r="AD83" s="79">
        <v>0.0</v>
      </c>
      <c r="AE83" s="79">
        <v>0.0</v>
      </c>
      <c r="AF83" s="13">
        <f t="shared" si="20"/>
        <v>25</v>
      </c>
    </row>
    <row r="84" ht="12.75" customHeight="1">
      <c r="A84" s="18"/>
      <c r="B84" s="58"/>
      <c r="C84" s="53" t="s">
        <v>72</v>
      </c>
      <c r="D84" s="61"/>
      <c r="E84" s="79">
        <v>0.0</v>
      </c>
      <c r="F84" s="79">
        <v>1.0</v>
      </c>
      <c r="G84" s="79">
        <v>1.0</v>
      </c>
      <c r="H84" s="79">
        <v>0.0</v>
      </c>
      <c r="I84" s="79">
        <v>0.0</v>
      </c>
      <c r="J84" s="79">
        <v>0.0</v>
      </c>
      <c r="K84" s="79">
        <v>3.0</v>
      </c>
      <c r="L84" s="79">
        <v>2.0</v>
      </c>
      <c r="M84" s="19"/>
      <c r="N84" s="79">
        <v>0.0</v>
      </c>
      <c r="O84" s="79">
        <v>0.0</v>
      </c>
      <c r="P84" s="79">
        <v>0.0</v>
      </c>
      <c r="Q84" s="79">
        <v>1.0</v>
      </c>
      <c r="R84" s="79">
        <v>1.0</v>
      </c>
      <c r="S84" s="79">
        <v>0.0</v>
      </c>
      <c r="T84" s="79">
        <v>0.0</v>
      </c>
      <c r="U84" s="79">
        <v>3.0</v>
      </c>
      <c r="V84" s="79">
        <v>2.0</v>
      </c>
      <c r="W84" s="79">
        <v>4.0</v>
      </c>
      <c r="X84" s="79">
        <v>0.0</v>
      </c>
      <c r="Y84" s="79">
        <v>2.0</v>
      </c>
      <c r="Z84" s="79">
        <v>2.0</v>
      </c>
      <c r="AA84" s="79">
        <v>0.0</v>
      </c>
      <c r="AB84" s="79">
        <v>0.0</v>
      </c>
      <c r="AC84" s="79">
        <v>0.0</v>
      </c>
      <c r="AD84" s="79">
        <v>1.0</v>
      </c>
      <c r="AE84" s="79">
        <v>1.0</v>
      </c>
      <c r="AF84" s="13">
        <f t="shared" si="20"/>
        <v>24</v>
      </c>
    </row>
    <row r="85" ht="12.75" customHeight="1">
      <c r="A85" s="18"/>
      <c r="B85" s="58"/>
      <c r="C85" s="53" t="s">
        <v>73</v>
      </c>
      <c r="D85" s="61"/>
      <c r="E85" s="19"/>
      <c r="F85" s="79">
        <v>0.0</v>
      </c>
      <c r="G85" s="79">
        <v>0.0</v>
      </c>
      <c r="H85" s="79">
        <v>2.0</v>
      </c>
      <c r="I85" s="79">
        <v>2.0</v>
      </c>
      <c r="J85" s="79">
        <v>1.0</v>
      </c>
      <c r="K85" s="79">
        <v>3.0</v>
      </c>
      <c r="L85" s="79">
        <v>0.0</v>
      </c>
      <c r="M85" s="19"/>
      <c r="N85" s="79">
        <v>0.0</v>
      </c>
      <c r="O85" s="79">
        <v>0.0</v>
      </c>
      <c r="P85" s="79">
        <v>0.0</v>
      </c>
      <c r="Q85" s="79">
        <v>1.0</v>
      </c>
      <c r="R85" s="79">
        <v>0.0</v>
      </c>
      <c r="S85" s="79">
        <v>0.0</v>
      </c>
      <c r="T85" s="19"/>
      <c r="U85" s="79">
        <v>1.0</v>
      </c>
      <c r="V85" s="79">
        <v>1.0</v>
      </c>
      <c r="W85" s="79">
        <v>1.0</v>
      </c>
      <c r="X85" s="79">
        <v>4.0</v>
      </c>
      <c r="Y85" s="79">
        <v>1.0</v>
      </c>
      <c r="Z85" s="79">
        <v>0.0</v>
      </c>
      <c r="AA85" s="79">
        <v>0.0</v>
      </c>
      <c r="AB85" s="79">
        <v>0.0</v>
      </c>
      <c r="AC85" s="79">
        <v>0.0</v>
      </c>
      <c r="AD85" s="79">
        <v>1.0</v>
      </c>
      <c r="AE85" s="79">
        <v>1.0</v>
      </c>
      <c r="AF85" s="13">
        <f t="shared" si="20"/>
        <v>19</v>
      </c>
    </row>
    <row r="86" ht="12.75" customHeight="1">
      <c r="A86" s="18"/>
      <c r="B86" s="58"/>
      <c r="C86" s="53" t="s">
        <v>74</v>
      </c>
      <c r="D86" s="61"/>
      <c r="E86" s="79">
        <v>6.0</v>
      </c>
      <c r="F86" s="79">
        <v>5.0</v>
      </c>
      <c r="G86" s="79">
        <v>1.0</v>
      </c>
      <c r="H86" s="79">
        <v>1.0</v>
      </c>
      <c r="I86" s="79">
        <v>17.0</v>
      </c>
      <c r="J86" s="79">
        <v>5.0</v>
      </c>
      <c r="K86" s="79">
        <v>3.0</v>
      </c>
      <c r="L86" s="79">
        <v>0.0</v>
      </c>
      <c r="M86" s="19"/>
      <c r="N86" s="79">
        <v>3.0</v>
      </c>
      <c r="O86" s="79">
        <v>3.0</v>
      </c>
      <c r="P86" s="79">
        <v>3.0</v>
      </c>
      <c r="Q86" s="79">
        <v>3.0</v>
      </c>
      <c r="R86" s="79">
        <v>3.0</v>
      </c>
      <c r="S86" s="79">
        <v>4.0</v>
      </c>
      <c r="T86" s="79">
        <v>5.0</v>
      </c>
      <c r="U86" s="79">
        <v>5.0</v>
      </c>
      <c r="V86" s="79">
        <v>3.0</v>
      </c>
      <c r="W86" s="79">
        <v>3.0</v>
      </c>
      <c r="X86" s="79">
        <v>5.0</v>
      </c>
      <c r="Y86" s="79">
        <v>0.0</v>
      </c>
      <c r="Z86" s="79">
        <v>4.0</v>
      </c>
      <c r="AA86" s="79">
        <v>11.0</v>
      </c>
      <c r="AB86" s="79">
        <v>0.0</v>
      </c>
      <c r="AC86" s="79">
        <v>0.0</v>
      </c>
      <c r="AD86" s="79">
        <v>0.0</v>
      </c>
      <c r="AE86" s="19"/>
      <c r="AF86" s="13">
        <f t="shared" si="20"/>
        <v>93</v>
      </c>
    </row>
    <row r="87" ht="12.75" customHeight="1">
      <c r="A87" s="18"/>
      <c r="B87" s="58"/>
      <c r="C87" s="53" t="s">
        <v>75</v>
      </c>
      <c r="D87" s="61"/>
      <c r="E87" s="19"/>
      <c r="F87" s="79">
        <v>1.0</v>
      </c>
      <c r="G87" s="79">
        <v>0.0</v>
      </c>
      <c r="H87" s="79">
        <v>0.0</v>
      </c>
      <c r="I87" s="79">
        <v>0.0</v>
      </c>
      <c r="J87" s="79">
        <v>0.0</v>
      </c>
      <c r="K87" s="79">
        <v>0.0</v>
      </c>
      <c r="L87" s="79">
        <v>0.0</v>
      </c>
      <c r="M87" s="19"/>
      <c r="N87" s="79">
        <v>0.0</v>
      </c>
      <c r="O87" s="79">
        <v>0.0</v>
      </c>
      <c r="P87" s="79">
        <v>0.0</v>
      </c>
      <c r="Q87" s="79">
        <v>0.0</v>
      </c>
      <c r="R87" s="79">
        <v>0.0</v>
      </c>
      <c r="S87" s="79">
        <v>0.0</v>
      </c>
      <c r="T87" s="19"/>
      <c r="U87" s="79">
        <v>0.0</v>
      </c>
      <c r="V87" s="79">
        <v>0.0</v>
      </c>
      <c r="W87" s="79">
        <v>1.0</v>
      </c>
      <c r="X87" s="79">
        <v>0.0</v>
      </c>
      <c r="Y87" s="79">
        <v>0.0</v>
      </c>
      <c r="Z87" s="19"/>
      <c r="AA87" s="79">
        <v>0.0</v>
      </c>
      <c r="AB87" s="79">
        <v>0.0</v>
      </c>
      <c r="AC87" s="79">
        <v>0.0</v>
      </c>
      <c r="AD87" s="79">
        <v>1.0</v>
      </c>
      <c r="AE87" s="19"/>
      <c r="AF87" s="13">
        <f t="shared" si="20"/>
        <v>3</v>
      </c>
    </row>
    <row r="88" ht="12.75" customHeight="1">
      <c r="A88" s="18"/>
      <c r="B88" s="58"/>
      <c r="C88" s="53" t="s">
        <v>76</v>
      </c>
      <c r="D88" s="61"/>
      <c r="E88" s="19"/>
      <c r="F88" s="79">
        <v>0.0</v>
      </c>
      <c r="G88" s="19"/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19"/>
      <c r="N88" s="79">
        <v>0.0</v>
      </c>
      <c r="O88" s="79">
        <v>2.0</v>
      </c>
      <c r="P88" s="79">
        <v>0.0</v>
      </c>
      <c r="Q88" s="79">
        <v>0.0</v>
      </c>
      <c r="R88" s="79">
        <v>0.0</v>
      </c>
      <c r="S88" s="79">
        <v>0.0</v>
      </c>
      <c r="T88" s="19"/>
      <c r="U88" s="79">
        <v>0.0</v>
      </c>
      <c r="V88" s="79">
        <v>0.0</v>
      </c>
      <c r="W88" s="79">
        <v>1.0</v>
      </c>
      <c r="X88" s="79">
        <v>0.0</v>
      </c>
      <c r="Y88" s="79">
        <v>0.0</v>
      </c>
      <c r="Z88" s="19"/>
      <c r="AA88" s="79">
        <v>0.0</v>
      </c>
      <c r="AB88" s="79">
        <v>0.0</v>
      </c>
      <c r="AC88" s="79">
        <v>0.0</v>
      </c>
      <c r="AD88" s="79">
        <v>0.0</v>
      </c>
      <c r="AE88" s="19"/>
      <c r="AF88" s="13">
        <f t="shared" si="20"/>
        <v>3</v>
      </c>
    </row>
    <row r="89" ht="12.75" customHeight="1">
      <c r="A89" s="18"/>
      <c r="B89" s="58"/>
      <c r="C89" s="53" t="s">
        <v>77</v>
      </c>
      <c r="D89" s="61"/>
      <c r="E89" s="19"/>
      <c r="F89" s="79">
        <v>0.0</v>
      </c>
      <c r="G89" s="19"/>
      <c r="H89" s="79">
        <v>0.0</v>
      </c>
      <c r="I89" s="79">
        <v>1.0</v>
      </c>
      <c r="J89" s="79">
        <v>0.0</v>
      </c>
      <c r="K89" s="79">
        <v>0.0</v>
      </c>
      <c r="L89" s="79">
        <v>0.0</v>
      </c>
      <c r="M89" s="19"/>
      <c r="N89" s="79">
        <v>1.0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19"/>
      <c r="U89" s="79">
        <v>0.0</v>
      </c>
      <c r="V89" s="79">
        <v>0.0</v>
      </c>
      <c r="W89" s="79">
        <v>0.0</v>
      </c>
      <c r="X89" s="79">
        <v>0.0</v>
      </c>
      <c r="Y89" s="79">
        <v>0.0</v>
      </c>
      <c r="Z89" s="19"/>
      <c r="AA89" s="79">
        <v>0.0</v>
      </c>
      <c r="AB89" s="79">
        <v>0.0</v>
      </c>
      <c r="AC89" s="79">
        <v>0.0</v>
      </c>
      <c r="AD89" s="79">
        <v>0.0</v>
      </c>
      <c r="AE89" s="19"/>
      <c r="AF89" s="13">
        <f t="shared" si="20"/>
        <v>2</v>
      </c>
    </row>
    <row r="90" ht="12.75" customHeight="1">
      <c r="A90" s="18"/>
      <c r="B90" s="58"/>
      <c r="C90" s="53" t="s">
        <v>78</v>
      </c>
      <c r="D90" s="61"/>
      <c r="E90" s="19"/>
      <c r="F90" s="79">
        <v>0.0</v>
      </c>
      <c r="G90" s="19"/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19"/>
      <c r="N90" s="79">
        <v>1.0</v>
      </c>
      <c r="O90" s="79">
        <v>0.0</v>
      </c>
      <c r="P90" s="79">
        <v>0.0</v>
      </c>
      <c r="Q90" s="79">
        <v>0.0</v>
      </c>
      <c r="R90" s="79">
        <v>0.0</v>
      </c>
      <c r="S90" s="79">
        <v>0.0</v>
      </c>
      <c r="T90" s="19"/>
      <c r="U90" s="79">
        <v>0.0</v>
      </c>
      <c r="V90" s="79">
        <v>0.0</v>
      </c>
      <c r="W90" s="79">
        <v>0.0</v>
      </c>
      <c r="X90" s="79">
        <v>0.0</v>
      </c>
      <c r="Y90" s="79">
        <v>0.0</v>
      </c>
      <c r="Z90" s="19"/>
      <c r="AA90" s="79">
        <v>1.0</v>
      </c>
      <c r="AB90" s="79">
        <v>0.0</v>
      </c>
      <c r="AC90" s="79">
        <v>0.0</v>
      </c>
      <c r="AD90" s="79">
        <v>0.0</v>
      </c>
      <c r="AE90" s="19"/>
      <c r="AF90" s="13">
        <f t="shared" si="20"/>
        <v>2</v>
      </c>
    </row>
    <row r="91" ht="12.75" customHeight="1">
      <c r="A91" s="19" t="s">
        <v>14</v>
      </c>
      <c r="B91" s="50" t="s">
        <v>48</v>
      </c>
      <c r="C91" s="15"/>
      <c r="D91" s="16"/>
      <c r="E91" s="13">
        <f t="shared" ref="E91:AE91" si="21">SUM(E81:E90)</f>
        <v>10</v>
      </c>
      <c r="F91" s="13">
        <f t="shared" si="21"/>
        <v>18</v>
      </c>
      <c r="G91" s="13">
        <f t="shared" si="21"/>
        <v>11</v>
      </c>
      <c r="H91" s="13">
        <f t="shared" si="21"/>
        <v>10</v>
      </c>
      <c r="I91" s="13">
        <f t="shared" si="21"/>
        <v>38</v>
      </c>
      <c r="J91" s="13">
        <f t="shared" si="21"/>
        <v>12</v>
      </c>
      <c r="K91" s="13">
        <f t="shared" si="21"/>
        <v>14</v>
      </c>
      <c r="L91" s="13">
        <f t="shared" si="21"/>
        <v>4</v>
      </c>
      <c r="M91" s="13">
        <f t="shared" si="21"/>
        <v>6</v>
      </c>
      <c r="N91" s="13">
        <f t="shared" si="21"/>
        <v>22</v>
      </c>
      <c r="O91" s="13">
        <f t="shared" si="21"/>
        <v>9</v>
      </c>
      <c r="P91" s="13">
        <f t="shared" si="21"/>
        <v>8</v>
      </c>
      <c r="Q91" s="13">
        <f t="shared" si="21"/>
        <v>11</v>
      </c>
      <c r="R91" s="13">
        <f t="shared" si="21"/>
        <v>10</v>
      </c>
      <c r="S91" s="13">
        <f t="shared" si="21"/>
        <v>10</v>
      </c>
      <c r="T91" s="13">
        <f t="shared" si="21"/>
        <v>14</v>
      </c>
      <c r="U91" s="13">
        <f t="shared" si="21"/>
        <v>17</v>
      </c>
      <c r="V91" s="13">
        <f t="shared" si="21"/>
        <v>29</v>
      </c>
      <c r="W91" s="13">
        <f t="shared" si="21"/>
        <v>21</v>
      </c>
      <c r="X91" s="13">
        <f t="shared" si="21"/>
        <v>18</v>
      </c>
      <c r="Y91" s="13">
        <f t="shared" si="21"/>
        <v>15</v>
      </c>
      <c r="Z91" s="13">
        <f t="shared" si="21"/>
        <v>23</v>
      </c>
      <c r="AA91" s="13">
        <f t="shared" si="21"/>
        <v>27</v>
      </c>
      <c r="AB91" s="13">
        <f t="shared" si="21"/>
        <v>3</v>
      </c>
      <c r="AC91" s="13">
        <f t="shared" si="21"/>
        <v>7</v>
      </c>
      <c r="AD91" s="13">
        <f t="shared" si="21"/>
        <v>7</v>
      </c>
      <c r="AE91" s="13">
        <f t="shared" si="21"/>
        <v>9</v>
      </c>
      <c r="AF91" s="13">
        <f t="shared" si="20"/>
        <v>383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36</v>
      </c>
      <c r="B93" s="50" t="s">
        <v>79</v>
      </c>
      <c r="C93" s="51" t="s">
        <v>80</v>
      </c>
      <c r="D93" s="16"/>
      <c r="E93" s="79">
        <v>1.0</v>
      </c>
      <c r="F93" s="79">
        <v>0.0</v>
      </c>
      <c r="G93" s="79">
        <v>3.0</v>
      </c>
      <c r="H93" s="79">
        <v>4.0</v>
      </c>
      <c r="I93" s="79">
        <v>2.0</v>
      </c>
      <c r="J93" s="79">
        <v>2.0</v>
      </c>
      <c r="K93" s="79">
        <v>2.0</v>
      </c>
      <c r="L93" s="79">
        <v>0.0</v>
      </c>
      <c r="M93" s="79">
        <v>0.0</v>
      </c>
      <c r="N93" s="79">
        <v>1.0</v>
      </c>
      <c r="O93" s="79">
        <v>6.0</v>
      </c>
      <c r="P93" s="79">
        <v>0.0</v>
      </c>
      <c r="Q93" s="79">
        <v>0.0</v>
      </c>
      <c r="R93" s="79">
        <v>2.0</v>
      </c>
      <c r="S93" s="79">
        <v>1.0</v>
      </c>
      <c r="T93" s="79">
        <v>3.0</v>
      </c>
      <c r="U93" s="79">
        <v>5.0</v>
      </c>
      <c r="V93" s="79">
        <v>0.0</v>
      </c>
      <c r="W93" s="79">
        <v>4.0</v>
      </c>
      <c r="X93" s="79">
        <v>0.0</v>
      </c>
      <c r="Y93" s="79">
        <v>2.0</v>
      </c>
      <c r="Z93" s="79">
        <v>4.0</v>
      </c>
      <c r="AA93" s="79">
        <v>0.0</v>
      </c>
      <c r="AB93" s="79">
        <v>1.0</v>
      </c>
      <c r="AC93" s="79">
        <v>5.0</v>
      </c>
      <c r="AD93" s="79">
        <v>2.0</v>
      </c>
      <c r="AE93" s="79">
        <v>1.0</v>
      </c>
      <c r="AF93" s="13">
        <f t="shared" ref="AF93:AF103" si="22">SUM(E93:AE93)</f>
        <v>51</v>
      </c>
    </row>
    <row r="94" ht="12.75" customHeight="1">
      <c r="A94" s="31" t="s">
        <v>38</v>
      </c>
      <c r="B94" s="58"/>
      <c r="C94" s="53" t="s">
        <v>81</v>
      </c>
      <c r="D94" s="61"/>
      <c r="E94" s="79">
        <v>0.0</v>
      </c>
      <c r="F94" s="79">
        <v>1.0</v>
      </c>
      <c r="G94" s="19"/>
      <c r="H94" s="79">
        <v>0.0</v>
      </c>
      <c r="I94" s="79">
        <v>0.0</v>
      </c>
      <c r="J94" s="79">
        <v>0.0</v>
      </c>
      <c r="K94" s="79">
        <v>0.0</v>
      </c>
      <c r="L94" s="79">
        <v>0.0</v>
      </c>
      <c r="M94" s="19"/>
      <c r="N94" s="79">
        <v>1.0</v>
      </c>
      <c r="O94" s="79">
        <v>0.0</v>
      </c>
      <c r="P94" s="79">
        <v>2.0</v>
      </c>
      <c r="Q94" s="79">
        <v>0.0</v>
      </c>
      <c r="R94" s="79">
        <v>2.0</v>
      </c>
      <c r="S94" s="79">
        <v>1.0</v>
      </c>
      <c r="T94" s="79">
        <v>0.0</v>
      </c>
      <c r="U94" s="79">
        <v>0.0</v>
      </c>
      <c r="V94" s="79">
        <v>0.0</v>
      </c>
      <c r="W94" s="79">
        <v>0.0</v>
      </c>
      <c r="X94" s="79">
        <v>2.0</v>
      </c>
      <c r="Y94" s="79">
        <v>0.0</v>
      </c>
      <c r="Z94" s="79">
        <v>0.0</v>
      </c>
      <c r="AA94" s="79">
        <v>0.0</v>
      </c>
      <c r="AB94" s="79">
        <v>0.0</v>
      </c>
      <c r="AC94" s="79">
        <v>1.0</v>
      </c>
      <c r="AD94" s="79">
        <v>2.0</v>
      </c>
      <c r="AE94" s="19"/>
      <c r="AF94" s="13">
        <f t="shared" si="22"/>
        <v>12</v>
      </c>
    </row>
    <row r="95" ht="12.75" customHeight="1">
      <c r="A95" s="18"/>
      <c r="B95" s="58"/>
      <c r="C95" s="53" t="s">
        <v>82</v>
      </c>
      <c r="D95" s="61"/>
      <c r="E95" s="19"/>
      <c r="F95" s="79">
        <v>0.0</v>
      </c>
      <c r="G95" s="19"/>
      <c r="H95" s="79">
        <v>0.0</v>
      </c>
      <c r="I95" s="79">
        <v>0.0</v>
      </c>
      <c r="J95" s="79">
        <v>0.0</v>
      </c>
      <c r="K95" s="79">
        <v>0.0</v>
      </c>
      <c r="L95" s="79">
        <v>0.0</v>
      </c>
      <c r="M95" s="19"/>
      <c r="N95" s="79">
        <v>0.0</v>
      </c>
      <c r="O95" s="79">
        <v>0.0</v>
      </c>
      <c r="P95" s="79">
        <v>0.0</v>
      </c>
      <c r="Q95" s="79">
        <v>0.0</v>
      </c>
      <c r="R95" s="79">
        <v>0.0</v>
      </c>
      <c r="S95" s="79">
        <v>0.0</v>
      </c>
      <c r="T95" s="19"/>
      <c r="U95" s="79">
        <v>0.0</v>
      </c>
      <c r="V95" s="79">
        <v>0.0</v>
      </c>
      <c r="W95" s="79">
        <v>0.0</v>
      </c>
      <c r="X95" s="79">
        <v>2.0</v>
      </c>
      <c r="Y95" s="79">
        <v>0.0</v>
      </c>
      <c r="Z95" s="79">
        <v>2.0</v>
      </c>
      <c r="AA95" s="79">
        <v>0.0</v>
      </c>
      <c r="AB95" s="79">
        <v>0.0</v>
      </c>
      <c r="AC95" s="79">
        <v>0.0</v>
      </c>
      <c r="AD95" s="79">
        <v>0.0</v>
      </c>
      <c r="AE95" s="79">
        <v>1.0</v>
      </c>
      <c r="AF95" s="13">
        <f t="shared" si="22"/>
        <v>5</v>
      </c>
    </row>
    <row r="96" ht="12.75" customHeight="1">
      <c r="A96" s="18"/>
      <c r="B96" s="58"/>
      <c r="C96" s="53" t="s">
        <v>83</v>
      </c>
      <c r="D96" s="61"/>
      <c r="E96" s="19"/>
      <c r="F96" s="79">
        <v>0.0</v>
      </c>
      <c r="G96" s="19"/>
      <c r="H96" s="79">
        <v>0.0</v>
      </c>
      <c r="I96" s="79">
        <v>0.0</v>
      </c>
      <c r="J96" s="79">
        <v>0.0</v>
      </c>
      <c r="K96" s="79">
        <v>0.0</v>
      </c>
      <c r="L96" s="79">
        <v>0.0</v>
      </c>
      <c r="M96" s="19"/>
      <c r="N96" s="79">
        <v>0.0</v>
      </c>
      <c r="O96" s="79">
        <v>0.0</v>
      </c>
      <c r="P96" s="79">
        <v>0.0</v>
      </c>
      <c r="Q96" s="79">
        <v>1.0</v>
      </c>
      <c r="R96" s="79">
        <v>1.0</v>
      </c>
      <c r="S96" s="79">
        <v>0.0</v>
      </c>
      <c r="T96" s="19"/>
      <c r="U96" s="79">
        <v>0.0</v>
      </c>
      <c r="V96" s="79">
        <v>0.0</v>
      </c>
      <c r="W96" s="79">
        <v>1.0</v>
      </c>
      <c r="X96" s="79">
        <v>0.0</v>
      </c>
      <c r="Y96" s="79">
        <v>0.0</v>
      </c>
      <c r="Z96" s="79">
        <v>0.0</v>
      </c>
      <c r="AA96" s="79">
        <v>1.0</v>
      </c>
      <c r="AB96" s="79">
        <v>0.0</v>
      </c>
      <c r="AC96" s="79">
        <v>0.0</v>
      </c>
      <c r="AD96" s="79">
        <v>0.0</v>
      </c>
      <c r="AE96" s="19"/>
      <c r="AF96" s="13">
        <f t="shared" si="22"/>
        <v>4</v>
      </c>
    </row>
    <row r="97" ht="12.75" customHeight="1">
      <c r="A97" s="18"/>
      <c r="B97" s="58"/>
      <c r="C97" s="53" t="s">
        <v>84</v>
      </c>
      <c r="D97" s="61"/>
      <c r="E97" s="79">
        <v>0.0</v>
      </c>
      <c r="F97" s="79">
        <v>2.0</v>
      </c>
      <c r="G97" s="19"/>
      <c r="H97" s="79">
        <v>0.0</v>
      </c>
      <c r="I97" s="79">
        <v>1.0</v>
      </c>
      <c r="J97" s="79">
        <v>0.0</v>
      </c>
      <c r="K97" s="79">
        <v>1.0</v>
      </c>
      <c r="L97" s="79">
        <v>0.0</v>
      </c>
      <c r="M97" s="19"/>
      <c r="N97" s="79">
        <v>0.0</v>
      </c>
      <c r="O97" s="79">
        <v>1.0</v>
      </c>
      <c r="P97" s="79">
        <v>0.0</v>
      </c>
      <c r="Q97" s="79">
        <v>0.0</v>
      </c>
      <c r="R97" s="79">
        <v>0.0</v>
      </c>
      <c r="S97" s="79">
        <v>0.0</v>
      </c>
      <c r="T97" s="19"/>
      <c r="U97" s="79">
        <v>0.0</v>
      </c>
      <c r="V97" s="79">
        <v>0.0</v>
      </c>
      <c r="W97" s="79">
        <v>0.0</v>
      </c>
      <c r="X97" s="79">
        <v>0.0</v>
      </c>
      <c r="Y97" s="79">
        <v>0.0</v>
      </c>
      <c r="Z97" s="19"/>
      <c r="AA97" s="79">
        <v>0.0</v>
      </c>
      <c r="AB97" s="79">
        <v>0.0</v>
      </c>
      <c r="AC97" s="79">
        <v>1.0</v>
      </c>
      <c r="AD97" s="79">
        <v>0.0</v>
      </c>
      <c r="AE97" s="19"/>
      <c r="AF97" s="13">
        <f t="shared" si="22"/>
        <v>6</v>
      </c>
    </row>
    <row r="98" ht="12.75" customHeight="1">
      <c r="A98" s="18"/>
      <c r="B98" s="58"/>
      <c r="C98" s="53" t="s">
        <v>85</v>
      </c>
      <c r="D98" s="61"/>
      <c r="E98" s="19"/>
      <c r="F98" s="79">
        <v>0.0</v>
      </c>
      <c r="G98" s="19"/>
      <c r="H98" s="79">
        <v>0.0</v>
      </c>
      <c r="I98" s="79">
        <v>0.0</v>
      </c>
      <c r="J98" s="79">
        <v>0.0</v>
      </c>
      <c r="K98" s="79">
        <v>0.0</v>
      </c>
      <c r="L98" s="79">
        <v>0.0</v>
      </c>
      <c r="M98" s="19"/>
      <c r="N98" s="79">
        <v>0.0</v>
      </c>
      <c r="O98" s="79">
        <v>0.0</v>
      </c>
      <c r="P98" s="79">
        <v>0.0</v>
      </c>
      <c r="Q98" s="79">
        <v>0.0</v>
      </c>
      <c r="R98" s="79">
        <v>0.0</v>
      </c>
      <c r="S98" s="79">
        <v>0.0</v>
      </c>
      <c r="T98" s="19"/>
      <c r="U98" s="79">
        <v>0.0</v>
      </c>
      <c r="V98" s="79">
        <v>0.0</v>
      </c>
      <c r="W98" s="79">
        <v>0.0</v>
      </c>
      <c r="X98" s="79">
        <v>0.0</v>
      </c>
      <c r="Y98" s="79">
        <v>0.0</v>
      </c>
      <c r="Z98" s="19"/>
      <c r="AA98" s="79">
        <v>0.0</v>
      </c>
      <c r="AB98" s="79">
        <v>0.0</v>
      </c>
      <c r="AC98" s="79">
        <v>1.0</v>
      </c>
      <c r="AD98" s="79">
        <v>0.0</v>
      </c>
      <c r="AE98" s="19"/>
      <c r="AF98" s="13">
        <f t="shared" si="22"/>
        <v>1</v>
      </c>
    </row>
    <row r="99" ht="12.75" customHeight="1">
      <c r="A99" s="18"/>
      <c r="B99" s="58"/>
      <c r="C99" s="53" t="s">
        <v>86</v>
      </c>
      <c r="D99" s="61"/>
      <c r="E99" s="19"/>
      <c r="F99" s="79">
        <v>1.0</v>
      </c>
      <c r="G99" s="19"/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19"/>
      <c r="N99" s="79">
        <v>0.0</v>
      </c>
      <c r="O99" s="79">
        <v>0.0</v>
      </c>
      <c r="P99" s="79">
        <v>0.0</v>
      </c>
      <c r="Q99" s="79">
        <v>0.0</v>
      </c>
      <c r="R99" s="79">
        <v>0.0</v>
      </c>
      <c r="S99" s="79">
        <v>0.0</v>
      </c>
      <c r="T99" s="79">
        <v>1.0</v>
      </c>
      <c r="U99" s="79">
        <v>1.0</v>
      </c>
      <c r="V99" s="79">
        <v>0.0</v>
      </c>
      <c r="W99" s="79">
        <v>0.0</v>
      </c>
      <c r="X99" s="79">
        <v>0.0</v>
      </c>
      <c r="Y99" s="79">
        <v>0.0</v>
      </c>
      <c r="Z99" s="19"/>
      <c r="AA99" s="79">
        <v>0.0</v>
      </c>
      <c r="AB99" s="79">
        <v>0.0</v>
      </c>
      <c r="AC99" s="79">
        <v>2.0</v>
      </c>
      <c r="AD99" s="79">
        <v>0.0</v>
      </c>
      <c r="AE99" s="79">
        <v>1.0</v>
      </c>
      <c r="AF99" s="13">
        <f t="shared" si="22"/>
        <v>6</v>
      </c>
    </row>
    <row r="100" ht="12.75" customHeight="1">
      <c r="A100" s="18"/>
      <c r="B100" s="58"/>
      <c r="C100" s="53" t="s">
        <v>87</v>
      </c>
      <c r="D100" s="61"/>
      <c r="E100" s="79">
        <v>1.0</v>
      </c>
      <c r="F100" s="79">
        <v>0.0</v>
      </c>
      <c r="G100" s="19"/>
      <c r="H100" s="79">
        <v>0.0</v>
      </c>
      <c r="I100" s="79">
        <v>1.0</v>
      </c>
      <c r="J100" s="79">
        <v>0.0</v>
      </c>
      <c r="K100" s="79">
        <v>0.0</v>
      </c>
      <c r="L100" s="79">
        <v>0.0</v>
      </c>
      <c r="M100" s="19"/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19"/>
      <c r="U100" s="79">
        <v>0.0</v>
      </c>
      <c r="V100" s="79">
        <v>0.0</v>
      </c>
      <c r="W100" s="79">
        <v>0.0</v>
      </c>
      <c r="X100" s="79">
        <v>0.0</v>
      </c>
      <c r="Y100" s="79">
        <v>0.0</v>
      </c>
      <c r="Z100" s="79">
        <v>1.0</v>
      </c>
      <c r="AA100" s="79">
        <v>1.0</v>
      </c>
      <c r="AB100" s="79">
        <v>0.0</v>
      </c>
      <c r="AC100" s="79">
        <v>0.0</v>
      </c>
      <c r="AD100" s="79">
        <v>0.0</v>
      </c>
      <c r="AE100" s="19"/>
      <c r="AF100" s="13">
        <f t="shared" si="22"/>
        <v>4</v>
      </c>
    </row>
    <row r="101" ht="12.75" customHeight="1">
      <c r="A101" s="18"/>
      <c r="B101" s="58"/>
      <c r="C101" s="53" t="s">
        <v>88</v>
      </c>
      <c r="D101" s="61"/>
      <c r="E101" s="19"/>
      <c r="F101" s="79">
        <v>0.0</v>
      </c>
      <c r="G101" s="19"/>
      <c r="H101" s="79">
        <v>0.0</v>
      </c>
      <c r="I101" s="79">
        <v>0.0</v>
      </c>
      <c r="J101" s="79">
        <v>0.0</v>
      </c>
      <c r="K101" s="79">
        <v>0.0</v>
      </c>
      <c r="L101" s="79">
        <v>1.0</v>
      </c>
      <c r="M101" s="19"/>
      <c r="N101" s="79">
        <v>0.0</v>
      </c>
      <c r="O101" s="79">
        <v>0.0</v>
      </c>
      <c r="P101" s="79">
        <v>0.0</v>
      </c>
      <c r="Q101" s="79">
        <v>0.0</v>
      </c>
      <c r="R101" s="79">
        <v>0.0</v>
      </c>
      <c r="S101" s="79">
        <v>0.0</v>
      </c>
      <c r="T101" s="19"/>
      <c r="U101" s="79">
        <v>0.0</v>
      </c>
      <c r="V101" s="79">
        <v>0.0</v>
      </c>
      <c r="W101" s="79">
        <v>0.0</v>
      </c>
      <c r="X101" s="79">
        <v>0.0</v>
      </c>
      <c r="Y101" s="79">
        <v>0.0</v>
      </c>
      <c r="Z101" s="19"/>
      <c r="AA101" s="79">
        <v>0.0</v>
      </c>
      <c r="AB101" s="79">
        <v>0.0</v>
      </c>
      <c r="AC101" s="79">
        <v>0.0</v>
      </c>
      <c r="AD101" s="79">
        <v>0.0</v>
      </c>
      <c r="AE101" s="19"/>
      <c r="AF101" s="13">
        <f t="shared" si="22"/>
        <v>1</v>
      </c>
    </row>
    <row r="102" ht="12.75" customHeight="1">
      <c r="A102" s="18"/>
      <c r="B102" s="58"/>
      <c r="C102" s="53" t="s">
        <v>89</v>
      </c>
      <c r="D102" s="61"/>
      <c r="E102" s="79">
        <v>1.0</v>
      </c>
      <c r="F102" s="79">
        <v>0.0</v>
      </c>
      <c r="G102" s="19"/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19"/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79">
        <v>0.0</v>
      </c>
      <c r="T102" s="19"/>
      <c r="U102" s="79">
        <v>0.0</v>
      </c>
      <c r="V102" s="79">
        <v>0.0</v>
      </c>
      <c r="W102" s="79">
        <v>0.0</v>
      </c>
      <c r="X102" s="79">
        <v>0.0</v>
      </c>
      <c r="Y102" s="79">
        <v>0.0</v>
      </c>
      <c r="Z102" s="19"/>
      <c r="AA102" s="79">
        <v>0.0</v>
      </c>
      <c r="AB102" s="79">
        <v>0.0</v>
      </c>
      <c r="AC102" s="79">
        <v>0.0</v>
      </c>
      <c r="AD102" s="79">
        <v>0.0</v>
      </c>
      <c r="AE102" s="19"/>
      <c r="AF102" s="13">
        <f t="shared" si="22"/>
        <v>1</v>
      </c>
    </row>
    <row r="103" ht="12.75" customHeight="1">
      <c r="A103" s="19" t="s">
        <v>14</v>
      </c>
      <c r="B103" s="50" t="s">
        <v>48</v>
      </c>
      <c r="C103" s="15"/>
      <c r="D103" s="16"/>
      <c r="E103" s="13">
        <f t="shared" ref="E103:AE103" si="23">SUM(E93:E102)</f>
        <v>3</v>
      </c>
      <c r="F103" s="13">
        <f t="shared" si="23"/>
        <v>4</v>
      </c>
      <c r="G103" s="13">
        <f t="shared" si="23"/>
        <v>3</v>
      </c>
      <c r="H103" s="13">
        <f t="shared" si="23"/>
        <v>4</v>
      </c>
      <c r="I103" s="13">
        <f t="shared" si="23"/>
        <v>4</v>
      </c>
      <c r="J103" s="13">
        <f t="shared" si="23"/>
        <v>2</v>
      </c>
      <c r="K103" s="13">
        <f t="shared" si="23"/>
        <v>3</v>
      </c>
      <c r="L103" s="13">
        <f t="shared" si="23"/>
        <v>1</v>
      </c>
      <c r="M103" s="13">
        <f t="shared" si="23"/>
        <v>0</v>
      </c>
      <c r="N103" s="13">
        <f t="shared" si="23"/>
        <v>2</v>
      </c>
      <c r="O103" s="13">
        <f t="shared" si="23"/>
        <v>7</v>
      </c>
      <c r="P103" s="13">
        <f t="shared" si="23"/>
        <v>2</v>
      </c>
      <c r="Q103" s="13">
        <f t="shared" si="23"/>
        <v>1</v>
      </c>
      <c r="R103" s="13">
        <f t="shared" si="23"/>
        <v>5</v>
      </c>
      <c r="S103" s="13">
        <f t="shared" si="23"/>
        <v>2</v>
      </c>
      <c r="T103" s="13">
        <f t="shared" si="23"/>
        <v>4</v>
      </c>
      <c r="U103" s="13">
        <f t="shared" si="23"/>
        <v>6</v>
      </c>
      <c r="V103" s="13">
        <f t="shared" si="23"/>
        <v>0</v>
      </c>
      <c r="W103" s="13">
        <f t="shared" si="23"/>
        <v>5</v>
      </c>
      <c r="X103" s="13">
        <f t="shared" si="23"/>
        <v>4</v>
      </c>
      <c r="Y103" s="13">
        <f t="shared" si="23"/>
        <v>2</v>
      </c>
      <c r="Z103" s="13">
        <f t="shared" si="23"/>
        <v>7</v>
      </c>
      <c r="AA103" s="13">
        <f t="shared" si="23"/>
        <v>2</v>
      </c>
      <c r="AB103" s="13">
        <f t="shared" si="23"/>
        <v>1</v>
      </c>
      <c r="AC103" s="13">
        <f t="shared" si="23"/>
        <v>10</v>
      </c>
      <c r="AD103" s="13">
        <f t="shared" si="23"/>
        <v>4</v>
      </c>
      <c r="AE103" s="13">
        <f t="shared" si="23"/>
        <v>3</v>
      </c>
      <c r="AF103" s="13">
        <f t="shared" si="22"/>
        <v>91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</row>
    <row r="105" ht="12.75" customHeight="1">
      <c r="A105" s="31" t="s">
        <v>36</v>
      </c>
      <c r="B105" s="50" t="s">
        <v>90</v>
      </c>
      <c r="C105" s="51" t="s">
        <v>91</v>
      </c>
      <c r="D105" s="16"/>
      <c r="E105" s="19"/>
      <c r="F105" s="79">
        <v>0.0</v>
      </c>
      <c r="G105" s="19"/>
      <c r="H105" s="79">
        <v>0.0</v>
      </c>
      <c r="I105" s="79">
        <v>1.0</v>
      </c>
      <c r="J105" s="79">
        <v>1.0</v>
      </c>
      <c r="K105" s="79">
        <v>1.0</v>
      </c>
      <c r="L105" s="79">
        <v>1.0</v>
      </c>
      <c r="M105" s="19"/>
      <c r="N105" s="79">
        <v>1.0</v>
      </c>
      <c r="O105" s="79">
        <v>1.0</v>
      </c>
      <c r="P105" s="79">
        <v>2.0</v>
      </c>
      <c r="Q105" s="79">
        <v>0.0</v>
      </c>
      <c r="R105" s="79">
        <v>0.0</v>
      </c>
      <c r="S105" s="79">
        <v>0.0</v>
      </c>
      <c r="T105" s="19"/>
      <c r="U105" s="79">
        <v>0.0</v>
      </c>
      <c r="V105" s="79">
        <v>1.0</v>
      </c>
      <c r="W105" s="79">
        <v>1.0</v>
      </c>
      <c r="X105" s="79">
        <v>1.0</v>
      </c>
      <c r="Y105" s="79">
        <v>0.0</v>
      </c>
      <c r="Z105" s="79">
        <v>1.0</v>
      </c>
      <c r="AA105" s="79">
        <v>3.0</v>
      </c>
      <c r="AB105" s="79">
        <v>0.0</v>
      </c>
      <c r="AC105" s="79">
        <v>0.0</v>
      </c>
      <c r="AD105" s="79">
        <v>1.0</v>
      </c>
      <c r="AE105" s="79">
        <v>3.0</v>
      </c>
      <c r="AF105" s="13">
        <f t="shared" ref="AF105:AF107" si="24">SUM(E105:AE105)</f>
        <v>19</v>
      </c>
    </row>
    <row r="106" ht="12.75" customHeight="1">
      <c r="A106" s="31" t="s">
        <v>38</v>
      </c>
      <c r="B106" s="58"/>
      <c r="C106" s="53" t="s">
        <v>92</v>
      </c>
      <c r="D106" s="61"/>
      <c r="E106" s="19"/>
      <c r="F106" s="79">
        <v>1.0</v>
      </c>
      <c r="G106" s="19"/>
      <c r="H106" s="79">
        <v>0.0</v>
      </c>
      <c r="I106" s="79">
        <v>0.0</v>
      </c>
      <c r="J106" s="79">
        <v>0.0</v>
      </c>
      <c r="K106" s="79">
        <v>0.0</v>
      </c>
      <c r="L106" s="79">
        <v>0.0</v>
      </c>
      <c r="M106" s="19"/>
      <c r="N106" s="79">
        <v>0.0</v>
      </c>
      <c r="O106" s="79">
        <v>0.0</v>
      </c>
      <c r="P106" s="79">
        <v>0.0</v>
      </c>
      <c r="Q106" s="79">
        <v>0.0</v>
      </c>
      <c r="R106" s="79">
        <v>1.0</v>
      </c>
      <c r="S106" s="79">
        <v>0.0</v>
      </c>
      <c r="T106" s="19"/>
      <c r="U106" s="79">
        <v>1.0</v>
      </c>
      <c r="V106" s="79">
        <v>0.0</v>
      </c>
      <c r="W106" s="79">
        <v>0.0</v>
      </c>
      <c r="X106" s="79">
        <v>0.0</v>
      </c>
      <c r="Y106" s="79">
        <v>0.0</v>
      </c>
      <c r="Z106" s="79">
        <v>2.0</v>
      </c>
      <c r="AA106" s="79">
        <v>0.0</v>
      </c>
      <c r="AB106" s="79">
        <v>0.0</v>
      </c>
      <c r="AC106" s="79">
        <v>0.0</v>
      </c>
      <c r="AD106" s="79">
        <v>0.0</v>
      </c>
      <c r="AE106" s="79">
        <v>1.0</v>
      </c>
      <c r="AF106" s="13">
        <f t="shared" si="24"/>
        <v>6</v>
      </c>
    </row>
    <row r="107" ht="12.75" customHeight="1">
      <c r="A107" s="18"/>
      <c r="B107" s="58"/>
      <c r="C107" s="53" t="s">
        <v>93</v>
      </c>
      <c r="D107" s="61"/>
      <c r="E107" s="19"/>
      <c r="F107" s="79">
        <v>0.0</v>
      </c>
      <c r="G107" s="19"/>
      <c r="H107" s="79">
        <v>1.0</v>
      </c>
      <c r="I107" s="79">
        <v>0.0</v>
      </c>
      <c r="J107" s="79">
        <v>0.0</v>
      </c>
      <c r="K107" s="79">
        <v>0.0</v>
      </c>
      <c r="L107" s="79">
        <v>0.0</v>
      </c>
      <c r="M107" s="19"/>
      <c r="N107" s="79">
        <v>0.0</v>
      </c>
      <c r="O107" s="79">
        <v>1.0</v>
      </c>
      <c r="P107" s="79">
        <v>0.0</v>
      </c>
      <c r="Q107" s="79">
        <v>0.0</v>
      </c>
      <c r="R107" s="79">
        <v>0.0</v>
      </c>
      <c r="S107" s="79">
        <v>0.0</v>
      </c>
      <c r="T107" s="19"/>
      <c r="U107" s="79">
        <v>0.0</v>
      </c>
      <c r="V107" s="79">
        <v>0.0</v>
      </c>
      <c r="W107" s="79">
        <v>0.0</v>
      </c>
      <c r="X107" s="79">
        <v>1.0</v>
      </c>
      <c r="Y107" s="79">
        <v>0.0</v>
      </c>
      <c r="Z107" s="79">
        <v>0.0</v>
      </c>
      <c r="AA107" s="79">
        <v>0.0</v>
      </c>
      <c r="AB107" s="79">
        <v>0.0</v>
      </c>
      <c r="AC107" s="79">
        <v>0.0</v>
      </c>
      <c r="AD107" s="79">
        <v>0.0</v>
      </c>
      <c r="AE107" s="19"/>
      <c r="AF107" s="13">
        <f t="shared" si="24"/>
        <v>3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85"/>
    </row>
    <row r="115" ht="12.75" customHeight="1">
      <c r="A115" s="19" t="s">
        <v>14</v>
      </c>
      <c r="B115" s="50" t="s">
        <v>48</v>
      </c>
      <c r="C115" s="15"/>
      <c r="D115" s="16"/>
      <c r="E115" s="13">
        <f t="shared" ref="E115:AE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2</v>
      </c>
      <c r="P115" s="13">
        <f t="shared" si="25"/>
        <v>2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1</v>
      </c>
      <c r="W115" s="13">
        <f t="shared" si="25"/>
        <v>1</v>
      </c>
      <c r="X115" s="13">
        <f t="shared" si="25"/>
        <v>2</v>
      </c>
      <c r="Y115" s="13">
        <f t="shared" si="25"/>
        <v>0</v>
      </c>
      <c r="Z115" s="13">
        <f t="shared" si="25"/>
        <v>3</v>
      </c>
      <c r="AA115" s="13">
        <f t="shared" si="25"/>
        <v>3</v>
      </c>
      <c r="AB115" s="13">
        <f t="shared" si="25"/>
        <v>0</v>
      </c>
      <c r="AC115" s="13">
        <f t="shared" si="25"/>
        <v>0</v>
      </c>
      <c r="AD115" s="13">
        <f t="shared" si="25"/>
        <v>1</v>
      </c>
      <c r="AE115" s="13">
        <f t="shared" si="25"/>
        <v>4</v>
      </c>
      <c r="AF115" s="13">
        <f>SUM(E115:AE115)</f>
        <v>28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13"/>
    </row>
    <row r="117" ht="12.75" customHeight="1">
      <c r="A117" s="31" t="s">
        <v>36</v>
      </c>
      <c r="B117" s="50" t="s">
        <v>94</v>
      </c>
      <c r="C117" s="51" t="s">
        <v>95</v>
      </c>
      <c r="D117" s="16"/>
      <c r="E117" s="19"/>
      <c r="F117" s="79">
        <v>0.0</v>
      </c>
      <c r="G117" s="79">
        <v>1.0</v>
      </c>
      <c r="H117" s="79">
        <v>0.0</v>
      </c>
      <c r="I117" s="79">
        <v>0.0</v>
      </c>
      <c r="J117" s="79">
        <v>0.0</v>
      </c>
      <c r="K117" s="79">
        <v>3.0</v>
      </c>
      <c r="L117" s="79">
        <v>4.0</v>
      </c>
      <c r="M117" s="19"/>
      <c r="N117" s="79">
        <v>2.0</v>
      </c>
      <c r="O117" s="79">
        <v>0.0</v>
      </c>
      <c r="P117" s="79">
        <v>0.0</v>
      </c>
      <c r="Q117" s="79">
        <v>0.0</v>
      </c>
      <c r="R117" s="79">
        <v>0.0</v>
      </c>
      <c r="S117" s="79">
        <v>0.0</v>
      </c>
      <c r="T117" s="79">
        <v>1.0</v>
      </c>
      <c r="U117" s="79">
        <v>1.0</v>
      </c>
      <c r="V117" s="79">
        <v>1.0</v>
      </c>
      <c r="W117" s="79">
        <v>0.0</v>
      </c>
      <c r="X117" s="79">
        <v>1.0</v>
      </c>
      <c r="Y117" s="79">
        <v>1.0</v>
      </c>
      <c r="Z117" s="79">
        <v>1.0</v>
      </c>
      <c r="AA117" s="79">
        <v>0.0</v>
      </c>
      <c r="AB117" s="79">
        <v>1.0</v>
      </c>
      <c r="AC117" s="79">
        <v>1.0</v>
      </c>
      <c r="AD117" s="79">
        <v>0.0</v>
      </c>
      <c r="AE117" s="19"/>
      <c r="AF117" s="13">
        <f t="shared" ref="AF117:AF122" si="26">SUM(E117:AE117)</f>
        <v>18</v>
      </c>
      <c r="AG117" s="5"/>
      <c r="AH117" s="5"/>
    </row>
    <row r="118" ht="12.75" customHeight="1">
      <c r="A118" s="31" t="s">
        <v>38</v>
      </c>
      <c r="B118" s="58"/>
      <c r="C118" s="53" t="s">
        <v>96</v>
      </c>
      <c r="D118" s="61"/>
      <c r="E118" s="19"/>
      <c r="F118" s="79">
        <v>1.0</v>
      </c>
      <c r="G118" s="19"/>
      <c r="H118" s="79">
        <v>0.0</v>
      </c>
      <c r="I118" s="79">
        <v>1.0</v>
      </c>
      <c r="J118" s="79">
        <v>0.0</v>
      </c>
      <c r="K118" s="79">
        <v>0.0</v>
      </c>
      <c r="L118" s="79">
        <v>0.0</v>
      </c>
      <c r="M118" s="19"/>
      <c r="N118" s="79">
        <v>0.0</v>
      </c>
      <c r="O118" s="79">
        <v>0.0</v>
      </c>
      <c r="P118" s="79">
        <v>0.0</v>
      </c>
      <c r="Q118" s="79">
        <v>0.0</v>
      </c>
      <c r="R118" s="79">
        <v>0.0</v>
      </c>
      <c r="S118" s="79">
        <v>0.0</v>
      </c>
      <c r="T118" s="79">
        <v>1.0</v>
      </c>
      <c r="U118" s="79">
        <v>0.0</v>
      </c>
      <c r="V118" s="79">
        <v>2.0</v>
      </c>
      <c r="W118" s="79">
        <v>1.0</v>
      </c>
      <c r="X118" s="79">
        <v>0.0</v>
      </c>
      <c r="Y118" s="79">
        <v>0.0</v>
      </c>
      <c r="Z118" s="19"/>
      <c r="AA118" s="79">
        <v>0.0</v>
      </c>
      <c r="AB118" s="79">
        <v>0.0</v>
      </c>
      <c r="AC118" s="79">
        <v>0.0</v>
      </c>
      <c r="AD118" s="79">
        <v>1.0</v>
      </c>
      <c r="AE118" s="19"/>
      <c r="AF118" s="13">
        <f t="shared" si="26"/>
        <v>7</v>
      </c>
      <c r="AG118" s="5"/>
      <c r="AH118" s="5"/>
    </row>
    <row r="119" ht="12.75" customHeight="1">
      <c r="A119" s="18"/>
      <c r="B119" s="58"/>
      <c r="C119" s="53" t="s">
        <v>97</v>
      </c>
      <c r="D119" s="61"/>
      <c r="E119" s="19"/>
      <c r="F119" s="79">
        <v>0.0</v>
      </c>
      <c r="G119" s="19"/>
      <c r="H119" s="79">
        <v>0.0</v>
      </c>
      <c r="I119" s="79">
        <v>0.0</v>
      </c>
      <c r="J119" s="79">
        <v>0.0</v>
      </c>
      <c r="K119" s="79">
        <v>0.0</v>
      </c>
      <c r="L119" s="79">
        <v>0.0</v>
      </c>
      <c r="M119" s="19"/>
      <c r="N119" s="79">
        <v>0.0</v>
      </c>
      <c r="O119" s="79">
        <v>0.0</v>
      </c>
      <c r="P119" s="79">
        <v>0.0</v>
      </c>
      <c r="Q119" s="79">
        <v>0.0</v>
      </c>
      <c r="R119" s="79">
        <v>0.0</v>
      </c>
      <c r="S119" s="79">
        <v>0.0</v>
      </c>
      <c r="T119" s="19"/>
      <c r="U119" s="79">
        <v>0.0</v>
      </c>
      <c r="V119" s="79">
        <v>0.0</v>
      </c>
      <c r="W119" s="79">
        <v>0.0</v>
      </c>
      <c r="X119" s="79">
        <v>0.0</v>
      </c>
      <c r="Y119" s="79">
        <v>0.0</v>
      </c>
      <c r="Z119" s="19"/>
      <c r="AA119" s="79">
        <v>1.0</v>
      </c>
      <c r="AB119" s="79">
        <v>0.0</v>
      </c>
      <c r="AC119" s="79">
        <v>0.0</v>
      </c>
      <c r="AD119" s="79">
        <v>0.0</v>
      </c>
      <c r="AE119" s="19"/>
      <c r="AF119" s="13">
        <f t="shared" si="26"/>
        <v>1</v>
      </c>
      <c r="AG119" s="5"/>
      <c r="AH119" s="5"/>
    </row>
    <row r="120" ht="12.75" customHeight="1">
      <c r="A120" s="18"/>
      <c r="B120" s="58"/>
      <c r="C120" s="53" t="s">
        <v>98</v>
      </c>
      <c r="D120" s="61"/>
      <c r="E120" s="19"/>
      <c r="F120" s="79">
        <v>0.0</v>
      </c>
      <c r="G120" s="19"/>
      <c r="H120" s="79">
        <v>0.0</v>
      </c>
      <c r="I120" s="79">
        <v>0.0</v>
      </c>
      <c r="J120" s="79">
        <v>0.0</v>
      </c>
      <c r="K120" s="79">
        <v>0.0</v>
      </c>
      <c r="L120" s="79">
        <v>1.0</v>
      </c>
      <c r="M120" s="19"/>
      <c r="N120" s="79">
        <v>0.0</v>
      </c>
      <c r="O120" s="79">
        <v>0.0</v>
      </c>
      <c r="P120" s="79">
        <v>0.0</v>
      </c>
      <c r="Q120" s="79">
        <v>0.0</v>
      </c>
      <c r="R120" s="79">
        <v>0.0</v>
      </c>
      <c r="S120" s="79">
        <v>0.0</v>
      </c>
      <c r="T120" s="19"/>
      <c r="U120" s="79">
        <v>0.0</v>
      </c>
      <c r="V120" s="79">
        <v>0.0</v>
      </c>
      <c r="W120" s="79">
        <v>0.0</v>
      </c>
      <c r="X120" s="79">
        <v>0.0</v>
      </c>
      <c r="Y120" s="79">
        <v>0.0</v>
      </c>
      <c r="Z120" s="19"/>
      <c r="AA120" s="79">
        <v>0.0</v>
      </c>
      <c r="AB120" s="79">
        <v>0.0</v>
      </c>
      <c r="AC120" s="79">
        <v>0.0</v>
      </c>
      <c r="AD120" s="79">
        <v>1.0</v>
      </c>
      <c r="AE120" s="19"/>
      <c r="AF120" s="13">
        <f t="shared" si="26"/>
        <v>2</v>
      </c>
      <c r="AG120" s="5"/>
      <c r="AH120" s="5"/>
    </row>
    <row r="121" ht="12.75" customHeight="1">
      <c r="A121" s="18"/>
      <c r="B121" s="58"/>
      <c r="C121" s="53" t="s">
        <v>99</v>
      </c>
      <c r="D121" s="61"/>
      <c r="E121" s="19"/>
      <c r="F121" s="79">
        <v>0.0</v>
      </c>
      <c r="G121" s="19"/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19"/>
      <c r="N121" s="79">
        <v>0.0</v>
      </c>
      <c r="O121" s="79">
        <v>0.0</v>
      </c>
      <c r="P121" s="79">
        <v>0.0</v>
      </c>
      <c r="Q121" s="79">
        <v>0.0</v>
      </c>
      <c r="R121" s="79">
        <v>0.0</v>
      </c>
      <c r="S121" s="79">
        <v>0.0</v>
      </c>
      <c r="T121" s="19"/>
      <c r="U121" s="79">
        <v>0.0</v>
      </c>
      <c r="V121" s="79">
        <v>0.0</v>
      </c>
      <c r="W121" s="79">
        <v>0.0</v>
      </c>
      <c r="X121" s="79">
        <v>0.0</v>
      </c>
      <c r="Y121" s="79">
        <v>0.0</v>
      </c>
      <c r="Z121" s="19"/>
      <c r="AA121" s="79">
        <v>0.0</v>
      </c>
      <c r="AB121" s="79">
        <v>0.0</v>
      </c>
      <c r="AC121" s="79">
        <v>0.0</v>
      </c>
      <c r="AD121" s="79">
        <v>0.0</v>
      </c>
      <c r="AE121" s="19"/>
      <c r="AF121" s="13">
        <f t="shared" si="26"/>
        <v>0</v>
      </c>
      <c r="AG121" s="5"/>
      <c r="AH121" s="5"/>
    </row>
    <row r="122" ht="12.75" customHeight="1">
      <c r="A122" s="18"/>
      <c r="B122" s="58"/>
      <c r="C122" s="53" t="s">
        <v>100</v>
      </c>
      <c r="D122" s="61"/>
      <c r="E122" s="19"/>
      <c r="F122" s="79">
        <v>0.0</v>
      </c>
      <c r="G122" s="19"/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19"/>
      <c r="N122" s="79">
        <v>0.0</v>
      </c>
      <c r="O122" s="79">
        <v>0.0</v>
      </c>
      <c r="P122" s="79">
        <v>0.0</v>
      </c>
      <c r="Q122" s="79">
        <v>0.0</v>
      </c>
      <c r="R122" s="79">
        <v>0.0</v>
      </c>
      <c r="S122" s="79">
        <v>1.0</v>
      </c>
      <c r="T122" s="19"/>
      <c r="U122" s="79">
        <v>1.0</v>
      </c>
      <c r="V122" s="79">
        <v>0.0</v>
      </c>
      <c r="W122" s="79">
        <v>0.0</v>
      </c>
      <c r="X122" s="79">
        <v>0.0</v>
      </c>
      <c r="Y122" s="79">
        <v>0.0</v>
      </c>
      <c r="Z122" s="19"/>
      <c r="AA122" s="79">
        <v>0.0</v>
      </c>
      <c r="AB122" s="79">
        <v>0.0</v>
      </c>
      <c r="AC122" s="79">
        <v>0.0</v>
      </c>
      <c r="AD122" s="79">
        <v>0.0</v>
      </c>
      <c r="AE122" s="19"/>
      <c r="AF122" s="13">
        <f t="shared" si="26"/>
        <v>2</v>
      </c>
      <c r="AG122" s="5"/>
      <c r="AH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85"/>
      <c r="AG123" s="5"/>
      <c r="AH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85"/>
      <c r="AG124" s="5"/>
      <c r="AH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85"/>
      <c r="AG125" s="5"/>
      <c r="AH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85"/>
      <c r="AG126" s="5"/>
      <c r="AH126" s="5"/>
    </row>
    <row r="127" ht="12.75" customHeight="1">
      <c r="A127" s="19" t="s">
        <v>14</v>
      </c>
      <c r="B127" s="50" t="s">
        <v>48</v>
      </c>
      <c r="C127" s="15"/>
      <c r="D127" s="16"/>
      <c r="E127" s="67">
        <f t="shared" ref="E127:AE127" si="27">SUM(E117:E126)</f>
        <v>0</v>
      </c>
      <c r="F127" s="67">
        <f t="shared" si="27"/>
        <v>1</v>
      </c>
      <c r="G127" s="67">
        <f t="shared" si="27"/>
        <v>1</v>
      </c>
      <c r="H127" s="67">
        <f t="shared" si="27"/>
        <v>0</v>
      </c>
      <c r="I127" s="67">
        <f t="shared" si="27"/>
        <v>1</v>
      </c>
      <c r="J127" s="67">
        <f t="shared" si="27"/>
        <v>0</v>
      </c>
      <c r="K127" s="67">
        <f t="shared" si="27"/>
        <v>3</v>
      </c>
      <c r="L127" s="67">
        <f t="shared" si="27"/>
        <v>5</v>
      </c>
      <c r="M127" s="67">
        <f t="shared" si="27"/>
        <v>0</v>
      </c>
      <c r="N127" s="67">
        <f t="shared" si="27"/>
        <v>2</v>
      </c>
      <c r="O127" s="67">
        <f t="shared" si="27"/>
        <v>0</v>
      </c>
      <c r="P127" s="67">
        <f t="shared" si="27"/>
        <v>0</v>
      </c>
      <c r="Q127" s="67">
        <f t="shared" si="27"/>
        <v>0</v>
      </c>
      <c r="R127" s="67">
        <f t="shared" si="27"/>
        <v>0</v>
      </c>
      <c r="S127" s="67">
        <f t="shared" si="27"/>
        <v>1</v>
      </c>
      <c r="T127" s="67">
        <f t="shared" si="27"/>
        <v>2</v>
      </c>
      <c r="U127" s="67">
        <f t="shared" si="27"/>
        <v>2</v>
      </c>
      <c r="V127" s="67">
        <f t="shared" si="27"/>
        <v>3</v>
      </c>
      <c r="W127" s="67">
        <f t="shared" si="27"/>
        <v>1</v>
      </c>
      <c r="X127" s="67">
        <f t="shared" si="27"/>
        <v>1</v>
      </c>
      <c r="Y127" s="67">
        <f t="shared" si="27"/>
        <v>1</v>
      </c>
      <c r="Z127" s="67">
        <f t="shared" si="27"/>
        <v>1</v>
      </c>
      <c r="AA127" s="67">
        <f t="shared" si="27"/>
        <v>1</v>
      </c>
      <c r="AB127" s="67">
        <f t="shared" si="27"/>
        <v>1</v>
      </c>
      <c r="AC127" s="67">
        <f t="shared" si="27"/>
        <v>1</v>
      </c>
      <c r="AD127" s="67">
        <f t="shared" si="27"/>
        <v>2</v>
      </c>
      <c r="AE127" s="67">
        <f t="shared" si="27"/>
        <v>0</v>
      </c>
      <c r="AF127" s="13">
        <f>SUM(E127:AE127)</f>
        <v>30</v>
      </c>
      <c r="AG127" s="5"/>
      <c r="AH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5"/>
      <c r="AH128" s="5"/>
    </row>
    <row r="129" ht="12.75" customHeight="1">
      <c r="A129" s="31" t="s">
        <v>36</v>
      </c>
      <c r="B129" s="50" t="s">
        <v>101</v>
      </c>
      <c r="C129" s="51" t="s">
        <v>102</v>
      </c>
      <c r="D129" s="16"/>
      <c r="E129" s="79">
        <v>1.0</v>
      </c>
      <c r="F129" s="79">
        <v>6.0</v>
      </c>
      <c r="G129" s="79">
        <v>3.0</v>
      </c>
      <c r="H129" s="79">
        <v>4.0</v>
      </c>
      <c r="I129" s="79">
        <v>4.0</v>
      </c>
      <c r="J129" s="79">
        <v>9.0</v>
      </c>
      <c r="K129" s="79">
        <v>0.0</v>
      </c>
      <c r="L129" s="79">
        <v>1.0</v>
      </c>
      <c r="M129" s="79">
        <v>2.0</v>
      </c>
      <c r="N129" s="79">
        <v>2.0</v>
      </c>
      <c r="O129" s="79">
        <v>3.0</v>
      </c>
      <c r="P129" s="79">
        <v>1.0</v>
      </c>
      <c r="Q129" s="79">
        <v>0.0</v>
      </c>
      <c r="R129" s="79">
        <v>1.0</v>
      </c>
      <c r="S129" s="79">
        <v>0.0</v>
      </c>
      <c r="T129" s="79">
        <v>0.0</v>
      </c>
      <c r="U129" s="79">
        <v>0.0</v>
      </c>
      <c r="V129" s="79">
        <v>11.0</v>
      </c>
      <c r="W129" s="79">
        <v>13.0</v>
      </c>
      <c r="X129" s="79">
        <v>6.0</v>
      </c>
      <c r="Y129" s="79">
        <v>6.0</v>
      </c>
      <c r="Z129" s="79">
        <v>2.0</v>
      </c>
      <c r="AA129" s="79">
        <v>2.0</v>
      </c>
      <c r="AB129" s="79">
        <v>2.0</v>
      </c>
      <c r="AC129" s="79">
        <v>2.0</v>
      </c>
      <c r="AD129" s="79">
        <v>5.0</v>
      </c>
      <c r="AE129" s="79">
        <v>1.0</v>
      </c>
      <c r="AF129" s="13">
        <f t="shared" ref="AF129:AF139" si="28">SUM(E129:AE129)</f>
        <v>87</v>
      </c>
      <c r="AG129" s="5"/>
      <c r="AH129" s="5"/>
    </row>
    <row r="130" ht="12.75" customHeight="1">
      <c r="A130" s="31" t="s">
        <v>38</v>
      </c>
      <c r="B130" s="58"/>
      <c r="C130" s="53" t="s">
        <v>103</v>
      </c>
      <c r="D130" s="60"/>
      <c r="E130" s="79">
        <v>22.0</v>
      </c>
      <c r="F130" s="79">
        <v>5.0</v>
      </c>
      <c r="G130" s="79">
        <v>8.0</v>
      </c>
      <c r="H130" s="79">
        <v>4.0</v>
      </c>
      <c r="I130" s="79">
        <v>7.0</v>
      </c>
      <c r="J130" s="79">
        <v>24.0</v>
      </c>
      <c r="K130" s="79">
        <v>2.0</v>
      </c>
      <c r="L130" s="79">
        <v>2.0</v>
      </c>
      <c r="M130" s="79">
        <v>13.0</v>
      </c>
      <c r="N130" s="79">
        <v>5.0</v>
      </c>
      <c r="O130" s="79">
        <v>5.0</v>
      </c>
      <c r="P130" s="79">
        <v>1.0</v>
      </c>
      <c r="Q130" s="79">
        <v>0.0</v>
      </c>
      <c r="R130" s="79">
        <v>4.0</v>
      </c>
      <c r="S130" s="79">
        <v>3.0</v>
      </c>
      <c r="T130" s="79">
        <v>4.0</v>
      </c>
      <c r="U130" s="79">
        <v>1.0</v>
      </c>
      <c r="V130" s="79">
        <v>12.0</v>
      </c>
      <c r="W130" s="79">
        <v>13.0</v>
      </c>
      <c r="X130" s="79">
        <v>5.0</v>
      </c>
      <c r="Y130" s="79">
        <v>9.0</v>
      </c>
      <c r="Z130" s="79">
        <v>2.0</v>
      </c>
      <c r="AA130" s="79">
        <v>2.0</v>
      </c>
      <c r="AB130" s="79">
        <v>0.0</v>
      </c>
      <c r="AC130" s="79">
        <v>1.0</v>
      </c>
      <c r="AD130" s="79">
        <v>5.0</v>
      </c>
      <c r="AE130" s="79">
        <v>4.0</v>
      </c>
      <c r="AF130" s="13">
        <f t="shared" si="28"/>
        <v>163</v>
      </c>
      <c r="AG130" s="1"/>
      <c r="AH130" s="1"/>
    </row>
    <row r="131" ht="12.75" customHeight="1">
      <c r="A131" s="18"/>
      <c r="B131" s="58"/>
      <c r="C131" s="53" t="s">
        <v>104</v>
      </c>
      <c r="D131" s="60"/>
      <c r="E131" s="79">
        <v>1.0</v>
      </c>
      <c r="F131" s="79">
        <v>0.0</v>
      </c>
      <c r="G131" s="19"/>
      <c r="H131" s="79">
        <v>0.0</v>
      </c>
      <c r="I131" s="79">
        <v>0.0</v>
      </c>
      <c r="J131" s="79">
        <v>0.0</v>
      </c>
      <c r="K131" s="79">
        <v>0.0</v>
      </c>
      <c r="L131" s="79">
        <v>1.0</v>
      </c>
      <c r="M131" s="19"/>
      <c r="N131" s="79">
        <v>0.0</v>
      </c>
      <c r="O131" s="79">
        <v>0.0</v>
      </c>
      <c r="P131" s="79">
        <v>0.0</v>
      </c>
      <c r="Q131" s="79">
        <v>1.0</v>
      </c>
      <c r="R131" s="79">
        <v>0.0</v>
      </c>
      <c r="S131" s="79">
        <v>0.0</v>
      </c>
      <c r="T131" s="19"/>
      <c r="U131" s="79">
        <v>0.0</v>
      </c>
      <c r="V131" s="79">
        <v>1.0</v>
      </c>
      <c r="W131" s="79">
        <v>0.0</v>
      </c>
      <c r="X131" s="79">
        <v>0.0</v>
      </c>
      <c r="Y131" s="79">
        <v>0.0</v>
      </c>
      <c r="Z131" s="19"/>
      <c r="AA131" s="79">
        <v>0.0</v>
      </c>
      <c r="AB131" s="79">
        <v>0.0</v>
      </c>
      <c r="AC131" s="79">
        <v>1.0</v>
      </c>
      <c r="AD131" s="79">
        <v>1.0</v>
      </c>
      <c r="AE131" s="79">
        <v>2.0</v>
      </c>
      <c r="AF131" s="13">
        <f t="shared" si="28"/>
        <v>8</v>
      </c>
      <c r="AG131" s="55"/>
      <c r="AH131" s="55"/>
    </row>
    <row r="132" ht="12.75" customHeight="1">
      <c r="A132" s="18"/>
      <c r="B132" s="58"/>
      <c r="C132" s="53" t="s">
        <v>105</v>
      </c>
      <c r="D132" s="60"/>
      <c r="E132" s="79">
        <v>1.0</v>
      </c>
      <c r="F132" s="79">
        <v>0.0</v>
      </c>
      <c r="G132" s="79">
        <v>1.0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19"/>
      <c r="N132" s="79">
        <v>1.0</v>
      </c>
      <c r="O132" s="79">
        <v>0.0</v>
      </c>
      <c r="P132" s="79">
        <v>0.0</v>
      </c>
      <c r="Q132" s="79">
        <v>0.0</v>
      </c>
      <c r="R132" s="79">
        <v>1.0</v>
      </c>
      <c r="S132" s="79">
        <v>0.0</v>
      </c>
      <c r="T132" s="19"/>
      <c r="U132" s="79">
        <v>0.0</v>
      </c>
      <c r="V132" s="79">
        <v>1.0</v>
      </c>
      <c r="W132" s="79">
        <v>1.0</v>
      </c>
      <c r="X132" s="79">
        <v>0.0</v>
      </c>
      <c r="Y132" s="79">
        <v>0.0</v>
      </c>
      <c r="Z132" s="19"/>
      <c r="AA132" s="79">
        <v>2.0</v>
      </c>
      <c r="AB132" s="79">
        <v>0.0</v>
      </c>
      <c r="AC132" s="79">
        <v>0.0</v>
      </c>
      <c r="AD132" s="79">
        <v>1.0</v>
      </c>
      <c r="AE132" s="79">
        <v>2.0</v>
      </c>
      <c r="AF132" s="13">
        <f t="shared" si="28"/>
        <v>11</v>
      </c>
      <c r="AG132" s="5"/>
      <c r="AH132" s="5"/>
    </row>
    <row r="133" ht="12.75" customHeight="1">
      <c r="A133" s="18"/>
      <c r="B133" s="58"/>
      <c r="C133" s="53" t="s">
        <v>106</v>
      </c>
      <c r="D133" s="60"/>
      <c r="E133" s="79">
        <v>2.0</v>
      </c>
      <c r="F133" s="79">
        <v>0.0</v>
      </c>
      <c r="G133" s="19"/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19"/>
      <c r="N133" s="79">
        <v>0.0</v>
      </c>
      <c r="O133" s="79">
        <v>1.0</v>
      </c>
      <c r="P133" s="79">
        <v>0.0</v>
      </c>
      <c r="Q133" s="79">
        <v>0.0</v>
      </c>
      <c r="R133" s="79">
        <v>0.0</v>
      </c>
      <c r="S133" s="79">
        <v>0.0</v>
      </c>
      <c r="T133" s="19"/>
      <c r="U133" s="79">
        <v>0.0</v>
      </c>
      <c r="V133" s="79">
        <v>0.0</v>
      </c>
      <c r="W133" s="79">
        <v>0.0</v>
      </c>
      <c r="X133" s="79">
        <v>0.0</v>
      </c>
      <c r="Y133" s="79">
        <v>0.0</v>
      </c>
      <c r="Z133" s="19"/>
      <c r="AA133" s="79">
        <v>0.0</v>
      </c>
      <c r="AB133" s="79">
        <v>0.0</v>
      </c>
      <c r="AC133" s="79">
        <v>0.0</v>
      </c>
      <c r="AD133" s="79">
        <v>0.0</v>
      </c>
      <c r="AE133" s="79">
        <v>0.0</v>
      </c>
      <c r="AF133" s="13">
        <f t="shared" si="28"/>
        <v>3</v>
      </c>
      <c r="AG133" s="5"/>
      <c r="AH133" s="5"/>
    </row>
    <row r="134" ht="12.75" customHeight="1">
      <c r="A134" s="18"/>
      <c r="B134" s="58"/>
      <c r="C134" s="53" t="s">
        <v>107</v>
      </c>
      <c r="D134" s="60"/>
      <c r="E134" s="19"/>
      <c r="F134" s="79">
        <v>0.0</v>
      </c>
      <c r="G134" s="19"/>
      <c r="H134" s="79">
        <v>0.0</v>
      </c>
      <c r="I134" s="79">
        <v>0.0</v>
      </c>
      <c r="J134" s="79">
        <v>1.0</v>
      </c>
      <c r="K134" s="79">
        <v>0.0</v>
      </c>
      <c r="L134" s="79">
        <v>0.0</v>
      </c>
      <c r="M134" s="19"/>
      <c r="N134" s="79">
        <v>0.0</v>
      </c>
      <c r="O134" s="79">
        <v>1.0</v>
      </c>
      <c r="P134" s="79">
        <v>0.0</v>
      </c>
      <c r="Q134" s="79">
        <v>0.0</v>
      </c>
      <c r="R134" s="79">
        <v>1.0</v>
      </c>
      <c r="S134" s="79">
        <v>0.0</v>
      </c>
      <c r="T134" s="79">
        <v>1.0</v>
      </c>
      <c r="U134" s="79">
        <v>0.0</v>
      </c>
      <c r="V134" s="79">
        <v>0.0</v>
      </c>
      <c r="W134" s="79">
        <v>0.0</v>
      </c>
      <c r="X134" s="79">
        <v>0.0</v>
      </c>
      <c r="Y134" s="79">
        <v>0.0</v>
      </c>
      <c r="Z134" s="19"/>
      <c r="AA134" s="79">
        <v>0.0</v>
      </c>
      <c r="AB134" s="79">
        <v>0.0</v>
      </c>
      <c r="AC134" s="79">
        <v>0.0</v>
      </c>
      <c r="AD134" s="79">
        <v>0.0</v>
      </c>
      <c r="AE134" s="19"/>
      <c r="AF134" s="13">
        <f t="shared" si="28"/>
        <v>4</v>
      </c>
      <c r="AG134" s="5"/>
      <c r="AH134" s="5"/>
    </row>
    <row r="135" ht="12.75" customHeight="1">
      <c r="A135" s="18"/>
      <c r="B135" s="58"/>
      <c r="C135" s="53" t="s">
        <v>108</v>
      </c>
      <c r="D135" s="61"/>
      <c r="E135" s="79">
        <v>0.0</v>
      </c>
      <c r="F135" s="79">
        <v>0.0</v>
      </c>
      <c r="G135" s="19"/>
      <c r="H135" s="79">
        <v>1.0</v>
      </c>
      <c r="I135" s="79">
        <v>0.0</v>
      </c>
      <c r="J135" s="79">
        <v>0.0</v>
      </c>
      <c r="K135" s="79">
        <v>0.0</v>
      </c>
      <c r="L135" s="79">
        <v>4.0</v>
      </c>
      <c r="M135" s="19"/>
      <c r="N135" s="79">
        <v>2.0</v>
      </c>
      <c r="O135" s="79">
        <v>1.0</v>
      </c>
      <c r="P135" s="79">
        <v>0.0</v>
      </c>
      <c r="Q135" s="79">
        <v>0.0</v>
      </c>
      <c r="R135" s="79">
        <v>0.0</v>
      </c>
      <c r="S135" s="79">
        <v>0.0</v>
      </c>
      <c r="T135" s="19"/>
      <c r="U135" s="79">
        <v>0.0</v>
      </c>
      <c r="V135" s="79">
        <v>0.0</v>
      </c>
      <c r="W135" s="79">
        <v>1.0</v>
      </c>
      <c r="X135" s="79">
        <v>1.0</v>
      </c>
      <c r="Y135" s="79">
        <v>0.0</v>
      </c>
      <c r="Z135" s="19"/>
      <c r="AA135" s="79">
        <v>0.0</v>
      </c>
      <c r="AB135" s="79">
        <v>0.0</v>
      </c>
      <c r="AC135" s="79">
        <v>0.0</v>
      </c>
      <c r="AD135" s="79">
        <v>0.0</v>
      </c>
      <c r="AE135" s="19"/>
      <c r="AF135" s="13">
        <f t="shared" si="28"/>
        <v>10</v>
      </c>
      <c r="AG135" s="5"/>
      <c r="AH135" s="5"/>
    </row>
    <row r="136" ht="12.75" customHeight="1">
      <c r="A136" s="18"/>
      <c r="B136" s="58"/>
      <c r="C136" s="53" t="s">
        <v>109</v>
      </c>
      <c r="D136" s="60"/>
      <c r="E136" s="79">
        <v>0.0</v>
      </c>
      <c r="F136" s="79">
        <v>0.0</v>
      </c>
      <c r="G136" s="19"/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1.0</v>
      </c>
      <c r="N136" s="79">
        <v>0.0</v>
      </c>
      <c r="O136" s="79">
        <v>0.0</v>
      </c>
      <c r="P136" s="79">
        <v>0.0</v>
      </c>
      <c r="Q136" s="79">
        <v>1.0</v>
      </c>
      <c r="R136" s="79">
        <v>0.0</v>
      </c>
      <c r="S136" s="79">
        <v>0.0</v>
      </c>
      <c r="T136" s="19"/>
      <c r="U136" s="79">
        <v>0.0</v>
      </c>
      <c r="V136" s="79">
        <v>0.0</v>
      </c>
      <c r="W136" s="79">
        <v>0.0</v>
      </c>
      <c r="X136" s="79">
        <v>0.0</v>
      </c>
      <c r="Y136" s="79">
        <v>0.0</v>
      </c>
      <c r="Z136" s="19"/>
      <c r="AA136" s="79">
        <v>0.0</v>
      </c>
      <c r="AB136" s="79">
        <v>0.0</v>
      </c>
      <c r="AC136" s="79">
        <v>0.0</v>
      </c>
      <c r="AD136" s="79">
        <v>0.0</v>
      </c>
      <c r="AE136" s="19"/>
      <c r="AF136" s="13">
        <f t="shared" si="28"/>
        <v>2</v>
      </c>
      <c r="AG136" s="5"/>
      <c r="AH136" s="5"/>
    </row>
    <row r="137" ht="12.75" customHeight="1">
      <c r="A137" s="18"/>
      <c r="B137" s="58"/>
      <c r="C137" s="53" t="s">
        <v>110</v>
      </c>
      <c r="D137" s="60"/>
      <c r="E137" s="19"/>
      <c r="F137" s="79">
        <v>0.0</v>
      </c>
      <c r="G137" s="19"/>
      <c r="H137" s="79">
        <v>0.0</v>
      </c>
      <c r="I137" s="79">
        <v>0.0</v>
      </c>
      <c r="J137" s="79">
        <v>0.0</v>
      </c>
      <c r="K137" s="79">
        <v>0.0</v>
      </c>
      <c r="L137" s="79">
        <v>1.0</v>
      </c>
      <c r="M137" s="19"/>
      <c r="N137" s="79">
        <v>1.0</v>
      </c>
      <c r="O137" s="79">
        <v>0.0</v>
      </c>
      <c r="P137" s="79">
        <v>0.0</v>
      </c>
      <c r="Q137" s="79">
        <v>0.0</v>
      </c>
      <c r="R137" s="79">
        <v>0.0</v>
      </c>
      <c r="S137" s="79">
        <v>0.0</v>
      </c>
      <c r="T137" s="19"/>
      <c r="U137" s="79">
        <v>0.0</v>
      </c>
      <c r="V137" s="79">
        <v>0.0</v>
      </c>
      <c r="W137" s="79">
        <v>0.0</v>
      </c>
      <c r="X137" s="79">
        <v>1.0</v>
      </c>
      <c r="Y137" s="79">
        <v>0.0</v>
      </c>
      <c r="Z137" s="19"/>
      <c r="AA137" s="79">
        <v>0.0</v>
      </c>
      <c r="AB137" s="79">
        <v>0.0</v>
      </c>
      <c r="AC137" s="79">
        <v>0.0</v>
      </c>
      <c r="AD137" s="79">
        <v>0.0</v>
      </c>
      <c r="AE137" s="79">
        <v>1.0</v>
      </c>
      <c r="AF137" s="13">
        <f t="shared" si="28"/>
        <v>4</v>
      </c>
      <c r="AG137" s="5"/>
      <c r="AH137" s="5"/>
    </row>
    <row r="138" ht="12.75" customHeight="1">
      <c r="A138" s="18"/>
      <c r="B138" s="58"/>
      <c r="C138" s="53" t="s">
        <v>111</v>
      </c>
      <c r="D138" s="60"/>
      <c r="E138" s="19"/>
      <c r="F138" s="79">
        <v>0.0</v>
      </c>
      <c r="G138" s="19"/>
      <c r="H138" s="79">
        <v>0.0</v>
      </c>
      <c r="I138" s="79">
        <v>0.0</v>
      </c>
      <c r="J138" s="79">
        <v>0.0</v>
      </c>
      <c r="K138" s="79">
        <v>0.0</v>
      </c>
      <c r="L138" s="79">
        <v>1.0</v>
      </c>
      <c r="M138" s="19"/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0.0</v>
      </c>
      <c r="T138" s="19"/>
      <c r="U138" s="79">
        <v>0.0</v>
      </c>
      <c r="V138" s="79">
        <v>0.0</v>
      </c>
      <c r="W138" s="79">
        <v>0.0</v>
      </c>
      <c r="X138" s="79">
        <v>1.0</v>
      </c>
      <c r="Y138" s="79">
        <v>0.0</v>
      </c>
      <c r="Z138" s="19"/>
      <c r="AA138" s="79">
        <v>0.0</v>
      </c>
      <c r="AB138" s="79">
        <v>0.0</v>
      </c>
      <c r="AC138" s="79">
        <v>0.0</v>
      </c>
      <c r="AD138" s="79">
        <v>0.0</v>
      </c>
      <c r="AE138" s="19"/>
      <c r="AF138" s="13">
        <f t="shared" si="28"/>
        <v>2</v>
      </c>
      <c r="AG138" s="5"/>
      <c r="AH138" s="5"/>
    </row>
    <row r="139" ht="12.75" customHeight="1">
      <c r="A139" s="19" t="s">
        <v>14</v>
      </c>
      <c r="B139" s="50" t="s">
        <v>48</v>
      </c>
      <c r="C139" s="15"/>
      <c r="D139" s="16"/>
      <c r="E139" s="13">
        <f t="shared" ref="E139:AE139" si="29">SUM(E129:E138)</f>
        <v>27</v>
      </c>
      <c r="F139" s="13">
        <f t="shared" si="29"/>
        <v>11</v>
      </c>
      <c r="G139" s="13">
        <f t="shared" si="29"/>
        <v>12</v>
      </c>
      <c r="H139" s="13">
        <f t="shared" si="29"/>
        <v>9</v>
      </c>
      <c r="I139" s="13">
        <f t="shared" si="29"/>
        <v>11</v>
      </c>
      <c r="J139" s="13">
        <f t="shared" si="29"/>
        <v>34</v>
      </c>
      <c r="K139" s="13">
        <f t="shared" si="29"/>
        <v>2</v>
      </c>
      <c r="L139" s="13">
        <f t="shared" si="29"/>
        <v>10</v>
      </c>
      <c r="M139" s="13">
        <f t="shared" si="29"/>
        <v>16</v>
      </c>
      <c r="N139" s="13">
        <f t="shared" si="29"/>
        <v>11</v>
      </c>
      <c r="O139" s="13">
        <f t="shared" si="29"/>
        <v>11</v>
      </c>
      <c r="P139" s="13">
        <f t="shared" si="29"/>
        <v>2</v>
      </c>
      <c r="Q139" s="13">
        <f t="shared" si="29"/>
        <v>2</v>
      </c>
      <c r="R139" s="13">
        <f t="shared" si="29"/>
        <v>7</v>
      </c>
      <c r="S139" s="13">
        <f t="shared" si="29"/>
        <v>3</v>
      </c>
      <c r="T139" s="13">
        <f t="shared" si="29"/>
        <v>5</v>
      </c>
      <c r="U139" s="13">
        <f t="shared" si="29"/>
        <v>1</v>
      </c>
      <c r="V139" s="13">
        <f t="shared" si="29"/>
        <v>25</v>
      </c>
      <c r="W139" s="13">
        <f t="shared" si="29"/>
        <v>28</v>
      </c>
      <c r="X139" s="13">
        <f t="shared" si="29"/>
        <v>14</v>
      </c>
      <c r="Y139" s="13">
        <f t="shared" si="29"/>
        <v>15</v>
      </c>
      <c r="Z139" s="13">
        <f t="shared" si="29"/>
        <v>4</v>
      </c>
      <c r="AA139" s="13">
        <f t="shared" si="29"/>
        <v>6</v>
      </c>
      <c r="AB139" s="13">
        <f t="shared" si="29"/>
        <v>2</v>
      </c>
      <c r="AC139" s="13">
        <f t="shared" si="29"/>
        <v>4</v>
      </c>
      <c r="AD139" s="13">
        <f t="shared" si="29"/>
        <v>12</v>
      </c>
      <c r="AE139" s="13">
        <f t="shared" si="29"/>
        <v>10</v>
      </c>
      <c r="AF139" s="13">
        <f t="shared" si="28"/>
        <v>294</v>
      </c>
      <c r="AG139" s="5"/>
      <c r="AH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5"/>
      <c r="AH140" s="5"/>
    </row>
    <row r="141" ht="12.75" customHeight="1">
      <c r="A141" s="31" t="s">
        <v>36</v>
      </c>
      <c r="B141" s="50" t="s">
        <v>112</v>
      </c>
      <c r="C141" s="51" t="s">
        <v>113</v>
      </c>
      <c r="D141" s="16"/>
      <c r="E141" s="19"/>
      <c r="F141" s="79">
        <v>1.0</v>
      </c>
      <c r="G141" s="19"/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19"/>
      <c r="N141" s="79">
        <v>0.0</v>
      </c>
      <c r="O141" s="79">
        <v>0.0</v>
      </c>
      <c r="P141" s="79">
        <v>0.0</v>
      </c>
      <c r="Q141" s="79">
        <v>0.0</v>
      </c>
      <c r="R141" s="79">
        <v>0.0</v>
      </c>
      <c r="S141" s="79">
        <v>0.0</v>
      </c>
      <c r="T141" s="79">
        <v>1.0</v>
      </c>
      <c r="U141" s="79">
        <v>0.0</v>
      </c>
      <c r="V141" s="79">
        <v>0.0</v>
      </c>
      <c r="W141" s="79">
        <v>0.0</v>
      </c>
      <c r="X141" s="79">
        <v>0.0</v>
      </c>
      <c r="Y141" s="79">
        <v>0.0</v>
      </c>
      <c r="Z141" s="79">
        <v>1.0</v>
      </c>
      <c r="AA141" s="79">
        <v>0.0</v>
      </c>
      <c r="AB141" s="79">
        <v>0.0</v>
      </c>
      <c r="AC141" s="79">
        <v>1.0</v>
      </c>
      <c r="AD141" s="79">
        <v>0.0</v>
      </c>
      <c r="AE141" s="19"/>
      <c r="AF141" s="13">
        <f t="shared" ref="AF141:AF144" si="30">SUM(E141:AE141)</f>
        <v>4</v>
      </c>
      <c r="AG141" s="1"/>
      <c r="AH141" s="1"/>
    </row>
    <row r="142" ht="12.75" customHeight="1">
      <c r="A142" s="31" t="s">
        <v>38</v>
      </c>
      <c r="B142" s="58"/>
      <c r="C142" s="53" t="s">
        <v>114</v>
      </c>
      <c r="D142" s="61"/>
      <c r="E142" s="19"/>
      <c r="F142" s="79">
        <v>0.0</v>
      </c>
      <c r="G142" s="19"/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19"/>
      <c r="N142" s="79">
        <v>0.0</v>
      </c>
      <c r="O142" s="79">
        <v>0.0</v>
      </c>
      <c r="P142" s="79">
        <v>1.0</v>
      </c>
      <c r="Q142" s="79">
        <v>0.0</v>
      </c>
      <c r="R142" s="79">
        <v>0.0</v>
      </c>
      <c r="S142" s="79">
        <v>0.0</v>
      </c>
      <c r="T142" s="19"/>
      <c r="U142" s="79">
        <v>0.0</v>
      </c>
      <c r="V142" s="79">
        <v>0.0</v>
      </c>
      <c r="W142" s="79">
        <v>0.0</v>
      </c>
      <c r="X142" s="79">
        <v>0.0</v>
      </c>
      <c r="Y142" s="79">
        <v>0.0</v>
      </c>
      <c r="Z142" s="19"/>
      <c r="AA142" s="79">
        <v>0.0</v>
      </c>
      <c r="AB142" s="79">
        <v>0.0</v>
      </c>
      <c r="AC142" s="79">
        <v>0.0</v>
      </c>
      <c r="AD142" s="79">
        <v>0.0</v>
      </c>
      <c r="AE142" s="19"/>
      <c r="AF142" s="13">
        <f t="shared" si="30"/>
        <v>1</v>
      </c>
      <c r="AG142" s="55"/>
      <c r="AH142" s="55"/>
    </row>
    <row r="143" ht="12.75" customHeight="1">
      <c r="A143" s="18"/>
      <c r="B143" s="58"/>
      <c r="C143" s="53" t="s">
        <v>115</v>
      </c>
      <c r="D143" s="61"/>
      <c r="E143" s="19"/>
      <c r="F143" s="79">
        <v>0.0</v>
      </c>
      <c r="G143" s="19"/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19"/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19"/>
      <c r="U143" s="79">
        <v>0.0</v>
      </c>
      <c r="V143" s="79">
        <v>0.0</v>
      </c>
      <c r="W143" s="79">
        <v>0.0</v>
      </c>
      <c r="X143" s="79">
        <v>0.0</v>
      </c>
      <c r="Y143" s="79">
        <v>0.0</v>
      </c>
      <c r="Z143" s="19"/>
      <c r="AA143" s="79">
        <v>0.0</v>
      </c>
      <c r="AB143" s="79">
        <v>0.0</v>
      </c>
      <c r="AC143" s="79">
        <v>0.0</v>
      </c>
      <c r="AD143" s="79">
        <v>0.0</v>
      </c>
      <c r="AE143" s="19"/>
      <c r="AF143" s="13">
        <f t="shared" si="30"/>
        <v>0</v>
      </c>
      <c r="AG143" s="5"/>
      <c r="AH143" s="5"/>
    </row>
    <row r="144" ht="12.75" customHeight="1">
      <c r="A144" s="18"/>
      <c r="B144" s="58"/>
      <c r="C144" s="53" t="s">
        <v>116</v>
      </c>
      <c r="D144" s="61"/>
      <c r="E144" s="19"/>
      <c r="F144" s="79">
        <v>0.0</v>
      </c>
      <c r="G144" s="19"/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19"/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1.0</v>
      </c>
      <c r="T144" s="19"/>
      <c r="U144" s="79">
        <v>0.0</v>
      </c>
      <c r="V144" s="79">
        <v>0.0</v>
      </c>
      <c r="W144" s="79">
        <v>0.0</v>
      </c>
      <c r="X144" s="79">
        <v>0.0</v>
      </c>
      <c r="Y144" s="79">
        <v>0.0</v>
      </c>
      <c r="Z144" s="19"/>
      <c r="AA144" s="79">
        <v>0.0</v>
      </c>
      <c r="AB144" s="79">
        <v>0.0</v>
      </c>
      <c r="AC144" s="79">
        <v>0.0</v>
      </c>
      <c r="AD144" s="79">
        <v>0.0</v>
      </c>
      <c r="AE144" s="19"/>
      <c r="AF144" s="13">
        <f t="shared" si="30"/>
        <v>1</v>
      </c>
      <c r="AG144" s="5"/>
      <c r="AH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85"/>
      <c r="AG145" s="5"/>
      <c r="AH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85"/>
      <c r="AG146" s="5"/>
      <c r="AH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85"/>
      <c r="AG147" s="5"/>
      <c r="AH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85"/>
      <c r="AG148" s="5"/>
      <c r="AH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85"/>
      <c r="AG149" s="5"/>
      <c r="AH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85"/>
      <c r="AG150" s="5"/>
      <c r="AH150" s="5"/>
    </row>
    <row r="151" ht="12.75" customHeight="1">
      <c r="A151" s="19" t="s">
        <v>14</v>
      </c>
      <c r="B151" s="50" t="s">
        <v>48</v>
      </c>
      <c r="C151" s="15"/>
      <c r="D151" s="16"/>
      <c r="E151" s="13">
        <f t="shared" ref="E151:AF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1</v>
      </c>
      <c r="T151" s="13">
        <f t="shared" si="31"/>
        <v>1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1</v>
      </c>
      <c r="AA151" s="13">
        <f t="shared" si="31"/>
        <v>0</v>
      </c>
      <c r="AB151" s="13">
        <f t="shared" si="31"/>
        <v>0</v>
      </c>
      <c r="AC151" s="13">
        <f t="shared" si="31"/>
        <v>1</v>
      </c>
      <c r="AD151" s="13">
        <f t="shared" si="31"/>
        <v>0</v>
      </c>
      <c r="AE151" s="13">
        <f t="shared" si="31"/>
        <v>0</v>
      </c>
      <c r="AF151" s="13">
        <f t="shared" si="31"/>
        <v>6</v>
      </c>
      <c r="AG151" s="1"/>
      <c r="AH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13"/>
      <c r="AG152" s="55"/>
      <c r="AH152" s="55"/>
    </row>
    <row r="153" ht="12.75" customHeight="1">
      <c r="A153" s="31" t="s">
        <v>36</v>
      </c>
      <c r="B153" s="17" t="s">
        <v>117</v>
      </c>
      <c r="C153" s="68" t="s">
        <v>118</v>
      </c>
      <c r="D153" s="23"/>
      <c r="E153" s="79">
        <v>2.0</v>
      </c>
      <c r="F153" s="79">
        <v>1.0</v>
      </c>
      <c r="G153" s="19"/>
      <c r="H153" s="79">
        <v>0.0</v>
      </c>
      <c r="I153" s="79">
        <v>1.0</v>
      </c>
      <c r="J153" s="79">
        <v>4.0</v>
      </c>
      <c r="K153" s="79">
        <v>1.0</v>
      </c>
      <c r="L153" s="79">
        <v>1.0</v>
      </c>
      <c r="M153" s="79">
        <v>2.0</v>
      </c>
      <c r="N153" s="79">
        <v>1.0</v>
      </c>
      <c r="O153" s="79">
        <v>1.0</v>
      </c>
      <c r="P153" s="79">
        <v>0.0</v>
      </c>
      <c r="Q153" s="79">
        <v>0.0</v>
      </c>
      <c r="R153" s="79">
        <v>1.0</v>
      </c>
      <c r="S153" s="79">
        <v>0.0</v>
      </c>
      <c r="T153" s="19"/>
      <c r="U153" s="79">
        <v>0.0</v>
      </c>
      <c r="V153" s="79">
        <v>1.0</v>
      </c>
      <c r="W153" s="79">
        <v>0.0</v>
      </c>
      <c r="X153" s="79">
        <v>1.0</v>
      </c>
      <c r="Y153" s="79">
        <v>0.0</v>
      </c>
      <c r="Z153" s="19"/>
      <c r="AA153" s="79">
        <v>2.0</v>
      </c>
      <c r="AB153" s="79">
        <v>0.0</v>
      </c>
      <c r="AC153" s="79">
        <v>0.0</v>
      </c>
      <c r="AD153" s="79">
        <v>0.0</v>
      </c>
      <c r="AE153" s="19"/>
      <c r="AF153" s="13">
        <f t="shared" ref="AF153:AF156" si="32">SUM(E154:AE154)</f>
        <v>9</v>
      </c>
      <c r="AG153" s="5"/>
      <c r="AH153" s="5"/>
    </row>
    <row r="154" ht="12.75" customHeight="1">
      <c r="A154" s="69" t="s">
        <v>38</v>
      </c>
      <c r="B154" s="58"/>
      <c r="C154" s="53" t="s">
        <v>119</v>
      </c>
      <c r="D154" s="61"/>
      <c r="E154" s="86"/>
      <c r="F154" s="79">
        <v>3.0</v>
      </c>
      <c r="G154" s="79">
        <v>0.0</v>
      </c>
      <c r="H154" s="79">
        <v>1.0</v>
      </c>
      <c r="I154" s="79">
        <v>0.0</v>
      </c>
      <c r="J154" s="79">
        <v>2.0</v>
      </c>
      <c r="K154" s="79">
        <v>0.0</v>
      </c>
      <c r="L154" s="79">
        <v>0.0</v>
      </c>
      <c r="M154" s="79">
        <v>0.0</v>
      </c>
      <c r="N154" s="79">
        <v>0.0</v>
      </c>
      <c r="O154" s="79">
        <v>0.0</v>
      </c>
      <c r="P154" s="79">
        <v>0.0</v>
      </c>
      <c r="Q154" s="79">
        <v>0.0</v>
      </c>
      <c r="R154" s="79">
        <v>0.0</v>
      </c>
      <c r="S154" s="79">
        <v>1.0</v>
      </c>
      <c r="T154" s="19"/>
      <c r="U154" s="79">
        <v>0.0</v>
      </c>
      <c r="V154" s="79">
        <v>0.0</v>
      </c>
      <c r="W154" s="79">
        <v>1.0</v>
      </c>
      <c r="X154" s="79">
        <v>0.0</v>
      </c>
      <c r="Y154" s="79">
        <v>0.0</v>
      </c>
      <c r="Z154" s="19"/>
      <c r="AA154" s="79">
        <v>0.0</v>
      </c>
      <c r="AB154" s="79">
        <v>0.0</v>
      </c>
      <c r="AC154" s="79">
        <v>0.0</v>
      </c>
      <c r="AD154" s="79">
        <v>1.0</v>
      </c>
      <c r="AE154" s="19"/>
      <c r="AF154" s="13">
        <f t="shared" si="32"/>
        <v>9</v>
      </c>
      <c r="AG154" s="5"/>
      <c r="AH154" s="5"/>
    </row>
    <row r="155" ht="12.75" customHeight="1">
      <c r="A155" s="18"/>
      <c r="B155" s="58"/>
      <c r="C155" s="53" t="s">
        <v>120</v>
      </c>
      <c r="D155" s="61"/>
      <c r="E155" s="87">
        <v>1.0</v>
      </c>
      <c r="F155" s="79">
        <v>1.0</v>
      </c>
      <c r="G155" s="79">
        <v>1.0</v>
      </c>
      <c r="H155" s="79">
        <v>0.0</v>
      </c>
      <c r="I155" s="79">
        <v>2.0</v>
      </c>
      <c r="J155" s="79">
        <v>0.0</v>
      </c>
      <c r="K155" s="79">
        <v>1.0</v>
      </c>
      <c r="L155" s="79">
        <v>0.0</v>
      </c>
      <c r="M155" s="79">
        <v>1.0</v>
      </c>
      <c r="N155" s="79">
        <v>0.0</v>
      </c>
      <c r="O155" s="79">
        <v>0.0</v>
      </c>
      <c r="P155" s="79">
        <v>0.0</v>
      </c>
      <c r="Q155" s="79">
        <v>0.0</v>
      </c>
      <c r="R155" s="79">
        <v>0.0</v>
      </c>
      <c r="S155" s="79">
        <v>0.0</v>
      </c>
      <c r="T155" s="19"/>
      <c r="U155" s="79">
        <v>0.0</v>
      </c>
      <c r="V155" s="79">
        <v>0.0</v>
      </c>
      <c r="W155" s="79">
        <v>1.0</v>
      </c>
      <c r="X155" s="79">
        <v>0.0</v>
      </c>
      <c r="Y155" s="79">
        <v>1.0</v>
      </c>
      <c r="Z155" s="19"/>
      <c r="AA155" s="79">
        <v>0.0</v>
      </c>
      <c r="AB155" s="79">
        <v>0.0</v>
      </c>
      <c r="AC155" s="79">
        <v>0.0</v>
      </c>
      <c r="AD155" s="79">
        <v>0.0</v>
      </c>
      <c r="AE155" s="19"/>
      <c r="AF155" s="13">
        <f t="shared" si="32"/>
        <v>12</v>
      </c>
      <c r="AG155" s="5"/>
      <c r="AH155" s="5"/>
    </row>
    <row r="156" ht="12.75" customHeight="1">
      <c r="A156" s="18"/>
      <c r="B156" s="58"/>
      <c r="C156" s="53" t="s">
        <v>121</v>
      </c>
      <c r="D156" s="61"/>
      <c r="E156" s="87">
        <v>1.0</v>
      </c>
      <c r="F156" s="79">
        <v>0.0</v>
      </c>
      <c r="G156" s="79">
        <v>1.0</v>
      </c>
      <c r="H156" s="79">
        <v>0.0</v>
      </c>
      <c r="I156" s="79">
        <v>2.0</v>
      </c>
      <c r="J156" s="79">
        <v>1.0</v>
      </c>
      <c r="K156" s="79">
        <v>1.0</v>
      </c>
      <c r="L156" s="79">
        <v>0.0</v>
      </c>
      <c r="M156" s="79">
        <v>1.0</v>
      </c>
      <c r="N156" s="79">
        <v>1.0</v>
      </c>
      <c r="O156" s="79">
        <v>0.0</v>
      </c>
      <c r="P156" s="79">
        <v>0.0</v>
      </c>
      <c r="Q156" s="79">
        <v>1.0</v>
      </c>
      <c r="R156" s="79">
        <v>0.0</v>
      </c>
      <c r="S156" s="79">
        <v>0.0</v>
      </c>
      <c r="T156" s="19"/>
      <c r="U156" s="79">
        <v>0.0</v>
      </c>
      <c r="V156" s="79">
        <v>1.0</v>
      </c>
      <c r="W156" s="79">
        <v>1.0</v>
      </c>
      <c r="X156" s="79">
        <v>0.0</v>
      </c>
      <c r="Y156" s="79">
        <v>0.0</v>
      </c>
      <c r="Z156" s="19"/>
      <c r="AA156" s="79">
        <v>0.0</v>
      </c>
      <c r="AB156" s="79">
        <v>0.0</v>
      </c>
      <c r="AC156" s="79">
        <v>0.0</v>
      </c>
      <c r="AD156" s="79">
        <v>0.0</v>
      </c>
      <c r="AE156" s="79">
        <v>1.0</v>
      </c>
      <c r="AF156" s="13">
        <f t="shared" si="32"/>
        <v>1</v>
      </c>
      <c r="AG156" s="5"/>
      <c r="AH156" s="5"/>
    </row>
    <row r="157" ht="12.75" customHeight="1">
      <c r="A157" s="18"/>
      <c r="B157" s="58"/>
      <c r="C157" s="53" t="s">
        <v>122</v>
      </c>
      <c r="D157" s="61"/>
      <c r="E157" s="86"/>
      <c r="F157" s="79">
        <v>0.0</v>
      </c>
      <c r="G157" s="19"/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19"/>
      <c r="N157" s="79">
        <v>0.0</v>
      </c>
      <c r="O157" s="79">
        <v>0.0</v>
      </c>
      <c r="P157" s="79">
        <v>0.0</v>
      </c>
      <c r="Q157" s="79">
        <v>0.0</v>
      </c>
      <c r="R157" s="79">
        <v>0.0</v>
      </c>
      <c r="S157" s="79">
        <v>0.0</v>
      </c>
      <c r="T157" s="19"/>
      <c r="U157" s="79">
        <v>0.0</v>
      </c>
      <c r="V157" s="79">
        <v>0.0</v>
      </c>
      <c r="W157" s="79">
        <v>0.0</v>
      </c>
      <c r="X157" s="79">
        <v>0.0</v>
      </c>
      <c r="Y157" s="79">
        <v>0.0</v>
      </c>
      <c r="Z157" s="19"/>
      <c r="AA157" s="79">
        <v>0.0</v>
      </c>
      <c r="AB157" s="79">
        <v>0.0</v>
      </c>
      <c r="AC157" s="79">
        <v>0.0</v>
      </c>
      <c r="AD157" s="79">
        <v>1.0</v>
      </c>
      <c r="AE157" s="19"/>
      <c r="AF157" s="13">
        <f t="shared" ref="AF157:AF160" si="33">SUM(E163:AE163)</f>
        <v>54</v>
      </c>
      <c r="AG157" s="5"/>
      <c r="AH157" s="5"/>
    </row>
    <row r="158" ht="12.75" customHeight="1">
      <c r="A158" s="18"/>
      <c r="B158" s="58"/>
      <c r="C158" s="53" t="s">
        <v>123</v>
      </c>
      <c r="D158" s="61"/>
      <c r="E158" s="86"/>
      <c r="F158" s="79">
        <v>0.0</v>
      </c>
      <c r="G158" s="19"/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19"/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0.0</v>
      </c>
      <c r="T158" s="19"/>
      <c r="U158" s="79">
        <v>0.0</v>
      </c>
      <c r="V158" s="79">
        <v>0.0</v>
      </c>
      <c r="W158" s="79">
        <v>0.0</v>
      </c>
      <c r="X158" s="79">
        <v>0.0</v>
      </c>
      <c r="Y158" s="79">
        <v>0.0</v>
      </c>
      <c r="Z158" s="19"/>
      <c r="AA158" s="79">
        <v>0.0</v>
      </c>
      <c r="AB158" s="79">
        <v>0.0</v>
      </c>
      <c r="AC158" s="79">
        <v>0.0</v>
      </c>
      <c r="AD158" s="79">
        <v>0.0</v>
      </c>
      <c r="AE158" s="19"/>
      <c r="AF158" s="13">
        <f t="shared" si="33"/>
        <v>0</v>
      </c>
      <c r="AG158" s="5"/>
      <c r="AH158" s="5"/>
    </row>
    <row r="159" ht="12.75" customHeight="1">
      <c r="A159" s="18"/>
      <c r="B159" s="58"/>
      <c r="C159" s="53" t="s">
        <v>124</v>
      </c>
      <c r="D159" s="61"/>
      <c r="E159" s="86"/>
      <c r="F159" s="79">
        <v>0.0</v>
      </c>
      <c r="G159" s="19"/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1.0</v>
      </c>
      <c r="N159" s="79">
        <v>0.0</v>
      </c>
      <c r="O159" s="79">
        <v>1.0</v>
      </c>
      <c r="P159" s="79">
        <v>0.0</v>
      </c>
      <c r="Q159" s="79">
        <v>0.0</v>
      </c>
      <c r="R159" s="79">
        <v>0.0</v>
      </c>
      <c r="S159" s="79">
        <v>0.0</v>
      </c>
      <c r="T159" s="19"/>
      <c r="U159" s="79">
        <v>0.0</v>
      </c>
      <c r="V159" s="79">
        <v>0.0</v>
      </c>
      <c r="W159" s="79">
        <v>0.0</v>
      </c>
      <c r="X159" s="79">
        <v>0.0</v>
      </c>
      <c r="Y159" s="79">
        <v>0.0</v>
      </c>
      <c r="Z159" s="19"/>
      <c r="AA159" s="79">
        <v>1.0</v>
      </c>
      <c r="AB159" s="79">
        <v>0.0</v>
      </c>
      <c r="AC159" s="79">
        <v>0.0</v>
      </c>
      <c r="AD159" s="79">
        <v>1.0</v>
      </c>
      <c r="AE159" s="19"/>
      <c r="AF159" s="13">
        <f t="shared" si="33"/>
        <v>7</v>
      </c>
      <c r="AG159" s="5"/>
      <c r="AH159" s="5"/>
    </row>
    <row r="160" ht="12.75" customHeight="1">
      <c r="A160" s="18"/>
      <c r="B160" s="58"/>
      <c r="C160" s="53" t="s">
        <v>125</v>
      </c>
      <c r="D160" s="61"/>
      <c r="E160" s="86"/>
      <c r="F160" s="79">
        <v>0.0</v>
      </c>
      <c r="G160" s="19"/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19"/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79">
        <v>0.0</v>
      </c>
      <c r="T160" s="19"/>
      <c r="U160" s="79">
        <v>0.0</v>
      </c>
      <c r="V160" s="79">
        <v>0.0</v>
      </c>
      <c r="W160" s="79">
        <v>0.0</v>
      </c>
      <c r="X160" s="79">
        <v>0.0</v>
      </c>
      <c r="Y160" s="79">
        <v>0.0</v>
      </c>
      <c r="Z160" s="19"/>
      <c r="AA160" s="79">
        <v>0.0</v>
      </c>
      <c r="AB160" s="79">
        <v>0.0</v>
      </c>
      <c r="AC160" s="79">
        <v>0.0</v>
      </c>
      <c r="AD160" s="79">
        <v>0.0</v>
      </c>
      <c r="AE160" s="19"/>
      <c r="AF160" s="13">
        <f t="shared" si="33"/>
        <v>11</v>
      </c>
      <c r="AG160" s="5"/>
      <c r="AH160" s="5"/>
    </row>
    <row r="161" ht="12.75" customHeight="1">
      <c r="A161" s="18"/>
      <c r="B161" s="62"/>
      <c r="C161" s="70"/>
      <c r="D161" s="64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85"/>
      <c r="AG161" s="5"/>
      <c r="AH161" s="5"/>
    </row>
    <row r="162" ht="12.75" customHeight="1">
      <c r="A162" s="18"/>
      <c r="B162" s="62"/>
      <c r="C162" s="70"/>
      <c r="D162" s="64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85"/>
      <c r="AG162" s="5"/>
      <c r="AH162" s="5"/>
    </row>
    <row r="163" ht="12.75" customHeight="1">
      <c r="A163" s="19" t="s">
        <v>14</v>
      </c>
      <c r="B163" s="71" t="s">
        <v>48</v>
      </c>
      <c r="C163" s="47"/>
      <c r="D163" s="28"/>
      <c r="E163" s="13">
        <f t="shared" ref="E163:AE163" si="34">SUM(E153:E162)</f>
        <v>4</v>
      </c>
      <c r="F163" s="13">
        <f t="shared" si="34"/>
        <v>5</v>
      </c>
      <c r="G163" s="13">
        <f t="shared" si="34"/>
        <v>2</v>
      </c>
      <c r="H163" s="13">
        <f t="shared" si="34"/>
        <v>1</v>
      </c>
      <c r="I163" s="13">
        <f t="shared" si="34"/>
        <v>5</v>
      </c>
      <c r="J163" s="13">
        <f t="shared" si="34"/>
        <v>7</v>
      </c>
      <c r="K163" s="13">
        <f t="shared" si="34"/>
        <v>3</v>
      </c>
      <c r="L163" s="13">
        <f t="shared" si="34"/>
        <v>1</v>
      </c>
      <c r="M163" s="13">
        <f t="shared" si="34"/>
        <v>5</v>
      </c>
      <c r="N163" s="13">
        <f t="shared" si="34"/>
        <v>2</v>
      </c>
      <c r="O163" s="13">
        <f t="shared" si="34"/>
        <v>2</v>
      </c>
      <c r="P163" s="13">
        <f t="shared" si="34"/>
        <v>0</v>
      </c>
      <c r="Q163" s="13">
        <f t="shared" si="34"/>
        <v>1</v>
      </c>
      <c r="R163" s="13">
        <f t="shared" si="34"/>
        <v>1</v>
      </c>
      <c r="S163" s="13">
        <f t="shared" si="34"/>
        <v>1</v>
      </c>
      <c r="T163" s="13">
        <f t="shared" si="34"/>
        <v>0</v>
      </c>
      <c r="U163" s="13">
        <f t="shared" si="34"/>
        <v>0</v>
      </c>
      <c r="V163" s="13">
        <f t="shared" si="34"/>
        <v>2</v>
      </c>
      <c r="W163" s="13">
        <f t="shared" si="34"/>
        <v>3</v>
      </c>
      <c r="X163" s="13">
        <f t="shared" si="34"/>
        <v>1</v>
      </c>
      <c r="Y163" s="13">
        <f t="shared" si="34"/>
        <v>1</v>
      </c>
      <c r="Z163" s="13">
        <f t="shared" si="34"/>
        <v>0</v>
      </c>
      <c r="AA163" s="13">
        <f t="shared" si="34"/>
        <v>3</v>
      </c>
      <c r="AB163" s="13">
        <f t="shared" si="34"/>
        <v>0</v>
      </c>
      <c r="AC163" s="13">
        <f t="shared" si="34"/>
        <v>0</v>
      </c>
      <c r="AD163" s="13">
        <f t="shared" si="34"/>
        <v>3</v>
      </c>
      <c r="AE163" s="13">
        <f t="shared" si="34"/>
        <v>1</v>
      </c>
      <c r="AF163" s="13">
        <f>SUM(E163:AE163)</f>
        <v>54</v>
      </c>
      <c r="AG163" s="5"/>
      <c r="AH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5"/>
      <c r="AH164" s="5"/>
    </row>
    <row r="165" ht="12.75" customHeight="1">
      <c r="A165" s="31" t="s">
        <v>36</v>
      </c>
      <c r="B165" s="50" t="s">
        <v>126</v>
      </c>
      <c r="C165" s="51" t="s">
        <v>127</v>
      </c>
      <c r="D165" s="16"/>
      <c r="E165" s="19"/>
      <c r="F165" s="79">
        <v>0.0</v>
      </c>
      <c r="G165" s="79">
        <v>0.0</v>
      </c>
      <c r="H165" s="79">
        <v>1.0</v>
      </c>
      <c r="I165" s="79">
        <v>0.0</v>
      </c>
      <c r="J165" s="79">
        <v>0.0</v>
      </c>
      <c r="K165" s="79">
        <v>1.0</v>
      </c>
      <c r="L165" s="79">
        <v>0.0</v>
      </c>
      <c r="M165" s="19"/>
      <c r="N165" s="79">
        <v>0.0</v>
      </c>
      <c r="O165" s="79">
        <v>0.0</v>
      </c>
      <c r="P165" s="79">
        <v>0.0</v>
      </c>
      <c r="Q165" s="79">
        <v>2.0</v>
      </c>
      <c r="R165" s="79">
        <v>1.0</v>
      </c>
      <c r="S165" s="79">
        <v>0.0</v>
      </c>
      <c r="T165" s="19"/>
      <c r="U165" s="79">
        <v>0.0</v>
      </c>
      <c r="V165" s="79">
        <v>0.0</v>
      </c>
      <c r="W165" s="79">
        <v>0.0</v>
      </c>
      <c r="X165" s="79">
        <v>0.0</v>
      </c>
      <c r="Y165" s="79">
        <v>0.0</v>
      </c>
      <c r="Z165" s="79">
        <v>1.0</v>
      </c>
      <c r="AA165" s="79">
        <v>0.0</v>
      </c>
      <c r="AB165" s="79">
        <v>0.0</v>
      </c>
      <c r="AC165" s="79">
        <v>0.0</v>
      </c>
      <c r="AD165" s="79">
        <v>0.0</v>
      </c>
      <c r="AE165" s="79">
        <v>1.0</v>
      </c>
      <c r="AF165" s="13">
        <f t="shared" ref="AF165:AF166" si="35">SUM(E165:AE165)</f>
        <v>7</v>
      </c>
      <c r="AG165" s="1"/>
      <c r="AH165" s="1"/>
    </row>
    <row r="166" ht="12.75" customHeight="1">
      <c r="A166" s="31" t="s">
        <v>38</v>
      </c>
      <c r="B166" s="58"/>
      <c r="C166" s="53" t="s">
        <v>128</v>
      </c>
      <c r="D166" s="61"/>
      <c r="E166" s="79">
        <v>1.0</v>
      </c>
      <c r="F166" s="79">
        <v>0.0</v>
      </c>
      <c r="G166" s="79">
        <v>1.0</v>
      </c>
      <c r="H166" s="79">
        <v>1.0</v>
      </c>
      <c r="I166" s="79">
        <v>0.0</v>
      </c>
      <c r="J166" s="79">
        <v>0.0</v>
      </c>
      <c r="K166" s="79">
        <v>0.0</v>
      </c>
      <c r="L166" s="79">
        <v>0.0</v>
      </c>
      <c r="M166" s="19"/>
      <c r="N166" s="79">
        <v>0.0</v>
      </c>
      <c r="O166" s="79">
        <v>0.0</v>
      </c>
      <c r="P166" s="79">
        <v>0.0</v>
      </c>
      <c r="Q166" s="79">
        <v>1.0</v>
      </c>
      <c r="R166" s="79">
        <v>1.0</v>
      </c>
      <c r="S166" s="79">
        <v>0.0</v>
      </c>
      <c r="T166" s="79">
        <v>1.0</v>
      </c>
      <c r="U166" s="79">
        <v>0.0</v>
      </c>
      <c r="V166" s="79">
        <v>0.0</v>
      </c>
      <c r="W166" s="79">
        <v>0.0</v>
      </c>
      <c r="X166" s="79">
        <v>1.0</v>
      </c>
      <c r="Y166" s="79">
        <v>0.0</v>
      </c>
      <c r="Z166" s="19"/>
      <c r="AA166" s="79">
        <v>1.0</v>
      </c>
      <c r="AB166" s="79">
        <v>0.0</v>
      </c>
      <c r="AC166" s="79">
        <v>1.0</v>
      </c>
      <c r="AD166" s="79">
        <v>1.0</v>
      </c>
      <c r="AE166" s="79">
        <v>1.0</v>
      </c>
      <c r="AF166" s="13">
        <f t="shared" si="35"/>
        <v>11</v>
      </c>
      <c r="AG166" s="55"/>
      <c r="AH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85"/>
      <c r="AG167" s="5"/>
      <c r="AH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85"/>
      <c r="AG168" s="5"/>
      <c r="AH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85"/>
      <c r="AG169" s="5"/>
      <c r="AH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85"/>
      <c r="AG170" s="5"/>
      <c r="AH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85"/>
      <c r="AG171" s="5"/>
      <c r="AH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85"/>
      <c r="AG172" s="5"/>
      <c r="AH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85"/>
      <c r="AG173" s="5"/>
      <c r="AH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85"/>
      <c r="AG174" s="5"/>
      <c r="AH174" s="5"/>
    </row>
    <row r="175" ht="12.75" customHeight="1">
      <c r="A175" s="19" t="s">
        <v>14</v>
      </c>
      <c r="B175" s="50" t="s">
        <v>48</v>
      </c>
      <c r="C175" s="15"/>
      <c r="D175" s="16"/>
      <c r="E175" s="13">
        <f t="shared" ref="E175:AE175" si="36">SUM(E165:E174)</f>
        <v>1</v>
      </c>
      <c r="F175" s="13">
        <f t="shared" si="36"/>
        <v>0</v>
      </c>
      <c r="G175" s="13">
        <f t="shared" si="36"/>
        <v>1</v>
      </c>
      <c r="H175" s="13">
        <f t="shared" si="36"/>
        <v>2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3</v>
      </c>
      <c r="R175" s="13">
        <f t="shared" si="36"/>
        <v>2</v>
      </c>
      <c r="S175" s="13">
        <f t="shared" si="36"/>
        <v>0</v>
      </c>
      <c r="T175" s="13">
        <f t="shared" si="36"/>
        <v>1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1</v>
      </c>
      <c r="Y175" s="13">
        <f t="shared" si="36"/>
        <v>0</v>
      </c>
      <c r="Z175" s="13">
        <f t="shared" si="36"/>
        <v>1</v>
      </c>
      <c r="AA175" s="13">
        <f t="shared" si="36"/>
        <v>1</v>
      </c>
      <c r="AB175" s="13">
        <f t="shared" si="36"/>
        <v>0</v>
      </c>
      <c r="AC175" s="13">
        <f t="shared" si="36"/>
        <v>1</v>
      </c>
      <c r="AD175" s="13">
        <f t="shared" si="36"/>
        <v>1</v>
      </c>
      <c r="AE175" s="13">
        <f t="shared" si="36"/>
        <v>2</v>
      </c>
      <c r="AF175" s="13">
        <f>SUM(E175:AE175)</f>
        <v>18</v>
      </c>
      <c r="AG175" s="5"/>
      <c r="AH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1"/>
      <c r="AH176" s="1"/>
    </row>
    <row r="177" ht="12.75" customHeight="1">
      <c r="A177" s="31" t="s">
        <v>36</v>
      </c>
      <c r="B177" s="50" t="s">
        <v>129</v>
      </c>
      <c r="C177" s="51" t="s">
        <v>130</v>
      </c>
      <c r="D177" s="16"/>
      <c r="E177" s="19"/>
      <c r="F177" s="79">
        <v>0.0</v>
      </c>
      <c r="G177" s="19"/>
      <c r="H177" s="79">
        <v>0.0</v>
      </c>
      <c r="I177" s="79">
        <v>2.0</v>
      </c>
      <c r="J177" s="79">
        <v>0.0</v>
      </c>
      <c r="K177" s="79">
        <v>1.0</v>
      </c>
      <c r="L177" s="79">
        <v>1.0</v>
      </c>
      <c r="M177" s="79">
        <v>1.0</v>
      </c>
      <c r="N177" s="79">
        <v>0.0</v>
      </c>
      <c r="O177" s="79">
        <v>0.0</v>
      </c>
      <c r="P177" s="79">
        <v>0.0</v>
      </c>
      <c r="Q177" s="79">
        <v>0.0</v>
      </c>
      <c r="R177" s="79">
        <v>1.0</v>
      </c>
      <c r="S177" s="79">
        <v>1.0</v>
      </c>
      <c r="T177" s="79">
        <v>0.0</v>
      </c>
      <c r="U177" s="79">
        <v>0.0</v>
      </c>
      <c r="V177" s="79">
        <v>1.0</v>
      </c>
      <c r="W177" s="79">
        <v>1.0</v>
      </c>
      <c r="X177" s="79">
        <v>0.0</v>
      </c>
      <c r="Y177" s="79">
        <v>1.0</v>
      </c>
      <c r="Z177" s="19"/>
      <c r="AA177" s="79">
        <v>1.0</v>
      </c>
      <c r="AB177" s="79">
        <v>0.0</v>
      </c>
      <c r="AC177" s="79">
        <v>0.0</v>
      </c>
      <c r="AD177" s="79">
        <v>0.0</v>
      </c>
      <c r="AE177" s="79">
        <v>0.0</v>
      </c>
      <c r="AF177" s="13">
        <f t="shared" ref="AF177:AF187" si="37">SUM(E177:AE177)</f>
        <v>11</v>
      </c>
    </row>
    <row r="178" ht="12.75" customHeight="1">
      <c r="A178" s="31" t="s">
        <v>38</v>
      </c>
      <c r="B178" s="58"/>
      <c r="C178" s="53" t="s">
        <v>131</v>
      </c>
      <c r="D178" s="61"/>
      <c r="E178" s="79">
        <v>0.0</v>
      </c>
      <c r="F178" s="79">
        <v>0.0</v>
      </c>
      <c r="G178" s="79">
        <v>2.0</v>
      </c>
      <c r="H178" s="79">
        <v>0.0</v>
      </c>
      <c r="I178" s="79">
        <v>0.0</v>
      </c>
      <c r="J178" s="79">
        <v>2.0</v>
      </c>
      <c r="K178" s="79">
        <v>0.0</v>
      </c>
      <c r="L178" s="79">
        <v>0.0</v>
      </c>
      <c r="M178" s="19"/>
      <c r="N178" s="79">
        <v>1.0</v>
      </c>
      <c r="O178" s="79">
        <v>0.0</v>
      </c>
      <c r="P178" s="79">
        <v>0.0</v>
      </c>
      <c r="Q178" s="79">
        <v>0.0</v>
      </c>
      <c r="R178" s="79">
        <v>0.0</v>
      </c>
      <c r="S178" s="79">
        <v>0.0</v>
      </c>
      <c r="T178" s="79">
        <v>1.0</v>
      </c>
      <c r="U178" s="79">
        <v>0.0</v>
      </c>
      <c r="V178" s="79">
        <v>0.0</v>
      </c>
      <c r="W178" s="79">
        <v>0.0</v>
      </c>
      <c r="X178" s="79">
        <v>0.0</v>
      </c>
      <c r="Y178" s="79">
        <v>0.0</v>
      </c>
      <c r="Z178" s="19"/>
      <c r="AA178" s="79">
        <v>0.0</v>
      </c>
      <c r="AB178" s="79">
        <v>0.0</v>
      </c>
      <c r="AC178" s="79">
        <v>0.0</v>
      </c>
      <c r="AD178" s="79">
        <v>0.0</v>
      </c>
      <c r="AE178" s="79">
        <v>1.0</v>
      </c>
      <c r="AF178" s="13">
        <f t="shared" si="37"/>
        <v>7</v>
      </c>
      <c r="AG178" s="5"/>
      <c r="AH178" s="5"/>
    </row>
    <row r="179" ht="12.75" customHeight="1">
      <c r="A179" s="18"/>
      <c r="B179" s="58"/>
      <c r="C179" s="53" t="s">
        <v>132</v>
      </c>
      <c r="D179" s="61"/>
      <c r="E179" s="19"/>
      <c r="F179" s="79">
        <v>0.0</v>
      </c>
      <c r="G179" s="19"/>
      <c r="H179" s="79">
        <v>0.0</v>
      </c>
      <c r="I179" s="79">
        <v>0.0</v>
      </c>
      <c r="J179" s="79">
        <v>0.0</v>
      </c>
      <c r="K179" s="79">
        <v>0.0</v>
      </c>
      <c r="L179" s="79">
        <v>0.0</v>
      </c>
      <c r="M179" s="19"/>
      <c r="N179" s="79">
        <v>0.0</v>
      </c>
      <c r="O179" s="79">
        <v>0.0</v>
      </c>
      <c r="P179" s="79">
        <v>0.0</v>
      </c>
      <c r="Q179" s="79">
        <v>0.0</v>
      </c>
      <c r="R179" s="79">
        <v>1.0</v>
      </c>
      <c r="S179" s="79">
        <v>0.0</v>
      </c>
      <c r="T179" s="19"/>
      <c r="U179" s="79">
        <v>0.0</v>
      </c>
      <c r="V179" s="79">
        <v>0.0</v>
      </c>
      <c r="W179" s="79">
        <v>1.0</v>
      </c>
      <c r="X179" s="79">
        <v>0.0</v>
      </c>
      <c r="Y179" s="79">
        <v>0.0</v>
      </c>
      <c r="Z179" s="19"/>
      <c r="AA179" s="79">
        <v>0.0</v>
      </c>
      <c r="AB179" s="79">
        <v>0.0</v>
      </c>
      <c r="AC179" s="79">
        <v>0.0</v>
      </c>
      <c r="AD179" s="79">
        <v>2.0</v>
      </c>
      <c r="AE179" s="19"/>
      <c r="AF179" s="13">
        <f t="shared" si="37"/>
        <v>4</v>
      </c>
      <c r="AG179" s="5"/>
      <c r="AH179" s="5"/>
    </row>
    <row r="180" ht="12.75" customHeight="1">
      <c r="A180" s="18"/>
      <c r="B180" s="58"/>
      <c r="C180" s="53" t="s">
        <v>133</v>
      </c>
      <c r="D180" s="61"/>
      <c r="E180" s="19"/>
      <c r="F180" s="79">
        <v>0.0</v>
      </c>
      <c r="G180" s="19"/>
      <c r="H180" s="79">
        <v>1.0</v>
      </c>
      <c r="I180" s="79">
        <v>0.0</v>
      </c>
      <c r="J180" s="79">
        <v>0.0</v>
      </c>
      <c r="K180" s="79">
        <v>0.0</v>
      </c>
      <c r="L180" s="79">
        <v>1.0</v>
      </c>
      <c r="M180" s="19"/>
      <c r="N180" s="79">
        <v>0.0</v>
      </c>
      <c r="O180" s="79">
        <v>0.0</v>
      </c>
      <c r="P180" s="79">
        <v>0.0</v>
      </c>
      <c r="Q180" s="79">
        <v>1.0</v>
      </c>
      <c r="R180" s="79">
        <v>1.0</v>
      </c>
      <c r="S180" s="79">
        <v>0.0</v>
      </c>
      <c r="T180" s="19"/>
      <c r="U180" s="79">
        <v>0.0</v>
      </c>
      <c r="V180" s="79">
        <v>0.0</v>
      </c>
      <c r="W180" s="79">
        <v>2.0</v>
      </c>
      <c r="X180" s="79">
        <v>0.0</v>
      </c>
      <c r="Y180" s="79">
        <v>1.0</v>
      </c>
      <c r="Z180" s="19"/>
      <c r="AA180" s="79">
        <v>0.0</v>
      </c>
      <c r="AB180" s="79">
        <v>0.0</v>
      </c>
      <c r="AC180" s="79">
        <v>0.0</v>
      </c>
      <c r="AD180" s="79">
        <v>0.0</v>
      </c>
      <c r="AE180" s="79">
        <v>2.0</v>
      </c>
      <c r="AF180" s="13">
        <f t="shared" si="37"/>
        <v>9</v>
      </c>
      <c r="AG180" s="5"/>
      <c r="AH180" s="5"/>
    </row>
    <row r="181" ht="12.75" customHeight="1">
      <c r="A181" s="18"/>
      <c r="B181" s="58"/>
      <c r="C181" s="53" t="s">
        <v>134</v>
      </c>
      <c r="D181" s="61"/>
      <c r="E181" s="79">
        <v>1.0</v>
      </c>
      <c r="F181" s="79">
        <v>0.0</v>
      </c>
      <c r="G181" s="19"/>
      <c r="H181" s="79">
        <v>0.0</v>
      </c>
      <c r="I181" s="79">
        <v>0.0</v>
      </c>
      <c r="J181" s="79">
        <v>0.0</v>
      </c>
      <c r="K181" s="79">
        <v>1.0</v>
      </c>
      <c r="L181" s="79">
        <v>0.0</v>
      </c>
      <c r="M181" s="19"/>
      <c r="N181" s="79">
        <v>0.0</v>
      </c>
      <c r="O181" s="79">
        <v>0.0</v>
      </c>
      <c r="P181" s="79">
        <v>0.0</v>
      </c>
      <c r="Q181" s="79">
        <v>0.0</v>
      </c>
      <c r="R181" s="79">
        <v>0.0</v>
      </c>
      <c r="S181" s="79">
        <v>0.0</v>
      </c>
      <c r="T181" s="19"/>
      <c r="U181" s="79">
        <v>0.0</v>
      </c>
      <c r="V181" s="79">
        <v>0.0</v>
      </c>
      <c r="W181" s="79">
        <v>0.0</v>
      </c>
      <c r="X181" s="79">
        <v>0.0</v>
      </c>
      <c r="Y181" s="79">
        <v>0.0</v>
      </c>
      <c r="Z181" s="19"/>
      <c r="AA181" s="79">
        <v>0.0</v>
      </c>
      <c r="AB181" s="79">
        <v>1.0</v>
      </c>
      <c r="AC181" s="79">
        <v>0.0</v>
      </c>
      <c r="AD181" s="79">
        <v>0.0</v>
      </c>
      <c r="AE181" s="19"/>
      <c r="AF181" s="13">
        <f t="shared" si="37"/>
        <v>3</v>
      </c>
      <c r="AG181" s="5"/>
      <c r="AH181" s="5"/>
    </row>
    <row r="182" ht="12.75" customHeight="1">
      <c r="A182" s="18"/>
      <c r="B182" s="58"/>
      <c r="C182" s="53" t="s">
        <v>135</v>
      </c>
      <c r="D182" s="61"/>
      <c r="E182" s="19"/>
      <c r="F182" s="79">
        <v>0.0</v>
      </c>
      <c r="G182" s="19"/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19"/>
      <c r="N182" s="79">
        <v>0.0</v>
      </c>
      <c r="O182" s="79">
        <v>0.0</v>
      </c>
      <c r="P182" s="79">
        <v>0.0</v>
      </c>
      <c r="Q182" s="79">
        <v>0.0</v>
      </c>
      <c r="R182" s="79">
        <v>1.0</v>
      </c>
      <c r="S182" s="79">
        <v>0.0</v>
      </c>
      <c r="T182" s="19"/>
      <c r="U182" s="79">
        <v>0.0</v>
      </c>
      <c r="V182" s="79">
        <v>0.0</v>
      </c>
      <c r="W182" s="79">
        <v>0.0</v>
      </c>
      <c r="X182" s="79">
        <v>0.0</v>
      </c>
      <c r="Y182" s="79">
        <v>0.0</v>
      </c>
      <c r="Z182" s="19"/>
      <c r="AA182" s="79">
        <v>0.0</v>
      </c>
      <c r="AB182" s="79">
        <v>0.0</v>
      </c>
      <c r="AC182" s="79">
        <v>0.0</v>
      </c>
      <c r="AD182" s="79">
        <v>0.0</v>
      </c>
      <c r="AE182" s="19"/>
      <c r="AF182" s="13">
        <f t="shared" si="37"/>
        <v>1</v>
      </c>
      <c r="AG182" s="5"/>
      <c r="AH182" s="5"/>
    </row>
    <row r="183" ht="12.75" customHeight="1">
      <c r="A183" s="18"/>
      <c r="B183" s="58"/>
      <c r="C183" s="53" t="s">
        <v>136</v>
      </c>
      <c r="D183" s="61"/>
      <c r="E183" s="19"/>
      <c r="F183" s="79">
        <v>0.0</v>
      </c>
      <c r="G183" s="79">
        <v>1.0</v>
      </c>
      <c r="H183" s="79">
        <v>1.0</v>
      </c>
      <c r="I183" s="79">
        <v>0.0</v>
      </c>
      <c r="J183" s="79">
        <v>0.0</v>
      </c>
      <c r="K183" s="79">
        <v>1.0</v>
      </c>
      <c r="L183" s="79">
        <v>0.0</v>
      </c>
      <c r="M183" s="19"/>
      <c r="N183" s="79">
        <v>0.0</v>
      </c>
      <c r="O183" s="79">
        <v>0.0</v>
      </c>
      <c r="P183" s="79">
        <v>0.0</v>
      </c>
      <c r="Q183" s="79">
        <v>0.0</v>
      </c>
      <c r="R183" s="79">
        <v>0.0</v>
      </c>
      <c r="S183" s="79">
        <v>0.0</v>
      </c>
      <c r="T183" s="19"/>
      <c r="U183" s="79">
        <v>0.0</v>
      </c>
      <c r="V183" s="79">
        <v>0.0</v>
      </c>
      <c r="W183" s="79">
        <v>0.0</v>
      </c>
      <c r="X183" s="79">
        <v>0.0</v>
      </c>
      <c r="Y183" s="79">
        <v>0.0</v>
      </c>
      <c r="Z183" s="19"/>
      <c r="AA183" s="79">
        <v>0.0</v>
      </c>
      <c r="AB183" s="79">
        <v>0.0</v>
      </c>
      <c r="AC183" s="79">
        <v>0.0</v>
      </c>
      <c r="AD183" s="79">
        <v>0.0</v>
      </c>
      <c r="AE183" s="19"/>
      <c r="AF183" s="13">
        <f t="shared" si="37"/>
        <v>3</v>
      </c>
      <c r="AG183" s="5"/>
      <c r="AH183" s="5"/>
    </row>
    <row r="184" ht="12.75" customHeight="1">
      <c r="A184" s="18"/>
      <c r="B184" s="58"/>
      <c r="C184" s="53" t="s">
        <v>137</v>
      </c>
      <c r="D184" s="61"/>
      <c r="E184" s="19"/>
      <c r="F184" s="79">
        <v>0.0</v>
      </c>
      <c r="G184" s="19"/>
      <c r="H184" s="79">
        <v>0.0</v>
      </c>
      <c r="I184" s="79">
        <v>0.0</v>
      </c>
      <c r="J184" s="79">
        <v>2.0</v>
      </c>
      <c r="K184" s="79">
        <v>0.0</v>
      </c>
      <c r="L184" s="79">
        <v>0.0</v>
      </c>
      <c r="M184" s="19"/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19"/>
      <c r="U184" s="79">
        <v>0.0</v>
      </c>
      <c r="V184" s="79">
        <v>0.0</v>
      </c>
      <c r="W184" s="79">
        <v>0.0</v>
      </c>
      <c r="X184" s="79">
        <v>0.0</v>
      </c>
      <c r="Y184" s="79">
        <v>0.0</v>
      </c>
      <c r="Z184" s="19"/>
      <c r="AA184" s="79">
        <v>0.0</v>
      </c>
      <c r="AB184" s="79">
        <v>0.0</v>
      </c>
      <c r="AC184" s="79">
        <v>0.0</v>
      </c>
      <c r="AD184" s="79">
        <v>0.0</v>
      </c>
      <c r="AE184" s="19"/>
      <c r="AF184" s="13">
        <f t="shared" si="37"/>
        <v>2</v>
      </c>
      <c r="AG184" s="5"/>
      <c r="AH184" s="5"/>
    </row>
    <row r="185" ht="12.75" customHeight="1">
      <c r="A185" s="18"/>
      <c r="B185" s="58"/>
      <c r="C185" s="53" t="s">
        <v>138</v>
      </c>
      <c r="D185" s="61"/>
      <c r="E185" s="19"/>
      <c r="F185" s="79">
        <v>0.0</v>
      </c>
      <c r="G185" s="19"/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19"/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19"/>
      <c r="U185" s="79">
        <v>0.0</v>
      </c>
      <c r="V185" s="79">
        <v>0.0</v>
      </c>
      <c r="W185" s="79">
        <v>0.0</v>
      </c>
      <c r="X185" s="79">
        <v>0.0</v>
      </c>
      <c r="Y185" s="79">
        <v>0.0</v>
      </c>
      <c r="Z185" s="19"/>
      <c r="AA185" s="79">
        <v>0.0</v>
      </c>
      <c r="AB185" s="79">
        <v>0.0</v>
      </c>
      <c r="AC185" s="79">
        <v>0.0</v>
      </c>
      <c r="AD185" s="79">
        <v>0.0</v>
      </c>
      <c r="AE185" s="19"/>
      <c r="AF185" s="13">
        <f t="shared" si="37"/>
        <v>0</v>
      </c>
      <c r="AG185" s="5"/>
      <c r="AH185" s="5"/>
    </row>
    <row r="186" ht="12.75" customHeight="1">
      <c r="A186" s="18"/>
      <c r="B186" s="58"/>
      <c r="C186" s="53" t="s">
        <v>139</v>
      </c>
      <c r="D186" s="61"/>
      <c r="E186" s="19"/>
      <c r="F186" s="79">
        <v>0.0</v>
      </c>
      <c r="G186" s="19"/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19"/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0.0</v>
      </c>
      <c r="T186" s="19"/>
      <c r="U186" s="79">
        <v>0.0</v>
      </c>
      <c r="V186" s="79">
        <v>0.0</v>
      </c>
      <c r="W186" s="79">
        <v>0.0</v>
      </c>
      <c r="X186" s="79">
        <v>0.0</v>
      </c>
      <c r="Y186" s="79">
        <v>0.0</v>
      </c>
      <c r="Z186" s="19"/>
      <c r="AA186" s="79">
        <v>0.0</v>
      </c>
      <c r="AB186" s="79">
        <v>1.0</v>
      </c>
      <c r="AC186" s="79">
        <v>0.0</v>
      </c>
      <c r="AD186" s="79">
        <v>0.0</v>
      </c>
      <c r="AE186" s="19"/>
      <c r="AF186" s="13">
        <f t="shared" si="37"/>
        <v>1</v>
      </c>
      <c r="AG186" s="5"/>
      <c r="AH186" s="5"/>
    </row>
    <row r="187" ht="12.75" customHeight="1">
      <c r="A187" s="19" t="s">
        <v>14</v>
      </c>
      <c r="B187" s="50" t="s">
        <v>48</v>
      </c>
      <c r="C187" s="15"/>
      <c r="D187" s="16"/>
      <c r="E187" s="13">
        <f t="shared" ref="E187:AE187" si="38">SUM(E177:E186)</f>
        <v>1</v>
      </c>
      <c r="F187" s="13">
        <f t="shared" si="38"/>
        <v>0</v>
      </c>
      <c r="G187" s="13">
        <f t="shared" si="38"/>
        <v>3</v>
      </c>
      <c r="H187" s="13">
        <f t="shared" si="38"/>
        <v>2</v>
      </c>
      <c r="I187" s="13">
        <f t="shared" si="38"/>
        <v>2</v>
      </c>
      <c r="J187" s="13">
        <f t="shared" si="38"/>
        <v>4</v>
      </c>
      <c r="K187" s="13">
        <f t="shared" si="38"/>
        <v>3</v>
      </c>
      <c r="L187" s="13">
        <f t="shared" si="38"/>
        <v>2</v>
      </c>
      <c r="M187" s="13">
        <f t="shared" si="38"/>
        <v>1</v>
      </c>
      <c r="N187" s="13">
        <f t="shared" si="38"/>
        <v>1</v>
      </c>
      <c r="O187" s="13">
        <f t="shared" si="38"/>
        <v>0</v>
      </c>
      <c r="P187" s="13">
        <f t="shared" si="38"/>
        <v>0</v>
      </c>
      <c r="Q187" s="13">
        <f t="shared" si="38"/>
        <v>1</v>
      </c>
      <c r="R187" s="13">
        <f t="shared" si="38"/>
        <v>4</v>
      </c>
      <c r="S187" s="13">
        <f t="shared" si="38"/>
        <v>1</v>
      </c>
      <c r="T187" s="13">
        <f t="shared" si="38"/>
        <v>1</v>
      </c>
      <c r="U187" s="13">
        <f t="shared" si="38"/>
        <v>0</v>
      </c>
      <c r="V187" s="13">
        <f t="shared" si="38"/>
        <v>1</v>
      </c>
      <c r="W187" s="13">
        <f t="shared" si="38"/>
        <v>4</v>
      </c>
      <c r="X187" s="13">
        <f t="shared" si="38"/>
        <v>0</v>
      </c>
      <c r="Y187" s="13">
        <f t="shared" si="38"/>
        <v>2</v>
      </c>
      <c r="Z187" s="13">
        <f t="shared" si="38"/>
        <v>0</v>
      </c>
      <c r="AA187" s="13">
        <f t="shared" si="38"/>
        <v>1</v>
      </c>
      <c r="AB187" s="13">
        <f t="shared" si="38"/>
        <v>2</v>
      </c>
      <c r="AC187" s="13">
        <f t="shared" si="38"/>
        <v>0</v>
      </c>
      <c r="AD187" s="13">
        <f t="shared" si="38"/>
        <v>2</v>
      </c>
      <c r="AE187" s="13">
        <f t="shared" si="38"/>
        <v>3</v>
      </c>
      <c r="AF187" s="13">
        <f t="shared" si="37"/>
        <v>41</v>
      </c>
      <c r="AG187" s="1"/>
      <c r="AH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13"/>
    </row>
    <row r="189" ht="12.75" customHeight="1">
      <c r="A189" s="31" t="s">
        <v>36</v>
      </c>
      <c r="B189" s="50" t="s">
        <v>140</v>
      </c>
      <c r="C189" s="51" t="s">
        <v>141</v>
      </c>
      <c r="D189" s="16"/>
      <c r="E189" s="19"/>
      <c r="F189" s="79">
        <v>0.0</v>
      </c>
      <c r="G189" s="19"/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19"/>
      <c r="N189" s="79">
        <v>0.0</v>
      </c>
      <c r="O189" s="79">
        <v>0.0</v>
      </c>
      <c r="P189" s="79">
        <v>0.0</v>
      </c>
      <c r="Q189" s="79">
        <v>0.0</v>
      </c>
      <c r="R189" s="79">
        <v>0.0</v>
      </c>
      <c r="S189" s="79">
        <v>1.0</v>
      </c>
      <c r="T189" s="19"/>
      <c r="U189" s="79">
        <v>0.0</v>
      </c>
      <c r="V189" s="79">
        <v>1.0</v>
      </c>
      <c r="W189" s="79">
        <v>0.0</v>
      </c>
      <c r="X189" s="79">
        <v>1.0</v>
      </c>
      <c r="Y189" s="79">
        <v>0.0</v>
      </c>
      <c r="Z189" s="19"/>
      <c r="AA189" s="79">
        <v>0.0</v>
      </c>
      <c r="AB189" s="79">
        <v>1.0</v>
      </c>
      <c r="AC189" s="79">
        <v>0.0</v>
      </c>
      <c r="AD189" s="79">
        <v>0.0</v>
      </c>
      <c r="AE189" s="79">
        <v>0.0</v>
      </c>
      <c r="AF189" s="13">
        <f t="shared" ref="AF189:AF199" si="39">SUM(E189:AE189)</f>
        <v>4</v>
      </c>
      <c r="AG189" s="5"/>
      <c r="AH189" s="5"/>
    </row>
    <row r="190" ht="12.75" customHeight="1">
      <c r="A190" s="31" t="s">
        <v>38</v>
      </c>
      <c r="B190" s="58"/>
      <c r="C190" s="53" t="s">
        <v>142</v>
      </c>
      <c r="D190" s="61"/>
      <c r="E190" s="19"/>
      <c r="F190" s="79">
        <v>0.0</v>
      </c>
      <c r="G190" s="19"/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19"/>
      <c r="N190" s="79">
        <v>0.0</v>
      </c>
      <c r="O190" s="79">
        <v>0.0</v>
      </c>
      <c r="P190" s="79">
        <v>0.0</v>
      </c>
      <c r="Q190" s="79">
        <v>0.0</v>
      </c>
      <c r="R190" s="79">
        <v>0.0</v>
      </c>
      <c r="S190" s="79">
        <v>0.0</v>
      </c>
      <c r="T190" s="19"/>
      <c r="U190" s="79">
        <v>0.0</v>
      </c>
      <c r="V190" s="79">
        <v>0.0</v>
      </c>
      <c r="W190" s="79">
        <v>0.0</v>
      </c>
      <c r="X190" s="79">
        <v>0.0</v>
      </c>
      <c r="Y190" s="79">
        <v>1.0</v>
      </c>
      <c r="Z190" s="19"/>
      <c r="AA190" s="79">
        <v>0.0</v>
      </c>
      <c r="AB190" s="79">
        <v>0.0</v>
      </c>
      <c r="AC190" s="79">
        <v>0.0</v>
      </c>
      <c r="AD190" s="79">
        <v>1.0</v>
      </c>
      <c r="AE190" s="19"/>
      <c r="AF190" s="13">
        <f t="shared" si="39"/>
        <v>2</v>
      </c>
      <c r="AG190" s="5"/>
      <c r="AH190" s="5"/>
    </row>
    <row r="191" ht="12.75" customHeight="1">
      <c r="A191" s="18"/>
      <c r="B191" s="58"/>
      <c r="C191" s="53" t="s">
        <v>143</v>
      </c>
      <c r="D191" s="61"/>
      <c r="E191" s="19"/>
      <c r="F191" s="79">
        <v>0.0</v>
      </c>
      <c r="G191" s="19"/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19"/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79">
        <v>0.0</v>
      </c>
      <c r="T191" s="19"/>
      <c r="U191" s="79">
        <v>0.0</v>
      </c>
      <c r="V191" s="79">
        <v>0.0</v>
      </c>
      <c r="W191" s="79">
        <v>0.0</v>
      </c>
      <c r="X191" s="79">
        <v>0.0</v>
      </c>
      <c r="Y191" s="79">
        <v>0.0</v>
      </c>
      <c r="Z191" s="19"/>
      <c r="AA191" s="79">
        <v>1.0</v>
      </c>
      <c r="AB191" s="79">
        <v>0.0</v>
      </c>
      <c r="AC191" s="79">
        <v>0.0</v>
      </c>
      <c r="AD191" s="79">
        <v>0.0</v>
      </c>
      <c r="AE191" s="19"/>
      <c r="AF191" s="13">
        <f t="shared" si="39"/>
        <v>1</v>
      </c>
      <c r="AG191" s="5"/>
      <c r="AH191" s="5"/>
    </row>
    <row r="192" ht="12.75" customHeight="1">
      <c r="A192" s="18"/>
      <c r="B192" s="58"/>
      <c r="C192" s="53" t="s">
        <v>144</v>
      </c>
      <c r="D192" s="61"/>
      <c r="E192" s="19"/>
      <c r="F192" s="79">
        <v>0.0</v>
      </c>
      <c r="G192" s="19"/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19"/>
      <c r="N192" s="79">
        <v>0.0</v>
      </c>
      <c r="O192" s="79">
        <v>0.0</v>
      </c>
      <c r="P192" s="79">
        <v>0.0</v>
      </c>
      <c r="Q192" s="79">
        <v>0.0</v>
      </c>
      <c r="R192" s="79">
        <v>0.0</v>
      </c>
      <c r="S192" s="79">
        <v>0.0</v>
      </c>
      <c r="T192" s="19"/>
      <c r="U192" s="79">
        <v>0.0</v>
      </c>
      <c r="V192" s="79">
        <v>0.0</v>
      </c>
      <c r="W192" s="79">
        <v>0.0</v>
      </c>
      <c r="X192" s="79">
        <v>0.0</v>
      </c>
      <c r="Y192" s="79">
        <v>0.0</v>
      </c>
      <c r="Z192" s="19"/>
      <c r="AA192" s="79">
        <v>0.0</v>
      </c>
      <c r="AB192" s="79">
        <v>0.0</v>
      </c>
      <c r="AC192" s="79">
        <v>0.0</v>
      </c>
      <c r="AD192" s="79">
        <v>0.0</v>
      </c>
      <c r="AE192" s="19"/>
      <c r="AF192" s="13">
        <f t="shared" si="39"/>
        <v>0</v>
      </c>
      <c r="AG192" s="5"/>
      <c r="AH192" s="5"/>
    </row>
    <row r="193" ht="12.75" customHeight="1">
      <c r="A193" s="18"/>
      <c r="B193" s="58"/>
      <c r="C193" s="53" t="s">
        <v>145</v>
      </c>
      <c r="D193" s="61"/>
      <c r="E193" s="19"/>
      <c r="F193" s="79">
        <v>0.0</v>
      </c>
      <c r="G193" s="19"/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19"/>
      <c r="N193" s="79">
        <v>0.0</v>
      </c>
      <c r="O193" s="79">
        <v>0.0</v>
      </c>
      <c r="P193" s="79">
        <v>0.0</v>
      </c>
      <c r="Q193" s="79">
        <v>0.0</v>
      </c>
      <c r="R193" s="79">
        <v>0.0</v>
      </c>
      <c r="S193" s="79">
        <v>0.0</v>
      </c>
      <c r="T193" s="19"/>
      <c r="U193" s="79">
        <v>0.0</v>
      </c>
      <c r="V193" s="79">
        <v>0.0</v>
      </c>
      <c r="W193" s="79">
        <v>0.0</v>
      </c>
      <c r="X193" s="79">
        <v>0.0</v>
      </c>
      <c r="Y193" s="79">
        <v>0.0</v>
      </c>
      <c r="Z193" s="19"/>
      <c r="AA193" s="79">
        <v>0.0</v>
      </c>
      <c r="AB193" s="79">
        <v>0.0</v>
      </c>
      <c r="AC193" s="79">
        <v>0.0</v>
      </c>
      <c r="AD193" s="79">
        <v>0.0</v>
      </c>
      <c r="AE193" s="19"/>
      <c r="AF193" s="13">
        <f t="shared" si="39"/>
        <v>0</v>
      </c>
      <c r="AG193" s="5"/>
      <c r="AH193" s="5"/>
    </row>
    <row r="194" ht="12.75" customHeight="1">
      <c r="A194" s="18"/>
      <c r="B194" s="58"/>
      <c r="C194" s="53" t="s">
        <v>146</v>
      </c>
      <c r="D194" s="61"/>
      <c r="E194" s="19"/>
      <c r="F194" s="79">
        <v>0.0</v>
      </c>
      <c r="G194" s="19"/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19"/>
      <c r="N194" s="79">
        <v>0.0</v>
      </c>
      <c r="O194" s="79">
        <v>0.0</v>
      </c>
      <c r="P194" s="79">
        <v>0.0</v>
      </c>
      <c r="Q194" s="79">
        <v>0.0</v>
      </c>
      <c r="R194" s="79">
        <v>0.0</v>
      </c>
      <c r="S194" s="79">
        <v>0.0</v>
      </c>
      <c r="T194" s="19"/>
      <c r="U194" s="79">
        <v>0.0</v>
      </c>
      <c r="V194" s="79">
        <v>1.0</v>
      </c>
      <c r="W194" s="79">
        <v>0.0</v>
      </c>
      <c r="X194" s="79">
        <v>0.0</v>
      </c>
      <c r="Y194" s="79">
        <v>0.0</v>
      </c>
      <c r="Z194" s="19"/>
      <c r="AA194" s="79">
        <v>0.0</v>
      </c>
      <c r="AB194" s="79">
        <v>0.0</v>
      </c>
      <c r="AC194" s="79">
        <v>0.0</v>
      </c>
      <c r="AD194" s="79">
        <v>0.0</v>
      </c>
      <c r="AE194" s="19"/>
      <c r="AF194" s="13">
        <f t="shared" si="39"/>
        <v>1</v>
      </c>
      <c r="AG194" s="5"/>
      <c r="AH194" s="5"/>
    </row>
    <row r="195" ht="12.75" customHeight="1">
      <c r="A195" s="18"/>
      <c r="B195" s="58"/>
      <c r="C195" s="53" t="s">
        <v>147</v>
      </c>
      <c r="D195" s="61"/>
      <c r="E195" s="19"/>
      <c r="F195" s="79">
        <v>0.0</v>
      </c>
      <c r="G195" s="19"/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19"/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79">
        <v>0.0</v>
      </c>
      <c r="T195" s="19"/>
      <c r="U195" s="79">
        <v>0.0</v>
      </c>
      <c r="V195" s="79">
        <v>0.0</v>
      </c>
      <c r="W195" s="79">
        <v>0.0</v>
      </c>
      <c r="X195" s="79">
        <v>0.0</v>
      </c>
      <c r="Y195" s="79">
        <v>0.0</v>
      </c>
      <c r="Z195" s="19"/>
      <c r="AA195" s="79">
        <v>0.0</v>
      </c>
      <c r="AB195" s="79">
        <v>0.0</v>
      </c>
      <c r="AC195" s="79">
        <v>0.0</v>
      </c>
      <c r="AD195" s="79">
        <v>0.0</v>
      </c>
      <c r="AE195" s="19"/>
      <c r="AF195" s="13">
        <f t="shared" si="39"/>
        <v>0</v>
      </c>
      <c r="AG195" s="5"/>
      <c r="AH195" s="5"/>
    </row>
    <row r="196" ht="12.75" customHeight="1">
      <c r="A196" s="18"/>
      <c r="B196" s="58"/>
      <c r="C196" s="53" t="s">
        <v>148</v>
      </c>
      <c r="D196" s="61"/>
      <c r="E196" s="19"/>
      <c r="F196" s="79">
        <v>0.0</v>
      </c>
      <c r="G196" s="19"/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19"/>
      <c r="N196" s="79">
        <v>0.0</v>
      </c>
      <c r="O196" s="79">
        <v>0.0</v>
      </c>
      <c r="P196" s="79">
        <v>0.0</v>
      </c>
      <c r="Q196" s="79">
        <v>0.0</v>
      </c>
      <c r="R196" s="79">
        <v>0.0</v>
      </c>
      <c r="S196" s="79">
        <v>0.0</v>
      </c>
      <c r="T196" s="19"/>
      <c r="U196" s="79">
        <v>0.0</v>
      </c>
      <c r="V196" s="79">
        <v>0.0</v>
      </c>
      <c r="W196" s="79">
        <v>0.0</v>
      </c>
      <c r="X196" s="79">
        <v>0.0</v>
      </c>
      <c r="Y196" s="79">
        <v>0.0</v>
      </c>
      <c r="Z196" s="19"/>
      <c r="AA196" s="79">
        <v>0.0</v>
      </c>
      <c r="AB196" s="79">
        <v>0.0</v>
      </c>
      <c r="AC196" s="79">
        <v>0.0</v>
      </c>
      <c r="AD196" s="79">
        <v>0.0</v>
      </c>
      <c r="AE196" s="19"/>
      <c r="AF196" s="13">
        <f t="shared" si="39"/>
        <v>0</v>
      </c>
      <c r="AG196" s="1"/>
      <c r="AH196" s="1"/>
    </row>
    <row r="197" ht="12.75" customHeight="1">
      <c r="A197" s="18"/>
      <c r="B197" s="58"/>
      <c r="C197" s="53" t="s">
        <v>149</v>
      </c>
      <c r="D197" s="61"/>
      <c r="E197" s="19"/>
      <c r="F197" s="79">
        <v>0.0</v>
      </c>
      <c r="G197" s="19"/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19"/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0.0</v>
      </c>
      <c r="T197" s="19"/>
      <c r="U197" s="79">
        <v>0.0</v>
      </c>
      <c r="V197" s="79">
        <v>0.0</v>
      </c>
      <c r="W197" s="79">
        <v>0.0</v>
      </c>
      <c r="X197" s="79">
        <v>0.0</v>
      </c>
      <c r="Y197" s="79">
        <v>0.0</v>
      </c>
      <c r="Z197" s="19"/>
      <c r="AA197" s="79">
        <v>0.0</v>
      </c>
      <c r="AB197" s="79">
        <v>0.0</v>
      </c>
      <c r="AC197" s="79">
        <v>0.0</v>
      </c>
      <c r="AD197" s="79">
        <v>0.0</v>
      </c>
      <c r="AE197" s="19"/>
      <c r="AF197" s="13">
        <f t="shared" si="39"/>
        <v>0</v>
      </c>
      <c r="AG197" s="1"/>
      <c r="AH197" s="1"/>
    </row>
    <row r="198" ht="12.75" customHeight="1">
      <c r="A198" s="18"/>
      <c r="B198" s="58"/>
      <c r="C198" s="53" t="s">
        <v>150</v>
      </c>
      <c r="D198" s="61"/>
      <c r="E198" s="19"/>
      <c r="F198" s="79">
        <v>0.0</v>
      </c>
      <c r="G198" s="19"/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19"/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0.0</v>
      </c>
      <c r="T198" s="19"/>
      <c r="U198" s="79">
        <v>0.0</v>
      </c>
      <c r="V198" s="79">
        <v>0.0</v>
      </c>
      <c r="W198" s="79">
        <v>0.0</v>
      </c>
      <c r="X198" s="79">
        <v>0.0</v>
      </c>
      <c r="Y198" s="79">
        <v>0.0</v>
      </c>
      <c r="Z198" s="19"/>
      <c r="AA198" s="79">
        <v>0.0</v>
      </c>
      <c r="AB198" s="79">
        <v>0.0</v>
      </c>
      <c r="AC198" s="79">
        <v>0.0</v>
      </c>
      <c r="AD198" s="79">
        <v>0.0</v>
      </c>
      <c r="AE198" s="19"/>
      <c r="AF198" s="13">
        <f t="shared" si="39"/>
        <v>0</v>
      </c>
      <c r="AG198" s="1"/>
      <c r="AH198" s="1"/>
    </row>
    <row r="199" ht="12.75" customHeight="1">
      <c r="A199" s="19" t="s">
        <v>14</v>
      </c>
      <c r="B199" s="50" t="s">
        <v>48</v>
      </c>
      <c r="C199" s="15"/>
      <c r="D199" s="16"/>
      <c r="E199" s="13">
        <f t="shared" ref="E199:AE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1</v>
      </c>
      <c r="T199" s="13">
        <f t="shared" si="40"/>
        <v>0</v>
      </c>
      <c r="U199" s="13">
        <f t="shared" si="40"/>
        <v>0</v>
      </c>
      <c r="V199" s="13">
        <f t="shared" si="40"/>
        <v>2</v>
      </c>
      <c r="W199" s="13">
        <f t="shared" si="40"/>
        <v>0</v>
      </c>
      <c r="X199" s="13">
        <f t="shared" si="40"/>
        <v>1</v>
      </c>
      <c r="Y199" s="13">
        <f t="shared" si="40"/>
        <v>1</v>
      </c>
      <c r="Z199" s="13">
        <f t="shared" si="40"/>
        <v>0</v>
      </c>
      <c r="AA199" s="13">
        <f t="shared" si="40"/>
        <v>1</v>
      </c>
      <c r="AB199" s="13">
        <f t="shared" si="40"/>
        <v>1</v>
      </c>
      <c r="AC199" s="13">
        <f t="shared" si="40"/>
        <v>0</v>
      </c>
      <c r="AD199" s="13">
        <f t="shared" si="40"/>
        <v>1</v>
      </c>
      <c r="AE199" s="13">
        <f t="shared" si="40"/>
        <v>0</v>
      </c>
      <c r="AF199" s="13">
        <f t="shared" si="39"/>
        <v>8</v>
      </c>
      <c r="AG199" s="55"/>
      <c r="AH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5"/>
      <c r="AH200" s="5"/>
    </row>
    <row r="201" ht="12.75" customHeight="1">
      <c r="A201" s="31" t="s">
        <v>36</v>
      </c>
      <c r="B201" s="50" t="s">
        <v>151</v>
      </c>
      <c r="C201" s="51" t="s">
        <v>152</v>
      </c>
      <c r="D201" s="16"/>
      <c r="E201" s="79">
        <v>2.0</v>
      </c>
      <c r="F201" s="79">
        <v>5.0</v>
      </c>
      <c r="G201" s="79">
        <v>5.0</v>
      </c>
      <c r="H201" s="79">
        <v>3.0</v>
      </c>
      <c r="I201" s="79">
        <v>1.0</v>
      </c>
      <c r="J201" s="79">
        <v>12.0</v>
      </c>
      <c r="K201" s="79">
        <v>24.0</v>
      </c>
      <c r="L201" s="79">
        <v>1.0</v>
      </c>
      <c r="M201" s="79">
        <v>1.0</v>
      </c>
      <c r="N201" s="79">
        <v>2.0</v>
      </c>
      <c r="O201" s="79">
        <v>5.0</v>
      </c>
      <c r="P201" s="79">
        <v>5.0</v>
      </c>
      <c r="Q201" s="79">
        <v>5.0</v>
      </c>
      <c r="R201" s="79">
        <v>4.0</v>
      </c>
      <c r="S201" s="79">
        <v>0.0</v>
      </c>
      <c r="T201" s="79">
        <v>1.0</v>
      </c>
      <c r="U201" s="79">
        <v>4.0</v>
      </c>
      <c r="V201" s="79">
        <v>3.0</v>
      </c>
      <c r="W201" s="79">
        <v>4.0</v>
      </c>
      <c r="X201" s="79">
        <v>3.0</v>
      </c>
      <c r="Y201" s="79">
        <v>4.0</v>
      </c>
      <c r="Z201" s="19"/>
      <c r="AA201" s="79">
        <v>4.0</v>
      </c>
      <c r="AB201" s="79">
        <v>2.0</v>
      </c>
      <c r="AC201" s="79">
        <v>3.0</v>
      </c>
      <c r="AD201" s="79">
        <v>6.0</v>
      </c>
      <c r="AE201" s="79">
        <v>4.0</v>
      </c>
      <c r="AF201" s="13">
        <f t="shared" ref="AF201:AF211" si="41">SUM(E201:AE201)</f>
        <v>113</v>
      </c>
      <c r="AG201" s="5"/>
      <c r="AH201" s="5"/>
    </row>
    <row r="202" ht="12.75" customHeight="1">
      <c r="A202" s="31" t="s">
        <v>38</v>
      </c>
      <c r="B202" s="58"/>
      <c r="C202" s="53" t="s">
        <v>153</v>
      </c>
      <c r="D202" s="61"/>
      <c r="E202" s="79">
        <v>2.0</v>
      </c>
      <c r="F202" s="79">
        <v>2.0</v>
      </c>
      <c r="G202" s="79">
        <v>3.0</v>
      </c>
      <c r="H202" s="79">
        <v>3.0</v>
      </c>
      <c r="I202" s="79">
        <v>2.0</v>
      </c>
      <c r="J202" s="79">
        <v>6.0</v>
      </c>
      <c r="K202" s="79">
        <v>33.0</v>
      </c>
      <c r="L202" s="79">
        <v>1.0</v>
      </c>
      <c r="M202" s="79">
        <v>2.0</v>
      </c>
      <c r="N202" s="79">
        <v>6.0</v>
      </c>
      <c r="O202" s="79">
        <v>4.0</v>
      </c>
      <c r="P202" s="79">
        <v>1.0</v>
      </c>
      <c r="Q202" s="79">
        <v>4.0</v>
      </c>
      <c r="R202" s="79">
        <v>4.0</v>
      </c>
      <c r="S202" s="79">
        <v>1.0</v>
      </c>
      <c r="T202" s="79">
        <v>1.0</v>
      </c>
      <c r="U202" s="79">
        <v>2.0</v>
      </c>
      <c r="V202" s="79">
        <v>6.0</v>
      </c>
      <c r="W202" s="79">
        <v>4.0</v>
      </c>
      <c r="X202" s="79">
        <v>0.0</v>
      </c>
      <c r="Y202" s="79">
        <v>2.0</v>
      </c>
      <c r="Z202" s="79">
        <v>3.0</v>
      </c>
      <c r="AA202" s="79">
        <v>4.0</v>
      </c>
      <c r="AB202" s="79">
        <v>1.0</v>
      </c>
      <c r="AC202" s="79">
        <v>4.0</v>
      </c>
      <c r="AD202" s="79">
        <v>3.0</v>
      </c>
      <c r="AE202" s="79">
        <v>1.0</v>
      </c>
      <c r="AF202" s="13">
        <f t="shared" si="41"/>
        <v>105</v>
      </c>
      <c r="AG202" s="5"/>
      <c r="AH202" s="5"/>
    </row>
    <row r="203" ht="12.75" customHeight="1">
      <c r="A203" s="18"/>
      <c r="B203" s="58"/>
      <c r="C203" s="53" t="s">
        <v>154</v>
      </c>
      <c r="D203" s="61"/>
      <c r="E203" s="79">
        <v>1.0</v>
      </c>
      <c r="F203" s="79">
        <v>2.0</v>
      </c>
      <c r="G203" s="19"/>
      <c r="H203" s="79">
        <v>3.0</v>
      </c>
      <c r="I203" s="79">
        <v>0.0</v>
      </c>
      <c r="J203" s="79">
        <v>0.0</v>
      </c>
      <c r="K203" s="79">
        <v>1.0</v>
      </c>
      <c r="L203" s="79">
        <v>0.0</v>
      </c>
      <c r="M203" s="79">
        <v>1.0</v>
      </c>
      <c r="N203" s="79">
        <v>1.0</v>
      </c>
      <c r="O203" s="79">
        <v>0.0</v>
      </c>
      <c r="P203" s="79">
        <v>0.0</v>
      </c>
      <c r="Q203" s="79">
        <v>0.0</v>
      </c>
      <c r="R203" s="79">
        <v>0.0</v>
      </c>
      <c r="S203" s="79">
        <v>3.0</v>
      </c>
      <c r="T203" s="19"/>
      <c r="U203" s="79">
        <v>1.0</v>
      </c>
      <c r="V203" s="79">
        <v>1.0</v>
      </c>
      <c r="W203" s="79">
        <v>1.0</v>
      </c>
      <c r="X203" s="79">
        <v>0.0</v>
      </c>
      <c r="Y203" s="79">
        <v>1.0</v>
      </c>
      <c r="Z203" s="19"/>
      <c r="AA203" s="79">
        <v>0.0</v>
      </c>
      <c r="AB203" s="79">
        <v>0.0</v>
      </c>
      <c r="AC203" s="79">
        <v>2.0</v>
      </c>
      <c r="AD203" s="79">
        <v>3.0</v>
      </c>
      <c r="AE203" s="79">
        <v>1.0</v>
      </c>
      <c r="AF203" s="13">
        <f t="shared" si="41"/>
        <v>22</v>
      </c>
      <c r="AG203" s="5"/>
      <c r="AH203" s="5"/>
    </row>
    <row r="204" ht="12.75" customHeight="1">
      <c r="A204" s="18"/>
      <c r="B204" s="58"/>
      <c r="C204" s="53" t="s">
        <v>155</v>
      </c>
      <c r="D204" s="61"/>
      <c r="E204" s="19"/>
      <c r="F204" s="79">
        <v>0.0</v>
      </c>
      <c r="G204" s="19"/>
      <c r="H204" s="79">
        <v>0.0</v>
      </c>
      <c r="I204" s="79">
        <v>0.0</v>
      </c>
      <c r="J204" s="79">
        <v>1.0</v>
      </c>
      <c r="K204" s="79">
        <v>1.0</v>
      </c>
      <c r="L204" s="79">
        <v>0.0</v>
      </c>
      <c r="M204" s="19"/>
      <c r="N204" s="79">
        <v>0.0</v>
      </c>
      <c r="O204" s="79">
        <v>1.0</v>
      </c>
      <c r="P204" s="79">
        <v>1.0</v>
      </c>
      <c r="Q204" s="79">
        <v>0.0</v>
      </c>
      <c r="R204" s="79">
        <v>0.0</v>
      </c>
      <c r="S204" s="79">
        <v>0.0</v>
      </c>
      <c r="T204" s="19"/>
      <c r="U204" s="79">
        <v>0.0</v>
      </c>
      <c r="V204" s="79">
        <v>0.0</v>
      </c>
      <c r="W204" s="79">
        <v>0.0</v>
      </c>
      <c r="X204" s="79">
        <v>0.0</v>
      </c>
      <c r="Y204" s="79">
        <v>0.0</v>
      </c>
      <c r="Z204" s="79">
        <v>1.0</v>
      </c>
      <c r="AA204" s="79">
        <v>1.0</v>
      </c>
      <c r="AB204" s="79">
        <v>0.0</v>
      </c>
      <c r="AC204" s="79">
        <v>1.0</v>
      </c>
      <c r="AD204" s="79">
        <v>0.0</v>
      </c>
      <c r="AE204" s="19"/>
      <c r="AF204" s="13">
        <f t="shared" si="41"/>
        <v>7</v>
      </c>
      <c r="AG204" s="5"/>
      <c r="AH204" s="5"/>
    </row>
    <row r="205" ht="12.75" customHeight="1">
      <c r="A205" s="18"/>
      <c r="B205" s="58"/>
      <c r="C205" s="53" t="s">
        <v>156</v>
      </c>
      <c r="D205" s="61"/>
      <c r="E205" s="19"/>
      <c r="F205" s="79">
        <v>0.0</v>
      </c>
      <c r="G205" s="19"/>
      <c r="H205" s="79">
        <v>0.0</v>
      </c>
      <c r="I205" s="79">
        <v>0.0</v>
      </c>
      <c r="J205" s="79">
        <v>0.0</v>
      </c>
      <c r="K205" s="79">
        <v>1.0</v>
      </c>
      <c r="L205" s="79">
        <v>0.0</v>
      </c>
      <c r="M205" s="19"/>
      <c r="N205" s="79">
        <v>0.0</v>
      </c>
      <c r="O205" s="79">
        <v>0.0</v>
      </c>
      <c r="P205" s="79">
        <v>0.0</v>
      </c>
      <c r="Q205" s="79">
        <v>0.0</v>
      </c>
      <c r="R205" s="79">
        <v>0.0</v>
      </c>
      <c r="S205" s="79">
        <v>0.0</v>
      </c>
      <c r="T205" s="79">
        <v>1.0</v>
      </c>
      <c r="U205" s="79">
        <v>0.0</v>
      </c>
      <c r="V205" s="79">
        <v>0.0</v>
      </c>
      <c r="W205" s="79">
        <v>2.0</v>
      </c>
      <c r="X205" s="79">
        <v>0.0</v>
      </c>
      <c r="Y205" s="79">
        <v>0.0</v>
      </c>
      <c r="Z205" s="19"/>
      <c r="AA205" s="79">
        <v>0.0</v>
      </c>
      <c r="AB205" s="79">
        <v>0.0</v>
      </c>
      <c r="AC205" s="79">
        <v>0.0</v>
      </c>
      <c r="AD205" s="79">
        <v>0.0</v>
      </c>
      <c r="AE205" s="79">
        <v>1.0</v>
      </c>
      <c r="AF205" s="13">
        <f t="shared" si="41"/>
        <v>5</v>
      </c>
      <c r="AG205" s="5"/>
      <c r="AH205" s="5"/>
    </row>
    <row r="206" ht="12.75" customHeight="1">
      <c r="A206" s="18"/>
      <c r="B206" s="58"/>
      <c r="C206" s="53" t="s">
        <v>157</v>
      </c>
      <c r="D206" s="61"/>
      <c r="E206" s="19"/>
      <c r="F206" s="79">
        <v>0.0</v>
      </c>
      <c r="G206" s="19"/>
      <c r="H206" s="79">
        <v>0.0</v>
      </c>
      <c r="I206" s="79">
        <v>0.0</v>
      </c>
      <c r="J206" s="79">
        <v>0.0</v>
      </c>
      <c r="K206" s="79">
        <v>0.0</v>
      </c>
      <c r="L206" s="79">
        <v>0.0</v>
      </c>
      <c r="M206" s="19"/>
      <c r="N206" s="79">
        <v>0.0</v>
      </c>
      <c r="O206" s="79">
        <v>0.0</v>
      </c>
      <c r="P206" s="79">
        <v>0.0</v>
      </c>
      <c r="Q206" s="79">
        <v>0.0</v>
      </c>
      <c r="R206" s="79">
        <v>0.0</v>
      </c>
      <c r="S206" s="79">
        <v>0.0</v>
      </c>
      <c r="T206" s="19"/>
      <c r="U206" s="79">
        <v>0.0</v>
      </c>
      <c r="V206" s="79">
        <v>0.0</v>
      </c>
      <c r="W206" s="79">
        <v>0.0</v>
      </c>
      <c r="X206" s="79">
        <v>1.0</v>
      </c>
      <c r="Y206" s="79">
        <v>0.0</v>
      </c>
      <c r="Z206" s="19"/>
      <c r="AA206" s="79">
        <v>0.0</v>
      </c>
      <c r="AB206" s="79">
        <v>0.0</v>
      </c>
      <c r="AC206" s="79">
        <v>0.0</v>
      </c>
      <c r="AD206" s="79">
        <v>0.0</v>
      </c>
      <c r="AE206" s="19"/>
      <c r="AF206" s="13">
        <f t="shared" si="41"/>
        <v>1</v>
      </c>
      <c r="AG206" s="5"/>
      <c r="AH206" s="5"/>
    </row>
    <row r="207" ht="12.75" customHeight="1">
      <c r="A207" s="18"/>
      <c r="B207" s="58"/>
      <c r="C207" s="53" t="s">
        <v>158</v>
      </c>
      <c r="D207" s="61"/>
      <c r="E207" s="19"/>
      <c r="F207" s="79">
        <v>0.0</v>
      </c>
      <c r="G207" s="19"/>
      <c r="H207" s="79">
        <v>1.0</v>
      </c>
      <c r="I207" s="79">
        <v>0.0</v>
      </c>
      <c r="J207" s="79">
        <v>0.0</v>
      </c>
      <c r="K207" s="79">
        <v>0.0</v>
      </c>
      <c r="L207" s="79">
        <v>0.0</v>
      </c>
      <c r="M207" s="19"/>
      <c r="N207" s="79">
        <v>0.0</v>
      </c>
      <c r="O207" s="79">
        <v>0.0</v>
      </c>
      <c r="P207" s="79">
        <v>1.0</v>
      </c>
      <c r="Q207" s="79">
        <v>0.0</v>
      </c>
      <c r="R207" s="79">
        <v>0.0</v>
      </c>
      <c r="S207" s="79">
        <v>0.0</v>
      </c>
      <c r="T207" s="19"/>
      <c r="U207" s="79">
        <v>1.0</v>
      </c>
      <c r="V207" s="79">
        <v>0.0</v>
      </c>
      <c r="W207" s="79">
        <v>0.0</v>
      </c>
      <c r="X207" s="79">
        <v>0.0</v>
      </c>
      <c r="Y207" s="79">
        <v>0.0</v>
      </c>
      <c r="Z207" s="19"/>
      <c r="AA207" s="79">
        <v>1.0</v>
      </c>
      <c r="AB207" s="79">
        <v>0.0</v>
      </c>
      <c r="AC207" s="79">
        <v>0.0</v>
      </c>
      <c r="AD207" s="79">
        <v>0.0</v>
      </c>
      <c r="AE207" s="19"/>
      <c r="AF207" s="13">
        <f t="shared" si="41"/>
        <v>4</v>
      </c>
      <c r="AG207" s="1"/>
      <c r="AH207" s="1"/>
    </row>
    <row r="208" ht="12.75" customHeight="1">
      <c r="A208" s="18"/>
      <c r="B208" s="58"/>
      <c r="C208" s="53" t="s">
        <v>159</v>
      </c>
      <c r="D208" s="61"/>
      <c r="E208" s="19"/>
      <c r="F208" s="79">
        <v>0.0</v>
      </c>
      <c r="G208" s="19"/>
      <c r="H208" s="79">
        <v>0.0</v>
      </c>
      <c r="I208" s="79">
        <v>0.0</v>
      </c>
      <c r="J208" s="79">
        <v>0.0</v>
      </c>
      <c r="K208" s="79">
        <v>1.0</v>
      </c>
      <c r="L208" s="79">
        <v>0.0</v>
      </c>
      <c r="M208" s="79">
        <v>1.0</v>
      </c>
      <c r="N208" s="79">
        <v>0.0</v>
      </c>
      <c r="O208" s="79">
        <v>0.0</v>
      </c>
      <c r="P208" s="79">
        <v>1.0</v>
      </c>
      <c r="Q208" s="79">
        <v>0.0</v>
      </c>
      <c r="R208" s="79">
        <v>0.0</v>
      </c>
      <c r="S208" s="79">
        <v>0.0</v>
      </c>
      <c r="T208" s="19"/>
      <c r="U208" s="79">
        <v>1.0</v>
      </c>
      <c r="V208" s="79">
        <v>0.0</v>
      </c>
      <c r="W208" s="79">
        <v>0.0</v>
      </c>
      <c r="X208" s="79">
        <v>0.0</v>
      </c>
      <c r="Y208" s="79">
        <v>0.0</v>
      </c>
      <c r="Z208" s="19"/>
      <c r="AA208" s="79">
        <v>1.0</v>
      </c>
      <c r="AB208" s="79">
        <v>1.0</v>
      </c>
      <c r="AC208" s="79">
        <v>0.0</v>
      </c>
      <c r="AD208" s="79">
        <v>0.0</v>
      </c>
      <c r="AE208" s="19"/>
      <c r="AF208" s="13">
        <f t="shared" si="41"/>
        <v>6</v>
      </c>
      <c r="AG208" s="55"/>
      <c r="AH208" s="55"/>
    </row>
    <row r="209" ht="12.75" customHeight="1">
      <c r="A209" s="18"/>
      <c r="B209" s="58"/>
      <c r="C209" s="53" t="s">
        <v>160</v>
      </c>
      <c r="D209" s="61"/>
      <c r="E209" s="19"/>
      <c r="F209" s="79">
        <v>0.0</v>
      </c>
      <c r="G209" s="19"/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19"/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79">
        <v>0.0</v>
      </c>
      <c r="T209" s="19"/>
      <c r="U209" s="79">
        <v>0.0</v>
      </c>
      <c r="V209" s="79">
        <v>0.0</v>
      </c>
      <c r="W209" s="79">
        <v>0.0</v>
      </c>
      <c r="X209" s="79">
        <v>0.0</v>
      </c>
      <c r="Y209" s="79">
        <v>0.0</v>
      </c>
      <c r="Z209" s="19"/>
      <c r="AA209" s="79">
        <v>0.0</v>
      </c>
      <c r="AB209" s="79">
        <v>0.0</v>
      </c>
      <c r="AC209" s="79">
        <v>0.0</v>
      </c>
      <c r="AD209" s="79">
        <v>0.0</v>
      </c>
      <c r="AE209" s="19"/>
      <c r="AF209" s="13">
        <f t="shared" si="41"/>
        <v>0</v>
      </c>
      <c r="AG209" s="55"/>
      <c r="AH209" s="55"/>
    </row>
    <row r="210" ht="12.75" customHeight="1">
      <c r="A210" s="18"/>
      <c r="B210" s="58"/>
      <c r="C210" s="53" t="s">
        <v>161</v>
      </c>
      <c r="D210" s="61"/>
      <c r="E210" s="19"/>
      <c r="F210" s="79">
        <v>0.0</v>
      </c>
      <c r="G210" s="79">
        <v>1.0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19"/>
      <c r="N210" s="79">
        <v>0.0</v>
      </c>
      <c r="O210" s="79">
        <v>0.0</v>
      </c>
      <c r="P210" s="79">
        <v>0.0</v>
      </c>
      <c r="Q210" s="79">
        <v>0.0</v>
      </c>
      <c r="R210" s="79">
        <v>0.0</v>
      </c>
      <c r="S210" s="79">
        <v>0.0</v>
      </c>
      <c r="T210" s="19"/>
      <c r="U210" s="79">
        <v>0.0</v>
      </c>
      <c r="V210" s="79">
        <v>0.0</v>
      </c>
      <c r="W210" s="79">
        <v>0.0</v>
      </c>
      <c r="X210" s="79">
        <v>1.0</v>
      </c>
      <c r="Y210" s="79">
        <v>0.0</v>
      </c>
      <c r="Z210" s="19"/>
      <c r="AA210" s="79">
        <v>0.0</v>
      </c>
      <c r="AB210" s="79">
        <v>0.0</v>
      </c>
      <c r="AC210" s="79">
        <v>0.0</v>
      </c>
      <c r="AD210" s="79">
        <v>0.0</v>
      </c>
      <c r="AE210" s="19"/>
      <c r="AF210" s="13">
        <f t="shared" si="41"/>
        <v>2</v>
      </c>
      <c r="AG210" s="55"/>
      <c r="AH210" s="55"/>
    </row>
    <row r="211" ht="12.75" customHeight="1">
      <c r="A211" s="19" t="s">
        <v>14</v>
      </c>
      <c r="B211" s="50" t="s">
        <v>48</v>
      </c>
      <c r="C211" s="15"/>
      <c r="D211" s="16"/>
      <c r="E211" s="13">
        <f t="shared" ref="E211:AE211" si="42">SUM(E201:E210)</f>
        <v>5</v>
      </c>
      <c r="F211" s="13">
        <f t="shared" si="42"/>
        <v>9</v>
      </c>
      <c r="G211" s="13">
        <f t="shared" si="42"/>
        <v>9</v>
      </c>
      <c r="H211" s="13">
        <f t="shared" si="42"/>
        <v>10</v>
      </c>
      <c r="I211" s="13">
        <f t="shared" si="42"/>
        <v>3</v>
      </c>
      <c r="J211" s="13">
        <f t="shared" si="42"/>
        <v>19</v>
      </c>
      <c r="K211" s="13">
        <f t="shared" si="42"/>
        <v>61</v>
      </c>
      <c r="L211" s="13">
        <f t="shared" si="42"/>
        <v>2</v>
      </c>
      <c r="M211" s="13">
        <f t="shared" si="42"/>
        <v>5</v>
      </c>
      <c r="N211" s="13">
        <f t="shared" si="42"/>
        <v>9</v>
      </c>
      <c r="O211" s="13">
        <f t="shared" si="42"/>
        <v>10</v>
      </c>
      <c r="P211" s="13">
        <f t="shared" si="42"/>
        <v>9</v>
      </c>
      <c r="Q211" s="13">
        <f t="shared" si="42"/>
        <v>9</v>
      </c>
      <c r="R211" s="13">
        <f t="shared" si="42"/>
        <v>8</v>
      </c>
      <c r="S211" s="13">
        <f t="shared" si="42"/>
        <v>4</v>
      </c>
      <c r="T211" s="13">
        <f t="shared" si="42"/>
        <v>3</v>
      </c>
      <c r="U211" s="13">
        <f t="shared" si="42"/>
        <v>9</v>
      </c>
      <c r="V211" s="13">
        <f t="shared" si="42"/>
        <v>10</v>
      </c>
      <c r="W211" s="13">
        <f t="shared" si="42"/>
        <v>11</v>
      </c>
      <c r="X211" s="13">
        <f t="shared" si="42"/>
        <v>5</v>
      </c>
      <c r="Y211" s="13">
        <f t="shared" si="42"/>
        <v>7</v>
      </c>
      <c r="Z211" s="13">
        <f t="shared" si="42"/>
        <v>4</v>
      </c>
      <c r="AA211" s="13">
        <f t="shared" si="42"/>
        <v>11</v>
      </c>
      <c r="AB211" s="13">
        <f t="shared" si="42"/>
        <v>4</v>
      </c>
      <c r="AC211" s="13">
        <f t="shared" si="42"/>
        <v>10</v>
      </c>
      <c r="AD211" s="13">
        <f t="shared" si="42"/>
        <v>12</v>
      </c>
      <c r="AE211" s="13">
        <f t="shared" si="42"/>
        <v>7</v>
      </c>
      <c r="AF211" s="13">
        <f t="shared" si="41"/>
        <v>265</v>
      </c>
      <c r="AG211" s="5"/>
      <c r="AH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5"/>
      <c r="AH212" s="5"/>
    </row>
    <row r="213" ht="12.75" customHeight="1">
      <c r="A213" s="31" t="s">
        <v>36</v>
      </c>
      <c r="B213" s="50" t="s">
        <v>162</v>
      </c>
      <c r="C213" s="51" t="s">
        <v>163</v>
      </c>
      <c r="D213" s="16"/>
      <c r="E213" s="79">
        <v>0.0</v>
      </c>
      <c r="F213" s="79">
        <v>1.0</v>
      </c>
      <c r="G213" s="79">
        <v>1.0</v>
      </c>
      <c r="H213" s="79">
        <v>0.0</v>
      </c>
      <c r="I213" s="79">
        <v>3.0</v>
      </c>
      <c r="J213" s="79">
        <v>2.0</v>
      </c>
      <c r="K213" s="79">
        <v>1.0</v>
      </c>
      <c r="L213" s="79">
        <v>3.0</v>
      </c>
      <c r="M213" s="79">
        <v>6.0</v>
      </c>
      <c r="N213" s="79">
        <v>1.0</v>
      </c>
      <c r="O213" s="79">
        <v>4.0</v>
      </c>
      <c r="P213" s="79">
        <v>4.0</v>
      </c>
      <c r="Q213" s="79">
        <v>1.0</v>
      </c>
      <c r="R213" s="79">
        <v>2.0</v>
      </c>
      <c r="S213" s="79">
        <v>1.0</v>
      </c>
      <c r="T213" s="19"/>
      <c r="U213" s="79">
        <v>2.0</v>
      </c>
      <c r="V213" s="79">
        <v>2.0</v>
      </c>
      <c r="W213" s="79">
        <v>0.0</v>
      </c>
      <c r="X213" s="79">
        <v>4.0</v>
      </c>
      <c r="Y213" s="79">
        <v>2.0</v>
      </c>
      <c r="Z213" s="79">
        <v>1.0</v>
      </c>
      <c r="AA213" s="79">
        <v>0.0</v>
      </c>
      <c r="AB213" s="79">
        <v>0.0</v>
      </c>
      <c r="AC213" s="79">
        <v>1.0</v>
      </c>
      <c r="AD213" s="79">
        <v>2.0</v>
      </c>
      <c r="AE213" s="79">
        <v>2.0</v>
      </c>
      <c r="AF213" s="13">
        <f t="shared" ref="AF213:AF216" si="43">SUM(E213:AE213)</f>
        <v>46</v>
      </c>
      <c r="AG213" s="5"/>
      <c r="AH213" s="5"/>
    </row>
    <row r="214" ht="12.75" customHeight="1">
      <c r="A214" s="31" t="s">
        <v>38</v>
      </c>
      <c r="B214" s="58"/>
      <c r="C214" s="53" t="s">
        <v>164</v>
      </c>
      <c r="D214" s="60"/>
      <c r="E214" s="79">
        <v>0.0</v>
      </c>
      <c r="F214" s="79">
        <v>1.0</v>
      </c>
      <c r="G214" s="19"/>
      <c r="H214" s="79">
        <v>1.0</v>
      </c>
      <c r="I214" s="79">
        <v>1.0</v>
      </c>
      <c r="J214" s="79">
        <v>1.0</v>
      </c>
      <c r="K214" s="79">
        <v>0.0</v>
      </c>
      <c r="L214" s="79">
        <v>2.0</v>
      </c>
      <c r="M214" s="79">
        <v>4.0</v>
      </c>
      <c r="N214" s="79">
        <v>0.0</v>
      </c>
      <c r="O214" s="79">
        <v>0.0</v>
      </c>
      <c r="P214" s="79">
        <v>0.0</v>
      </c>
      <c r="Q214" s="79">
        <v>1.0</v>
      </c>
      <c r="R214" s="79">
        <v>1.0</v>
      </c>
      <c r="S214" s="79">
        <v>0.0</v>
      </c>
      <c r="T214" s="19"/>
      <c r="U214" s="79">
        <v>1.0</v>
      </c>
      <c r="V214" s="79">
        <v>4.0</v>
      </c>
      <c r="W214" s="79">
        <v>0.0</v>
      </c>
      <c r="X214" s="79">
        <v>1.0</v>
      </c>
      <c r="Y214" s="79">
        <v>2.0</v>
      </c>
      <c r="Z214" s="19"/>
      <c r="AA214" s="79">
        <v>1.0</v>
      </c>
      <c r="AB214" s="79">
        <v>0.0</v>
      </c>
      <c r="AC214" s="79">
        <v>0.0</v>
      </c>
      <c r="AD214" s="79">
        <v>4.0</v>
      </c>
      <c r="AE214" s="79">
        <v>1.0</v>
      </c>
      <c r="AF214" s="13">
        <f t="shared" si="43"/>
        <v>26</v>
      </c>
      <c r="AG214" s="5"/>
      <c r="AH214" s="5"/>
    </row>
    <row r="215" ht="12.75" customHeight="1">
      <c r="A215" s="18"/>
      <c r="B215" s="58"/>
      <c r="C215" s="53" t="s">
        <v>165</v>
      </c>
      <c r="D215" s="60"/>
      <c r="E215" s="79">
        <v>1.0</v>
      </c>
      <c r="F215" s="79">
        <v>0.0</v>
      </c>
      <c r="G215" s="79">
        <v>1.0</v>
      </c>
      <c r="H215" s="79">
        <v>1.0</v>
      </c>
      <c r="I215" s="79">
        <v>1.0</v>
      </c>
      <c r="J215" s="79">
        <v>2.0</v>
      </c>
      <c r="K215" s="79">
        <v>0.0</v>
      </c>
      <c r="L215" s="79">
        <v>0.0</v>
      </c>
      <c r="M215" s="79">
        <v>3.0</v>
      </c>
      <c r="N215" s="79">
        <v>0.0</v>
      </c>
      <c r="O215" s="79">
        <v>1.0</v>
      </c>
      <c r="P215" s="79">
        <v>3.0</v>
      </c>
      <c r="Q215" s="79">
        <v>3.0</v>
      </c>
      <c r="R215" s="79">
        <v>0.0</v>
      </c>
      <c r="S215" s="79">
        <v>1.0</v>
      </c>
      <c r="T215" s="19"/>
      <c r="U215" s="79">
        <v>0.0</v>
      </c>
      <c r="V215" s="79">
        <v>0.0</v>
      </c>
      <c r="W215" s="79">
        <v>1.0</v>
      </c>
      <c r="X215" s="79">
        <v>0.0</v>
      </c>
      <c r="Y215" s="79">
        <v>1.0</v>
      </c>
      <c r="Z215" s="79">
        <v>5.0</v>
      </c>
      <c r="AA215" s="79">
        <v>0.0</v>
      </c>
      <c r="AB215" s="79">
        <v>0.0</v>
      </c>
      <c r="AC215" s="79">
        <v>2.0</v>
      </c>
      <c r="AD215" s="79">
        <v>5.0</v>
      </c>
      <c r="AE215" s="79">
        <v>0.0</v>
      </c>
      <c r="AF215" s="13">
        <f t="shared" si="43"/>
        <v>31</v>
      </c>
      <c r="AG215" s="5"/>
      <c r="AH215" s="5"/>
    </row>
    <row r="216" ht="12.75" customHeight="1">
      <c r="A216" s="18"/>
      <c r="B216" s="58"/>
      <c r="C216" s="53" t="s">
        <v>166</v>
      </c>
      <c r="E216" s="19"/>
      <c r="F216" s="79">
        <v>0.0</v>
      </c>
      <c r="G216" s="19"/>
      <c r="H216" s="79">
        <v>0.0</v>
      </c>
      <c r="I216" s="79">
        <v>0.0</v>
      </c>
      <c r="J216" s="79">
        <v>0.0</v>
      </c>
      <c r="K216" s="79">
        <v>0.0</v>
      </c>
      <c r="L216" s="79">
        <v>0.0</v>
      </c>
      <c r="M216" s="19"/>
      <c r="N216" s="79">
        <v>1.0</v>
      </c>
      <c r="O216" s="79">
        <v>0.0</v>
      </c>
      <c r="P216" s="79">
        <v>0.0</v>
      </c>
      <c r="Q216" s="79">
        <v>1.0</v>
      </c>
      <c r="R216" s="79">
        <v>1.0</v>
      </c>
      <c r="S216" s="79">
        <v>1.0</v>
      </c>
      <c r="T216" s="19"/>
      <c r="U216" s="79">
        <v>0.0</v>
      </c>
      <c r="V216" s="79">
        <v>0.0</v>
      </c>
      <c r="W216" s="79">
        <v>0.0</v>
      </c>
      <c r="X216" s="79">
        <v>0.0</v>
      </c>
      <c r="Y216" s="79">
        <v>0.0</v>
      </c>
      <c r="Z216" s="19"/>
      <c r="AA216" s="79">
        <v>0.0</v>
      </c>
      <c r="AB216" s="79">
        <v>0.0</v>
      </c>
      <c r="AC216" s="79">
        <v>0.0</v>
      </c>
      <c r="AD216" s="79">
        <v>3.0</v>
      </c>
      <c r="AE216" s="79">
        <v>2.0</v>
      </c>
      <c r="AF216" s="13">
        <f t="shared" si="43"/>
        <v>9</v>
      </c>
      <c r="AG216" s="5"/>
      <c r="AH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85"/>
      <c r="AG217" s="5"/>
      <c r="AH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85"/>
      <c r="AG218" s="1"/>
      <c r="AH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85"/>
      <c r="AG219" s="55"/>
      <c r="AH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85"/>
      <c r="AG220" s="5"/>
      <c r="AH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85"/>
      <c r="AG221" s="5"/>
      <c r="AH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85"/>
      <c r="AG222" s="5"/>
      <c r="AH222" s="5"/>
    </row>
    <row r="223" ht="12.75" customHeight="1">
      <c r="A223" s="19" t="s">
        <v>14</v>
      </c>
      <c r="B223" s="50" t="s">
        <v>48</v>
      </c>
      <c r="C223" s="15"/>
      <c r="D223" s="16"/>
      <c r="E223" s="13">
        <f t="shared" ref="E223:AE223" si="44">SUM(E213:E220)</f>
        <v>1</v>
      </c>
      <c r="F223" s="13">
        <f t="shared" si="44"/>
        <v>2</v>
      </c>
      <c r="G223" s="13">
        <f t="shared" si="44"/>
        <v>2</v>
      </c>
      <c r="H223" s="13">
        <f t="shared" si="44"/>
        <v>2</v>
      </c>
      <c r="I223" s="13">
        <f t="shared" si="44"/>
        <v>5</v>
      </c>
      <c r="J223" s="13">
        <f t="shared" si="44"/>
        <v>5</v>
      </c>
      <c r="K223" s="13">
        <f t="shared" si="44"/>
        <v>1</v>
      </c>
      <c r="L223" s="13">
        <f t="shared" si="44"/>
        <v>5</v>
      </c>
      <c r="M223" s="13">
        <f t="shared" si="44"/>
        <v>13</v>
      </c>
      <c r="N223" s="13">
        <f t="shared" si="44"/>
        <v>2</v>
      </c>
      <c r="O223" s="13">
        <f t="shared" si="44"/>
        <v>5</v>
      </c>
      <c r="P223" s="13">
        <f t="shared" si="44"/>
        <v>7</v>
      </c>
      <c r="Q223" s="13">
        <f t="shared" si="44"/>
        <v>6</v>
      </c>
      <c r="R223" s="13">
        <f t="shared" si="44"/>
        <v>4</v>
      </c>
      <c r="S223" s="13">
        <f t="shared" si="44"/>
        <v>3</v>
      </c>
      <c r="T223" s="13">
        <f t="shared" si="44"/>
        <v>0</v>
      </c>
      <c r="U223" s="13">
        <f t="shared" si="44"/>
        <v>3</v>
      </c>
      <c r="V223" s="13">
        <f t="shared" si="44"/>
        <v>6</v>
      </c>
      <c r="W223" s="13">
        <f t="shared" si="44"/>
        <v>1</v>
      </c>
      <c r="X223" s="13">
        <f t="shared" si="44"/>
        <v>5</v>
      </c>
      <c r="Y223" s="13">
        <f t="shared" si="44"/>
        <v>5</v>
      </c>
      <c r="Z223" s="13">
        <f t="shared" si="44"/>
        <v>6</v>
      </c>
      <c r="AA223" s="13">
        <f t="shared" si="44"/>
        <v>1</v>
      </c>
      <c r="AB223" s="13">
        <f t="shared" si="44"/>
        <v>0</v>
      </c>
      <c r="AC223" s="13">
        <f t="shared" si="44"/>
        <v>3</v>
      </c>
      <c r="AD223" s="13">
        <f t="shared" si="44"/>
        <v>14</v>
      </c>
      <c r="AE223" s="13">
        <f t="shared" si="44"/>
        <v>5</v>
      </c>
      <c r="AF223" s="13">
        <f>SUM(E223:AE223)</f>
        <v>112</v>
      </c>
      <c r="AG223" s="5"/>
      <c r="AH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5"/>
      <c r="AH224" s="5"/>
    </row>
    <row r="225" ht="12.75" customHeight="1">
      <c r="A225" s="31" t="s">
        <v>36</v>
      </c>
      <c r="B225" s="50" t="s">
        <v>167</v>
      </c>
      <c r="C225" s="51" t="s">
        <v>168</v>
      </c>
      <c r="D225" s="16"/>
      <c r="E225" s="19"/>
      <c r="F225" s="79">
        <v>1.0</v>
      </c>
      <c r="G225" s="19"/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19"/>
      <c r="N225" s="79">
        <v>0.0</v>
      </c>
      <c r="O225" s="79">
        <v>0.0</v>
      </c>
      <c r="P225" s="79">
        <v>0.0</v>
      </c>
      <c r="Q225" s="79">
        <v>0.0</v>
      </c>
      <c r="R225" s="79">
        <v>0.0</v>
      </c>
      <c r="S225" s="79">
        <v>0.0</v>
      </c>
      <c r="T225" s="19"/>
      <c r="U225" s="79">
        <v>0.0</v>
      </c>
      <c r="V225" s="79">
        <v>0.0</v>
      </c>
      <c r="W225" s="79">
        <v>1.0</v>
      </c>
      <c r="X225" s="79">
        <v>0.0</v>
      </c>
      <c r="Y225" s="79">
        <v>0.0</v>
      </c>
      <c r="Z225" s="79">
        <v>1.0</v>
      </c>
      <c r="AA225" s="79">
        <v>0.0</v>
      </c>
      <c r="AB225" s="79">
        <v>0.0</v>
      </c>
      <c r="AC225" s="79">
        <v>0.0</v>
      </c>
      <c r="AD225" s="79">
        <v>0.0</v>
      </c>
      <c r="AE225" s="19"/>
      <c r="AF225" s="13">
        <f t="shared" ref="AF225:AF229" si="45">SUM(E225:AE225)</f>
        <v>3</v>
      </c>
      <c r="AG225" s="5"/>
      <c r="AH225" s="5"/>
    </row>
    <row r="226" ht="12.75" customHeight="1">
      <c r="A226" s="31" t="s">
        <v>38</v>
      </c>
      <c r="B226" s="58"/>
      <c r="C226" s="53" t="s">
        <v>169</v>
      </c>
      <c r="D226" s="61"/>
      <c r="E226" s="79">
        <v>0.0</v>
      </c>
      <c r="F226" s="79">
        <v>0.0</v>
      </c>
      <c r="G226" s="19"/>
      <c r="H226" s="79">
        <v>0.0</v>
      </c>
      <c r="I226" s="79">
        <v>0.0</v>
      </c>
      <c r="J226" s="79">
        <v>1.0</v>
      </c>
      <c r="K226" s="79">
        <v>0.0</v>
      </c>
      <c r="L226" s="79">
        <v>0.0</v>
      </c>
      <c r="M226" s="19"/>
      <c r="N226" s="79">
        <v>0.0</v>
      </c>
      <c r="O226" s="79">
        <v>0.0</v>
      </c>
      <c r="P226" s="79">
        <v>0.0</v>
      </c>
      <c r="Q226" s="79">
        <v>1.0</v>
      </c>
      <c r="R226" s="79">
        <v>2.0</v>
      </c>
      <c r="S226" s="79">
        <v>0.0</v>
      </c>
      <c r="T226" s="79">
        <v>2.0</v>
      </c>
      <c r="U226" s="79">
        <v>0.0</v>
      </c>
      <c r="V226" s="79">
        <v>4.0</v>
      </c>
      <c r="W226" s="79">
        <v>1.0</v>
      </c>
      <c r="X226" s="79">
        <v>9.0</v>
      </c>
      <c r="Y226" s="79">
        <v>0.0</v>
      </c>
      <c r="Z226" s="19"/>
      <c r="AA226" s="79">
        <v>0.0</v>
      </c>
      <c r="AB226" s="79">
        <v>0.0</v>
      </c>
      <c r="AC226" s="79">
        <v>1.0</v>
      </c>
      <c r="AD226" s="79">
        <v>6.0</v>
      </c>
      <c r="AE226" s="19"/>
      <c r="AF226" s="13">
        <f t="shared" si="45"/>
        <v>27</v>
      </c>
      <c r="AG226" s="5"/>
      <c r="AH226" s="5"/>
    </row>
    <row r="227" ht="12.75" customHeight="1">
      <c r="A227" s="18"/>
      <c r="B227" s="58"/>
      <c r="C227" s="53" t="s">
        <v>170</v>
      </c>
      <c r="D227" s="61"/>
      <c r="E227" s="19"/>
      <c r="F227" s="79">
        <v>1.0</v>
      </c>
      <c r="G227" s="19"/>
      <c r="H227" s="79">
        <v>0.0</v>
      </c>
      <c r="I227" s="79">
        <v>0.0</v>
      </c>
      <c r="J227" s="79">
        <v>0.0</v>
      </c>
      <c r="K227" s="79">
        <v>1.0</v>
      </c>
      <c r="L227" s="79">
        <v>0.0</v>
      </c>
      <c r="M227" s="19"/>
      <c r="N227" s="79">
        <v>0.0</v>
      </c>
      <c r="O227" s="79">
        <v>0.0</v>
      </c>
      <c r="P227" s="79">
        <v>0.0</v>
      </c>
      <c r="Q227" s="79">
        <v>0.0</v>
      </c>
      <c r="R227" s="79">
        <v>0.0</v>
      </c>
      <c r="S227" s="79">
        <v>0.0</v>
      </c>
      <c r="T227" s="19"/>
      <c r="U227" s="79">
        <v>0.0</v>
      </c>
      <c r="V227" s="79">
        <v>0.0</v>
      </c>
      <c r="W227" s="79">
        <v>1.0</v>
      </c>
      <c r="X227" s="79">
        <v>0.0</v>
      </c>
      <c r="Y227" s="79">
        <v>0.0</v>
      </c>
      <c r="Z227" s="19"/>
      <c r="AA227" s="79">
        <v>0.0</v>
      </c>
      <c r="AB227" s="79">
        <v>0.0</v>
      </c>
      <c r="AC227" s="79">
        <v>0.0</v>
      </c>
      <c r="AD227" s="79">
        <v>0.0</v>
      </c>
      <c r="AE227" s="19"/>
      <c r="AF227" s="13">
        <f t="shared" si="45"/>
        <v>3</v>
      </c>
      <c r="AG227" s="5"/>
      <c r="AH227" s="5"/>
    </row>
    <row r="228" ht="12.75" customHeight="1">
      <c r="A228" s="18"/>
      <c r="B228" s="58"/>
      <c r="C228" s="53" t="s">
        <v>171</v>
      </c>
      <c r="D228" s="61"/>
      <c r="E228" s="19"/>
      <c r="F228" s="79">
        <v>0.0</v>
      </c>
      <c r="G228" s="19"/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19"/>
      <c r="N228" s="79">
        <v>0.0</v>
      </c>
      <c r="O228" s="79">
        <v>0.0</v>
      </c>
      <c r="P228" s="79">
        <v>0.0</v>
      </c>
      <c r="Q228" s="79">
        <v>0.0</v>
      </c>
      <c r="R228" s="79">
        <v>0.0</v>
      </c>
      <c r="S228" s="79">
        <v>0.0</v>
      </c>
      <c r="T228" s="19"/>
      <c r="U228" s="79">
        <v>0.0</v>
      </c>
      <c r="V228" s="79">
        <v>0.0</v>
      </c>
      <c r="W228" s="79">
        <v>0.0</v>
      </c>
      <c r="X228" s="79">
        <v>0.0</v>
      </c>
      <c r="Y228" s="79">
        <v>0.0</v>
      </c>
      <c r="Z228" s="19"/>
      <c r="AA228" s="79">
        <v>0.0</v>
      </c>
      <c r="AB228" s="79">
        <v>0.0</v>
      </c>
      <c r="AC228" s="79">
        <v>0.0</v>
      </c>
      <c r="AD228" s="79">
        <v>0.0</v>
      </c>
      <c r="AE228" s="19"/>
      <c r="AF228" s="13">
        <f t="shared" si="45"/>
        <v>0</v>
      </c>
      <c r="AG228" s="5"/>
      <c r="AH228" s="5"/>
    </row>
    <row r="229" ht="12.75" customHeight="1">
      <c r="A229" s="18"/>
      <c r="B229" s="58"/>
      <c r="C229" s="53" t="s">
        <v>172</v>
      </c>
      <c r="D229" s="61"/>
      <c r="E229" s="19"/>
      <c r="F229" s="79">
        <v>0.0</v>
      </c>
      <c r="G229" s="19"/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19"/>
      <c r="N229" s="79">
        <v>0.0</v>
      </c>
      <c r="O229" s="79">
        <v>0.0</v>
      </c>
      <c r="P229" s="79">
        <v>0.0</v>
      </c>
      <c r="Q229" s="79">
        <v>1.0</v>
      </c>
      <c r="R229" s="79">
        <v>0.0</v>
      </c>
      <c r="S229" s="79">
        <v>1.0</v>
      </c>
      <c r="T229" s="19"/>
      <c r="U229" s="79">
        <v>0.0</v>
      </c>
      <c r="V229" s="79">
        <v>0.0</v>
      </c>
      <c r="W229" s="79">
        <v>0.0</v>
      </c>
      <c r="X229" s="79">
        <v>1.0</v>
      </c>
      <c r="Y229" s="79">
        <v>0.0</v>
      </c>
      <c r="Z229" s="19"/>
      <c r="AA229" s="79">
        <v>0.0</v>
      </c>
      <c r="AB229" s="79">
        <v>0.0</v>
      </c>
      <c r="AC229" s="79">
        <v>0.0</v>
      </c>
      <c r="AD229" s="79">
        <v>0.0</v>
      </c>
      <c r="AE229" s="19"/>
      <c r="AF229" s="13">
        <f t="shared" si="45"/>
        <v>3</v>
      </c>
      <c r="AG229" s="1"/>
      <c r="AH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85"/>
      <c r="AG230" s="55"/>
      <c r="AH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85"/>
      <c r="AG231" s="5"/>
      <c r="AH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85"/>
      <c r="AG232" s="5"/>
      <c r="AH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85"/>
      <c r="AG233" s="5"/>
      <c r="AH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85"/>
      <c r="AG234" s="5"/>
      <c r="AH234" s="5"/>
    </row>
    <row r="235" ht="12.75" customHeight="1">
      <c r="A235" s="19" t="s">
        <v>14</v>
      </c>
      <c r="B235" s="50" t="s">
        <v>48</v>
      </c>
      <c r="C235" s="15"/>
      <c r="D235" s="16"/>
      <c r="E235" s="13">
        <f t="shared" ref="E235:AE235" si="46">SUM(E225:E232)</f>
        <v>0</v>
      </c>
      <c r="F235" s="13">
        <f t="shared" si="46"/>
        <v>2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1</v>
      </c>
      <c r="K235" s="13">
        <f t="shared" si="46"/>
        <v>1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2</v>
      </c>
      <c r="R235" s="13">
        <f t="shared" si="46"/>
        <v>2</v>
      </c>
      <c r="S235" s="13">
        <f t="shared" si="46"/>
        <v>1</v>
      </c>
      <c r="T235" s="13">
        <f t="shared" si="46"/>
        <v>2</v>
      </c>
      <c r="U235" s="13">
        <f t="shared" si="46"/>
        <v>0</v>
      </c>
      <c r="V235" s="13">
        <f t="shared" si="46"/>
        <v>4</v>
      </c>
      <c r="W235" s="13">
        <f t="shared" si="46"/>
        <v>3</v>
      </c>
      <c r="X235" s="13">
        <f t="shared" si="46"/>
        <v>10</v>
      </c>
      <c r="Y235" s="13">
        <f t="shared" si="46"/>
        <v>0</v>
      </c>
      <c r="Z235" s="13">
        <f t="shared" si="46"/>
        <v>1</v>
      </c>
      <c r="AA235" s="13">
        <f t="shared" si="46"/>
        <v>0</v>
      </c>
      <c r="AB235" s="13">
        <f t="shared" si="46"/>
        <v>0</v>
      </c>
      <c r="AC235" s="13">
        <f t="shared" si="46"/>
        <v>1</v>
      </c>
      <c r="AD235" s="13">
        <f t="shared" si="46"/>
        <v>6</v>
      </c>
      <c r="AE235" s="13">
        <f t="shared" si="46"/>
        <v>0</v>
      </c>
      <c r="AF235" s="13">
        <f>SUM(E235:AE235)</f>
        <v>36</v>
      </c>
      <c r="AG235" s="5"/>
      <c r="AH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5"/>
      <c r="AH236" s="5"/>
    </row>
    <row r="237" ht="12.75" customHeight="1">
      <c r="A237" s="31" t="s">
        <v>36</v>
      </c>
      <c r="B237" s="50" t="s">
        <v>173</v>
      </c>
      <c r="C237" s="51" t="s">
        <v>174</v>
      </c>
      <c r="D237" s="16"/>
      <c r="E237" s="19"/>
      <c r="F237" s="79">
        <v>0.0</v>
      </c>
      <c r="G237" s="19"/>
      <c r="H237" s="79">
        <v>2.0</v>
      </c>
      <c r="I237" s="79">
        <v>1.0</v>
      </c>
      <c r="J237" s="79">
        <v>1.0</v>
      </c>
      <c r="K237" s="79">
        <v>1.0</v>
      </c>
      <c r="L237" s="79">
        <v>0.0</v>
      </c>
      <c r="M237" s="19"/>
      <c r="N237" s="79">
        <v>1.0</v>
      </c>
      <c r="O237" s="79">
        <v>0.0</v>
      </c>
      <c r="P237" s="79">
        <v>0.0</v>
      </c>
      <c r="Q237" s="79">
        <v>0.0</v>
      </c>
      <c r="R237" s="79">
        <v>2.0</v>
      </c>
      <c r="S237" s="79">
        <v>2.0</v>
      </c>
      <c r="T237" s="79">
        <v>1.0</v>
      </c>
      <c r="U237" s="79">
        <v>0.0</v>
      </c>
      <c r="V237" s="79">
        <v>2.0</v>
      </c>
      <c r="W237" s="79">
        <v>0.0</v>
      </c>
      <c r="X237" s="79">
        <v>1.0</v>
      </c>
      <c r="Y237" s="79">
        <v>1.0</v>
      </c>
      <c r="Z237" s="19"/>
      <c r="AA237" s="79">
        <v>0.0</v>
      </c>
      <c r="AB237" s="79">
        <v>1.0</v>
      </c>
      <c r="AC237" s="79">
        <v>0.0</v>
      </c>
      <c r="AD237" s="79">
        <v>2.0</v>
      </c>
      <c r="AE237" s="79">
        <v>4.0</v>
      </c>
      <c r="AF237" s="13">
        <f t="shared" ref="AF237:AF247" si="47">SUM(E237:AE237)</f>
        <v>22</v>
      </c>
      <c r="AG237" s="5"/>
      <c r="AH237" s="5"/>
    </row>
    <row r="238" ht="12.75" customHeight="1">
      <c r="A238" s="31" t="s">
        <v>38</v>
      </c>
      <c r="B238" s="58"/>
      <c r="C238" s="53" t="s">
        <v>175</v>
      </c>
      <c r="D238" s="61"/>
      <c r="E238" s="19"/>
      <c r="F238" s="79">
        <v>0.0</v>
      </c>
      <c r="G238" s="19"/>
      <c r="H238" s="79">
        <v>0.0</v>
      </c>
      <c r="I238" s="79">
        <v>0.0</v>
      </c>
      <c r="J238" s="79">
        <v>2.0</v>
      </c>
      <c r="K238" s="79">
        <v>0.0</v>
      </c>
      <c r="L238" s="79">
        <v>0.0</v>
      </c>
      <c r="M238" s="79">
        <v>1.0</v>
      </c>
      <c r="N238" s="79">
        <v>1.0</v>
      </c>
      <c r="O238" s="79">
        <v>0.0</v>
      </c>
      <c r="P238" s="79">
        <v>0.0</v>
      </c>
      <c r="Q238" s="79">
        <v>0.0</v>
      </c>
      <c r="R238" s="79">
        <v>0.0</v>
      </c>
      <c r="S238" s="79">
        <v>1.0</v>
      </c>
      <c r="T238" s="79">
        <v>2.0</v>
      </c>
      <c r="U238" s="79">
        <v>0.0</v>
      </c>
      <c r="V238" s="79">
        <v>0.0</v>
      </c>
      <c r="W238" s="79">
        <v>0.0</v>
      </c>
      <c r="X238" s="79">
        <v>0.0</v>
      </c>
      <c r="Y238" s="79">
        <v>1.0</v>
      </c>
      <c r="Z238" s="19"/>
      <c r="AA238" s="79">
        <v>0.0</v>
      </c>
      <c r="AB238" s="79">
        <v>0.0</v>
      </c>
      <c r="AC238" s="79">
        <v>0.0</v>
      </c>
      <c r="AD238" s="79">
        <v>0.0</v>
      </c>
      <c r="AE238" s="79">
        <v>1.0</v>
      </c>
      <c r="AF238" s="13">
        <f t="shared" si="47"/>
        <v>9</v>
      </c>
      <c r="AG238" s="5"/>
      <c r="AH238" s="5"/>
    </row>
    <row r="239" ht="12.75" customHeight="1">
      <c r="A239" s="18"/>
      <c r="B239" s="58"/>
      <c r="C239" s="53" t="s">
        <v>176</v>
      </c>
      <c r="D239" s="61"/>
      <c r="E239" s="79">
        <v>1.0</v>
      </c>
      <c r="F239" s="79">
        <v>1.0</v>
      </c>
      <c r="G239" s="19"/>
      <c r="H239" s="79">
        <v>1.0</v>
      </c>
      <c r="I239" s="79">
        <v>0.0</v>
      </c>
      <c r="J239" s="79">
        <v>0.0</v>
      </c>
      <c r="K239" s="79">
        <v>0.0</v>
      </c>
      <c r="L239" s="79">
        <v>1.0</v>
      </c>
      <c r="M239" s="79">
        <v>2.0</v>
      </c>
      <c r="N239" s="79">
        <v>1.0</v>
      </c>
      <c r="O239" s="79">
        <v>0.0</v>
      </c>
      <c r="P239" s="79">
        <v>0.0</v>
      </c>
      <c r="Q239" s="79">
        <v>0.0</v>
      </c>
      <c r="R239" s="79">
        <v>1.0</v>
      </c>
      <c r="S239" s="79">
        <v>0.0</v>
      </c>
      <c r="T239" s="19"/>
      <c r="U239" s="79">
        <v>0.0</v>
      </c>
      <c r="V239" s="79">
        <v>4.0</v>
      </c>
      <c r="W239" s="79">
        <v>2.0</v>
      </c>
      <c r="X239" s="79">
        <v>0.0</v>
      </c>
      <c r="Y239" s="79">
        <v>1.0</v>
      </c>
      <c r="Z239" s="79">
        <v>2.0</v>
      </c>
      <c r="AA239" s="79">
        <v>0.0</v>
      </c>
      <c r="AB239" s="79">
        <v>0.0</v>
      </c>
      <c r="AC239" s="79">
        <v>0.0</v>
      </c>
      <c r="AD239" s="79">
        <v>4.0</v>
      </c>
      <c r="AE239" s="19"/>
      <c r="AF239" s="13">
        <f t="shared" si="47"/>
        <v>21</v>
      </c>
      <c r="AG239" s="5"/>
      <c r="AH239" s="5"/>
    </row>
    <row r="240" ht="12.75" customHeight="1">
      <c r="A240" s="18"/>
      <c r="B240" s="58"/>
      <c r="C240" s="53" t="s">
        <v>177</v>
      </c>
      <c r="D240" s="61"/>
      <c r="E240" s="19"/>
      <c r="F240" s="79">
        <v>0.0</v>
      </c>
      <c r="G240" s="79">
        <v>1.0</v>
      </c>
      <c r="H240" s="79">
        <v>0.0</v>
      </c>
      <c r="I240" s="79">
        <v>0.0</v>
      </c>
      <c r="J240" s="79">
        <v>0.0</v>
      </c>
      <c r="K240" s="79">
        <v>0.0</v>
      </c>
      <c r="L240" s="79">
        <v>0.0</v>
      </c>
      <c r="M240" s="19"/>
      <c r="N240" s="79">
        <v>0.0</v>
      </c>
      <c r="O240" s="79">
        <v>0.0</v>
      </c>
      <c r="P240" s="79">
        <v>0.0</v>
      </c>
      <c r="Q240" s="79">
        <v>0.0</v>
      </c>
      <c r="R240" s="79">
        <v>0.0</v>
      </c>
      <c r="S240" s="79">
        <v>0.0</v>
      </c>
      <c r="T240" s="19"/>
      <c r="U240" s="79">
        <v>0.0</v>
      </c>
      <c r="V240" s="79">
        <v>0.0</v>
      </c>
      <c r="W240" s="79">
        <v>2.0</v>
      </c>
      <c r="X240" s="79">
        <v>0.0</v>
      </c>
      <c r="Y240" s="79">
        <v>0.0</v>
      </c>
      <c r="Z240" s="19"/>
      <c r="AA240" s="79">
        <v>0.0</v>
      </c>
      <c r="AB240" s="79">
        <v>0.0</v>
      </c>
      <c r="AC240" s="79">
        <v>0.0</v>
      </c>
      <c r="AD240" s="79">
        <v>0.0</v>
      </c>
      <c r="AE240" s="19"/>
      <c r="AF240" s="13">
        <f t="shared" si="47"/>
        <v>3</v>
      </c>
      <c r="AG240" s="1"/>
      <c r="AH240" s="1"/>
    </row>
    <row r="241" ht="12.75" customHeight="1">
      <c r="A241" s="18"/>
      <c r="B241" s="58"/>
      <c r="C241" s="53" t="s">
        <v>178</v>
      </c>
      <c r="D241" s="61"/>
      <c r="E241" s="19"/>
      <c r="F241" s="79">
        <v>0.0</v>
      </c>
      <c r="G241" s="19"/>
      <c r="H241" s="79">
        <v>0.0</v>
      </c>
      <c r="I241" s="79">
        <v>0.0</v>
      </c>
      <c r="J241" s="79">
        <v>0.0</v>
      </c>
      <c r="K241" s="79">
        <v>0.0</v>
      </c>
      <c r="L241" s="79">
        <v>0.0</v>
      </c>
      <c r="M241" s="19"/>
      <c r="N241" s="79">
        <v>0.0</v>
      </c>
      <c r="O241" s="79">
        <v>0.0</v>
      </c>
      <c r="P241" s="79">
        <v>0.0</v>
      </c>
      <c r="Q241" s="79">
        <v>0.0</v>
      </c>
      <c r="R241" s="79">
        <v>0.0</v>
      </c>
      <c r="S241" s="79">
        <v>0.0</v>
      </c>
      <c r="T241" s="19"/>
      <c r="U241" s="79">
        <v>0.0</v>
      </c>
      <c r="V241" s="79">
        <v>0.0</v>
      </c>
      <c r="W241" s="79">
        <v>1.0</v>
      </c>
      <c r="X241" s="79">
        <v>0.0</v>
      </c>
      <c r="Y241" s="79">
        <v>0.0</v>
      </c>
      <c r="Z241" s="19"/>
      <c r="AA241" s="79">
        <v>0.0</v>
      </c>
      <c r="AB241" s="79">
        <v>0.0</v>
      </c>
      <c r="AC241" s="79">
        <v>0.0</v>
      </c>
      <c r="AD241" s="79">
        <v>0.0</v>
      </c>
      <c r="AE241" s="19"/>
      <c r="AF241" s="13">
        <f t="shared" si="47"/>
        <v>1</v>
      </c>
    </row>
    <row r="242" ht="12.75" customHeight="1">
      <c r="A242" s="18"/>
      <c r="B242" s="58"/>
      <c r="C242" s="53" t="s">
        <v>179</v>
      </c>
      <c r="D242" s="61"/>
      <c r="E242" s="19"/>
      <c r="F242" s="79">
        <v>0.0</v>
      </c>
      <c r="G242" s="79">
        <v>1.0</v>
      </c>
      <c r="H242" s="79">
        <v>0.0</v>
      </c>
      <c r="I242" s="79">
        <v>0.0</v>
      </c>
      <c r="J242" s="79">
        <v>0.0</v>
      </c>
      <c r="K242" s="79">
        <v>0.0</v>
      </c>
      <c r="L242" s="79">
        <v>0.0</v>
      </c>
      <c r="M242" s="19"/>
      <c r="N242" s="79">
        <v>0.0</v>
      </c>
      <c r="O242" s="79">
        <v>0.0</v>
      </c>
      <c r="P242" s="79">
        <v>0.0</v>
      </c>
      <c r="Q242" s="79">
        <v>0.0</v>
      </c>
      <c r="R242" s="79">
        <v>0.0</v>
      </c>
      <c r="S242" s="79">
        <v>0.0</v>
      </c>
      <c r="T242" s="79">
        <v>2.0</v>
      </c>
      <c r="U242" s="79">
        <v>1.0</v>
      </c>
      <c r="V242" s="79">
        <v>0.0</v>
      </c>
      <c r="W242" s="79">
        <v>1.0</v>
      </c>
      <c r="X242" s="79">
        <v>0.0</v>
      </c>
      <c r="Y242" s="79">
        <v>0.0</v>
      </c>
      <c r="Z242" s="19"/>
      <c r="AA242" s="79">
        <v>0.0</v>
      </c>
      <c r="AB242" s="79">
        <v>0.0</v>
      </c>
      <c r="AC242" s="79">
        <v>0.0</v>
      </c>
      <c r="AD242" s="79">
        <v>0.0</v>
      </c>
      <c r="AE242" s="79">
        <v>3.0</v>
      </c>
      <c r="AF242" s="13">
        <f t="shared" si="47"/>
        <v>8</v>
      </c>
    </row>
    <row r="243" ht="12.75" customHeight="1">
      <c r="A243" s="18"/>
      <c r="B243" s="58"/>
      <c r="C243" s="53" t="s">
        <v>180</v>
      </c>
      <c r="D243" s="61"/>
      <c r="E243" s="19"/>
      <c r="F243" s="79">
        <v>0.0</v>
      </c>
      <c r="G243" s="19"/>
      <c r="H243" s="79">
        <v>0.0</v>
      </c>
      <c r="I243" s="79">
        <v>1.0</v>
      </c>
      <c r="J243" s="79">
        <v>0.0</v>
      </c>
      <c r="K243" s="79">
        <v>0.0</v>
      </c>
      <c r="L243" s="79">
        <v>0.0</v>
      </c>
      <c r="M243" s="19"/>
      <c r="N243" s="79">
        <v>0.0</v>
      </c>
      <c r="O243" s="79">
        <v>0.0</v>
      </c>
      <c r="P243" s="79">
        <v>0.0</v>
      </c>
      <c r="Q243" s="79">
        <v>0.0</v>
      </c>
      <c r="R243" s="79">
        <v>0.0</v>
      </c>
      <c r="S243" s="79">
        <v>0.0</v>
      </c>
      <c r="T243" s="19"/>
      <c r="U243" s="79">
        <v>0.0</v>
      </c>
      <c r="V243" s="79">
        <v>0.0</v>
      </c>
      <c r="W243" s="79">
        <v>0.0</v>
      </c>
      <c r="X243" s="79">
        <v>0.0</v>
      </c>
      <c r="Y243" s="79">
        <v>0.0</v>
      </c>
      <c r="Z243" s="19"/>
      <c r="AA243" s="79">
        <v>0.0</v>
      </c>
      <c r="AB243" s="79">
        <v>0.0</v>
      </c>
      <c r="AC243" s="79">
        <v>1.0</v>
      </c>
      <c r="AD243" s="79">
        <v>0.0</v>
      </c>
      <c r="AE243" s="19"/>
      <c r="AF243" s="13">
        <f t="shared" si="47"/>
        <v>2</v>
      </c>
    </row>
    <row r="244" ht="12.75" customHeight="1">
      <c r="A244" s="18"/>
      <c r="B244" s="58"/>
      <c r="C244" s="53" t="s">
        <v>181</v>
      </c>
      <c r="D244" s="61"/>
      <c r="E244" s="19"/>
      <c r="F244" s="79">
        <v>0.0</v>
      </c>
      <c r="G244" s="19"/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19"/>
      <c r="N244" s="79">
        <v>0.0</v>
      </c>
      <c r="O244" s="79">
        <v>0.0</v>
      </c>
      <c r="P244" s="79">
        <v>0.0</v>
      </c>
      <c r="Q244" s="79">
        <v>0.0</v>
      </c>
      <c r="R244" s="79">
        <v>0.0</v>
      </c>
      <c r="S244" s="79">
        <v>0.0</v>
      </c>
      <c r="T244" s="19"/>
      <c r="U244" s="79">
        <v>0.0</v>
      </c>
      <c r="V244" s="79">
        <v>0.0</v>
      </c>
      <c r="W244" s="79">
        <v>0.0</v>
      </c>
      <c r="X244" s="79">
        <v>0.0</v>
      </c>
      <c r="Y244" s="79">
        <v>0.0</v>
      </c>
      <c r="Z244" s="19"/>
      <c r="AA244" s="79">
        <v>0.0</v>
      </c>
      <c r="AB244" s="79">
        <v>0.0</v>
      </c>
      <c r="AC244" s="79">
        <v>0.0</v>
      </c>
      <c r="AD244" s="79">
        <v>0.0</v>
      </c>
      <c r="AE244" s="19"/>
      <c r="AF244" s="13">
        <f t="shared" si="47"/>
        <v>0</v>
      </c>
    </row>
    <row r="245" ht="12.75" customHeight="1">
      <c r="A245" s="18"/>
      <c r="B245" s="58"/>
      <c r="C245" s="53" t="s">
        <v>182</v>
      </c>
      <c r="D245" s="61"/>
      <c r="E245" s="19"/>
      <c r="F245" s="79">
        <v>0.0</v>
      </c>
      <c r="G245" s="19"/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19"/>
      <c r="N245" s="79">
        <v>0.0</v>
      </c>
      <c r="O245" s="79">
        <v>0.0</v>
      </c>
      <c r="P245" s="79">
        <v>0.0</v>
      </c>
      <c r="Q245" s="79">
        <v>0.0</v>
      </c>
      <c r="R245" s="79">
        <v>0.0</v>
      </c>
      <c r="S245" s="79">
        <v>0.0</v>
      </c>
      <c r="T245" s="19"/>
      <c r="U245" s="79">
        <v>0.0</v>
      </c>
      <c r="V245" s="79">
        <v>0.0</v>
      </c>
      <c r="W245" s="79">
        <v>0.0</v>
      </c>
      <c r="X245" s="79">
        <v>0.0</v>
      </c>
      <c r="Y245" s="79">
        <v>0.0</v>
      </c>
      <c r="Z245" s="19"/>
      <c r="AA245" s="79">
        <v>0.0</v>
      </c>
      <c r="AB245" s="79">
        <v>0.0</v>
      </c>
      <c r="AC245" s="79">
        <v>0.0</v>
      </c>
      <c r="AD245" s="79">
        <v>0.0</v>
      </c>
      <c r="AE245" s="19"/>
      <c r="AF245" s="13">
        <f t="shared" si="47"/>
        <v>0</v>
      </c>
    </row>
    <row r="246" ht="12.75" customHeight="1">
      <c r="A246" s="18"/>
      <c r="B246" s="58"/>
      <c r="C246" s="53" t="s">
        <v>183</v>
      </c>
      <c r="D246" s="61"/>
      <c r="E246" s="19"/>
      <c r="F246" s="79">
        <v>0.0</v>
      </c>
      <c r="G246" s="19"/>
      <c r="H246" s="79">
        <v>1.0</v>
      </c>
      <c r="I246" s="79">
        <v>0.0</v>
      </c>
      <c r="J246" s="79">
        <v>0.0</v>
      </c>
      <c r="K246" s="79">
        <v>0.0</v>
      </c>
      <c r="L246" s="79">
        <v>0.0</v>
      </c>
      <c r="M246" s="19"/>
      <c r="N246" s="79">
        <v>0.0</v>
      </c>
      <c r="O246" s="79">
        <v>1.0</v>
      </c>
      <c r="P246" s="79">
        <v>0.0</v>
      </c>
      <c r="Q246" s="79">
        <v>0.0</v>
      </c>
      <c r="R246" s="79">
        <v>0.0</v>
      </c>
      <c r="S246" s="79">
        <v>0.0</v>
      </c>
      <c r="T246" s="19"/>
      <c r="U246" s="79">
        <v>0.0</v>
      </c>
      <c r="V246" s="79">
        <v>1.0</v>
      </c>
      <c r="W246" s="79">
        <v>0.0</v>
      </c>
      <c r="X246" s="79">
        <v>0.0</v>
      </c>
      <c r="Y246" s="79">
        <v>0.0</v>
      </c>
      <c r="Z246" s="19"/>
      <c r="AA246" s="79">
        <v>0.0</v>
      </c>
      <c r="AB246" s="79">
        <v>0.0</v>
      </c>
      <c r="AC246" s="79">
        <v>0.0</v>
      </c>
      <c r="AD246" s="79">
        <v>0.0</v>
      </c>
      <c r="AE246" s="19"/>
      <c r="AF246" s="13">
        <f t="shared" si="47"/>
        <v>3</v>
      </c>
    </row>
    <row r="247" ht="12.75" customHeight="1">
      <c r="A247" s="19" t="s">
        <v>14</v>
      </c>
      <c r="B247" s="50" t="s">
        <v>48</v>
      </c>
      <c r="C247" s="15"/>
      <c r="D247" s="16"/>
      <c r="E247" s="13">
        <f t="shared" ref="E247:AE247" si="48">SUM(E237:E246)</f>
        <v>1</v>
      </c>
      <c r="F247" s="13">
        <f t="shared" si="48"/>
        <v>1</v>
      </c>
      <c r="G247" s="13">
        <f t="shared" si="48"/>
        <v>2</v>
      </c>
      <c r="H247" s="13">
        <f t="shared" si="48"/>
        <v>4</v>
      </c>
      <c r="I247" s="13">
        <f t="shared" si="48"/>
        <v>2</v>
      </c>
      <c r="J247" s="13">
        <f t="shared" si="48"/>
        <v>3</v>
      </c>
      <c r="K247" s="13">
        <f t="shared" si="48"/>
        <v>1</v>
      </c>
      <c r="L247" s="13">
        <f t="shared" si="48"/>
        <v>1</v>
      </c>
      <c r="M247" s="13">
        <f t="shared" si="48"/>
        <v>3</v>
      </c>
      <c r="N247" s="13">
        <f t="shared" si="48"/>
        <v>3</v>
      </c>
      <c r="O247" s="13">
        <f t="shared" si="48"/>
        <v>1</v>
      </c>
      <c r="P247" s="13">
        <f t="shared" si="48"/>
        <v>0</v>
      </c>
      <c r="Q247" s="13">
        <f t="shared" si="48"/>
        <v>0</v>
      </c>
      <c r="R247" s="13">
        <f t="shared" si="48"/>
        <v>3</v>
      </c>
      <c r="S247" s="13">
        <f t="shared" si="48"/>
        <v>3</v>
      </c>
      <c r="T247" s="13">
        <f t="shared" si="48"/>
        <v>5</v>
      </c>
      <c r="U247" s="13">
        <f t="shared" si="48"/>
        <v>1</v>
      </c>
      <c r="V247" s="13">
        <f t="shared" si="48"/>
        <v>7</v>
      </c>
      <c r="W247" s="13">
        <f t="shared" si="48"/>
        <v>6</v>
      </c>
      <c r="X247" s="13">
        <f t="shared" si="48"/>
        <v>1</v>
      </c>
      <c r="Y247" s="13">
        <f t="shared" si="48"/>
        <v>3</v>
      </c>
      <c r="Z247" s="13">
        <f t="shared" si="48"/>
        <v>2</v>
      </c>
      <c r="AA247" s="13">
        <f t="shared" si="48"/>
        <v>0</v>
      </c>
      <c r="AB247" s="13">
        <f t="shared" si="48"/>
        <v>1</v>
      </c>
      <c r="AC247" s="13">
        <f t="shared" si="48"/>
        <v>1</v>
      </c>
      <c r="AD247" s="13">
        <f t="shared" si="48"/>
        <v>6</v>
      </c>
      <c r="AE247" s="13">
        <f t="shared" si="48"/>
        <v>8</v>
      </c>
      <c r="AF247" s="13">
        <f t="shared" si="47"/>
        <v>69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36</v>
      </c>
      <c r="B249" s="50" t="s">
        <v>184</v>
      </c>
      <c r="C249" s="51" t="s">
        <v>185</v>
      </c>
      <c r="D249" s="16"/>
      <c r="E249" s="19"/>
      <c r="F249" s="79">
        <v>0.0</v>
      </c>
      <c r="G249" s="19"/>
      <c r="H249" s="79">
        <v>0.0</v>
      </c>
      <c r="I249" s="79">
        <v>0.0</v>
      </c>
      <c r="J249" s="79">
        <v>0.0</v>
      </c>
      <c r="K249" s="79">
        <v>0.0</v>
      </c>
      <c r="L249" s="79">
        <v>0.0</v>
      </c>
      <c r="M249" s="19"/>
      <c r="N249" s="79">
        <v>0.0</v>
      </c>
      <c r="O249" s="79">
        <v>0.0</v>
      </c>
      <c r="P249" s="79">
        <v>1.0</v>
      </c>
      <c r="Q249" s="79">
        <v>0.0</v>
      </c>
      <c r="R249" s="79">
        <v>0.0</v>
      </c>
      <c r="S249" s="79">
        <v>0.0</v>
      </c>
      <c r="T249" s="19"/>
      <c r="U249" s="79">
        <v>0.0</v>
      </c>
      <c r="V249" s="79">
        <v>0.0</v>
      </c>
      <c r="W249" s="79">
        <v>0.0</v>
      </c>
      <c r="X249" s="79">
        <v>0.0</v>
      </c>
      <c r="Y249" s="79">
        <v>0.0</v>
      </c>
      <c r="Z249" s="19"/>
      <c r="AA249" s="79">
        <v>0.0</v>
      </c>
      <c r="AB249" s="79">
        <v>0.0</v>
      </c>
      <c r="AC249" s="79">
        <v>0.0</v>
      </c>
      <c r="AD249" s="79">
        <v>0.0</v>
      </c>
      <c r="AE249" s="19"/>
      <c r="AF249" s="13">
        <f t="shared" ref="AF249:AF252" si="49">SUM(E249:AE249)</f>
        <v>1</v>
      </c>
    </row>
    <row r="250" ht="12.75" customHeight="1">
      <c r="A250" s="31" t="s">
        <v>38</v>
      </c>
      <c r="B250" s="58"/>
      <c r="C250" s="53" t="s">
        <v>186</v>
      </c>
      <c r="D250" s="61"/>
      <c r="E250" s="19"/>
      <c r="F250" s="79">
        <v>0.0</v>
      </c>
      <c r="G250" s="19"/>
      <c r="H250" s="79">
        <v>0.0</v>
      </c>
      <c r="I250" s="79">
        <v>1.0</v>
      </c>
      <c r="J250" s="79">
        <v>0.0</v>
      </c>
      <c r="K250" s="79">
        <v>0.0</v>
      </c>
      <c r="L250" s="79">
        <v>0.0</v>
      </c>
      <c r="M250" s="19"/>
      <c r="N250" s="79">
        <v>0.0</v>
      </c>
      <c r="O250" s="79">
        <v>0.0</v>
      </c>
      <c r="P250" s="79">
        <v>0.0</v>
      </c>
      <c r="Q250" s="79">
        <v>0.0</v>
      </c>
      <c r="R250" s="79">
        <v>0.0</v>
      </c>
      <c r="S250" s="79">
        <v>0.0</v>
      </c>
      <c r="T250" s="19"/>
      <c r="U250" s="79">
        <v>0.0</v>
      </c>
      <c r="V250" s="79">
        <v>0.0</v>
      </c>
      <c r="W250" s="79">
        <v>0.0</v>
      </c>
      <c r="X250" s="79">
        <v>0.0</v>
      </c>
      <c r="Y250" s="79">
        <v>0.0</v>
      </c>
      <c r="Z250" s="19"/>
      <c r="AA250" s="79">
        <v>0.0</v>
      </c>
      <c r="AB250" s="79">
        <v>3.0</v>
      </c>
      <c r="AC250" s="79">
        <v>0.0</v>
      </c>
      <c r="AD250" s="79">
        <v>0.0</v>
      </c>
      <c r="AE250" s="19"/>
      <c r="AF250" s="13">
        <f t="shared" si="49"/>
        <v>4</v>
      </c>
    </row>
    <row r="251" ht="12.75" customHeight="1">
      <c r="A251" s="18"/>
      <c r="B251" s="58"/>
      <c r="C251" s="53" t="s">
        <v>187</v>
      </c>
      <c r="D251" s="61"/>
      <c r="E251" s="19"/>
      <c r="F251" s="79">
        <v>0.0</v>
      </c>
      <c r="G251" s="19"/>
      <c r="H251" s="79">
        <v>0.0</v>
      </c>
      <c r="I251" s="79">
        <v>1.0</v>
      </c>
      <c r="J251" s="79">
        <v>0.0</v>
      </c>
      <c r="K251" s="79">
        <v>0.0</v>
      </c>
      <c r="L251" s="79">
        <v>0.0</v>
      </c>
      <c r="M251" s="19"/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79">
        <v>0.0</v>
      </c>
      <c r="T251" s="19"/>
      <c r="U251" s="79">
        <v>0.0</v>
      </c>
      <c r="V251" s="79">
        <v>0.0</v>
      </c>
      <c r="W251" s="79">
        <v>0.0</v>
      </c>
      <c r="X251" s="79">
        <v>0.0</v>
      </c>
      <c r="Y251" s="79">
        <v>0.0</v>
      </c>
      <c r="Z251" s="19"/>
      <c r="AA251" s="79">
        <v>0.0</v>
      </c>
      <c r="AB251" s="79">
        <v>0.0</v>
      </c>
      <c r="AC251" s="79">
        <v>0.0</v>
      </c>
      <c r="AD251" s="79">
        <v>0.0</v>
      </c>
      <c r="AE251" s="19"/>
      <c r="AF251" s="13">
        <f t="shared" si="49"/>
        <v>1</v>
      </c>
    </row>
    <row r="252" ht="12.75" customHeight="1">
      <c r="A252" s="18"/>
      <c r="B252" s="58"/>
      <c r="C252" s="53" t="s">
        <v>188</v>
      </c>
      <c r="D252" s="61"/>
      <c r="E252" s="19"/>
      <c r="F252" s="79">
        <v>0.0</v>
      </c>
      <c r="G252" s="19"/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19"/>
      <c r="N252" s="79">
        <v>0.0</v>
      </c>
      <c r="O252" s="79">
        <v>0.0</v>
      </c>
      <c r="P252" s="79">
        <v>0.0</v>
      </c>
      <c r="Q252" s="79">
        <v>0.0</v>
      </c>
      <c r="R252" s="79">
        <v>0.0</v>
      </c>
      <c r="S252" s="79">
        <v>0.0</v>
      </c>
      <c r="T252" s="19"/>
      <c r="U252" s="79">
        <v>0.0</v>
      </c>
      <c r="V252" s="79">
        <v>0.0</v>
      </c>
      <c r="W252" s="79">
        <v>0.0</v>
      </c>
      <c r="X252" s="79">
        <v>0.0</v>
      </c>
      <c r="Y252" s="79">
        <v>0.0</v>
      </c>
      <c r="Z252" s="19"/>
      <c r="AA252" s="79">
        <v>0.0</v>
      </c>
      <c r="AB252" s="79">
        <v>0.0</v>
      </c>
      <c r="AC252" s="79">
        <v>0.0</v>
      </c>
      <c r="AD252" s="79">
        <v>0.0</v>
      </c>
      <c r="AE252" s="79">
        <v>1.0</v>
      </c>
      <c r="AF252" s="13">
        <f t="shared" si="49"/>
        <v>1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85"/>
    </row>
    <row r="259" ht="12.75" customHeight="1">
      <c r="A259" s="19" t="s">
        <v>14</v>
      </c>
      <c r="B259" s="50" t="s">
        <v>48</v>
      </c>
      <c r="C259" s="15"/>
      <c r="D259" s="16"/>
      <c r="E259" s="13">
        <f t="shared" ref="E259:AE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2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1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3</v>
      </c>
      <c r="AC259" s="13">
        <f t="shared" si="50"/>
        <v>0</v>
      </c>
      <c r="AD259" s="13">
        <f t="shared" si="50"/>
        <v>0</v>
      </c>
      <c r="AE259" s="13">
        <f t="shared" si="50"/>
        <v>1</v>
      </c>
      <c r="AF259" s="13">
        <f>SUM(E259:AE259)</f>
        <v>7</v>
      </c>
    </row>
    <row r="260" ht="12.75" customHeight="1"/>
    <row r="261" ht="12.75" customHeight="1">
      <c r="A261" s="45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2"/>
      <c r="O261" s="13"/>
      <c r="P261" s="13"/>
      <c r="Q261" s="13"/>
      <c r="R261" s="13"/>
      <c r="S261" s="82"/>
      <c r="T261" s="13"/>
      <c r="U261" s="13"/>
      <c r="V261" s="13"/>
      <c r="W261" s="13"/>
      <c r="X261" s="82"/>
      <c r="Y261" s="13"/>
      <c r="Z261" s="13"/>
      <c r="AA261" s="13"/>
      <c r="AB261" s="13"/>
      <c r="AC261" s="82"/>
      <c r="AD261" s="13"/>
      <c r="AE261" s="13"/>
      <c r="AF261" s="13"/>
    </row>
    <row r="262" ht="12.75" customHeight="1">
      <c r="A262" s="45"/>
      <c r="B262" s="74" t="s">
        <v>191</v>
      </c>
      <c r="C262" s="75" t="s">
        <v>192</v>
      </c>
      <c r="D262" s="16"/>
      <c r="E262" s="19">
        <f t="shared" ref="E262:AE262" si="51">E55+E67+E79+E91+E103+E115+E127+E139+E151+E163+E175+E187+E199+E211+E223+E235+E247+E259</f>
        <v>152</v>
      </c>
      <c r="F262" s="19">
        <f t="shared" si="51"/>
        <v>172</v>
      </c>
      <c r="G262" s="19">
        <f t="shared" si="51"/>
        <v>129</v>
      </c>
      <c r="H262" s="19">
        <f t="shared" si="51"/>
        <v>144</v>
      </c>
      <c r="I262" s="19">
        <f t="shared" si="51"/>
        <v>186</v>
      </c>
      <c r="J262" s="19">
        <f t="shared" si="51"/>
        <v>170</v>
      </c>
      <c r="K262" s="19">
        <f t="shared" si="51"/>
        <v>183</v>
      </c>
      <c r="L262" s="19">
        <f t="shared" si="51"/>
        <v>114</v>
      </c>
      <c r="M262" s="19">
        <f t="shared" si="51"/>
        <v>109</v>
      </c>
      <c r="N262" s="19">
        <f t="shared" si="51"/>
        <v>145</v>
      </c>
      <c r="O262" s="19">
        <f t="shared" si="51"/>
        <v>186</v>
      </c>
      <c r="P262" s="19">
        <f t="shared" si="51"/>
        <v>172</v>
      </c>
      <c r="Q262" s="19">
        <f t="shared" si="51"/>
        <v>180</v>
      </c>
      <c r="R262" s="19">
        <f t="shared" si="51"/>
        <v>213</v>
      </c>
      <c r="S262" s="19">
        <f t="shared" si="51"/>
        <v>165</v>
      </c>
      <c r="T262" s="19">
        <f t="shared" si="51"/>
        <v>135</v>
      </c>
      <c r="U262" s="19">
        <f t="shared" si="51"/>
        <v>162</v>
      </c>
      <c r="V262" s="19">
        <f t="shared" si="51"/>
        <v>221</v>
      </c>
      <c r="W262" s="19">
        <f t="shared" si="51"/>
        <v>215</v>
      </c>
      <c r="X262" s="19">
        <f t="shared" si="51"/>
        <v>168</v>
      </c>
      <c r="Y262" s="19">
        <f t="shared" si="51"/>
        <v>197</v>
      </c>
      <c r="Z262" s="19">
        <f t="shared" si="51"/>
        <v>189</v>
      </c>
      <c r="AA262" s="19">
        <f t="shared" si="51"/>
        <v>173</v>
      </c>
      <c r="AB262" s="19">
        <f t="shared" si="51"/>
        <v>200</v>
      </c>
      <c r="AC262" s="19">
        <f t="shared" si="51"/>
        <v>202</v>
      </c>
      <c r="AD262" s="19">
        <f t="shared" si="51"/>
        <v>225</v>
      </c>
      <c r="AE262" s="19">
        <f t="shared" si="51"/>
        <v>211</v>
      </c>
      <c r="AF262" s="13">
        <f t="shared" ref="AF262:AF264" si="52">SUM(E262:AE262)</f>
        <v>4718</v>
      </c>
    </row>
    <row r="263" ht="12.75" customHeight="1">
      <c r="A263" s="36"/>
      <c r="B263" s="74" t="s">
        <v>193</v>
      </c>
      <c r="C263" s="75" t="s">
        <v>194</v>
      </c>
      <c r="D263" s="16"/>
      <c r="E263" s="79">
        <v>33.0</v>
      </c>
      <c r="F263" s="79">
        <v>31.0</v>
      </c>
      <c r="G263" s="79">
        <v>27.0</v>
      </c>
      <c r="H263" s="79">
        <v>31.0</v>
      </c>
      <c r="I263" s="79">
        <v>23.0</v>
      </c>
      <c r="J263" s="79">
        <v>29.0</v>
      </c>
      <c r="K263" s="79">
        <v>29.0</v>
      </c>
      <c r="L263" s="79">
        <v>20.0</v>
      </c>
      <c r="M263" s="79">
        <v>19.0</v>
      </c>
      <c r="N263" s="79">
        <v>36.0</v>
      </c>
      <c r="O263" s="79">
        <v>31.0</v>
      </c>
      <c r="P263" s="79">
        <v>48.0</v>
      </c>
      <c r="Q263" s="79">
        <v>34.0</v>
      </c>
      <c r="R263" s="79">
        <v>9.0</v>
      </c>
      <c r="S263" s="79">
        <v>51.0</v>
      </c>
      <c r="T263" s="79">
        <v>23.0</v>
      </c>
      <c r="U263" s="79">
        <v>38.0</v>
      </c>
      <c r="V263" s="79">
        <v>18.0</v>
      </c>
      <c r="W263" s="79">
        <v>34.0</v>
      </c>
      <c r="X263" s="79">
        <v>38.0</v>
      </c>
      <c r="Y263" s="79">
        <v>20.0</v>
      </c>
      <c r="Z263" s="79">
        <v>26.0</v>
      </c>
      <c r="AA263" s="79">
        <v>18.0</v>
      </c>
      <c r="AB263" s="79">
        <v>19.0</v>
      </c>
      <c r="AC263" s="79">
        <v>27.0</v>
      </c>
      <c r="AD263" s="79">
        <v>34.0</v>
      </c>
      <c r="AE263" s="79">
        <v>28.0</v>
      </c>
      <c r="AF263" s="13">
        <f t="shared" si="52"/>
        <v>774</v>
      </c>
    </row>
    <row r="264" ht="12.75" customHeight="1">
      <c r="A264" s="44"/>
      <c r="B264" s="74" t="s">
        <v>195</v>
      </c>
      <c r="C264" s="75" t="s">
        <v>196</v>
      </c>
      <c r="D264" s="16"/>
      <c r="E264" s="13">
        <f t="shared" ref="E264:AE264" si="53">SUM(E262:E263)</f>
        <v>185</v>
      </c>
      <c r="F264" s="13">
        <f t="shared" si="53"/>
        <v>203</v>
      </c>
      <c r="G264" s="13">
        <f t="shared" si="53"/>
        <v>156</v>
      </c>
      <c r="H264" s="13">
        <f t="shared" si="53"/>
        <v>175</v>
      </c>
      <c r="I264" s="13">
        <f t="shared" si="53"/>
        <v>209</v>
      </c>
      <c r="J264" s="13">
        <f t="shared" si="53"/>
        <v>199</v>
      </c>
      <c r="K264" s="13">
        <f t="shared" si="53"/>
        <v>212</v>
      </c>
      <c r="L264" s="13">
        <f t="shared" si="53"/>
        <v>134</v>
      </c>
      <c r="M264" s="13">
        <f t="shared" si="53"/>
        <v>128</v>
      </c>
      <c r="N264" s="13">
        <f t="shared" si="53"/>
        <v>181</v>
      </c>
      <c r="O264" s="13">
        <f t="shared" si="53"/>
        <v>217</v>
      </c>
      <c r="P264" s="13">
        <f t="shared" si="53"/>
        <v>220</v>
      </c>
      <c r="Q264" s="13">
        <f t="shared" si="53"/>
        <v>214</v>
      </c>
      <c r="R264" s="13">
        <f t="shared" si="53"/>
        <v>222</v>
      </c>
      <c r="S264" s="13">
        <f t="shared" si="53"/>
        <v>216</v>
      </c>
      <c r="T264" s="13">
        <f t="shared" si="53"/>
        <v>158</v>
      </c>
      <c r="U264" s="13">
        <f t="shared" si="53"/>
        <v>200</v>
      </c>
      <c r="V264" s="13">
        <f t="shared" si="53"/>
        <v>239</v>
      </c>
      <c r="W264" s="13">
        <f t="shared" si="53"/>
        <v>249</v>
      </c>
      <c r="X264" s="13">
        <f t="shared" si="53"/>
        <v>206</v>
      </c>
      <c r="Y264" s="13">
        <f t="shared" si="53"/>
        <v>217</v>
      </c>
      <c r="Z264" s="13">
        <f t="shared" si="53"/>
        <v>215</v>
      </c>
      <c r="AA264" s="13">
        <f t="shared" si="53"/>
        <v>191</v>
      </c>
      <c r="AB264" s="13">
        <f t="shared" si="53"/>
        <v>219</v>
      </c>
      <c r="AC264" s="13">
        <f t="shared" si="53"/>
        <v>229</v>
      </c>
      <c r="AD264" s="13">
        <f t="shared" si="53"/>
        <v>259</v>
      </c>
      <c r="AE264" s="13">
        <f t="shared" si="53"/>
        <v>239</v>
      </c>
      <c r="AF264" s="13">
        <f t="shared" si="52"/>
        <v>5492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E34">
    <cfRule type="expression" dxfId="0" priority="1">
      <formula>E34&lt;&gt;E64</formula>
    </cfRule>
  </conditionalFormatting>
  <conditionalFormatting sqref="E14:AE15">
    <cfRule type="containsBlanks" dxfId="1" priority="2">
      <formula>LEN(TRIM(E14))=0</formula>
    </cfRule>
  </conditionalFormatting>
  <conditionalFormatting sqref="E19:AE20">
    <cfRule type="containsBlanks" dxfId="1" priority="3">
      <formula>LEN(TRIM(E19))=0</formula>
    </cfRule>
  </conditionalFormatting>
  <conditionalFormatting sqref="E22:AE23 E25:AE26 E33:AE33 E35:AE35 E39:AE40">
    <cfRule type="containsBlanks" dxfId="1" priority="4">
      <formula>LEN(TRIM(E22))=0</formula>
    </cfRule>
  </conditionalFormatting>
  <conditionalFormatting sqref="E30:AE30">
    <cfRule type="expression" dxfId="0" priority="5">
      <formula>E30&lt;&gt;E47</formula>
    </cfRule>
  </conditionalFormatting>
  <conditionalFormatting sqref="E30:AE30">
    <cfRule type="expression" dxfId="0" priority="6">
      <formula>E30&lt;&gt;E34</formula>
    </cfRule>
  </conditionalFormatting>
  <conditionalFormatting sqref="E34:AE34">
    <cfRule type="expression" dxfId="2" priority="7">
      <formula>E30&lt;&gt;E34</formula>
    </cfRule>
  </conditionalFormatting>
  <conditionalFormatting sqref="E34:AE34">
    <cfRule type="expression" dxfId="3" priority="8">
      <formula>E30=E34</formula>
    </cfRule>
  </conditionalFormatting>
  <conditionalFormatting sqref="E34:AE34">
    <cfRule type="expression" dxfId="0" priority="9">
      <formula>E34&lt;&gt;E30</formula>
    </cfRule>
  </conditionalFormatting>
  <conditionalFormatting sqref="E45:AE54">
    <cfRule type="containsBlanks" dxfId="1" priority="10">
      <formula>LEN(TRIM(E45))=0</formula>
    </cfRule>
  </conditionalFormatting>
  <conditionalFormatting sqref="E57:AE66">
    <cfRule type="containsBlanks" dxfId="1" priority="11">
      <formula>LEN(TRIM(E57))=0</formula>
    </cfRule>
  </conditionalFormatting>
  <conditionalFormatting sqref="E69:AE78">
    <cfRule type="containsBlanks" dxfId="1" priority="12">
      <formula>LEN(TRIM(E69))=0</formula>
    </cfRule>
  </conditionalFormatting>
  <conditionalFormatting sqref="E81:AE90">
    <cfRule type="containsBlanks" dxfId="1" priority="13">
      <formula>LEN(TRIM(E81))=0</formula>
    </cfRule>
  </conditionalFormatting>
  <conditionalFormatting sqref="E93:AE102">
    <cfRule type="containsBlanks" dxfId="1" priority="14">
      <formula>LEN(TRIM(E93))=0</formula>
    </cfRule>
  </conditionalFormatting>
  <conditionalFormatting sqref="E105:AE114">
    <cfRule type="containsBlanks" dxfId="1" priority="15">
      <formula>LEN(TRIM(E105))=0</formula>
    </cfRule>
  </conditionalFormatting>
  <conditionalFormatting sqref="E117:AE126">
    <cfRule type="containsBlanks" dxfId="1" priority="16">
      <formula>LEN(TRIM(E117))=0</formula>
    </cfRule>
  </conditionalFormatting>
  <conditionalFormatting sqref="E129:AE138">
    <cfRule type="containsBlanks" dxfId="1" priority="17">
      <formula>LEN(TRIM(E129))=0</formula>
    </cfRule>
  </conditionalFormatting>
  <conditionalFormatting sqref="E141:AE150">
    <cfRule type="containsBlanks" dxfId="1" priority="18">
      <formula>LEN(TRIM(E141))=0</formula>
    </cfRule>
  </conditionalFormatting>
  <conditionalFormatting sqref="E153:AE162">
    <cfRule type="containsBlanks" dxfId="1" priority="19">
      <formula>LEN(TRIM(E153))=0</formula>
    </cfRule>
  </conditionalFormatting>
  <conditionalFormatting sqref="E165:AE174">
    <cfRule type="containsBlanks" dxfId="1" priority="20">
      <formula>LEN(TRIM(E165))=0</formula>
    </cfRule>
  </conditionalFormatting>
  <conditionalFormatting sqref="E177:AE186">
    <cfRule type="containsBlanks" dxfId="1" priority="21">
      <formula>LEN(TRIM(E177))=0</formula>
    </cfRule>
  </conditionalFormatting>
  <conditionalFormatting sqref="E189:AE198">
    <cfRule type="containsBlanks" dxfId="1" priority="22">
      <formula>LEN(TRIM(E189))=0</formula>
    </cfRule>
  </conditionalFormatting>
  <conditionalFormatting sqref="E201:AE210">
    <cfRule type="containsBlanks" dxfId="1" priority="23">
      <formula>LEN(TRIM(E201))=0</formula>
    </cfRule>
  </conditionalFormatting>
  <conditionalFormatting sqref="E213:AE222">
    <cfRule type="containsBlanks" dxfId="1" priority="24">
      <formula>LEN(TRIM(E213))=0</formula>
    </cfRule>
  </conditionalFormatting>
  <conditionalFormatting sqref="E225:AE234">
    <cfRule type="containsBlanks" dxfId="1" priority="25">
      <formula>LEN(TRIM(E225))=0</formula>
    </cfRule>
  </conditionalFormatting>
  <conditionalFormatting sqref="E237:AE246">
    <cfRule type="containsBlanks" dxfId="1" priority="26">
      <formula>LEN(TRIM(E237))=0</formula>
    </cfRule>
  </conditionalFormatting>
  <conditionalFormatting sqref="E249:AE259">
    <cfRule type="containsBlanks" dxfId="1" priority="27">
      <formula>LEN(TRIM(E249))=0</formula>
    </cfRule>
  </conditionalFormatting>
  <conditionalFormatting sqref="E262:A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5</v>
      </c>
      <c r="B12" s="14" t="s">
        <v>6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37"/>
    </row>
    <row r="14" ht="12.75" customHeight="1">
      <c r="A14" s="18"/>
      <c r="B14" s="22" t="s">
        <v>10</v>
      </c>
      <c r="C14" s="23"/>
      <c r="D14" s="19" t="s">
        <v>11</v>
      </c>
      <c r="E14" s="79">
        <v>138.0</v>
      </c>
      <c r="F14" s="79">
        <v>141.0</v>
      </c>
      <c r="G14" s="79">
        <v>136.0</v>
      </c>
      <c r="H14" s="79">
        <v>140.0</v>
      </c>
      <c r="I14" s="79">
        <v>129.0</v>
      </c>
      <c r="J14" s="79">
        <v>138.0</v>
      </c>
      <c r="K14" s="79">
        <v>139.0</v>
      </c>
      <c r="L14" s="79">
        <v>139.0</v>
      </c>
      <c r="M14" s="79">
        <v>137.0</v>
      </c>
      <c r="N14" s="79">
        <v>138.0</v>
      </c>
      <c r="O14" s="79">
        <v>132.0</v>
      </c>
      <c r="P14" s="79">
        <v>140.0</v>
      </c>
      <c r="Q14" s="79">
        <v>134.0</v>
      </c>
      <c r="R14" s="79">
        <v>141.0</v>
      </c>
      <c r="S14" s="79">
        <v>131.0</v>
      </c>
      <c r="T14" s="79">
        <v>125.0</v>
      </c>
      <c r="U14" s="79">
        <v>136.0</v>
      </c>
      <c r="V14" s="79">
        <v>136.0</v>
      </c>
      <c r="W14" s="79">
        <v>141.0</v>
      </c>
      <c r="X14" s="13">
        <f t="shared" ref="X14:X16" si="1">SUM(E14:W14)</f>
        <v>2591</v>
      </c>
    </row>
    <row r="15" ht="12.75" customHeight="1">
      <c r="A15" s="18"/>
      <c r="B15" s="26"/>
      <c r="C15" s="27"/>
      <c r="D15" s="19" t="s">
        <v>12</v>
      </c>
      <c r="E15" s="79">
        <v>128.0</v>
      </c>
      <c r="F15" s="79">
        <v>135.0</v>
      </c>
      <c r="G15" s="79">
        <v>145.0</v>
      </c>
      <c r="H15" s="79">
        <v>126.0</v>
      </c>
      <c r="I15" s="79">
        <v>124.0</v>
      </c>
      <c r="J15" s="79">
        <v>136.0</v>
      </c>
      <c r="K15" s="79">
        <v>142.0</v>
      </c>
      <c r="L15" s="79">
        <v>143.0</v>
      </c>
      <c r="M15" s="79">
        <v>147.0</v>
      </c>
      <c r="N15" s="79">
        <v>137.0</v>
      </c>
      <c r="O15" s="79">
        <v>143.0</v>
      </c>
      <c r="P15" s="79">
        <v>150.0</v>
      </c>
      <c r="Q15" s="79">
        <v>149.0</v>
      </c>
      <c r="R15" s="79">
        <v>145.0</v>
      </c>
      <c r="S15" s="79">
        <v>150.0</v>
      </c>
      <c r="T15" s="79">
        <v>137.0</v>
      </c>
      <c r="U15" s="79">
        <v>141.0</v>
      </c>
      <c r="V15" s="79">
        <v>144.0</v>
      </c>
      <c r="W15" s="79">
        <v>140.0</v>
      </c>
      <c r="X15" s="13">
        <f t="shared" si="1"/>
        <v>2662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266</v>
      </c>
      <c r="F16" s="13">
        <f t="shared" si="2"/>
        <v>276</v>
      </c>
      <c r="G16" s="13">
        <f t="shared" si="2"/>
        <v>281</v>
      </c>
      <c r="H16" s="13">
        <f t="shared" si="2"/>
        <v>266</v>
      </c>
      <c r="I16" s="13">
        <f t="shared" si="2"/>
        <v>253</v>
      </c>
      <c r="J16" s="13">
        <f t="shared" si="2"/>
        <v>274</v>
      </c>
      <c r="K16" s="13">
        <f t="shared" si="2"/>
        <v>281</v>
      </c>
      <c r="L16" s="13">
        <f t="shared" si="2"/>
        <v>282</v>
      </c>
      <c r="M16" s="13">
        <f t="shared" si="2"/>
        <v>284</v>
      </c>
      <c r="N16" s="13">
        <f t="shared" si="2"/>
        <v>275</v>
      </c>
      <c r="O16" s="13">
        <f t="shared" si="2"/>
        <v>275</v>
      </c>
      <c r="P16" s="13">
        <f t="shared" si="2"/>
        <v>290</v>
      </c>
      <c r="Q16" s="13">
        <f t="shared" si="2"/>
        <v>283</v>
      </c>
      <c r="R16" s="13">
        <f t="shared" si="2"/>
        <v>286</v>
      </c>
      <c r="S16" s="13">
        <f t="shared" si="2"/>
        <v>281</v>
      </c>
      <c r="T16" s="13">
        <f t="shared" si="2"/>
        <v>262</v>
      </c>
      <c r="U16" s="13">
        <f t="shared" si="2"/>
        <v>277</v>
      </c>
      <c r="V16" s="13">
        <f t="shared" si="2"/>
        <v>280</v>
      </c>
      <c r="W16" s="13">
        <f t="shared" si="2"/>
        <v>281</v>
      </c>
      <c r="X16" s="13">
        <f t="shared" si="1"/>
        <v>5253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  <c r="O17" s="19"/>
      <c r="P17" s="19"/>
      <c r="Q17" s="19"/>
      <c r="R17" s="19"/>
      <c r="S17" s="80"/>
      <c r="T17" s="19"/>
      <c r="U17" s="19"/>
      <c r="V17" s="19"/>
      <c r="W17" s="19"/>
      <c r="X17" s="81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0"/>
      <c r="O18" s="19"/>
      <c r="P18" s="19"/>
      <c r="Q18" s="19"/>
      <c r="R18" s="19"/>
      <c r="S18" s="80"/>
      <c r="T18" s="19"/>
      <c r="U18" s="19"/>
      <c r="V18" s="19"/>
      <c r="W18" s="19"/>
      <c r="X18" s="81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79">
        <v>73.0</v>
      </c>
      <c r="F19" s="79">
        <v>109.0</v>
      </c>
      <c r="G19" s="79">
        <v>112.0</v>
      </c>
      <c r="H19" s="79">
        <v>93.0</v>
      </c>
      <c r="I19" s="79">
        <v>95.0</v>
      </c>
      <c r="J19" s="79">
        <v>104.0</v>
      </c>
      <c r="K19" s="79">
        <v>96.0</v>
      </c>
      <c r="L19" s="79">
        <v>110.0</v>
      </c>
      <c r="M19" s="79">
        <v>98.0</v>
      </c>
      <c r="N19" s="79">
        <v>104.0</v>
      </c>
      <c r="O19" s="79">
        <v>102.0</v>
      </c>
      <c r="P19" s="79">
        <v>107.0</v>
      </c>
      <c r="Q19" s="79">
        <v>109.0</v>
      </c>
      <c r="R19" s="79">
        <v>97.0</v>
      </c>
      <c r="S19" s="79">
        <v>93.0</v>
      </c>
      <c r="T19" s="79">
        <v>98.0</v>
      </c>
      <c r="U19" s="79">
        <v>113.0</v>
      </c>
      <c r="V19" s="79">
        <v>104.0</v>
      </c>
      <c r="W19" s="79">
        <v>123.0</v>
      </c>
      <c r="X19" s="13">
        <f t="shared" ref="X19:X30" si="3">SUM(E19:W19)</f>
        <v>1940</v>
      </c>
    </row>
    <row r="20" ht="12.75" customHeight="1">
      <c r="A20" s="34"/>
      <c r="B20" s="27"/>
      <c r="C20" s="35"/>
      <c r="D20" s="19" t="s">
        <v>12</v>
      </c>
      <c r="E20" s="79">
        <v>90.0</v>
      </c>
      <c r="F20" s="79">
        <v>112.0</v>
      </c>
      <c r="G20" s="79">
        <v>118.0</v>
      </c>
      <c r="H20" s="79">
        <v>97.0</v>
      </c>
      <c r="I20" s="79">
        <v>88.0</v>
      </c>
      <c r="J20" s="79">
        <v>110.0</v>
      </c>
      <c r="K20" s="79">
        <v>115.0</v>
      </c>
      <c r="L20" s="79">
        <v>117.0</v>
      </c>
      <c r="M20" s="79">
        <v>127.0</v>
      </c>
      <c r="N20" s="79">
        <v>106.0</v>
      </c>
      <c r="O20" s="79">
        <v>119.0</v>
      </c>
      <c r="P20" s="79">
        <v>122.0</v>
      </c>
      <c r="Q20" s="79">
        <v>113.0</v>
      </c>
      <c r="R20" s="79">
        <v>122.0</v>
      </c>
      <c r="S20" s="79">
        <v>120.0</v>
      </c>
      <c r="T20" s="79">
        <v>108.0</v>
      </c>
      <c r="U20" s="79">
        <v>116.0</v>
      </c>
      <c r="V20" s="79">
        <v>119.0</v>
      </c>
      <c r="W20" s="79">
        <v>123.0</v>
      </c>
      <c r="X20" s="13">
        <f t="shared" si="3"/>
        <v>2142</v>
      </c>
    </row>
    <row r="21" ht="12.75" customHeight="1">
      <c r="A21" s="36"/>
      <c r="B21" s="28"/>
      <c r="C21" s="37"/>
      <c r="D21" s="13" t="s">
        <v>13</v>
      </c>
      <c r="E21" s="13">
        <f t="shared" ref="E21:W21" si="4">SUM(E19:E20)</f>
        <v>163</v>
      </c>
      <c r="F21" s="13">
        <f t="shared" si="4"/>
        <v>221</v>
      </c>
      <c r="G21" s="13">
        <f t="shared" si="4"/>
        <v>230</v>
      </c>
      <c r="H21" s="13">
        <f t="shared" si="4"/>
        <v>190</v>
      </c>
      <c r="I21" s="13">
        <f t="shared" si="4"/>
        <v>183</v>
      </c>
      <c r="J21" s="13">
        <f t="shared" si="4"/>
        <v>214</v>
      </c>
      <c r="K21" s="13">
        <f t="shared" si="4"/>
        <v>211</v>
      </c>
      <c r="L21" s="13">
        <f t="shared" si="4"/>
        <v>227</v>
      </c>
      <c r="M21" s="13">
        <f t="shared" si="4"/>
        <v>225</v>
      </c>
      <c r="N21" s="13">
        <f t="shared" si="4"/>
        <v>210</v>
      </c>
      <c r="O21" s="13">
        <f t="shared" si="4"/>
        <v>221</v>
      </c>
      <c r="P21" s="13">
        <f t="shared" si="4"/>
        <v>229</v>
      </c>
      <c r="Q21" s="13">
        <f t="shared" si="4"/>
        <v>222</v>
      </c>
      <c r="R21" s="13">
        <f t="shared" si="4"/>
        <v>219</v>
      </c>
      <c r="S21" s="13">
        <f t="shared" si="4"/>
        <v>213</v>
      </c>
      <c r="T21" s="13">
        <f t="shared" si="4"/>
        <v>206</v>
      </c>
      <c r="U21" s="13">
        <f t="shared" si="4"/>
        <v>229</v>
      </c>
      <c r="V21" s="13">
        <f t="shared" si="4"/>
        <v>223</v>
      </c>
      <c r="W21" s="13">
        <f t="shared" si="4"/>
        <v>246</v>
      </c>
      <c r="X21" s="13">
        <f t="shared" si="3"/>
        <v>4082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13">
        <f t="shared" si="3"/>
        <v>0</v>
      </c>
    </row>
    <row r="23" ht="12.75" customHeight="1">
      <c r="A23" s="34"/>
      <c r="B23" s="27"/>
      <c r="C23" s="35"/>
      <c r="D23" s="19" t="s">
        <v>12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13">
        <f t="shared" si="3"/>
        <v>0</v>
      </c>
    </row>
    <row r="24" ht="12.75" customHeight="1">
      <c r="A24" s="36"/>
      <c r="B24" s="28"/>
      <c r="C24" s="37"/>
      <c r="D24" s="13" t="s">
        <v>13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3"/>
        <v>0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79">
        <v>0.0</v>
      </c>
      <c r="F25" s="79">
        <v>0.0</v>
      </c>
      <c r="G25" s="79">
        <v>2.0</v>
      </c>
      <c r="H25" s="79">
        <v>3.0</v>
      </c>
      <c r="I25" s="79">
        <v>1.0</v>
      </c>
      <c r="J25" s="79">
        <v>0.0</v>
      </c>
      <c r="K25" s="79">
        <v>0.0</v>
      </c>
      <c r="L25" s="79">
        <v>3.0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2.0</v>
      </c>
      <c r="S25" s="79">
        <v>2.0</v>
      </c>
      <c r="T25" s="79">
        <v>0.0</v>
      </c>
      <c r="U25" s="79">
        <v>0.0</v>
      </c>
      <c r="V25" s="79">
        <v>1.0</v>
      </c>
      <c r="W25" s="79">
        <v>0.0</v>
      </c>
      <c r="X25" s="13">
        <f t="shared" si="3"/>
        <v>14</v>
      </c>
    </row>
    <row r="26" ht="12.75" customHeight="1">
      <c r="A26" s="34"/>
      <c r="B26" s="27"/>
      <c r="C26" s="35"/>
      <c r="D26" s="19" t="s">
        <v>12</v>
      </c>
      <c r="E26" s="79">
        <v>1.0</v>
      </c>
      <c r="F26" s="79">
        <v>0.0</v>
      </c>
      <c r="G26" s="79">
        <v>1.0</v>
      </c>
      <c r="H26" s="79">
        <v>3.0</v>
      </c>
      <c r="I26" s="79">
        <v>3.0</v>
      </c>
      <c r="J26" s="79">
        <v>1.0</v>
      </c>
      <c r="K26" s="79">
        <v>0.0</v>
      </c>
      <c r="L26" s="79">
        <v>1.0</v>
      </c>
      <c r="M26" s="79">
        <v>0.0</v>
      </c>
      <c r="N26" s="79">
        <v>0.0</v>
      </c>
      <c r="O26" s="79">
        <v>1.0</v>
      </c>
      <c r="P26" s="79">
        <v>0.0</v>
      </c>
      <c r="Q26" s="79">
        <v>0.0</v>
      </c>
      <c r="R26" s="79">
        <v>3.0</v>
      </c>
      <c r="S26" s="79">
        <v>2.0</v>
      </c>
      <c r="T26" s="79">
        <v>0.0</v>
      </c>
      <c r="U26" s="79">
        <v>2.0</v>
      </c>
      <c r="V26" s="79">
        <v>0.0</v>
      </c>
      <c r="W26" s="79">
        <v>1.0</v>
      </c>
      <c r="X26" s="13">
        <f t="shared" si="3"/>
        <v>19</v>
      </c>
    </row>
    <row r="27" ht="12.75" customHeight="1">
      <c r="A27" s="36"/>
      <c r="B27" s="28"/>
      <c r="C27" s="37"/>
      <c r="D27" s="13" t="s">
        <v>13</v>
      </c>
      <c r="E27" s="13">
        <f t="shared" ref="E27:W27" si="6">SUM(E25:E26)</f>
        <v>1</v>
      </c>
      <c r="F27" s="13">
        <f t="shared" si="6"/>
        <v>0</v>
      </c>
      <c r="G27" s="13">
        <f t="shared" si="6"/>
        <v>3</v>
      </c>
      <c r="H27" s="13">
        <f t="shared" si="6"/>
        <v>6</v>
      </c>
      <c r="I27" s="13">
        <f t="shared" si="6"/>
        <v>4</v>
      </c>
      <c r="J27" s="13">
        <f t="shared" si="6"/>
        <v>1</v>
      </c>
      <c r="K27" s="13">
        <f t="shared" si="6"/>
        <v>0</v>
      </c>
      <c r="L27" s="13">
        <f t="shared" si="6"/>
        <v>4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0</v>
      </c>
      <c r="R27" s="13">
        <f t="shared" si="6"/>
        <v>5</v>
      </c>
      <c r="S27" s="13">
        <f t="shared" si="6"/>
        <v>4</v>
      </c>
      <c r="T27" s="13">
        <f t="shared" si="6"/>
        <v>0</v>
      </c>
      <c r="U27" s="13">
        <f t="shared" si="6"/>
        <v>2</v>
      </c>
      <c r="V27" s="13">
        <f t="shared" si="6"/>
        <v>1</v>
      </c>
      <c r="W27" s="13">
        <f t="shared" si="6"/>
        <v>1</v>
      </c>
      <c r="X27" s="13">
        <f t="shared" si="3"/>
        <v>33</v>
      </c>
    </row>
    <row r="28" ht="12.75" customHeight="1">
      <c r="A28" s="36"/>
      <c r="B28" s="40" t="s">
        <v>22</v>
      </c>
      <c r="C28" s="41" t="s">
        <v>23</v>
      </c>
      <c r="D28" s="13" t="s">
        <v>11</v>
      </c>
      <c r="E28" s="13">
        <f t="shared" ref="E28:W28" si="7">SUM(E19,E22,E25)</f>
        <v>73</v>
      </c>
      <c r="F28" s="13">
        <f t="shared" si="7"/>
        <v>109</v>
      </c>
      <c r="G28" s="13">
        <f t="shared" si="7"/>
        <v>114</v>
      </c>
      <c r="H28" s="13">
        <f t="shared" si="7"/>
        <v>96</v>
      </c>
      <c r="I28" s="13">
        <f t="shared" si="7"/>
        <v>96</v>
      </c>
      <c r="J28" s="13">
        <f t="shared" si="7"/>
        <v>104</v>
      </c>
      <c r="K28" s="13">
        <f t="shared" si="7"/>
        <v>96</v>
      </c>
      <c r="L28" s="13">
        <f t="shared" si="7"/>
        <v>113</v>
      </c>
      <c r="M28" s="13">
        <f t="shared" si="7"/>
        <v>98</v>
      </c>
      <c r="N28" s="13">
        <f t="shared" si="7"/>
        <v>104</v>
      </c>
      <c r="O28" s="13">
        <f t="shared" si="7"/>
        <v>102</v>
      </c>
      <c r="P28" s="13">
        <f t="shared" si="7"/>
        <v>107</v>
      </c>
      <c r="Q28" s="13">
        <f t="shared" si="7"/>
        <v>109</v>
      </c>
      <c r="R28" s="13">
        <f t="shared" si="7"/>
        <v>99</v>
      </c>
      <c r="S28" s="13">
        <f t="shared" si="7"/>
        <v>95</v>
      </c>
      <c r="T28" s="13">
        <f t="shared" si="7"/>
        <v>98</v>
      </c>
      <c r="U28" s="13">
        <f t="shared" si="7"/>
        <v>113</v>
      </c>
      <c r="V28" s="13">
        <f t="shared" si="7"/>
        <v>105</v>
      </c>
      <c r="W28" s="13">
        <f t="shared" si="7"/>
        <v>123</v>
      </c>
      <c r="X28" s="13">
        <f t="shared" si="3"/>
        <v>1954</v>
      </c>
    </row>
    <row r="29" ht="12.75" customHeight="1">
      <c r="A29" s="36"/>
      <c r="B29" s="27"/>
      <c r="C29" s="35"/>
      <c r="D29" s="13" t="s">
        <v>12</v>
      </c>
      <c r="E29" s="13">
        <f t="shared" ref="E29:W29" si="8">SUM(E20,E23,E26)</f>
        <v>91</v>
      </c>
      <c r="F29" s="13">
        <f t="shared" si="8"/>
        <v>112</v>
      </c>
      <c r="G29" s="13">
        <f t="shared" si="8"/>
        <v>119</v>
      </c>
      <c r="H29" s="13">
        <f t="shared" si="8"/>
        <v>100</v>
      </c>
      <c r="I29" s="13">
        <f t="shared" si="8"/>
        <v>91</v>
      </c>
      <c r="J29" s="13">
        <f t="shared" si="8"/>
        <v>111</v>
      </c>
      <c r="K29" s="13">
        <f t="shared" si="8"/>
        <v>115</v>
      </c>
      <c r="L29" s="13">
        <f t="shared" si="8"/>
        <v>118</v>
      </c>
      <c r="M29" s="13">
        <f t="shared" si="8"/>
        <v>127</v>
      </c>
      <c r="N29" s="13">
        <f t="shared" si="8"/>
        <v>106</v>
      </c>
      <c r="O29" s="13">
        <f t="shared" si="8"/>
        <v>120</v>
      </c>
      <c r="P29" s="13">
        <f t="shared" si="8"/>
        <v>122</v>
      </c>
      <c r="Q29" s="13">
        <f t="shared" si="8"/>
        <v>113</v>
      </c>
      <c r="R29" s="13">
        <f t="shared" si="8"/>
        <v>125</v>
      </c>
      <c r="S29" s="13">
        <f t="shared" si="8"/>
        <v>122</v>
      </c>
      <c r="T29" s="13">
        <f t="shared" si="8"/>
        <v>108</v>
      </c>
      <c r="U29" s="13">
        <f t="shared" si="8"/>
        <v>118</v>
      </c>
      <c r="V29" s="13">
        <f t="shared" si="8"/>
        <v>119</v>
      </c>
      <c r="W29" s="13">
        <f t="shared" si="8"/>
        <v>124</v>
      </c>
      <c r="X29" s="13">
        <f t="shared" si="3"/>
        <v>2161</v>
      </c>
    </row>
    <row r="30" ht="12.75" customHeight="1">
      <c r="A30" s="36"/>
      <c r="B30" s="28"/>
      <c r="C30" s="37"/>
      <c r="D30" s="13" t="s">
        <v>13</v>
      </c>
      <c r="E30" s="13">
        <f t="shared" ref="E30:W30" si="9">SUM(E28:E29)</f>
        <v>164</v>
      </c>
      <c r="F30" s="13">
        <f t="shared" si="9"/>
        <v>221</v>
      </c>
      <c r="G30" s="13">
        <f t="shared" si="9"/>
        <v>233</v>
      </c>
      <c r="H30" s="13">
        <f t="shared" si="9"/>
        <v>196</v>
      </c>
      <c r="I30" s="13">
        <f t="shared" si="9"/>
        <v>187</v>
      </c>
      <c r="J30" s="13">
        <f t="shared" si="9"/>
        <v>215</v>
      </c>
      <c r="K30" s="13">
        <f t="shared" si="9"/>
        <v>211</v>
      </c>
      <c r="L30" s="13">
        <f t="shared" si="9"/>
        <v>231</v>
      </c>
      <c r="M30" s="13">
        <f t="shared" si="9"/>
        <v>225</v>
      </c>
      <c r="N30" s="13">
        <f t="shared" si="9"/>
        <v>210</v>
      </c>
      <c r="O30" s="13">
        <f t="shared" si="9"/>
        <v>222</v>
      </c>
      <c r="P30" s="13">
        <f t="shared" si="9"/>
        <v>229</v>
      </c>
      <c r="Q30" s="13">
        <f t="shared" si="9"/>
        <v>222</v>
      </c>
      <c r="R30" s="13">
        <f t="shared" si="9"/>
        <v>224</v>
      </c>
      <c r="S30" s="13">
        <f t="shared" si="9"/>
        <v>217</v>
      </c>
      <c r="T30" s="13">
        <f t="shared" si="9"/>
        <v>206</v>
      </c>
      <c r="U30" s="13">
        <f t="shared" si="9"/>
        <v>231</v>
      </c>
      <c r="V30" s="13">
        <f t="shared" si="9"/>
        <v>224</v>
      </c>
      <c r="W30" s="13">
        <f t="shared" si="9"/>
        <v>247</v>
      </c>
      <c r="X30" s="13">
        <f t="shared" si="3"/>
        <v>4115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  <c r="O31" s="19"/>
      <c r="P31" s="19"/>
      <c r="Q31" s="19"/>
      <c r="R31" s="19"/>
      <c r="S31" s="80"/>
      <c r="T31" s="19"/>
      <c r="U31" s="19"/>
      <c r="V31" s="19"/>
      <c r="W31" s="19"/>
      <c r="X31" s="81"/>
    </row>
    <row r="32" ht="12.75" customHeight="1">
      <c r="A32" s="44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2"/>
      <c r="O32" s="13"/>
      <c r="P32" s="13"/>
      <c r="Q32" s="13"/>
      <c r="R32" s="13"/>
      <c r="S32" s="82"/>
      <c r="T32" s="13"/>
      <c r="U32" s="13"/>
      <c r="V32" s="13"/>
      <c r="W32" s="13"/>
      <c r="X32" s="81"/>
    </row>
    <row r="33" ht="12.75" customHeight="1">
      <c r="A33" s="19">
        <v>1.0</v>
      </c>
      <c r="B33" s="20" t="s">
        <v>26</v>
      </c>
      <c r="C33" s="15"/>
      <c r="D33" s="16"/>
      <c r="E33" s="79">
        <v>269.0</v>
      </c>
      <c r="F33" s="79">
        <v>279.0</v>
      </c>
      <c r="G33" s="79">
        <v>284.0</v>
      </c>
      <c r="H33" s="79">
        <v>270.0</v>
      </c>
      <c r="I33" s="79">
        <v>246.0</v>
      </c>
      <c r="J33" s="79">
        <v>274.0</v>
      </c>
      <c r="K33" s="79">
        <v>284.0</v>
      </c>
      <c r="L33" s="79">
        <v>285.0</v>
      </c>
      <c r="M33" s="79">
        <v>287.0</v>
      </c>
      <c r="N33" s="79">
        <v>255.0</v>
      </c>
      <c r="O33" s="79">
        <v>278.0</v>
      </c>
      <c r="P33" s="79">
        <v>293.0</v>
      </c>
      <c r="Q33" s="79">
        <v>286.0</v>
      </c>
      <c r="R33" s="79">
        <v>293.0</v>
      </c>
      <c r="S33" s="79">
        <v>284.0</v>
      </c>
      <c r="T33" s="79">
        <v>265.0</v>
      </c>
      <c r="U33" s="79">
        <v>280.0</v>
      </c>
      <c r="V33" s="79">
        <v>283.0</v>
      </c>
      <c r="W33" s="79">
        <v>295.0</v>
      </c>
      <c r="X33" s="13">
        <f t="shared" ref="X33:X36" si="10">SUM(E33:W33)</f>
        <v>5290</v>
      </c>
    </row>
    <row r="34" ht="12.75" customHeight="1">
      <c r="A34" s="19">
        <v>2.0</v>
      </c>
      <c r="B34" s="20" t="s">
        <v>27</v>
      </c>
      <c r="C34" s="15"/>
      <c r="D34" s="16"/>
      <c r="E34" s="73">
        <v>164.0</v>
      </c>
      <c r="F34" s="73">
        <v>221.0</v>
      </c>
      <c r="G34" s="73">
        <v>233.0</v>
      </c>
      <c r="H34" s="73">
        <v>196.0</v>
      </c>
      <c r="I34" s="73">
        <v>187.0</v>
      </c>
      <c r="J34" s="73">
        <v>215.0</v>
      </c>
      <c r="K34" s="73">
        <v>211.0</v>
      </c>
      <c r="L34" s="73">
        <v>231.0</v>
      </c>
      <c r="M34" s="73">
        <v>225.0</v>
      </c>
      <c r="N34" s="73">
        <v>210.0</v>
      </c>
      <c r="O34" s="73">
        <v>222.0</v>
      </c>
      <c r="P34" s="73">
        <v>229.0</v>
      </c>
      <c r="Q34" s="73">
        <v>222.0</v>
      </c>
      <c r="R34" s="73">
        <v>224.0</v>
      </c>
      <c r="S34" s="73">
        <v>217.0</v>
      </c>
      <c r="T34" s="73">
        <v>206.0</v>
      </c>
      <c r="U34" s="73">
        <v>231.0</v>
      </c>
      <c r="V34" s="73">
        <v>224.0</v>
      </c>
      <c r="W34" s="73">
        <v>247.0</v>
      </c>
      <c r="X34" s="13">
        <f t="shared" si="10"/>
        <v>4115</v>
      </c>
    </row>
    <row r="35" ht="12.75" customHeight="1">
      <c r="A35" s="19">
        <v>3.0</v>
      </c>
      <c r="B35" s="20" t="s">
        <v>28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2.0</v>
      </c>
      <c r="R35" s="79">
        <v>0.0</v>
      </c>
      <c r="S35" s="79">
        <v>0.0</v>
      </c>
      <c r="T35" s="79">
        <v>0.0</v>
      </c>
      <c r="U35" s="79">
        <v>0.0</v>
      </c>
      <c r="V35" s="79">
        <v>0.0</v>
      </c>
      <c r="W35" s="79">
        <v>0.0</v>
      </c>
      <c r="X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105</v>
      </c>
      <c r="F36" s="13">
        <f t="shared" si="11"/>
        <v>58</v>
      </c>
      <c r="G36" s="13">
        <f t="shared" si="11"/>
        <v>51</v>
      </c>
      <c r="H36" s="13">
        <f t="shared" si="11"/>
        <v>74</v>
      </c>
      <c r="I36" s="13">
        <f t="shared" si="11"/>
        <v>59</v>
      </c>
      <c r="J36" s="13">
        <f t="shared" si="11"/>
        <v>59</v>
      </c>
      <c r="K36" s="13">
        <f t="shared" si="11"/>
        <v>73</v>
      </c>
      <c r="L36" s="13">
        <f t="shared" si="11"/>
        <v>54</v>
      </c>
      <c r="M36" s="13">
        <f t="shared" si="11"/>
        <v>62</v>
      </c>
      <c r="N36" s="13">
        <f t="shared" si="11"/>
        <v>45</v>
      </c>
      <c r="O36" s="13">
        <f t="shared" si="11"/>
        <v>56</v>
      </c>
      <c r="P36" s="13">
        <f t="shared" si="11"/>
        <v>64</v>
      </c>
      <c r="Q36" s="13">
        <f t="shared" si="11"/>
        <v>62</v>
      </c>
      <c r="R36" s="13">
        <f t="shared" si="11"/>
        <v>69</v>
      </c>
      <c r="S36" s="13">
        <f t="shared" si="11"/>
        <v>67</v>
      </c>
      <c r="T36" s="13">
        <f t="shared" si="11"/>
        <v>59</v>
      </c>
      <c r="U36" s="13">
        <f t="shared" si="11"/>
        <v>49</v>
      </c>
      <c r="V36" s="13">
        <f t="shared" si="11"/>
        <v>59</v>
      </c>
      <c r="W36" s="13">
        <f t="shared" si="11"/>
        <v>48</v>
      </c>
      <c r="X36" s="13">
        <f t="shared" si="10"/>
        <v>1173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  <c r="O37" s="19"/>
      <c r="P37" s="19"/>
      <c r="Q37" s="19"/>
      <c r="R37" s="19"/>
      <c r="S37" s="80"/>
      <c r="T37" s="19"/>
      <c r="U37" s="19"/>
      <c r="V37" s="19"/>
      <c r="W37" s="19"/>
      <c r="X37" s="81"/>
    </row>
    <row r="38" ht="12.75" customHeight="1">
      <c r="A38" s="45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2"/>
      <c r="O38" s="13"/>
      <c r="P38" s="13"/>
      <c r="Q38" s="13"/>
      <c r="R38" s="13"/>
      <c r="S38" s="82"/>
      <c r="T38" s="13"/>
      <c r="U38" s="13"/>
      <c r="V38" s="13"/>
      <c r="W38" s="13"/>
      <c r="X38" s="81"/>
    </row>
    <row r="39" ht="12.75" customHeight="1">
      <c r="A39" s="31"/>
      <c r="B39" s="46" t="s">
        <v>32</v>
      </c>
      <c r="C39" s="23"/>
      <c r="D39" s="19" t="s">
        <v>11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1.0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13">
        <f t="shared" ref="X39:X41" si="12">SUM(E39:W39)</f>
        <v>1</v>
      </c>
    </row>
    <row r="40" ht="12.75" customHeight="1">
      <c r="A40" s="34"/>
      <c r="C40" s="27"/>
      <c r="D40" s="19" t="s">
        <v>12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1.0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79">
        <v>0.0</v>
      </c>
      <c r="U40" s="79">
        <v>0.0</v>
      </c>
      <c r="V40" s="79">
        <v>0.0</v>
      </c>
      <c r="W40" s="79">
        <v>0.0</v>
      </c>
      <c r="X40" s="13">
        <f t="shared" si="12"/>
        <v>1</v>
      </c>
    </row>
    <row r="41" ht="12.75" customHeight="1">
      <c r="A41" s="44"/>
      <c r="B41" s="47"/>
      <c r="C41" s="28"/>
      <c r="D41" s="13" t="s">
        <v>13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2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2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0"/>
      <c r="O42" s="19"/>
      <c r="P42" s="19"/>
      <c r="Q42" s="19"/>
      <c r="R42" s="19"/>
      <c r="S42" s="80"/>
      <c r="T42" s="19"/>
      <c r="U42" s="19"/>
      <c r="V42" s="19"/>
      <c r="W42" s="19"/>
      <c r="X42" s="13"/>
    </row>
    <row r="43" ht="12.75" customHeight="1">
      <c r="A43" s="45" t="s">
        <v>33</v>
      </c>
      <c r="B43" s="14" t="s">
        <v>34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82"/>
      <c r="O43" s="13"/>
      <c r="P43" s="13"/>
      <c r="Q43" s="13"/>
      <c r="R43" s="13"/>
      <c r="S43" s="82"/>
      <c r="T43" s="13"/>
      <c r="U43" s="13"/>
      <c r="V43" s="13"/>
      <c r="W43" s="13"/>
      <c r="X43" s="13"/>
    </row>
    <row r="44" ht="12.75" customHeight="1">
      <c r="A44" s="46" t="s">
        <v>35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0"/>
      <c r="O44" s="19"/>
      <c r="P44" s="19"/>
      <c r="Q44" s="19"/>
      <c r="R44" s="19"/>
      <c r="S44" s="80"/>
      <c r="T44" s="19"/>
      <c r="U44" s="19"/>
      <c r="V44" s="19"/>
      <c r="W44" s="19"/>
      <c r="X44" s="13"/>
    </row>
    <row r="45" ht="12.75" customHeight="1">
      <c r="A45" s="31" t="s">
        <v>36</v>
      </c>
      <c r="B45" s="50" t="s">
        <v>16</v>
      </c>
      <c r="C45" s="51" t="s">
        <v>37</v>
      </c>
      <c r="D45" s="16"/>
      <c r="E45" s="79">
        <v>11.0</v>
      </c>
      <c r="F45" s="79">
        <v>8.0</v>
      </c>
      <c r="G45" s="79">
        <v>10.0</v>
      </c>
      <c r="H45" s="79">
        <v>9.0</v>
      </c>
      <c r="I45" s="79">
        <v>12.0</v>
      </c>
      <c r="J45" s="79">
        <v>13.0</v>
      </c>
      <c r="K45" s="79">
        <v>8.0</v>
      </c>
      <c r="L45" s="79">
        <v>10.0</v>
      </c>
      <c r="M45" s="79">
        <v>2.0</v>
      </c>
      <c r="N45" s="79">
        <v>3.0</v>
      </c>
      <c r="O45" s="79">
        <v>9.0</v>
      </c>
      <c r="P45" s="79">
        <v>7.0</v>
      </c>
      <c r="Q45" s="79">
        <v>14.0</v>
      </c>
      <c r="R45" s="79">
        <v>12.0</v>
      </c>
      <c r="S45" s="79">
        <v>19.0</v>
      </c>
      <c r="T45" s="79">
        <v>7.0</v>
      </c>
      <c r="U45" s="79">
        <v>17.0</v>
      </c>
      <c r="V45" s="79">
        <v>13.0</v>
      </c>
      <c r="W45" s="79">
        <v>2.0</v>
      </c>
      <c r="X45" s="13">
        <f t="shared" ref="X45:X55" si="14">SUM(E45:W45)</f>
        <v>186</v>
      </c>
    </row>
    <row r="46" ht="12.75" customHeight="1">
      <c r="A46" s="31" t="s">
        <v>38</v>
      </c>
      <c r="B46" s="52"/>
      <c r="C46" s="53" t="s">
        <v>39</v>
      </c>
      <c r="D46" s="53"/>
      <c r="E46" s="79">
        <v>21.0</v>
      </c>
      <c r="F46" s="79">
        <v>11.0</v>
      </c>
      <c r="G46" s="79">
        <v>16.0</v>
      </c>
      <c r="H46" s="79">
        <v>30.0</v>
      </c>
      <c r="I46" s="79">
        <v>15.0</v>
      </c>
      <c r="J46" s="79">
        <v>9.0</v>
      </c>
      <c r="K46" s="79">
        <v>10.0</v>
      </c>
      <c r="L46" s="79">
        <v>9.0</v>
      </c>
      <c r="M46" s="79">
        <v>8.0</v>
      </c>
      <c r="N46" s="79">
        <v>5.0</v>
      </c>
      <c r="O46" s="79">
        <v>12.0</v>
      </c>
      <c r="P46" s="79">
        <v>17.0</v>
      </c>
      <c r="Q46" s="79">
        <v>55.0</v>
      </c>
      <c r="R46" s="79">
        <v>45.0</v>
      </c>
      <c r="S46" s="79">
        <v>25.0</v>
      </c>
      <c r="T46" s="79">
        <v>36.0</v>
      </c>
      <c r="U46" s="79">
        <v>39.0</v>
      </c>
      <c r="V46" s="79">
        <v>40.0</v>
      </c>
      <c r="W46" s="79">
        <v>9.0</v>
      </c>
      <c r="X46" s="13">
        <f t="shared" si="14"/>
        <v>412</v>
      </c>
    </row>
    <row r="47" ht="12.75" customHeight="1">
      <c r="A47" s="18"/>
      <c r="B47" s="58"/>
      <c r="C47" s="53" t="s">
        <v>40</v>
      </c>
      <c r="D47" s="53"/>
      <c r="E47" s="79">
        <v>3.0</v>
      </c>
      <c r="F47" s="79">
        <v>1.0</v>
      </c>
      <c r="G47" s="79">
        <v>3.0</v>
      </c>
      <c r="H47" s="79">
        <v>1.0</v>
      </c>
      <c r="I47" s="79">
        <v>3.0</v>
      </c>
      <c r="J47" s="79">
        <v>8.0</v>
      </c>
      <c r="K47" s="79">
        <v>1.0</v>
      </c>
      <c r="L47" s="79">
        <v>1.0</v>
      </c>
      <c r="M47" s="79">
        <v>0.0</v>
      </c>
      <c r="N47" s="79">
        <v>1.0</v>
      </c>
      <c r="O47" s="79">
        <v>3.0</v>
      </c>
      <c r="P47" s="79">
        <v>1.0</v>
      </c>
      <c r="Q47" s="79">
        <v>3.0</v>
      </c>
      <c r="R47" s="79">
        <v>7.0</v>
      </c>
      <c r="S47" s="79">
        <v>4.0</v>
      </c>
      <c r="T47" s="79">
        <v>6.0</v>
      </c>
      <c r="U47" s="79">
        <v>1.0</v>
      </c>
      <c r="V47" s="79">
        <v>9.0</v>
      </c>
      <c r="W47" s="79">
        <v>0.0</v>
      </c>
      <c r="X47" s="13">
        <f t="shared" si="14"/>
        <v>56</v>
      </c>
    </row>
    <row r="48" ht="12.75" customHeight="1">
      <c r="A48" s="18"/>
      <c r="B48" s="58"/>
      <c r="C48" s="53" t="s">
        <v>41</v>
      </c>
      <c r="D48" s="53"/>
      <c r="E48" s="79">
        <v>1.0</v>
      </c>
      <c r="F48" s="79">
        <v>0.0</v>
      </c>
      <c r="G48" s="79">
        <v>1.0</v>
      </c>
      <c r="H48" s="79">
        <v>1.0</v>
      </c>
      <c r="I48" s="79">
        <v>2.0</v>
      </c>
      <c r="J48" s="79">
        <v>0.0</v>
      </c>
      <c r="K48" s="79">
        <v>1.0</v>
      </c>
      <c r="L48" s="79">
        <v>1.0</v>
      </c>
      <c r="M48" s="79">
        <v>0.0</v>
      </c>
      <c r="N48" s="79">
        <v>2.0</v>
      </c>
      <c r="O48" s="79">
        <v>1.0</v>
      </c>
      <c r="P48" s="79">
        <v>3.0</v>
      </c>
      <c r="Q48" s="79">
        <v>0.0</v>
      </c>
      <c r="R48" s="79">
        <v>0.0</v>
      </c>
      <c r="S48" s="79">
        <v>0.0</v>
      </c>
      <c r="T48" s="19"/>
      <c r="U48" s="79">
        <v>3.0</v>
      </c>
      <c r="V48" s="79">
        <v>0.0</v>
      </c>
      <c r="W48" s="79">
        <v>0.0</v>
      </c>
      <c r="X48" s="13">
        <f t="shared" si="14"/>
        <v>16</v>
      </c>
    </row>
    <row r="49" ht="12.75" customHeight="1">
      <c r="A49" s="18"/>
      <c r="B49" s="58"/>
      <c r="C49" s="53" t="s">
        <v>42</v>
      </c>
      <c r="D49" s="53"/>
      <c r="E49" s="79">
        <v>1.0</v>
      </c>
      <c r="F49" s="79">
        <v>2.0</v>
      </c>
      <c r="G49" s="79">
        <v>1.0</v>
      </c>
      <c r="H49" s="79">
        <v>0.0</v>
      </c>
      <c r="I49" s="79">
        <v>2.0</v>
      </c>
      <c r="J49" s="79">
        <v>0.0</v>
      </c>
      <c r="K49" s="79">
        <v>1.0</v>
      </c>
      <c r="L49" s="79">
        <v>0.0</v>
      </c>
      <c r="M49" s="79">
        <v>0.0</v>
      </c>
      <c r="N49" s="79">
        <v>1.0</v>
      </c>
      <c r="O49" s="79">
        <v>2.0</v>
      </c>
      <c r="P49" s="79">
        <v>2.0</v>
      </c>
      <c r="Q49" s="79">
        <v>0.0</v>
      </c>
      <c r="R49" s="79">
        <v>0.0</v>
      </c>
      <c r="S49" s="79">
        <v>3.0</v>
      </c>
      <c r="T49" s="19"/>
      <c r="U49" s="79">
        <v>1.0</v>
      </c>
      <c r="V49" s="79">
        <v>1.0</v>
      </c>
      <c r="W49" s="79">
        <v>1.0</v>
      </c>
      <c r="X49" s="13">
        <f t="shared" si="14"/>
        <v>18</v>
      </c>
    </row>
    <row r="50" ht="12.75" customHeight="1">
      <c r="A50" s="18"/>
      <c r="B50" s="58"/>
      <c r="C50" s="53" t="s">
        <v>43</v>
      </c>
      <c r="D50" s="53"/>
      <c r="E50" s="79">
        <v>0.0</v>
      </c>
      <c r="F50" s="79"/>
      <c r="G50" s="79">
        <v>2.0</v>
      </c>
      <c r="H50" s="79">
        <v>1.0</v>
      </c>
      <c r="I50" s="79">
        <v>0.0</v>
      </c>
      <c r="J50" s="79">
        <v>1.0</v>
      </c>
      <c r="K50" s="79">
        <v>0.0</v>
      </c>
      <c r="L50" s="79">
        <v>0.0</v>
      </c>
      <c r="M50" s="79">
        <v>0.0</v>
      </c>
      <c r="N50" s="79">
        <v>0.0</v>
      </c>
      <c r="O50" s="79">
        <v>0.0</v>
      </c>
      <c r="P50" s="79"/>
      <c r="Q50" s="79">
        <v>1.0</v>
      </c>
      <c r="R50" s="79">
        <v>0.0</v>
      </c>
      <c r="S50" s="79">
        <v>0.0</v>
      </c>
      <c r="T50" s="79">
        <v>1.0</v>
      </c>
      <c r="U50" s="79">
        <v>3.0</v>
      </c>
      <c r="V50" s="79">
        <v>1.0</v>
      </c>
      <c r="W50" s="79">
        <v>0.0</v>
      </c>
      <c r="X50" s="13">
        <f t="shared" si="14"/>
        <v>10</v>
      </c>
    </row>
    <row r="51" ht="12.75" customHeight="1">
      <c r="A51" s="18"/>
      <c r="B51" s="58"/>
      <c r="C51" s="53" t="s">
        <v>44</v>
      </c>
      <c r="D51" s="53"/>
      <c r="E51" s="79">
        <v>1.0</v>
      </c>
      <c r="F51" s="79"/>
      <c r="G51" s="79">
        <v>2.0</v>
      </c>
      <c r="H51" s="79">
        <v>1.0</v>
      </c>
      <c r="I51" s="79">
        <v>0.0</v>
      </c>
      <c r="J51" s="79">
        <v>0.0</v>
      </c>
      <c r="K51" s="79">
        <v>1.0</v>
      </c>
      <c r="L51" s="79">
        <v>0.0</v>
      </c>
      <c r="M51" s="79">
        <v>0.0</v>
      </c>
      <c r="N51" s="79">
        <v>0.0</v>
      </c>
      <c r="O51" s="79">
        <v>0.0</v>
      </c>
      <c r="P51" s="79"/>
      <c r="Q51" s="79">
        <v>0.0</v>
      </c>
      <c r="R51" s="79">
        <v>1.0</v>
      </c>
      <c r="S51" s="79">
        <v>2.0</v>
      </c>
      <c r="T51" s="79">
        <v>1.0</v>
      </c>
      <c r="U51" s="79">
        <v>1.0</v>
      </c>
      <c r="V51" s="79">
        <v>1.0</v>
      </c>
      <c r="W51" s="79">
        <v>0.0</v>
      </c>
      <c r="X51" s="13">
        <f t="shared" si="14"/>
        <v>11</v>
      </c>
    </row>
    <row r="52" ht="12.75" customHeight="1">
      <c r="A52" s="18"/>
      <c r="B52" s="58"/>
      <c r="C52" s="53" t="s">
        <v>45</v>
      </c>
      <c r="D52" s="53"/>
      <c r="E52" s="79">
        <v>0.0</v>
      </c>
      <c r="F52" s="79">
        <v>2.0</v>
      </c>
      <c r="G52" s="79">
        <v>0.0</v>
      </c>
      <c r="H52" s="79">
        <v>0.0</v>
      </c>
      <c r="I52" s="79">
        <v>1.0</v>
      </c>
      <c r="J52" s="79">
        <v>0.0</v>
      </c>
      <c r="K52" s="79">
        <v>1.0</v>
      </c>
      <c r="L52" s="79">
        <v>0.0</v>
      </c>
      <c r="M52" s="79">
        <v>0.0</v>
      </c>
      <c r="N52" s="79">
        <v>0.0</v>
      </c>
      <c r="O52" s="79">
        <v>0.0</v>
      </c>
      <c r="P52" s="79">
        <v>1.0</v>
      </c>
      <c r="Q52" s="79">
        <v>0.0</v>
      </c>
      <c r="R52" s="79">
        <v>0.0</v>
      </c>
      <c r="S52" s="79">
        <v>0.0</v>
      </c>
      <c r="T52" s="79">
        <v>1.0</v>
      </c>
      <c r="U52" s="79">
        <v>1.0</v>
      </c>
      <c r="V52" s="79">
        <v>0.0</v>
      </c>
      <c r="W52" s="79">
        <v>0.0</v>
      </c>
      <c r="X52" s="13">
        <f t="shared" si="14"/>
        <v>7</v>
      </c>
    </row>
    <row r="53" ht="12.75" customHeight="1">
      <c r="A53" s="18"/>
      <c r="B53" s="58"/>
      <c r="C53" s="53" t="s">
        <v>46</v>
      </c>
      <c r="D53" s="53"/>
      <c r="E53" s="79">
        <v>0.0</v>
      </c>
      <c r="F53" s="79">
        <v>1.0</v>
      </c>
      <c r="G53" s="79">
        <v>2.0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/>
      <c r="Q53" s="79">
        <v>0.0</v>
      </c>
      <c r="R53" s="79">
        <v>0.0</v>
      </c>
      <c r="S53" s="79">
        <v>0.0</v>
      </c>
      <c r="T53" s="19"/>
      <c r="U53" s="19"/>
      <c r="V53" s="79">
        <v>1.0</v>
      </c>
      <c r="W53" s="79">
        <v>0.0</v>
      </c>
      <c r="X53" s="13">
        <f t="shared" si="14"/>
        <v>4</v>
      </c>
    </row>
    <row r="54" ht="12.75" customHeight="1">
      <c r="A54" s="18"/>
      <c r="B54" s="58"/>
      <c r="C54" s="53" t="s">
        <v>47</v>
      </c>
      <c r="D54" s="53"/>
      <c r="E54" s="79">
        <v>0.0</v>
      </c>
      <c r="F54" s="79"/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1.0</v>
      </c>
      <c r="O54" s="79">
        <v>0.0</v>
      </c>
      <c r="P54" s="79"/>
      <c r="Q54" s="79">
        <v>1.0</v>
      </c>
      <c r="R54" s="79">
        <v>0.0</v>
      </c>
      <c r="S54" s="79">
        <v>0.0</v>
      </c>
      <c r="T54" s="19"/>
      <c r="U54" s="79">
        <v>1.0</v>
      </c>
      <c r="V54" s="79">
        <v>0.0</v>
      </c>
      <c r="W54" s="79">
        <v>0.0</v>
      </c>
      <c r="X54" s="13">
        <f t="shared" si="14"/>
        <v>3</v>
      </c>
    </row>
    <row r="55" ht="12.75" customHeight="1">
      <c r="A55" s="19" t="s">
        <v>14</v>
      </c>
      <c r="B55" s="50" t="s">
        <v>48</v>
      </c>
      <c r="C55" s="15"/>
      <c r="D55" s="16"/>
      <c r="E55" s="13">
        <f t="shared" ref="E55:W55" si="15">SUM(E45:E54)</f>
        <v>38</v>
      </c>
      <c r="F55" s="13">
        <f t="shared" si="15"/>
        <v>25</v>
      </c>
      <c r="G55" s="13">
        <f t="shared" si="15"/>
        <v>37</v>
      </c>
      <c r="H55" s="13">
        <f t="shared" si="15"/>
        <v>43</v>
      </c>
      <c r="I55" s="13">
        <f t="shared" si="15"/>
        <v>35</v>
      </c>
      <c r="J55" s="13">
        <f t="shared" si="15"/>
        <v>31</v>
      </c>
      <c r="K55" s="13">
        <f t="shared" si="15"/>
        <v>23</v>
      </c>
      <c r="L55" s="13">
        <f t="shared" si="15"/>
        <v>21</v>
      </c>
      <c r="M55" s="13">
        <f t="shared" si="15"/>
        <v>10</v>
      </c>
      <c r="N55" s="13">
        <f t="shared" si="15"/>
        <v>13</v>
      </c>
      <c r="O55" s="13">
        <f t="shared" si="15"/>
        <v>27</v>
      </c>
      <c r="P55" s="13">
        <f t="shared" si="15"/>
        <v>31</v>
      </c>
      <c r="Q55" s="13">
        <f t="shared" si="15"/>
        <v>74</v>
      </c>
      <c r="R55" s="13">
        <f t="shared" si="15"/>
        <v>65</v>
      </c>
      <c r="S55" s="13">
        <f t="shared" si="15"/>
        <v>53</v>
      </c>
      <c r="T55" s="13">
        <f t="shared" si="15"/>
        <v>52</v>
      </c>
      <c r="U55" s="13">
        <f t="shared" si="15"/>
        <v>67</v>
      </c>
      <c r="V55" s="13">
        <f t="shared" si="15"/>
        <v>66</v>
      </c>
      <c r="W55" s="13">
        <f t="shared" si="15"/>
        <v>12</v>
      </c>
      <c r="X55" s="13">
        <f t="shared" si="14"/>
        <v>723</v>
      </c>
    </row>
    <row r="56" ht="12.75" customHeight="1">
      <c r="A56" s="48"/>
      <c r="B56" s="47"/>
      <c r="C56" s="47"/>
      <c r="D56" s="47"/>
      <c r="E56" s="47"/>
      <c r="X56" s="13"/>
    </row>
    <row r="57" ht="12.75" customHeight="1">
      <c r="A57" s="31" t="s">
        <v>36</v>
      </c>
      <c r="B57" s="50" t="s">
        <v>18</v>
      </c>
      <c r="C57" s="51" t="s">
        <v>49</v>
      </c>
      <c r="D57" s="16"/>
      <c r="E57" s="79">
        <v>11.0</v>
      </c>
      <c r="F57" s="79">
        <v>10.0</v>
      </c>
      <c r="G57" s="79">
        <v>21.0</v>
      </c>
      <c r="H57" s="79">
        <v>11.0</v>
      </c>
      <c r="I57" s="79">
        <v>12.0</v>
      </c>
      <c r="J57" s="79">
        <v>10.0</v>
      </c>
      <c r="K57" s="79">
        <v>11.0</v>
      </c>
      <c r="L57" s="79">
        <v>8.0</v>
      </c>
      <c r="M57" s="79">
        <v>4.0</v>
      </c>
      <c r="N57" s="79">
        <v>8.0</v>
      </c>
      <c r="O57" s="79">
        <v>22.0</v>
      </c>
      <c r="P57" s="79">
        <v>18.0</v>
      </c>
      <c r="Q57" s="79">
        <v>7.0</v>
      </c>
      <c r="R57" s="79">
        <v>9.0</v>
      </c>
      <c r="S57" s="79">
        <v>18.0</v>
      </c>
      <c r="T57" s="79">
        <v>7.0</v>
      </c>
      <c r="U57" s="79">
        <v>6.0</v>
      </c>
      <c r="V57" s="79">
        <v>3.0</v>
      </c>
      <c r="W57" s="79">
        <v>6.0</v>
      </c>
      <c r="X57" s="13">
        <f t="shared" ref="X57:X67" si="16">SUM(E57:W57)</f>
        <v>202</v>
      </c>
    </row>
    <row r="58" ht="12.75" customHeight="1">
      <c r="A58" s="31" t="s">
        <v>38</v>
      </c>
      <c r="B58" s="58"/>
      <c r="C58" s="53" t="s">
        <v>50</v>
      </c>
      <c r="D58" s="60"/>
      <c r="E58" s="79">
        <v>3.0</v>
      </c>
      <c r="F58" s="79">
        <v>3.0</v>
      </c>
      <c r="G58" s="79">
        <v>14.0</v>
      </c>
      <c r="H58" s="79">
        <v>9.0</v>
      </c>
      <c r="I58" s="79">
        <v>4.0</v>
      </c>
      <c r="J58" s="79">
        <v>4.0</v>
      </c>
      <c r="K58" s="79">
        <v>5.0</v>
      </c>
      <c r="L58" s="79">
        <v>5.0</v>
      </c>
      <c r="M58" s="79">
        <v>2.0</v>
      </c>
      <c r="N58" s="79">
        <v>6.0</v>
      </c>
      <c r="O58" s="79">
        <v>7.0</v>
      </c>
      <c r="P58" s="79">
        <v>5.0</v>
      </c>
      <c r="Q58" s="79">
        <v>4.0</v>
      </c>
      <c r="R58" s="79">
        <v>6.0</v>
      </c>
      <c r="S58" s="79">
        <v>8.0</v>
      </c>
      <c r="T58" s="79">
        <v>3.0</v>
      </c>
      <c r="U58" s="79">
        <v>7.0</v>
      </c>
      <c r="V58" s="79">
        <v>7.0</v>
      </c>
      <c r="W58" s="79">
        <v>6.0</v>
      </c>
      <c r="X58" s="13">
        <f t="shared" si="16"/>
        <v>108</v>
      </c>
    </row>
    <row r="59" ht="12.75" customHeight="1">
      <c r="A59" s="18"/>
      <c r="B59" s="58"/>
      <c r="C59" s="53" t="s">
        <v>51</v>
      </c>
      <c r="D59" s="60"/>
      <c r="E59" s="79">
        <v>3.0</v>
      </c>
      <c r="F59" s="79">
        <v>10.0</v>
      </c>
      <c r="G59" s="79">
        <v>11.0</v>
      </c>
      <c r="H59" s="79">
        <v>7.0</v>
      </c>
      <c r="I59" s="79">
        <v>10.0</v>
      </c>
      <c r="J59" s="79">
        <v>6.0</v>
      </c>
      <c r="K59" s="79">
        <v>28.0</v>
      </c>
      <c r="L59" s="79">
        <v>16.0</v>
      </c>
      <c r="M59" s="79">
        <v>1.0</v>
      </c>
      <c r="N59" s="79">
        <v>11.0</v>
      </c>
      <c r="O59" s="79">
        <v>12.0</v>
      </c>
      <c r="P59" s="79">
        <v>12.0</v>
      </c>
      <c r="Q59" s="79">
        <v>0.0</v>
      </c>
      <c r="R59" s="79">
        <v>9.0</v>
      </c>
      <c r="S59" s="79">
        <v>26.0</v>
      </c>
      <c r="T59" s="79">
        <v>11.0</v>
      </c>
      <c r="U59" s="79">
        <v>7.0</v>
      </c>
      <c r="V59" s="79">
        <v>4.0</v>
      </c>
      <c r="W59" s="79">
        <v>76.0</v>
      </c>
      <c r="X59" s="13">
        <f t="shared" si="16"/>
        <v>260</v>
      </c>
    </row>
    <row r="60" ht="12.75" customHeight="1">
      <c r="A60" s="18"/>
      <c r="B60" s="58"/>
      <c r="C60" s="53" t="s">
        <v>52</v>
      </c>
      <c r="D60" s="60"/>
      <c r="E60" s="79">
        <v>1.0</v>
      </c>
      <c r="F60" s="19"/>
      <c r="G60" s="79">
        <v>4.0</v>
      </c>
      <c r="H60" s="79">
        <v>4.0</v>
      </c>
      <c r="I60" s="79">
        <v>0.0</v>
      </c>
      <c r="J60" s="79">
        <v>1.0</v>
      </c>
      <c r="K60" s="79">
        <v>2.0</v>
      </c>
      <c r="L60" s="79">
        <v>1.0</v>
      </c>
      <c r="M60" s="79">
        <v>3.0</v>
      </c>
      <c r="N60" s="79">
        <v>3.0</v>
      </c>
      <c r="O60" s="79">
        <v>2.0</v>
      </c>
      <c r="P60" s="79">
        <v>1.0</v>
      </c>
      <c r="Q60" s="79">
        <v>14.0</v>
      </c>
      <c r="R60" s="79">
        <v>2.0</v>
      </c>
      <c r="S60" s="79">
        <v>3.0</v>
      </c>
      <c r="T60" s="79">
        <v>1.0</v>
      </c>
      <c r="U60" s="79">
        <v>3.0</v>
      </c>
      <c r="V60" s="79">
        <v>1.0</v>
      </c>
      <c r="W60" s="79">
        <v>5.0</v>
      </c>
      <c r="X60" s="13">
        <f t="shared" si="16"/>
        <v>51</v>
      </c>
    </row>
    <row r="61" ht="12.75" customHeight="1">
      <c r="A61" s="18"/>
      <c r="B61" s="58"/>
      <c r="C61" s="53" t="s">
        <v>53</v>
      </c>
      <c r="D61" s="60"/>
      <c r="E61" s="79">
        <v>1.0</v>
      </c>
      <c r="F61" s="79">
        <v>2.0</v>
      </c>
      <c r="G61" s="79">
        <v>3.0</v>
      </c>
      <c r="H61" s="79">
        <v>8.0</v>
      </c>
      <c r="I61" s="79">
        <v>2.0</v>
      </c>
      <c r="J61" s="79">
        <v>2.0</v>
      </c>
      <c r="K61" s="79">
        <v>0.0</v>
      </c>
      <c r="L61" s="79">
        <v>2.0</v>
      </c>
      <c r="M61" s="79">
        <v>12.0</v>
      </c>
      <c r="N61" s="79">
        <v>3.0</v>
      </c>
      <c r="O61" s="79">
        <v>10.0</v>
      </c>
      <c r="P61" s="79">
        <v>5.0</v>
      </c>
      <c r="Q61" s="79">
        <v>0.0</v>
      </c>
      <c r="R61" s="79">
        <v>20.0</v>
      </c>
      <c r="S61" s="79">
        <v>2.0</v>
      </c>
      <c r="T61" s="79">
        <v>3.0</v>
      </c>
      <c r="U61" s="79">
        <v>4.0</v>
      </c>
      <c r="V61" s="79">
        <v>4.0</v>
      </c>
      <c r="W61" s="79">
        <v>1.0</v>
      </c>
      <c r="X61" s="13">
        <f t="shared" si="16"/>
        <v>84</v>
      </c>
    </row>
    <row r="62" ht="12.75" customHeight="1">
      <c r="A62" s="18"/>
      <c r="B62" s="58"/>
      <c r="C62" s="53" t="s">
        <v>54</v>
      </c>
      <c r="D62" s="60"/>
      <c r="E62" s="79">
        <v>0.0</v>
      </c>
      <c r="F62" s="19"/>
      <c r="G62" s="79">
        <v>1.0</v>
      </c>
      <c r="H62" s="79">
        <v>1.0</v>
      </c>
      <c r="I62" s="79">
        <v>0.0</v>
      </c>
      <c r="J62" s="79">
        <v>0.0</v>
      </c>
      <c r="K62" s="79">
        <v>1.0</v>
      </c>
      <c r="L62" s="79">
        <v>0.0</v>
      </c>
      <c r="M62" s="79">
        <v>2.0</v>
      </c>
      <c r="N62" s="79">
        <v>2.0</v>
      </c>
      <c r="O62" s="79">
        <v>0.0</v>
      </c>
      <c r="P62" s="19"/>
      <c r="Q62" s="79">
        <v>11.0</v>
      </c>
      <c r="R62" s="79">
        <v>1.0</v>
      </c>
      <c r="S62" s="79">
        <v>2.0</v>
      </c>
      <c r="T62" s="79">
        <v>0.0</v>
      </c>
      <c r="U62" s="79">
        <v>3.0</v>
      </c>
      <c r="V62" s="79">
        <v>1.0</v>
      </c>
      <c r="W62" s="79">
        <v>1.0</v>
      </c>
      <c r="X62" s="13">
        <f t="shared" si="16"/>
        <v>26</v>
      </c>
    </row>
    <row r="63" ht="12.75" customHeight="1">
      <c r="A63" s="18"/>
      <c r="B63" s="58"/>
      <c r="C63" s="53" t="s">
        <v>55</v>
      </c>
      <c r="D63" s="61"/>
      <c r="E63" s="79">
        <v>0.0</v>
      </c>
      <c r="F63" s="79">
        <v>1.0</v>
      </c>
      <c r="G63" s="79">
        <v>0.0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1.0</v>
      </c>
      <c r="N63" s="79">
        <v>0.0</v>
      </c>
      <c r="O63" s="79">
        <v>0.0</v>
      </c>
      <c r="P63" s="79">
        <v>1.0</v>
      </c>
      <c r="Q63" s="79">
        <v>0.0</v>
      </c>
      <c r="R63" s="79">
        <v>1.0</v>
      </c>
      <c r="S63" s="79">
        <v>0.0</v>
      </c>
      <c r="T63" s="79">
        <v>0.0</v>
      </c>
      <c r="U63" s="79">
        <v>1.0</v>
      </c>
      <c r="V63" s="79">
        <v>0.0</v>
      </c>
      <c r="W63" s="79">
        <v>0.0</v>
      </c>
      <c r="X63" s="13">
        <f t="shared" si="16"/>
        <v>5</v>
      </c>
    </row>
    <row r="64" ht="12.75" customHeight="1">
      <c r="A64" s="18"/>
      <c r="B64" s="58"/>
      <c r="C64" s="53" t="s">
        <v>56</v>
      </c>
      <c r="D64" s="60"/>
      <c r="E64" s="79">
        <v>0.0</v>
      </c>
      <c r="F64" s="19"/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1.0</v>
      </c>
      <c r="M64" s="79">
        <v>0.0</v>
      </c>
      <c r="N64" s="79">
        <v>0.0</v>
      </c>
      <c r="O64" s="79">
        <v>0.0</v>
      </c>
      <c r="P64" s="19"/>
      <c r="Q64" s="79">
        <v>0.0</v>
      </c>
      <c r="R64" s="79">
        <v>0.0</v>
      </c>
      <c r="S64" s="79">
        <v>0.0</v>
      </c>
      <c r="T64" s="79">
        <v>0.0</v>
      </c>
      <c r="U64" s="19"/>
      <c r="V64" s="79">
        <v>0.0</v>
      </c>
      <c r="W64" s="79">
        <v>0.0</v>
      </c>
      <c r="X64" s="13">
        <f t="shared" si="16"/>
        <v>1</v>
      </c>
    </row>
    <row r="65" ht="12.75" customHeight="1">
      <c r="A65" s="18"/>
      <c r="B65" s="58"/>
      <c r="C65" s="53" t="s">
        <v>57</v>
      </c>
      <c r="D65" s="60"/>
      <c r="E65" s="79">
        <v>0.0</v>
      </c>
      <c r="F65" s="79">
        <v>1.0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1.0</v>
      </c>
      <c r="O65" s="79">
        <v>0.0</v>
      </c>
      <c r="P65" s="19"/>
      <c r="Q65" s="79">
        <v>0.0</v>
      </c>
      <c r="R65" s="79">
        <v>0.0</v>
      </c>
      <c r="S65" s="79">
        <v>0.0</v>
      </c>
      <c r="T65" s="79">
        <v>0.0</v>
      </c>
      <c r="U65" s="19"/>
      <c r="V65" s="79">
        <v>0.0</v>
      </c>
      <c r="W65" s="79">
        <v>0.0</v>
      </c>
      <c r="X65" s="13">
        <f t="shared" si="16"/>
        <v>2</v>
      </c>
    </row>
    <row r="66" ht="12.75" customHeight="1">
      <c r="A66" s="18"/>
      <c r="B66" s="58"/>
      <c r="C66" s="53" t="s">
        <v>58</v>
      </c>
      <c r="D66" s="60"/>
      <c r="E66" s="79">
        <v>0.0</v>
      </c>
      <c r="F66" s="79">
        <v>1.0</v>
      </c>
      <c r="G66" s="79">
        <v>0.0</v>
      </c>
      <c r="H66" s="79">
        <v>0.0</v>
      </c>
      <c r="I66" s="79">
        <v>0.0</v>
      </c>
      <c r="J66" s="79">
        <v>0.0</v>
      </c>
      <c r="K66" s="79">
        <v>0.0</v>
      </c>
      <c r="L66" s="79">
        <v>0.0</v>
      </c>
      <c r="M66" s="79">
        <v>0.0</v>
      </c>
      <c r="N66" s="79">
        <v>0.0</v>
      </c>
      <c r="O66" s="79">
        <v>1.0</v>
      </c>
      <c r="P66" s="79">
        <v>1.0</v>
      </c>
      <c r="Q66" s="79">
        <v>0.0</v>
      </c>
      <c r="R66" s="79">
        <v>0.0</v>
      </c>
      <c r="S66" s="79">
        <v>1.0</v>
      </c>
      <c r="T66" s="79">
        <v>2.0</v>
      </c>
      <c r="U66" s="19"/>
      <c r="V66" s="79">
        <v>0.0</v>
      </c>
      <c r="W66" s="79">
        <v>0.0</v>
      </c>
      <c r="X66" s="13">
        <f t="shared" si="16"/>
        <v>6</v>
      </c>
    </row>
    <row r="67" ht="12.75" customHeight="1">
      <c r="A67" s="19" t="s">
        <v>14</v>
      </c>
      <c r="B67" s="50" t="s">
        <v>48</v>
      </c>
      <c r="C67" s="15"/>
      <c r="D67" s="16"/>
      <c r="E67" s="13">
        <f t="shared" ref="E67:W67" si="17">SUM(E57:E66)</f>
        <v>19</v>
      </c>
      <c r="F67" s="13">
        <f t="shared" si="17"/>
        <v>28</v>
      </c>
      <c r="G67" s="13">
        <f t="shared" si="17"/>
        <v>54</v>
      </c>
      <c r="H67" s="13">
        <f t="shared" si="17"/>
        <v>40</v>
      </c>
      <c r="I67" s="13">
        <f t="shared" si="17"/>
        <v>28</v>
      </c>
      <c r="J67" s="13">
        <f t="shared" si="17"/>
        <v>23</v>
      </c>
      <c r="K67" s="13">
        <f t="shared" si="17"/>
        <v>47</v>
      </c>
      <c r="L67" s="13">
        <f t="shared" si="17"/>
        <v>33</v>
      </c>
      <c r="M67" s="13">
        <f t="shared" si="17"/>
        <v>25</v>
      </c>
      <c r="N67" s="13">
        <f t="shared" si="17"/>
        <v>34</v>
      </c>
      <c r="O67" s="13">
        <f t="shared" si="17"/>
        <v>54</v>
      </c>
      <c r="P67" s="13">
        <f t="shared" si="17"/>
        <v>43</v>
      </c>
      <c r="Q67" s="13">
        <f t="shared" si="17"/>
        <v>36</v>
      </c>
      <c r="R67" s="13">
        <f t="shared" si="17"/>
        <v>48</v>
      </c>
      <c r="S67" s="13">
        <f t="shared" si="17"/>
        <v>60</v>
      </c>
      <c r="T67" s="13">
        <f t="shared" si="17"/>
        <v>27</v>
      </c>
      <c r="U67" s="13">
        <f t="shared" si="17"/>
        <v>31</v>
      </c>
      <c r="V67" s="13">
        <f t="shared" si="17"/>
        <v>20</v>
      </c>
      <c r="W67" s="13">
        <f t="shared" si="17"/>
        <v>95</v>
      </c>
      <c r="X67" s="13">
        <f t="shared" si="16"/>
        <v>745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36</v>
      </c>
      <c r="B69" s="50" t="s">
        <v>20</v>
      </c>
      <c r="C69" s="51" t="s">
        <v>59</v>
      </c>
      <c r="D69" s="16"/>
      <c r="E69" s="79">
        <v>20.0</v>
      </c>
      <c r="F69" s="79">
        <v>11.0</v>
      </c>
      <c r="G69" s="79">
        <v>16.0</v>
      </c>
      <c r="H69" s="79">
        <v>8.0</v>
      </c>
      <c r="I69" s="79">
        <v>7.0</v>
      </c>
      <c r="J69" s="79">
        <v>16.0</v>
      </c>
      <c r="K69" s="79">
        <v>9.0</v>
      </c>
      <c r="L69" s="79">
        <v>11.0</v>
      </c>
      <c r="M69" s="79">
        <v>46.0</v>
      </c>
      <c r="N69" s="79">
        <v>22.0</v>
      </c>
      <c r="O69" s="79">
        <v>18.0</v>
      </c>
      <c r="P69" s="79">
        <v>12.0</v>
      </c>
      <c r="Q69" s="79">
        <v>15.0</v>
      </c>
      <c r="R69" s="79">
        <v>15.0</v>
      </c>
      <c r="S69" s="79">
        <v>12.0</v>
      </c>
      <c r="T69" s="79">
        <v>3.0</v>
      </c>
      <c r="U69" s="79">
        <v>4.0</v>
      </c>
      <c r="V69" s="79">
        <v>2.0</v>
      </c>
      <c r="W69" s="79">
        <v>9.0</v>
      </c>
      <c r="X69" s="13">
        <f t="shared" ref="X69:X79" si="18">SUM(E69:W69)</f>
        <v>256</v>
      </c>
    </row>
    <row r="70" ht="12.75" customHeight="1">
      <c r="A70" s="31" t="s">
        <v>38</v>
      </c>
      <c r="B70" s="58"/>
      <c r="C70" s="53" t="s">
        <v>60</v>
      </c>
      <c r="D70" s="61"/>
      <c r="E70" s="79">
        <v>9.0</v>
      </c>
      <c r="F70" s="79">
        <v>2.0</v>
      </c>
      <c r="G70" s="79">
        <v>5.0</v>
      </c>
      <c r="H70" s="79">
        <v>2.0</v>
      </c>
      <c r="I70" s="79">
        <v>1.0</v>
      </c>
      <c r="J70" s="79">
        <v>3.0</v>
      </c>
      <c r="K70" s="79">
        <v>2.0</v>
      </c>
      <c r="L70" s="79">
        <v>2.0</v>
      </c>
      <c r="M70" s="79">
        <v>6.0</v>
      </c>
      <c r="N70" s="79">
        <v>6.0</v>
      </c>
      <c r="O70" s="79">
        <v>4.0</v>
      </c>
      <c r="P70" s="79">
        <v>3.0</v>
      </c>
      <c r="Q70" s="79">
        <v>1.0</v>
      </c>
      <c r="R70" s="79">
        <v>4.0</v>
      </c>
      <c r="S70" s="79">
        <v>6.0</v>
      </c>
      <c r="T70" s="79">
        <v>5.0</v>
      </c>
      <c r="U70" s="79">
        <v>6.0</v>
      </c>
      <c r="V70" s="79">
        <v>1.0</v>
      </c>
      <c r="W70" s="79">
        <v>7.0</v>
      </c>
      <c r="X70" s="13">
        <f t="shared" si="18"/>
        <v>75</v>
      </c>
    </row>
    <row r="71" ht="12.75" customHeight="1">
      <c r="A71" s="18"/>
      <c r="B71" s="58"/>
      <c r="C71" s="53" t="s">
        <v>61</v>
      </c>
      <c r="D71" s="61"/>
      <c r="E71" s="79">
        <v>7.0</v>
      </c>
      <c r="F71" s="79">
        <v>1.0</v>
      </c>
      <c r="G71" s="79">
        <v>0.0</v>
      </c>
      <c r="H71" s="79">
        <v>0.0</v>
      </c>
      <c r="I71" s="79">
        <v>0.0</v>
      </c>
      <c r="J71" s="79">
        <v>6.0</v>
      </c>
      <c r="K71" s="79">
        <v>19.0</v>
      </c>
      <c r="L71" s="79">
        <v>8.0</v>
      </c>
      <c r="M71" s="79">
        <v>14.0</v>
      </c>
      <c r="N71" s="79">
        <v>19.0</v>
      </c>
      <c r="O71" s="79">
        <v>8.0</v>
      </c>
      <c r="P71" s="79">
        <v>11.0</v>
      </c>
      <c r="Q71" s="79">
        <v>3.0</v>
      </c>
      <c r="R71" s="79">
        <v>4.0</v>
      </c>
      <c r="S71" s="79">
        <v>5.0</v>
      </c>
      <c r="T71" s="79">
        <v>8.0</v>
      </c>
      <c r="U71" s="19"/>
      <c r="V71" s="79">
        <v>1.0</v>
      </c>
      <c r="W71" s="79">
        <v>35.0</v>
      </c>
      <c r="X71" s="13">
        <f t="shared" si="18"/>
        <v>149</v>
      </c>
    </row>
    <row r="72" ht="12.75" customHeight="1">
      <c r="A72" s="18"/>
      <c r="B72" s="58"/>
      <c r="C72" s="53" t="s">
        <v>62</v>
      </c>
      <c r="D72" s="61"/>
      <c r="E72" s="79">
        <v>9.0</v>
      </c>
      <c r="F72" s="79">
        <v>1.0</v>
      </c>
      <c r="G72" s="79">
        <v>2.0</v>
      </c>
      <c r="H72" s="79">
        <v>2.0</v>
      </c>
      <c r="I72" s="79">
        <v>1.0</v>
      </c>
      <c r="J72" s="79">
        <v>3.0</v>
      </c>
      <c r="K72" s="79">
        <v>1.0</v>
      </c>
      <c r="L72" s="79">
        <v>3.0</v>
      </c>
      <c r="M72" s="79">
        <v>11.0</v>
      </c>
      <c r="N72" s="79">
        <v>17.0</v>
      </c>
      <c r="O72" s="79">
        <v>7.0</v>
      </c>
      <c r="P72" s="79">
        <v>6.0</v>
      </c>
      <c r="Q72" s="79">
        <v>3.0</v>
      </c>
      <c r="R72" s="79">
        <v>2.0</v>
      </c>
      <c r="S72" s="79">
        <v>2.0</v>
      </c>
      <c r="T72" s="79">
        <v>1.0</v>
      </c>
      <c r="U72" s="79">
        <v>4.0</v>
      </c>
      <c r="V72" s="79">
        <v>2.0</v>
      </c>
      <c r="W72" s="79">
        <v>10.0</v>
      </c>
      <c r="X72" s="13">
        <f t="shared" si="18"/>
        <v>87</v>
      </c>
    </row>
    <row r="73" ht="12.75" customHeight="1">
      <c r="A73" s="18"/>
      <c r="B73" s="58"/>
      <c r="C73" s="53" t="s">
        <v>63</v>
      </c>
      <c r="D73" s="61"/>
      <c r="E73" s="79">
        <v>2.0</v>
      </c>
      <c r="F73" s="19"/>
      <c r="G73" s="79">
        <v>1.0</v>
      </c>
      <c r="H73" s="79">
        <v>2.0</v>
      </c>
      <c r="I73" s="79">
        <v>2.0</v>
      </c>
      <c r="J73" s="79">
        <v>0.0</v>
      </c>
      <c r="K73" s="79">
        <v>1.0</v>
      </c>
      <c r="L73" s="79">
        <v>1.0</v>
      </c>
      <c r="M73" s="79">
        <v>9.0</v>
      </c>
      <c r="N73" s="79">
        <v>1.0</v>
      </c>
      <c r="O73" s="79">
        <v>8.0</v>
      </c>
      <c r="P73" s="79">
        <v>4.0</v>
      </c>
      <c r="Q73" s="79">
        <v>1.0</v>
      </c>
      <c r="R73" s="79">
        <v>5.0</v>
      </c>
      <c r="S73" s="79">
        <v>1.0</v>
      </c>
      <c r="T73" s="79">
        <v>1.0</v>
      </c>
      <c r="U73" s="79">
        <v>2.0</v>
      </c>
      <c r="V73" s="79">
        <v>0.0</v>
      </c>
      <c r="W73" s="79">
        <v>4.0</v>
      </c>
      <c r="X73" s="13">
        <f t="shared" si="18"/>
        <v>45</v>
      </c>
    </row>
    <row r="74" ht="12.75" customHeight="1">
      <c r="A74" s="18"/>
      <c r="B74" s="58"/>
      <c r="C74" s="53" t="s">
        <v>64</v>
      </c>
      <c r="D74" s="61"/>
      <c r="E74" s="79">
        <v>1.0</v>
      </c>
      <c r="F74" s="79">
        <v>1.0</v>
      </c>
      <c r="G74" s="79">
        <v>1.0</v>
      </c>
      <c r="H74" s="79">
        <v>0.0</v>
      </c>
      <c r="I74" s="79">
        <v>1.0</v>
      </c>
      <c r="J74" s="79">
        <v>2.0</v>
      </c>
      <c r="K74" s="79">
        <v>3.0</v>
      </c>
      <c r="L74" s="79">
        <v>1.0</v>
      </c>
      <c r="M74" s="79">
        <v>1.0</v>
      </c>
      <c r="N74" s="79">
        <v>3.0</v>
      </c>
      <c r="O74" s="79">
        <v>3.0</v>
      </c>
      <c r="P74" s="79">
        <v>4.0</v>
      </c>
      <c r="Q74" s="79">
        <v>6.0</v>
      </c>
      <c r="R74" s="79">
        <v>2.0</v>
      </c>
      <c r="S74" s="79">
        <v>1.0</v>
      </c>
      <c r="T74" s="79">
        <v>2.0</v>
      </c>
      <c r="U74" s="19"/>
      <c r="V74" s="79">
        <v>3.0</v>
      </c>
      <c r="W74" s="79">
        <v>2.0</v>
      </c>
      <c r="X74" s="13">
        <f t="shared" si="18"/>
        <v>37</v>
      </c>
    </row>
    <row r="75" ht="12.75" customHeight="1">
      <c r="A75" s="18"/>
      <c r="B75" s="58"/>
      <c r="C75" s="53" t="s">
        <v>65</v>
      </c>
      <c r="D75" s="61"/>
      <c r="E75" s="79">
        <v>1.0</v>
      </c>
      <c r="F75" s="79">
        <v>2.0</v>
      </c>
      <c r="G75" s="79">
        <v>0.0</v>
      </c>
      <c r="H75" s="79">
        <v>2.0</v>
      </c>
      <c r="I75" s="79">
        <v>1.0</v>
      </c>
      <c r="J75" s="79">
        <v>1.0</v>
      </c>
      <c r="K75" s="79">
        <v>3.0</v>
      </c>
      <c r="L75" s="79">
        <v>0.0</v>
      </c>
      <c r="M75" s="79">
        <v>3.0</v>
      </c>
      <c r="N75" s="79">
        <v>1.0</v>
      </c>
      <c r="O75" s="79">
        <v>1.0</v>
      </c>
      <c r="P75" s="79">
        <v>2.0</v>
      </c>
      <c r="Q75" s="79">
        <v>1.0</v>
      </c>
      <c r="R75" s="79">
        <v>1.0</v>
      </c>
      <c r="S75" s="79">
        <v>0.0</v>
      </c>
      <c r="T75" s="79">
        <v>0.0</v>
      </c>
      <c r="U75" s="19"/>
      <c r="V75" s="79">
        <v>0.0</v>
      </c>
      <c r="W75" s="79">
        <v>0.0</v>
      </c>
      <c r="X75" s="13">
        <f t="shared" si="18"/>
        <v>19</v>
      </c>
    </row>
    <row r="76" ht="12.75" customHeight="1">
      <c r="A76" s="18"/>
      <c r="B76" s="58"/>
      <c r="C76" s="53" t="s">
        <v>66</v>
      </c>
      <c r="D76" s="61"/>
      <c r="E76" s="79">
        <v>0.0</v>
      </c>
      <c r="F76" s="79">
        <v>1.0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1.0</v>
      </c>
      <c r="M76" s="79">
        <v>0.0</v>
      </c>
      <c r="N76" s="79">
        <v>0.0</v>
      </c>
      <c r="O76" s="79">
        <v>1.0</v>
      </c>
      <c r="P76" s="79">
        <v>0.0</v>
      </c>
      <c r="Q76" s="79">
        <v>1.0</v>
      </c>
      <c r="R76" s="79">
        <v>0.0</v>
      </c>
      <c r="S76" s="79">
        <v>0.0</v>
      </c>
      <c r="T76" s="79">
        <v>0.0</v>
      </c>
      <c r="U76" s="19"/>
      <c r="V76" s="79">
        <v>0.0</v>
      </c>
      <c r="W76" s="79">
        <v>1.0</v>
      </c>
      <c r="X76" s="13">
        <f t="shared" si="18"/>
        <v>5</v>
      </c>
    </row>
    <row r="77" ht="12.75" customHeight="1">
      <c r="A77" s="18"/>
      <c r="B77" s="58"/>
      <c r="C77" s="53" t="s">
        <v>67</v>
      </c>
      <c r="D77" s="61"/>
      <c r="E77" s="79">
        <v>1.0</v>
      </c>
      <c r="F77" s="19"/>
      <c r="G77" s="79">
        <v>3.0</v>
      </c>
      <c r="H77" s="79">
        <v>1.0</v>
      </c>
      <c r="I77" s="79">
        <v>2.0</v>
      </c>
      <c r="J77" s="79">
        <v>1.0</v>
      </c>
      <c r="K77" s="79">
        <v>0.0</v>
      </c>
      <c r="L77" s="79">
        <v>0.0</v>
      </c>
      <c r="M77" s="79">
        <v>2.0</v>
      </c>
      <c r="N77" s="79">
        <v>1.0</v>
      </c>
      <c r="O77" s="79">
        <v>0.0</v>
      </c>
      <c r="P77" s="19"/>
      <c r="Q77" s="79">
        <v>2.0</v>
      </c>
      <c r="R77" s="79">
        <v>2.0</v>
      </c>
      <c r="S77" s="79">
        <v>0.0</v>
      </c>
      <c r="T77" s="79">
        <v>1.0</v>
      </c>
      <c r="U77" s="19"/>
      <c r="V77" s="79">
        <v>1.0</v>
      </c>
      <c r="W77" s="79">
        <v>1.0</v>
      </c>
      <c r="X77" s="13">
        <f t="shared" si="18"/>
        <v>18</v>
      </c>
    </row>
    <row r="78" ht="12.75" customHeight="1">
      <c r="A78" s="18"/>
      <c r="B78" s="58"/>
      <c r="C78" s="53" t="s">
        <v>68</v>
      </c>
      <c r="D78" s="61"/>
      <c r="E78" s="79">
        <v>1.0</v>
      </c>
      <c r="F78" s="19"/>
      <c r="G78" s="79">
        <v>0.0</v>
      </c>
      <c r="H78" s="79">
        <v>0.0</v>
      </c>
      <c r="I78" s="79">
        <v>0.0</v>
      </c>
      <c r="J78" s="79">
        <v>1.0</v>
      </c>
      <c r="K78" s="79">
        <v>0.0</v>
      </c>
      <c r="L78" s="79">
        <v>2.0</v>
      </c>
      <c r="M78" s="79">
        <v>0.0</v>
      </c>
      <c r="N78" s="79">
        <v>1.0</v>
      </c>
      <c r="O78" s="79">
        <v>0.0</v>
      </c>
      <c r="P78" s="79">
        <v>2.0</v>
      </c>
      <c r="Q78" s="79">
        <v>0.0</v>
      </c>
      <c r="R78" s="79">
        <v>0.0</v>
      </c>
      <c r="S78" s="79">
        <v>0.0</v>
      </c>
      <c r="T78" s="79">
        <v>0.0</v>
      </c>
      <c r="U78" s="19"/>
      <c r="V78" s="79">
        <v>0.0</v>
      </c>
      <c r="W78" s="79">
        <v>0.0</v>
      </c>
      <c r="X78" s="13">
        <f t="shared" si="18"/>
        <v>7</v>
      </c>
    </row>
    <row r="79" ht="12.75" customHeight="1">
      <c r="A79" s="19" t="s">
        <v>14</v>
      </c>
      <c r="B79" s="50" t="s">
        <v>48</v>
      </c>
      <c r="C79" s="15"/>
      <c r="D79" s="16"/>
      <c r="E79" s="13">
        <f t="shared" ref="E79:W79" si="19">SUM(E69:E78)</f>
        <v>51</v>
      </c>
      <c r="F79" s="13">
        <f t="shared" si="19"/>
        <v>19</v>
      </c>
      <c r="G79" s="13">
        <f t="shared" si="19"/>
        <v>28</v>
      </c>
      <c r="H79" s="13">
        <f t="shared" si="19"/>
        <v>17</v>
      </c>
      <c r="I79" s="13">
        <f t="shared" si="19"/>
        <v>15</v>
      </c>
      <c r="J79" s="13">
        <f t="shared" si="19"/>
        <v>33</v>
      </c>
      <c r="K79" s="13">
        <f t="shared" si="19"/>
        <v>38</v>
      </c>
      <c r="L79" s="13">
        <f t="shared" si="19"/>
        <v>29</v>
      </c>
      <c r="M79" s="13">
        <f t="shared" si="19"/>
        <v>92</v>
      </c>
      <c r="N79" s="13">
        <f t="shared" si="19"/>
        <v>71</v>
      </c>
      <c r="O79" s="13">
        <f t="shared" si="19"/>
        <v>50</v>
      </c>
      <c r="P79" s="13">
        <f t="shared" si="19"/>
        <v>44</v>
      </c>
      <c r="Q79" s="13">
        <f t="shared" si="19"/>
        <v>33</v>
      </c>
      <c r="R79" s="13">
        <f t="shared" si="19"/>
        <v>35</v>
      </c>
      <c r="S79" s="13">
        <f t="shared" si="19"/>
        <v>27</v>
      </c>
      <c r="T79" s="13">
        <f t="shared" si="19"/>
        <v>21</v>
      </c>
      <c r="U79" s="13">
        <f t="shared" si="19"/>
        <v>16</v>
      </c>
      <c r="V79" s="13">
        <f t="shared" si="19"/>
        <v>10</v>
      </c>
      <c r="W79" s="13">
        <f t="shared" si="19"/>
        <v>69</v>
      </c>
      <c r="X79" s="13">
        <f t="shared" si="18"/>
        <v>698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36</v>
      </c>
      <c r="B81" s="50" t="s">
        <v>22</v>
      </c>
      <c r="C81" s="51" t="s">
        <v>69</v>
      </c>
      <c r="D81" s="16"/>
      <c r="E81" s="79">
        <v>5.0</v>
      </c>
      <c r="F81" s="79">
        <v>2.0</v>
      </c>
      <c r="G81" s="79">
        <v>1.0</v>
      </c>
      <c r="H81" s="79">
        <v>1.0</v>
      </c>
      <c r="I81" s="79">
        <v>3.0</v>
      </c>
      <c r="J81" s="79">
        <v>8.0</v>
      </c>
      <c r="K81" s="79">
        <v>2.0</v>
      </c>
      <c r="L81" s="79">
        <v>4.0</v>
      </c>
      <c r="M81" s="79">
        <v>3.0</v>
      </c>
      <c r="N81" s="19"/>
      <c r="O81" s="79">
        <v>3.0</v>
      </c>
      <c r="P81" s="79">
        <v>9.0</v>
      </c>
      <c r="Q81" s="79">
        <v>2.0</v>
      </c>
      <c r="R81" s="79">
        <v>5.0</v>
      </c>
      <c r="S81" s="79">
        <v>5.0</v>
      </c>
      <c r="T81" s="79">
        <v>9.0</v>
      </c>
      <c r="U81" s="79">
        <v>1.0</v>
      </c>
      <c r="V81" s="79">
        <v>1.0</v>
      </c>
      <c r="W81" s="79">
        <v>3.0</v>
      </c>
      <c r="X81" s="13">
        <f t="shared" ref="X81:X91" si="20">SUM(E81:W81)</f>
        <v>67</v>
      </c>
    </row>
    <row r="82" ht="12.75" customHeight="1">
      <c r="A82" s="31" t="s">
        <v>38</v>
      </c>
      <c r="B82" s="58"/>
      <c r="C82" s="53" t="s">
        <v>70</v>
      </c>
      <c r="D82" s="61"/>
      <c r="E82" s="79">
        <v>2.0</v>
      </c>
      <c r="F82" s="79">
        <v>3.0</v>
      </c>
      <c r="G82" s="79">
        <v>2.0</v>
      </c>
      <c r="H82" s="79">
        <v>0.0</v>
      </c>
      <c r="I82" s="79">
        <v>7.0</v>
      </c>
      <c r="J82" s="79">
        <v>5.0</v>
      </c>
      <c r="K82" s="79">
        <v>0.0</v>
      </c>
      <c r="L82" s="79">
        <v>0.0</v>
      </c>
      <c r="M82" s="79">
        <v>2.0</v>
      </c>
      <c r="N82" s="79">
        <v>2.0</v>
      </c>
      <c r="O82" s="79">
        <v>5.0</v>
      </c>
      <c r="P82" s="79">
        <v>3.0</v>
      </c>
      <c r="Q82" s="79">
        <v>2.0</v>
      </c>
      <c r="R82" s="79">
        <v>3.0</v>
      </c>
      <c r="S82" s="79">
        <v>3.0</v>
      </c>
      <c r="T82" s="79">
        <v>9.0</v>
      </c>
      <c r="U82" s="79">
        <v>6.0</v>
      </c>
      <c r="V82" s="79">
        <v>5.0</v>
      </c>
      <c r="W82" s="79">
        <v>5.0</v>
      </c>
      <c r="X82" s="13">
        <f t="shared" si="20"/>
        <v>64</v>
      </c>
    </row>
    <row r="83" ht="12.75" customHeight="1">
      <c r="A83" s="18"/>
      <c r="B83" s="58"/>
      <c r="C83" s="53" t="s">
        <v>71</v>
      </c>
      <c r="D83" s="61"/>
      <c r="E83" s="79">
        <v>2.0</v>
      </c>
      <c r="F83" s="19"/>
      <c r="G83" s="79">
        <v>2.0</v>
      </c>
      <c r="H83" s="79">
        <v>1.0</v>
      </c>
      <c r="I83" s="79">
        <v>0.0</v>
      </c>
      <c r="J83" s="79">
        <v>1.0</v>
      </c>
      <c r="K83" s="79">
        <v>0.0</v>
      </c>
      <c r="L83" s="79">
        <v>0.0</v>
      </c>
      <c r="M83" s="79">
        <v>0.0</v>
      </c>
      <c r="N83" s="79">
        <v>2.0</v>
      </c>
      <c r="O83" s="79">
        <v>1.0</v>
      </c>
      <c r="P83" s="79">
        <v>3.0</v>
      </c>
      <c r="Q83" s="79">
        <v>2.0</v>
      </c>
      <c r="R83" s="79">
        <v>0.0</v>
      </c>
      <c r="S83" s="79">
        <v>0.0</v>
      </c>
      <c r="T83" s="79">
        <v>4.0</v>
      </c>
      <c r="U83" s="79">
        <v>1.0</v>
      </c>
      <c r="V83" s="79">
        <v>0.0</v>
      </c>
      <c r="W83" s="79">
        <v>0.0</v>
      </c>
      <c r="X83" s="13">
        <f t="shared" si="20"/>
        <v>19</v>
      </c>
    </row>
    <row r="84" ht="12.75" customHeight="1">
      <c r="A84" s="18"/>
      <c r="B84" s="58"/>
      <c r="C84" s="53" t="s">
        <v>72</v>
      </c>
      <c r="D84" s="61"/>
      <c r="E84" s="79">
        <v>3.0</v>
      </c>
      <c r="F84" s="79">
        <v>0.0</v>
      </c>
      <c r="G84" s="79">
        <v>1.0</v>
      </c>
      <c r="H84" s="79">
        <v>0.0</v>
      </c>
      <c r="I84" s="79">
        <v>0.0</v>
      </c>
      <c r="J84" s="79">
        <v>1.0</v>
      </c>
      <c r="K84" s="79">
        <v>0.0</v>
      </c>
      <c r="L84" s="79">
        <v>0.0</v>
      </c>
      <c r="M84" s="79">
        <v>1.0</v>
      </c>
      <c r="N84" s="79">
        <v>2.0</v>
      </c>
      <c r="O84" s="79">
        <v>0.0</v>
      </c>
      <c r="P84" s="79">
        <v>3.0</v>
      </c>
      <c r="Q84" s="79">
        <v>1.0</v>
      </c>
      <c r="R84" s="79">
        <v>1.0</v>
      </c>
      <c r="S84" s="79">
        <v>0.0</v>
      </c>
      <c r="T84" s="79">
        <v>3.0</v>
      </c>
      <c r="U84" s="79">
        <v>0.0</v>
      </c>
      <c r="V84" s="79">
        <v>2.0</v>
      </c>
      <c r="W84" s="79">
        <v>0.0</v>
      </c>
      <c r="X84" s="13">
        <f t="shared" si="20"/>
        <v>18</v>
      </c>
    </row>
    <row r="85" ht="12.75" customHeight="1">
      <c r="A85" s="18"/>
      <c r="B85" s="58"/>
      <c r="C85" s="53" t="s">
        <v>73</v>
      </c>
      <c r="D85" s="61"/>
      <c r="E85" s="79">
        <v>0.0</v>
      </c>
      <c r="F85" s="19"/>
      <c r="G85" s="79">
        <v>1.0</v>
      </c>
      <c r="H85" s="79">
        <v>2.0</v>
      </c>
      <c r="I85" s="79">
        <v>0.0</v>
      </c>
      <c r="J85" s="79">
        <v>29.0</v>
      </c>
      <c r="K85" s="79">
        <v>1.0</v>
      </c>
      <c r="L85" s="79">
        <v>1.0</v>
      </c>
      <c r="M85" s="79">
        <v>0.0</v>
      </c>
      <c r="N85" s="79">
        <v>1.0</v>
      </c>
      <c r="O85" s="79">
        <v>0.0</v>
      </c>
      <c r="P85" s="79">
        <v>1.0</v>
      </c>
      <c r="Q85" s="79">
        <v>0.0</v>
      </c>
      <c r="R85" s="79">
        <v>0.0</v>
      </c>
      <c r="S85" s="79">
        <v>0.0</v>
      </c>
      <c r="T85" s="79">
        <v>0.0</v>
      </c>
      <c r="U85" s="19"/>
      <c r="V85" s="79">
        <v>0.0</v>
      </c>
      <c r="W85" s="79">
        <v>0.0</v>
      </c>
      <c r="X85" s="13">
        <f t="shared" si="20"/>
        <v>36</v>
      </c>
    </row>
    <row r="86" ht="12.75" customHeight="1">
      <c r="A86" s="18"/>
      <c r="B86" s="58"/>
      <c r="C86" s="53" t="s">
        <v>74</v>
      </c>
      <c r="D86" s="61"/>
      <c r="E86" s="79">
        <v>0.0</v>
      </c>
      <c r="F86" s="79">
        <v>13.0</v>
      </c>
      <c r="G86" s="79">
        <v>9.0</v>
      </c>
      <c r="H86" s="79">
        <v>2.0</v>
      </c>
      <c r="I86" s="79">
        <v>11.0</v>
      </c>
      <c r="J86" s="79">
        <v>35.0</v>
      </c>
      <c r="K86" s="79">
        <v>20.0</v>
      </c>
      <c r="L86" s="79">
        <v>33.0</v>
      </c>
      <c r="M86" s="79">
        <v>4.0</v>
      </c>
      <c r="N86" s="79">
        <v>6.0</v>
      </c>
      <c r="O86" s="79">
        <v>11.0</v>
      </c>
      <c r="P86" s="79">
        <v>4.0</v>
      </c>
      <c r="Q86" s="79">
        <v>7.0</v>
      </c>
      <c r="R86" s="79">
        <v>6.0</v>
      </c>
      <c r="S86" s="79">
        <v>3.0</v>
      </c>
      <c r="T86" s="79">
        <v>8.0</v>
      </c>
      <c r="U86" s="79">
        <v>9.0</v>
      </c>
      <c r="V86" s="79">
        <v>12.0</v>
      </c>
      <c r="W86" s="79">
        <v>1.0</v>
      </c>
      <c r="X86" s="13">
        <f t="shared" si="20"/>
        <v>194</v>
      </c>
    </row>
    <row r="87" ht="12.75" customHeight="1">
      <c r="A87" s="18"/>
      <c r="B87" s="58"/>
      <c r="C87" s="53" t="s">
        <v>75</v>
      </c>
      <c r="D87" s="61"/>
      <c r="E87" s="79">
        <v>1.0</v>
      </c>
      <c r="F87" s="19"/>
      <c r="G87" s="79">
        <v>2.0</v>
      </c>
      <c r="H87" s="79">
        <v>1.0</v>
      </c>
      <c r="I87" s="79">
        <v>0.0</v>
      </c>
      <c r="J87" s="79">
        <v>0.0</v>
      </c>
      <c r="K87" s="79">
        <v>0.0</v>
      </c>
      <c r="L87" s="79">
        <v>0.0</v>
      </c>
      <c r="M87" s="79">
        <v>0.0</v>
      </c>
      <c r="N87" s="19"/>
      <c r="O87" s="79">
        <v>0.0</v>
      </c>
      <c r="P87" s="19"/>
      <c r="Q87" s="79">
        <v>0.0</v>
      </c>
      <c r="R87" s="79">
        <v>0.0</v>
      </c>
      <c r="S87" s="79">
        <v>0.0</v>
      </c>
      <c r="T87" s="79">
        <v>0.0</v>
      </c>
      <c r="U87" s="79">
        <v>1.0</v>
      </c>
      <c r="V87" s="79">
        <v>0.0</v>
      </c>
      <c r="W87" s="79">
        <v>0.0</v>
      </c>
      <c r="X87" s="13">
        <f t="shared" si="20"/>
        <v>5</v>
      </c>
    </row>
    <row r="88" ht="12.75" customHeight="1">
      <c r="A88" s="18"/>
      <c r="B88" s="58"/>
      <c r="C88" s="53" t="s">
        <v>76</v>
      </c>
      <c r="D88" s="61"/>
      <c r="E88" s="79">
        <v>0.0</v>
      </c>
      <c r="F88" s="19"/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19"/>
      <c r="O88" s="79">
        <v>0.0</v>
      </c>
      <c r="P88" s="19"/>
      <c r="Q88" s="79">
        <v>0.0</v>
      </c>
      <c r="R88" s="79">
        <v>0.0</v>
      </c>
      <c r="S88" s="79">
        <v>0.0</v>
      </c>
      <c r="T88" s="79">
        <v>1.0</v>
      </c>
      <c r="U88" s="19"/>
      <c r="V88" s="79">
        <v>0.0</v>
      </c>
      <c r="W88" s="79">
        <v>0.0</v>
      </c>
      <c r="X88" s="13">
        <f t="shared" si="20"/>
        <v>1</v>
      </c>
    </row>
    <row r="89" ht="12.75" customHeight="1">
      <c r="A89" s="18"/>
      <c r="B89" s="58"/>
      <c r="C89" s="53" t="s">
        <v>77</v>
      </c>
      <c r="D89" s="61"/>
      <c r="E89" s="79">
        <v>0.0</v>
      </c>
      <c r="F89" s="19"/>
      <c r="G89" s="79">
        <v>0.0</v>
      </c>
      <c r="H89" s="79">
        <v>0.0</v>
      </c>
      <c r="I89" s="79">
        <v>0.0</v>
      </c>
      <c r="J89" s="79">
        <v>0.0</v>
      </c>
      <c r="K89" s="79">
        <v>2.0</v>
      </c>
      <c r="L89" s="79">
        <v>0.0</v>
      </c>
      <c r="M89" s="79">
        <v>0.0</v>
      </c>
      <c r="N89" s="19"/>
      <c r="O89" s="79">
        <v>0.0</v>
      </c>
      <c r="P89" s="19"/>
      <c r="Q89" s="79">
        <v>0.0</v>
      </c>
      <c r="R89" s="79">
        <v>0.0</v>
      </c>
      <c r="S89" s="79">
        <v>0.0</v>
      </c>
      <c r="T89" s="79">
        <v>0.0</v>
      </c>
      <c r="U89" s="19"/>
      <c r="V89" s="79">
        <v>0.0</v>
      </c>
      <c r="W89" s="79">
        <v>0.0</v>
      </c>
      <c r="X89" s="13">
        <f t="shared" si="20"/>
        <v>2</v>
      </c>
    </row>
    <row r="90" ht="12.75" customHeight="1">
      <c r="A90" s="18"/>
      <c r="B90" s="58"/>
      <c r="C90" s="53" t="s">
        <v>78</v>
      </c>
      <c r="D90" s="61"/>
      <c r="E90" s="79">
        <v>0.0</v>
      </c>
      <c r="F90" s="19"/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19"/>
      <c r="O90" s="79">
        <v>0.0</v>
      </c>
      <c r="P90" s="79">
        <v>1.0</v>
      </c>
      <c r="Q90" s="79">
        <v>1.0</v>
      </c>
      <c r="R90" s="79">
        <v>2.0</v>
      </c>
      <c r="S90" s="79">
        <v>0.0</v>
      </c>
      <c r="T90" s="79">
        <v>7.0</v>
      </c>
      <c r="U90" s="79">
        <v>1.0</v>
      </c>
      <c r="V90" s="79">
        <v>1.0</v>
      </c>
      <c r="W90" s="79">
        <v>0.0</v>
      </c>
      <c r="X90" s="13">
        <f t="shared" si="20"/>
        <v>13</v>
      </c>
    </row>
    <row r="91" ht="12.75" customHeight="1">
      <c r="A91" s="19" t="s">
        <v>14</v>
      </c>
      <c r="B91" s="50" t="s">
        <v>48</v>
      </c>
      <c r="C91" s="15"/>
      <c r="D91" s="16"/>
      <c r="E91" s="13">
        <f t="shared" ref="E91:W91" si="21">SUM(E81:E90)</f>
        <v>13</v>
      </c>
      <c r="F91" s="13">
        <f t="shared" si="21"/>
        <v>18</v>
      </c>
      <c r="G91" s="13">
        <f t="shared" si="21"/>
        <v>18</v>
      </c>
      <c r="H91" s="13">
        <f t="shared" si="21"/>
        <v>7</v>
      </c>
      <c r="I91" s="13">
        <f t="shared" si="21"/>
        <v>21</v>
      </c>
      <c r="J91" s="13">
        <f t="shared" si="21"/>
        <v>79</v>
      </c>
      <c r="K91" s="13">
        <f t="shared" si="21"/>
        <v>25</v>
      </c>
      <c r="L91" s="13">
        <f t="shared" si="21"/>
        <v>38</v>
      </c>
      <c r="M91" s="13">
        <f t="shared" si="21"/>
        <v>10</v>
      </c>
      <c r="N91" s="13">
        <f t="shared" si="21"/>
        <v>13</v>
      </c>
      <c r="O91" s="13">
        <f t="shared" si="21"/>
        <v>20</v>
      </c>
      <c r="P91" s="13">
        <f t="shared" si="21"/>
        <v>24</v>
      </c>
      <c r="Q91" s="13">
        <f t="shared" si="21"/>
        <v>15</v>
      </c>
      <c r="R91" s="13">
        <f t="shared" si="21"/>
        <v>17</v>
      </c>
      <c r="S91" s="13">
        <f t="shared" si="21"/>
        <v>11</v>
      </c>
      <c r="T91" s="13">
        <f t="shared" si="21"/>
        <v>41</v>
      </c>
      <c r="U91" s="13">
        <f t="shared" si="21"/>
        <v>19</v>
      </c>
      <c r="V91" s="13">
        <f t="shared" si="21"/>
        <v>21</v>
      </c>
      <c r="W91" s="13">
        <f t="shared" si="21"/>
        <v>9</v>
      </c>
      <c r="X91" s="13">
        <f t="shared" si="20"/>
        <v>419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36</v>
      </c>
      <c r="B93" s="50" t="s">
        <v>79</v>
      </c>
      <c r="C93" s="51" t="s">
        <v>80</v>
      </c>
      <c r="D93" s="16"/>
      <c r="E93" s="79">
        <v>0.0</v>
      </c>
      <c r="F93" s="79">
        <v>0.0</v>
      </c>
      <c r="G93" s="79">
        <v>3.0</v>
      </c>
      <c r="H93" s="79">
        <v>1.0</v>
      </c>
      <c r="I93" s="79">
        <v>2.0</v>
      </c>
      <c r="J93" s="19"/>
      <c r="K93" s="79">
        <v>5.0</v>
      </c>
      <c r="L93" s="79">
        <v>1.0</v>
      </c>
      <c r="M93" s="79">
        <v>1.0</v>
      </c>
      <c r="N93" s="79">
        <v>1.0</v>
      </c>
      <c r="O93" s="79">
        <v>0.0</v>
      </c>
      <c r="P93" s="19"/>
      <c r="Q93" s="79">
        <v>1.0</v>
      </c>
      <c r="R93" s="79">
        <v>2.0</v>
      </c>
      <c r="S93" s="79">
        <v>4.0</v>
      </c>
      <c r="T93" s="79">
        <v>2.0</v>
      </c>
      <c r="U93" s="79">
        <v>0.0</v>
      </c>
      <c r="V93" s="79">
        <v>0.0</v>
      </c>
      <c r="W93" s="79">
        <v>1.0</v>
      </c>
      <c r="X93" s="13">
        <f t="shared" ref="X93:X103" si="22">SUM(E93:W93)</f>
        <v>24</v>
      </c>
    </row>
    <row r="94" ht="12.75" customHeight="1">
      <c r="A94" s="31" t="s">
        <v>38</v>
      </c>
      <c r="B94" s="58"/>
      <c r="C94" s="53" t="s">
        <v>81</v>
      </c>
      <c r="D94" s="61"/>
      <c r="E94" s="79">
        <v>0.0</v>
      </c>
      <c r="F94" s="79">
        <v>4.0</v>
      </c>
      <c r="G94" s="79">
        <v>0.0</v>
      </c>
      <c r="H94" s="79">
        <v>2.0</v>
      </c>
      <c r="I94" s="79">
        <v>1.0</v>
      </c>
      <c r="J94" s="79">
        <v>2.0</v>
      </c>
      <c r="K94" s="79">
        <v>8.0</v>
      </c>
      <c r="L94" s="79">
        <v>0.0</v>
      </c>
      <c r="M94" s="79">
        <v>1.0</v>
      </c>
      <c r="N94" s="79">
        <v>6.0</v>
      </c>
      <c r="O94" s="79">
        <v>1.0</v>
      </c>
      <c r="P94" s="79">
        <v>4.0</v>
      </c>
      <c r="Q94" s="79">
        <v>15.0</v>
      </c>
      <c r="R94" s="79">
        <v>0.0</v>
      </c>
      <c r="S94" s="79">
        <v>0.0</v>
      </c>
      <c r="T94" s="79">
        <v>8.0</v>
      </c>
      <c r="U94" s="19"/>
      <c r="V94" s="79">
        <v>8.0</v>
      </c>
      <c r="W94" s="79">
        <v>2.0</v>
      </c>
      <c r="X94" s="13">
        <f t="shared" si="22"/>
        <v>62</v>
      </c>
    </row>
    <row r="95" ht="12.75" customHeight="1">
      <c r="A95" s="18"/>
      <c r="B95" s="58"/>
      <c r="C95" s="53" t="s">
        <v>82</v>
      </c>
      <c r="D95" s="61"/>
      <c r="E95" s="79">
        <v>0.0</v>
      </c>
      <c r="F95" s="19"/>
      <c r="G95" s="79">
        <v>0.0</v>
      </c>
      <c r="H95" s="79">
        <v>0.0</v>
      </c>
      <c r="I95" s="79">
        <v>0.0</v>
      </c>
      <c r="J95" s="19"/>
      <c r="K95" s="79">
        <v>1.0</v>
      </c>
      <c r="L95" s="79">
        <v>0.0</v>
      </c>
      <c r="M95" s="79">
        <v>0.0</v>
      </c>
      <c r="N95" s="79">
        <v>0.0</v>
      </c>
      <c r="O95" s="79">
        <v>0.0</v>
      </c>
      <c r="P95" s="19"/>
      <c r="Q95" s="79">
        <v>1.0</v>
      </c>
      <c r="R95" s="79">
        <v>1.0</v>
      </c>
      <c r="S95" s="79">
        <v>0.0</v>
      </c>
      <c r="T95" s="79">
        <v>0.0</v>
      </c>
      <c r="U95" s="79">
        <v>1.0</v>
      </c>
      <c r="V95" s="79">
        <v>0.0</v>
      </c>
      <c r="W95" s="79">
        <v>0.0</v>
      </c>
      <c r="X95" s="13">
        <f t="shared" si="22"/>
        <v>4</v>
      </c>
    </row>
    <row r="96" ht="12.75" customHeight="1">
      <c r="A96" s="18"/>
      <c r="B96" s="58"/>
      <c r="C96" s="53" t="s">
        <v>83</v>
      </c>
      <c r="D96" s="61"/>
      <c r="E96" s="79">
        <v>0.0</v>
      </c>
      <c r="F96" s="19"/>
      <c r="G96" s="79">
        <v>0.0</v>
      </c>
      <c r="H96" s="79">
        <v>0.0</v>
      </c>
      <c r="I96" s="79">
        <v>0.0</v>
      </c>
      <c r="J96" s="19"/>
      <c r="K96" s="79">
        <v>0.0</v>
      </c>
      <c r="L96" s="79">
        <v>0.0</v>
      </c>
      <c r="M96" s="79">
        <v>0.0</v>
      </c>
      <c r="N96" s="79">
        <v>0.0</v>
      </c>
      <c r="O96" s="79">
        <v>0.0</v>
      </c>
      <c r="P96" s="19"/>
      <c r="Q96" s="79">
        <v>0.0</v>
      </c>
      <c r="R96" s="79">
        <v>0.0</v>
      </c>
      <c r="S96" s="79">
        <v>0.0</v>
      </c>
      <c r="T96" s="79">
        <v>0.0</v>
      </c>
      <c r="U96" s="19"/>
      <c r="V96" s="79">
        <v>0.0</v>
      </c>
      <c r="W96" s="79">
        <v>0.0</v>
      </c>
      <c r="X96" s="13">
        <f t="shared" si="22"/>
        <v>0</v>
      </c>
    </row>
    <row r="97" ht="12.75" customHeight="1">
      <c r="A97" s="18"/>
      <c r="B97" s="58"/>
      <c r="C97" s="53" t="s">
        <v>84</v>
      </c>
      <c r="D97" s="61"/>
      <c r="E97" s="79">
        <v>0.0</v>
      </c>
      <c r="F97" s="19"/>
      <c r="G97" s="79">
        <v>0.0</v>
      </c>
      <c r="H97" s="79">
        <v>0.0</v>
      </c>
      <c r="I97" s="79">
        <v>0.0</v>
      </c>
      <c r="J97" s="19"/>
      <c r="K97" s="79">
        <v>0.0</v>
      </c>
      <c r="L97" s="79">
        <v>0.0</v>
      </c>
      <c r="M97" s="79">
        <v>1.0</v>
      </c>
      <c r="N97" s="79">
        <v>0.0</v>
      </c>
      <c r="O97" s="79">
        <v>0.0</v>
      </c>
      <c r="P97" s="19"/>
      <c r="Q97" s="79">
        <v>0.0</v>
      </c>
      <c r="R97" s="79">
        <v>0.0</v>
      </c>
      <c r="S97" s="79">
        <v>2.0</v>
      </c>
      <c r="T97" s="79">
        <v>0.0</v>
      </c>
      <c r="U97" s="19"/>
      <c r="V97" s="79">
        <v>0.0</v>
      </c>
      <c r="W97" s="79">
        <v>0.0</v>
      </c>
      <c r="X97" s="13">
        <f t="shared" si="22"/>
        <v>3</v>
      </c>
    </row>
    <row r="98" ht="12.75" customHeight="1">
      <c r="A98" s="18"/>
      <c r="B98" s="58"/>
      <c r="C98" s="53" t="s">
        <v>85</v>
      </c>
      <c r="D98" s="61"/>
      <c r="E98" s="79">
        <v>0.0</v>
      </c>
      <c r="F98" s="19"/>
      <c r="G98" s="79">
        <v>0.0</v>
      </c>
      <c r="H98" s="79">
        <v>0.0</v>
      </c>
      <c r="I98" s="79">
        <v>0.0</v>
      </c>
      <c r="J98" s="19"/>
      <c r="K98" s="79">
        <v>0.0</v>
      </c>
      <c r="L98" s="79">
        <v>0.0</v>
      </c>
      <c r="M98" s="79">
        <v>0.0</v>
      </c>
      <c r="N98" s="79">
        <v>0.0</v>
      </c>
      <c r="O98" s="79">
        <v>0.0</v>
      </c>
      <c r="P98" s="19"/>
      <c r="Q98" s="79">
        <v>0.0</v>
      </c>
      <c r="R98" s="79">
        <v>1.0</v>
      </c>
      <c r="S98" s="79">
        <v>0.0</v>
      </c>
      <c r="T98" s="79">
        <v>0.0</v>
      </c>
      <c r="U98" s="19"/>
      <c r="V98" s="79">
        <v>1.0</v>
      </c>
      <c r="W98" s="79">
        <v>0.0</v>
      </c>
      <c r="X98" s="13">
        <f t="shared" si="22"/>
        <v>2</v>
      </c>
    </row>
    <row r="99" ht="12.75" customHeight="1">
      <c r="A99" s="18"/>
      <c r="B99" s="58"/>
      <c r="C99" s="53" t="s">
        <v>86</v>
      </c>
      <c r="D99" s="61"/>
      <c r="E99" s="79">
        <v>0.0</v>
      </c>
      <c r="F99" s="19"/>
      <c r="G99" s="79">
        <v>0.0</v>
      </c>
      <c r="H99" s="79">
        <v>0.0</v>
      </c>
      <c r="I99" s="79">
        <v>0.0</v>
      </c>
      <c r="J99" s="19"/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19"/>
      <c r="Q99" s="79">
        <v>0.0</v>
      </c>
      <c r="R99" s="79">
        <v>0.0</v>
      </c>
      <c r="S99" s="79">
        <v>0.0</v>
      </c>
      <c r="T99" s="79">
        <v>0.0</v>
      </c>
      <c r="U99" s="19"/>
      <c r="V99" s="79">
        <v>0.0</v>
      </c>
      <c r="W99" s="79">
        <v>0.0</v>
      </c>
      <c r="X99" s="13">
        <f t="shared" si="22"/>
        <v>0</v>
      </c>
    </row>
    <row r="100" ht="12.75" customHeight="1">
      <c r="A100" s="18"/>
      <c r="B100" s="58"/>
      <c r="C100" s="53" t="s">
        <v>87</v>
      </c>
      <c r="D100" s="61"/>
      <c r="E100" s="79">
        <v>0.0</v>
      </c>
      <c r="F100" s="19"/>
      <c r="G100" s="79">
        <v>0.0</v>
      </c>
      <c r="H100" s="79">
        <v>0.0</v>
      </c>
      <c r="I100" s="79">
        <v>0.0</v>
      </c>
      <c r="J100" s="19"/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19"/>
      <c r="Q100" s="79">
        <v>0.0</v>
      </c>
      <c r="R100" s="79">
        <v>0.0</v>
      </c>
      <c r="S100" s="79">
        <v>0.0</v>
      </c>
      <c r="T100" s="79">
        <v>0.0</v>
      </c>
      <c r="U100" s="19"/>
      <c r="V100" s="79">
        <v>0.0</v>
      </c>
      <c r="W100" s="79">
        <v>0.0</v>
      </c>
      <c r="X100" s="13">
        <f t="shared" si="22"/>
        <v>0</v>
      </c>
    </row>
    <row r="101" ht="12.75" customHeight="1">
      <c r="A101" s="18"/>
      <c r="B101" s="58"/>
      <c r="C101" s="53" t="s">
        <v>88</v>
      </c>
      <c r="D101" s="61"/>
      <c r="E101" s="79">
        <v>0.0</v>
      </c>
      <c r="F101" s="19"/>
      <c r="G101" s="79">
        <v>0.0</v>
      </c>
      <c r="H101" s="79">
        <v>0.0</v>
      </c>
      <c r="I101" s="79">
        <v>0.0</v>
      </c>
      <c r="J101" s="19"/>
      <c r="K101" s="79">
        <v>1.0</v>
      </c>
      <c r="L101" s="79">
        <v>0.0</v>
      </c>
      <c r="M101" s="79">
        <v>0.0</v>
      </c>
      <c r="N101" s="79">
        <v>0.0</v>
      </c>
      <c r="O101" s="79">
        <v>0.0</v>
      </c>
      <c r="P101" s="19"/>
      <c r="Q101" s="79">
        <v>0.0</v>
      </c>
      <c r="R101" s="79">
        <v>0.0</v>
      </c>
      <c r="S101" s="79">
        <v>0.0</v>
      </c>
      <c r="T101" s="79">
        <v>0.0</v>
      </c>
      <c r="U101" s="19"/>
      <c r="V101" s="79">
        <v>0.0</v>
      </c>
      <c r="W101" s="79">
        <v>0.0</v>
      </c>
      <c r="X101" s="13">
        <f t="shared" si="22"/>
        <v>1</v>
      </c>
    </row>
    <row r="102" ht="12.75" customHeight="1">
      <c r="A102" s="18"/>
      <c r="B102" s="58"/>
      <c r="C102" s="53" t="s">
        <v>89</v>
      </c>
      <c r="D102" s="61"/>
      <c r="E102" s="79">
        <v>0.0</v>
      </c>
      <c r="F102" s="19"/>
      <c r="G102" s="79">
        <v>0.0</v>
      </c>
      <c r="H102" s="79">
        <v>0.0</v>
      </c>
      <c r="I102" s="79">
        <v>0.0</v>
      </c>
      <c r="J102" s="19"/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1.0</v>
      </c>
      <c r="Q102" s="79">
        <v>0.0</v>
      </c>
      <c r="R102" s="79">
        <v>0.0</v>
      </c>
      <c r="S102" s="79">
        <v>0.0</v>
      </c>
      <c r="T102" s="79">
        <v>0.0</v>
      </c>
      <c r="U102" s="19"/>
      <c r="V102" s="79">
        <v>0.0</v>
      </c>
      <c r="W102" s="79">
        <v>0.0</v>
      </c>
      <c r="X102" s="13">
        <f t="shared" si="22"/>
        <v>1</v>
      </c>
    </row>
    <row r="103" ht="12.75" customHeight="1">
      <c r="A103" s="19" t="s">
        <v>14</v>
      </c>
      <c r="B103" s="50" t="s">
        <v>48</v>
      </c>
      <c r="C103" s="15"/>
      <c r="D103" s="16"/>
      <c r="E103" s="13">
        <f t="shared" ref="E103:W103" si="23">SUM(E93:E102)</f>
        <v>0</v>
      </c>
      <c r="F103" s="13">
        <f t="shared" si="23"/>
        <v>4</v>
      </c>
      <c r="G103" s="13">
        <f t="shared" si="23"/>
        <v>3</v>
      </c>
      <c r="H103" s="13">
        <f t="shared" si="23"/>
        <v>3</v>
      </c>
      <c r="I103" s="13">
        <f t="shared" si="23"/>
        <v>3</v>
      </c>
      <c r="J103" s="13">
        <f t="shared" si="23"/>
        <v>2</v>
      </c>
      <c r="K103" s="13">
        <f t="shared" si="23"/>
        <v>15</v>
      </c>
      <c r="L103" s="13">
        <f t="shared" si="23"/>
        <v>1</v>
      </c>
      <c r="M103" s="13">
        <f t="shared" si="23"/>
        <v>3</v>
      </c>
      <c r="N103" s="13">
        <f t="shared" si="23"/>
        <v>7</v>
      </c>
      <c r="O103" s="13">
        <f t="shared" si="23"/>
        <v>1</v>
      </c>
      <c r="P103" s="13">
        <f t="shared" si="23"/>
        <v>5</v>
      </c>
      <c r="Q103" s="13">
        <f t="shared" si="23"/>
        <v>17</v>
      </c>
      <c r="R103" s="13">
        <f t="shared" si="23"/>
        <v>4</v>
      </c>
      <c r="S103" s="13">
        <f t="shared" si="23"/>
        <v>6</v>
      </c>
      <c r="T103" s="13">
        <f t="shared" si="23"/>
        <v>10</v>
      </c>
      <c r="U103" s="13">
        <f t="shared" si="23"/>
        <v>1</v>
      </c>
      <c r="V103" s="13">
        <f t="shared" si="23"/>
        <v>9</v>
      </c>
      <c r="W103" s="13">
        <f t="shared" si="23"/>
        <v>3</v>
      </c>
      <c r="X103" s="13">
        <f t="shared" si="22"/>
        <v>97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</row>
    <row r="105" ht="12.75" customHeight="1">
      <c r="A105" s="31" t="s">
        <v>36</v>
      </c>
      <c r="B105" s="50" t="s">
        <v>90</v>
      </c>
      <c r="C105" s="51" t="s">
        <v>91</v>
      </c>
      <c r="D105" s="16"/>
      <c r="E105" s="79">
        <v>0.0</v>
      </c>
      <c r="F105" s="19"/>
      <c r="G105" s="79">
        <v>1.0</v>
      </c>
      <c r="H105" s="79">
        <v>0.0</v>
      </c>
      <c r="I105" s="79">
        <v>0.0</v>
      </c>
      <c r="J105" s="79">
        <v>0.0</v>
      </c>
      <c r="K105" s="79">
        <v>2.0</v>
      </c>
      <c r="L105" s="79">
        <v>1.0</v>
      </c>
      <c r="M105" s="79">
        <v>0.0</v>
      </c>
      <c r="N105" s="79">
        <v>1.0</v>
      </c>
      <c r="O105" s="79">
        <v>1.0</v>
      </c>
      <c r="P105" s="79">
        <v>2.0</v>
      </c>
      <c r="Q105" s="79">
        <v>0.0</v>
      </c>
      <c r="R105" s="79">
        <v>0.0</v>
      </c>
      <c r="S105" s="79">
        <v>0.0</v>
      </c>
      <c r="T105" s="79">
        <v>0.0</v>
      </c>
      <c r="U105" s="19"/>
      <c r="V105" s="79">
        <v>0.0</v>
      </c>
      <c r="W105" s="19"/>
      <c r="X105" s="13">
        <f t="shared" ref="X105:X107" si="24">SUM(E105:W105)</f>
        <v>8</v>
      </c>
    </row>
    <row r="106" ht="12.75" customHeight="1">
      <c r="A106" s="31" t="s">
        <v>38</v>
      </c>
      <c r="B106" s="58"/>
      <c r="C106" s="53" t="s">
        <v>92</v>
      </c>
      <c r="D106" s="61"/>
      <c r="E106" s="79">
        <v>0.0</v>
      </c>
      <c r="F106" s="19"/>
      <c r="G106" s="79">
        <v>0.0</v>
      </c>
      <c r="H106" s="79">
        <v>0.0</v>
      </c>
      <c r="I106" s="79">
        <v>1.0</v>
      </c>
      <c r="J106" s="79">
        <v>0.0</v>
      </c>
      <c r="K106" s="79">
        <v>0.0</v>
      </c>
      <c r="L106" s="79">
        <v>0.0</v>
      </c>
      <c r="M106" s="79">
        <v>0.0</v>
      </c>
      <c r="N106" s="79">
        <v>0.0</v>
      </c>
      <c r="O106" s="79">
        <v>0.0</v>
      </c>
      <c r="P106" s="19"/>
      <c r="Q106" s="79">
        <v>0.0</v>
      </c>
      <c r="R106" s="79">
        <v>1.0</v>
      </c>
      <c r="S106" s="79">
        <v>1.0</v>
      </c>
      <c r="T106" s="79">
        <v>1.0</v>
      </c>
      <c r="U106" s="19"/>
      <c r="V106" s="79">
        <v>0.0</v>
      </c>
      <c r="W106" s="19"/>
      <c r="X106" s="13">
        <f t="shared" si="24"/>
        <v>4</v>
      </c>
    </row>
    <row r="107" ht="12.75" customHeight="1">
      <c r="A107" s="18"/>
      <c r="B107" s="58"/>
      <c r="C107" s="53" t="s">
        <v>93</v>
      </c>
      <c r="D107" s="61"/>
      <c r="E107" s="79">
        <v>0.0</v>
      </c>
      <c r="F107" s="19"/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1.0</v>
      </c>
      <c r="N107" s="79">
        <v>0.0</v>
      </c>
      <c r="O107" s="79">
        <v>0.0</v>
      </c>
      <c r="P107" s="19"/>
      <c r="Q107" s="79">
        <v>0.0</v>
      </c>
      <c r="R107" s="79">
        <v>0.0</v>
      </c>
      <c r="S107" s="79">
        <v>0.0</v>
      </c>
      <c r="T107" s="79">
        <v>0.0</v>
      </c>
      <c r="U107" s="79">
        <v>1.0</v>
      </c>
      <c r="V107" s="79">
        <v>0.0</v>
      </c>
      <c r="W107" s="19"/>
      <c r="X107" s="13">
        <f t="shared" si="24"/>
        <v>2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85"/>
    </row>
    <row r="115" ht="12.75" customHeight="1">
      <c r="A115" s="19" t="s">
        <v>14</v>
      </c>
      <c r="B115" s="50" t="s">
        <v>48</v>
      </c>
      <c r="C115" s="15"/>
      <c r="D115" s="16"/>
      <c r="E115" s="13">
        <f t="shared" ref="E115:W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0</v>
      </c>
      <c r="K115" s="13">
        <f t="shared" si="25"/>
        <v>2</v>
      </c>
      <c r="L115" s="13">
        <f t="shared" si="25"/>
        <v>1</v>
      </c>
      <c r="M115" s="13">
        <f t="shared" si="25"/>
        <v>1</v>
      </c>
      <c r="N115" s="13">
        <f t="shared" si="25"/>
        <v>1</v>
      </c>
      <c r="O115" s="13">
        <f t="shared" si="25"/>
        <v>1</v>
      </c>
      <c r="P115" s="13">
        <f t="shared" si="25"/>
        <v>2</v>
      </c>
      <c r="Q115" s="13">
        <f t="shared" si="25"/>
        <v>0</v>
      </c>
      <c r="R115" s="13">
        <f t="shared" si="25"/>
        <v>1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>SUM(E115:W115)</f>
        <v>14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13"/>
    </row>
    <row r="117" ht="12.75" customHeight="1">
      <c r="A117" s="31" t="s">
        <v>36</v>
      </c>
      <c r="B117" s="50" t="s">
        <v>94</v>
      </c>
      <c r="C117" s="51" t="s">
        <v>95</v>
      </c>
      <c r="D117" s="16"/>
      <c r="E117" s="79">
        <v>0.0</v>
      </c>
      <c r="F117" s="19"/>
      <c r="G117" s="79">
        <v>0.0</v>
      </c>
      <c r="H117" s="79">
        <v>1.0</v>
      </c>
      <c r="I117" s="79">
        <v>1.0</v>
      </c>
      <c r="J117" s="79">
        <v>0.0</v>
      </c>
      <c r="K117" s="79">
        <v>0.0</v>
      </c>
      <c r="L117" s="79">
        <v>0.0</v>
      </c>
      <c r="M117" s="79">
        <v>2.0</v>
      </c>
      <c r="N117" s="79">
        <v>2.0</v>
      </c>
      <c r="O117" s="79">
        <v>1.0</v>
      </c>
      <c r="P117" s="79">
        <v>0.0</v>
      </c>
      <c r="Q117" s="79">
        <v>0.0</v>
      </c>
      <c r="R117" s="79">
        <v>0.0</v>
      </c>
      <c r="S117" s="79">
        <v>0.0</v>
      </c>
      <c r="T117" s="79">
        <v>0.0</v>
      </c>
      <c r="U117" s="79">
        <v>1.0</v>
      </c>
      <c r="V117" s="79">
        <v>0.0</v>
      </c>
      <c r="W117" s="19"/>
      <c r="X117" s="13">
        <f t="shared" ref="X117:X122" si="26">SUM(E117:W117)</f>
        <v>8</v>
      </c>
      <c r="Y117" s="5"/>
      <c r="Z117" s="5"/>
    </row>
    <row r="118" ht="12.75" customHeight="1">
      <c r="A118" s="31" t="s">
        <v>38</v>
      </c>
      <c r="B118" s="58"/>
      <c r="C118" s="53" t="s">
        <v>96</v>
      </c>
      <c r="D118" s="61"/>
      <c r="E118" s="79">
        <v>0.0</v>
      </c>
      <c r="F118" s="19"/>
      <c r="G118" s="79">
        <v>0.0</v>
      </c>
      <c r="H118" s="79">
        <v>0.0</v>
      </c>
      <c r="I118" s="79">
        <v>0.0</v>
      </c>
      <c r="J118" s="79">
        <v>1.0</v>
      </c>
      <c r="K118" s="79">
        <v>0.0</v>
      </c>
      <c r="L118" s="79">
        <v>0.0</v>
      </c>
      <c r="M118" s="79">
        <v>0.0</v>
      </c>
      <c r="N118" s="79">
        <v>0.0</v>
      </c>
      <c r="O118" s="79">
        <v>0.0</v>
      </c>
      <c r="P118" s="79">
        <v>1.0</v>
      </c>
      <c r="Q118" s="79">
        <v>0.0</v>
      </c>
      <c r="R118" s="79">
        <v>0.0</v>
      </c>
      <c r="S118" s="79">
        <v>0.0</v>
      </c>
      <c r="T118" s="79">
        <v>0.0</v>
      </c>
      <c r="U118" s="19"/>
      <c r="V118" s="79">
        <v>0.0</v>
      </c>
      <c r="W118" s="79">
        <v>1.0</v>
      </c>
      <c r="X118" s="13">
        <f t="shared" si="26"/>
        <v>3</v>
      </c>
      <c r="Y118" s="5"/>
      <c r="Z118" s="5"/>
    </row>
    <row r="119" ht="12.75" customHeight="1">
      <c r="A119" s="18"/>
      <c r="B119" s="58"/>
      <c r="C119" s="53" t="s">
        <v>97</v>
      </c>
      <c r="D119" s="61"/>
      <c r="E119" s="79">
        <v>0.0</v>
      </c>
      <c r="F119" s="19"/>
      <c r="G119" s="79">
        <v>0.0</v>
      </c>
      <c r="H119" s="79">
        <v>0.0</v>
      </c>
      <c r="I119" s="79">
        <v>0.0</v>
      </c>
      <c r="J119" s="79">
        <v>0.0</v>
      </c>
      <c r="K119" s="79">
        <v>0.0</v>
      </c>
      <c r="L119" s="79">
        <v>0.0</v>
      </c>
      <c r="M119" s="79">
        <v>0.0</v>
      </c>
      <c r="N119" s="79">
        <v>0.0</v>
      </c>
      <c r="O119" s="79">
        <v>0.0</v>
      </c>
      <c r="P119" s="79">
        <v>0.0</v>
      </c>
      <c r="Q119" s="79">
        <v>1.0</v>
      </c>
      <c r="R119" s="79">
        <v>0.0</v>
      </c>
      <c r="S119" s="79">
        <v>0.0</v>
      </c>
      <c r="T119" s="79">
        <v>0.0</v>
      </c>
      <c r="U119" s="19"/>
      <c r="V119" s="79">
        <v>0.0</v>
      </c>
      <c r="W119" s="79">
        <v>0.0</v>
      </c>
      <c r="X119" s="13">
        <f t="shared" si="26"/>
        <v>1</v>
      </c>
      <c r="Y119" s="5"/>
      <c r="Z119" s="5"/>
    </row>
    <row r="120" ht="12.75" customHeight="1">
      <c r="A120" s="18"/>
      <c r="B120" s="58"/>
      <c r="C120" s="53" t="s">
        <v>98</v>
      </c>
      <c r="D120" s="61"/>
      <c r="E120" s="79">
        <v>0.0</v>
      </c>
      <c r="F120" s="19"/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79">
        <v>0.0</v>
      </c>
      <c r="O120" s="79">
        <v>0.0</v>
      </c>
      <c r="P120" s="79">
        <v>0.0</v>
      </c>
      <c r="Q120" s="79">
        <v>0.0</v>
      </c>
      <c r="R120" s="79">
        <v>0.0</v>
      </c>
      <c r="S120" s="79">
        <v>0.0</v>
      </c>
      <c r="T120" s="79">
        <v>0.0</v>
      </c>
      <c r="U120" s="19"/>
      <c r="V120" s="79">
        <v>0.0</v>
      </c>
      <c r="W120" s="79">
        <v>1.0</v>
      </c>
      <c r="X120" s="13">
        <f t="shared" si="26"/>
        <v>1</v>
      </c>
      <c r="Y120" s="5"/>
      <c r="Z120" s="5"/>
    </row>
    <row r="121" ht="12.75" customHeight="1">
      <c r="A121" s="18"/>
      <c r="B121" s="58"/>
      <c r="C121" s="53" t="s">
        <v>99</v>
      </c>
      <c r="D121" s="61"/>
      <c r="E121" s="79">
        <v>0.0</v>
      </c>
      <c r="F121" s="19"/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79">
        <v>1.0</v>
      </c>
      <c r="Q121" s="79">
        <v>0.0</v>
      </c>
      <c r="R121" s="79">
        <v>0.0</v>
      </c>
      <c r="S121" s="79">
        <v>0.0</v>
      </c>
      <c r="T121" s="79">
        <v>0.0</v>
      </c>
      <c r="U121" s="19"/>
      <c r="V121" s="79">
        <v>0.0</v>
      </c>
      <c r="W121" s="79">
        <v>0.0</v>
      </c>
      <c r="X121" s="13">
        <f t="shared" si="26"/>
        <v>1</v>
      </c>
      <c r="Y121" s="5"/>
      <c r="Z121" s="5"/>
    </row>
    <row r="122" ht="12.75" customHeight="1">
      <c r="A122" s="18"/>
      <c r="B122" s="58"/>
      <c r="C122" s="53" t="s">
        <v>100</v>
      </c>
      <c r="D122" s="61"/>
      <c r="E122" s="79">
        <v>0.0</v>
      </c>
      <c r="F122" s="19"/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0.0</v>
      </c>
      <c r="O122" s="79">
        <v>0.0</v>
      </c>
      <c r="P122" s="79">
        <v>0.0</v>
      </c>
      <c r="Q122" s="79">
        <v>0.0</v>
      </c>
      <c r="R122" s="79">
        <v>0.0</v>
      </c>
      <c r="S122" s="79">
        <v>0.0</v>
      </c>
      <c r="T122" s="79">
        <v>0.0</v>
      </c>
      <c r="U122" s="19"/>
      <c r="V122" s="79">
        <v>0.0</v>
      </c>
      <c r="W122" s="79">
        <v>0.0</v>
      </c>
      <c r="X122" s="13">
        <f t="shared" si="26"/>
        <v>0</v>
      </c>
      <c r="Y122" s="5"/>
      <c r="Z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85"/>
      <c r="Y123" s="5"/>
      <c r="Z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85"/>
      <c r="Y124" s="5"/>
      <c r="Z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85"/>
      <c r="Y125" s="5"/>
      <c r="Z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85"/>
      <c r="Y126" s="5"/>
      <c r="Z126" s="5"/>
    </row>
    <row r="127" ht="12.75" customHeight="1">
      <c r="A127" s="19" t="s">
        <v>14</v>
      </c>
      <c r="B127" s="50" t="s">
        <v>48</v>
      </c>
      <c r="C127" s="15"/>
      <c r="D127" s="16"/>
      <c r="E127" s="67">
        <f t="shared" ref="E127:W127" si="27">SUM(E117:E126)</f>
        <v>0</v>
      </c>
      <c r="F127" s="67">
        <f t="shared" si="27"/>
        <v>0</v>
      </c>
      <c r="G127" s="67">
        <f t="shared" si="27"/>
        <v>0</v>
      </c>
      <c r="H127" s="67">
        <f t="shared" si="27"/>
        <v>1</v>
      </c>
      <c r="I127" s="67">
        <f t="shared" si="27"/>
        <v>1</v>
      </c>
      <c r="J127" s="67">
        <f t="shared" si="27"/>
        <v>1</v>
      </c>
      <c r="K127" s="67">
        <f t="shared" si="27"/>
        <v>0</v>
      </c>
      <c r="L127" s="67">
        <f t="shared" si="27"/>
        <v>0</v>
      </c>
      <c r="M127" s="67">
        <f t="shared" si="27"/>
        <v>2</v>
      </c>
      <c r="N127" s="67">
        <f t="shared" si="27"/>
        <v>2</v>
      </c>
      <c r="O127" s="67">
        <f t="shared" si="27"/>
        <v>1</v>
      </c>
      <c r="P127" s="67">
        <f t="shared" si="27"/>
        <v>2</v>
      </c>
      <c r="Q127" s="67">
        <f t="shared" si="27"/>
        <v>1</v>
      </c>
      <c r="R127" s="67">
        <f t="shared" si="27"/>
        <v>0</v>
      </c>
      <c r="S127" s="67">
        <f t="shared" si="27"/>
        <v>0</v>
      </c>
      <c r="T127" s="67">
        <f t="shared" si="27"/>
        <v>0</v>
      </c>
      <c r="U127" s="67">
        <f t="shared" si="27"/>
        <v>1</v>
      </c>
      <c r="V127" s="67">
        <f t="shared" si="27"/>
        <v>0</v>
      </c>
      <c r="W127" s="67">
        <f t="shared" si="27"/>
        <v>2</v>
      </c>
      <c r="X127" s="13">
        <f>SUM(E127:W127)</f>
        <v>14</v>
      </c>
      <c r="Y127" s="5"/>
      <c r="Z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5"/>
      <c r="Z128" s="5"/>
    </row>
    <row r="129" ht="12.75" customHeight="1">
      <c r="A129" s="31" t="s">
        <v>36</v>
      </c>
      <c r="B129" s="50" t="s">
        <v>101</v>
      </c>
      <c r="C129" s="51" t="s">
        <v>102</v>
      </c>
      <c r="D129" s="16"/>
      <c r="E129" s="79">
        <v>1.0</v>
      </c>
      <c r="F129" s="79">
        <v>2.0</v>
      </c>
      <c r="G129" s="79">
        <v>0.0</v>
      </c>
      <c r="H129" s="79">
        <v>1.0</v>
      </c>
      <c r="I129" s="79">
        <v>2.0</v>
      </c>
      <c r="J129" s="79">
        <v>0.0</v>
      </c>
      <c r="K129" s="79">
        <v>2.0</v>
      </c>
      <c r="L129" s="79">
        <v>4.0</v>
      </c>
      <c r="M129" s="79">
        <v>0.0</v>
      </c>
      <c r="N129" s="79">
        <v>0.0</v>
      </c>
      <c r="O129" s="79">
        <v>2.0</v>
      </c>
      <c r="P129" s="79">
        <v>1.0</v>
      </c>
      <c r="Q129" s="79">
        <v>0.0</v>
      </c>
      <c r="R129" s="79">
        <v>1.0</v>
      </c>
      <c r="S129" s="79">
        <v>0.0</v>
      </c>
      <c r="T129" s="79">
        <v>2.0</v>
      </c>
      <c r="U129" s="19"/>
      <c r="V129" s="79">
        <v>1.0</v>
      </c>
      <c r="W129" s="19"/>
      <c r="X129" s="13">
        <f t="shared" ref="X129:X139" si="28">SUM(E129:W129)</f>
        <v>19</v>
      </c>
      <c r="Y129" s="5"/>
      <c r="Z129" s="5"/>
    </row>
    <row r="130" ht="12.75" customHeight="1">
      <c r="A130" s="31" t="s">
        <v>38</v>
      </c>
      <c r="B130" s="58"/>
      <c r="C130" s="53" t="s">
        <v>103</v>
      </c>
      <c r="D130" s="60"/>
      <c r="E130" s="79">
        <v>3.0</v>
      </c>
      <c r="F130" s="19"/>
      <c r="G130" s="79">
        <v>1.0</v>
      </c>
      <c r="H130" s="79">
        <v>2.0</v>
      </c>
      <c r="I130" s="79">
        <v>4.0</v>
      </c>
      <c r="J130" s="79">
        <v>3.0</v>
      </c>
      <c r="K130" s="79">
        <v>2.0</v>
      </c>
      <c r="L130" s="79">
        <v>1.0</v>
      </c>
      <c r="M130" s="79">
        <v>1.0</v>
      </c>
      <c r="N130" s="79">
        <v>0.0</v>
      </c>
      <c r="O130" s="79">
        <v>0.0</v>
      </c>
      <c r="P130" s="79">
        <v>3.0</v>
      </c>
      <c r="Q130" s="79">
        <v>0.0</v>
      </c>
      <c r="R130" s="79">
        <v>1.0</v>
      </c>
      <c r="S130" s="79">
        <v>0.0</v>
      </c>
      <c r="T130" s="79">
        <v>1.0</v>
      </c>
      <c r="U130" s="79">
        <v>2.0</v>
      </c>
      <c r="V130" s="79">
        <v>0.0</v>
      </c>
      <c r="W130" s="19"/>
      <c r="X130" s="13">
        <f t="shared" si="28"/>
        <v>24</v>
      </c>
      <c r="Y130" s="1"/>
      <c r="Z130" s="1"/>
    </row>
    <row r="131" ht="12.75" customHeight="1">
      <c r="A131" s="18"/>
      <c r="B131" s="58"/>
      <c r="C131" s="53" t="s">
        <v>104</v>
      </c>
      <c r="D131" s="60"/>
      <c r="E131" s="79">
        <v>0.0</v>
      </c>
      <c r="F131" s="19"/>
      <c r="G131" s="79">
        <v>0.0</v>
      </c>
      <c r="H131" s="79">
        <v>1.0</v>
      </c>
      <c r="I131" s="79">
        <v>0.0</v>
      </c>
      <c r="J131" s="79">
        <v>0.0</v>
      </c>
      <c r="K131" s="79">
        <v>0.0</v>
      </c>
      <c r="L131" s="79">
        <v>2.0</v>
      </c>
      <c r="M131" s="79">
        <v>0.0</v>
      </c>
      <c r="N131" s="79">
        <v>0.0</v>
      </c>
      <c r="O131" s="79">
        <v>0.0</v>
      </c>
      <c r="P131" s="79">
        <v>1.0</v>
      </c>
      <c r="Q131" s="79">
        <v>0.0</v>
      </c>
      <c r="R131" s="79">
        <v>0.0</v>
      </c>
      <c r="S131" s="79">
        <v>0.0</v>
      </c>
      <c r="T131" s="79">
        <v>0.0</v>
      </c>
      <c r="U131" s="19"/>
      <c r="V131" s="79">
        <v>0.0</v>
      </c>
      <c r="W131" s="19"/>
      <c r="X131" s="13">
        <f t="shared" si="28"/>
        <v>4</v>
      </c>
      <c r="Y131" s="55"/>
      <c r="Z131" s="55"/>
    </row>
    <row r="132" ht="12.75" customHeight="1">
      <c r="A132" s="18"/>
      <c r="B132" s="58"/>
      <c r="C132" s="53" t="s">
        <v>105</v>
      </c>
      <c r="D132" s="60"/>
      <c r="E132" s="79">
        <v>0.0</v>
      </c>
      <c r="F132" s="19"/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79">
        <v>0.0</v>
      </c>
      <c r="O132" s="79">
        <v>0.0</v>
      </c>
      <c r="P132" s="79">
        <v>0.0</v>
      </c>
      <c r="Q132" s="79">
        <v>0.0</v>
      </c>
      <c r="R132" s="79">
        <v>1.0</v>
      </c>
      <c r="S132" s="79">
        <v>0.0</v>
      </c>
      <c r="T132" s="79">
        <v>0.0</v>
      </c>
      <c r="U132" s="19"/>
      <c r="V132" s="79">
        <v>0.0</v>
      </c>
      <c r="W132" s="19"/>
      <c r="X132" s="13">
        <f t="shared" si="28"/>
        <v>1</v>
      </c>
      <c r="Y132" s="5"/>
      <c r="Z132" s="5"/>
    </row>
    <row r="133" ht="12.75" customHeight="1">
      <c r="A133" s="18"/>
      <c r="B133" s="58"/>
      <c r="C133" s="53" t="s">
        <v>106</v>
      </c>
      <c r="D133" s="60"/>
      <c r="E133" s="79">
        <v>0.0</v>
      </c>
      <c r="F133" s="19"/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1.0</v>
      </c>
      <c r="P133" s="79">
        <v>0.0</v>
      </c>
      <c r="Q133" s="79">
        <v>1.0</v>
      </c>
      <c r="R133" s="79">
        <v>0.0</v>
      </c>
      <c r="S133" s="79">
        <v>0.0</v>
      </c>
      <c r="T133" s="79">
        <v>0.0</v>
      </c>
      <c r="U133" s="19"/>
      <c r="V133" s="79">
        <v>0.0</v>
      </c>
      <c r="W133" s="19"/>
      <c r="X133" s="13">
        <f t="shared" si="28"/>
        <v>2</v>
      </c>
      <c r="Y133" s="5"/>
      <c r="Z133" s="5"/>
    </row>
    <row r="134" ht="12.75" customHeight="1">
      <c r="A134" s="18"/>
      <c r="B134" s="58"/>
      <c r="C134" s="53" t="s">
        <v>107</v>
      </c>
      <c r="D134" s="60"/>
      <c r="E134" s="79">
        <v>0.0</v>
      </c>
      <c r="F134" s="19"/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79">
        <v>0.0</v>
      </c>
      <c r="R134" s="79">
        <v>0.0</v>
      </c>
      <c r="S134" s="79">
        <v>1.0</v>
      </c>
      <c r="T134" s="79">
        <v>0.0</v>
      </c>
      <c r="U134" s="19"/>
      <c r="V134" s="79">
        <v>0.0</v>
      </c>
      <c r="W134" s="19"/>
      <c r="X134" s="13">
        <f t="shared" si="28"/>
        <v>1</v>
      </c>
      <c r="Y134" s="5"/>
      <c r="Z134" s="5"/>
    </row>
    <row r="135" ht="12.75" customHeight="1">
      <c r="A135" s="18"/>
      <c r="B135" s="58"/>
      <c r="C135" s="53" t="s">
        <v>108</v>
      </c>
      <c r="D135" s="61"/>
      <c r="E135" s="79">
        <v>1.0</v>
      </c>
      <c r="F135" s="19"/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79">
        <v>1.0</v>
      </c>
      <c r="N135" s="79">
        <v>0.0</v>
      </c>
      <c r="O135" s="79">
        <v>0.0</v>
      </c>
      <c r="P135" s="79">
        <v>0.0</v>
      </c>
      <c r="Q135" s="79">
        <v>0.0</v>
      </c>
      <c r="R135" s="79">
        <v>0.0</v>
      </c>
      <c r="S135" s="79">
        <v>0.0</v>
      </c>
      <c r="T135" s="79">
        <v>0.0</v>
      </c>
      <c r="U135" s="19"/>
      <c r="V135" s="79">
        <v>0.0</v>
      </c>
      <c r="W135" s="19"/>
      <c r="X135" s="13">
        <f t="shared" si="28"/>
        <v>2</v>
      </c>
      <c r="Y135" s="5"/>
      <c r="Z135" s="5"/>
    </row>
    <row r="136" ht="12.75" customHeight="1">
      <c r="A136" s="18"/>
      <c r="B136" s="58"/>
      <c r="C136" s="53" t="s">
        <v>109</v>
      </c>
      <c r="D136" s="60"/>
      <c r="E136" s="79">
        <v>0.0</v>
      </c>
      <c r="F136" s="19"/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0.0</v>
      </c>
      <c r="T136" s="79">
        <v>0.0</v>
      </c>
      <c r="U136" s="19"/>
      <c r="V136" s="79">
        <v>0.0</v>
      </c>
      <c r="W136" s="19"/>
      <c r="X136" s="13">
        <f t="shared" si="28"/>
        <v>0</v>
      </c>
      <c r="Y136" s="5"/>
      <c r="Z136" s="5"/>
    </row>
    <row r="137" ht="12.75" customHeight="1">
      <c r="A137" s="18"/>
      <c r="B137" s="58"/>
      <c r="C137" s="53" t="s">
        <v>110</v>
      </c>
      <c r="D137" s="60"/>
      <c r="E137" s="79">
        <v>0.0</v>
      </c>
      <c r="F137" s="19"/>
      <c r="G137" s="79">
        <v>0.0</v>
      </c>
      <c r="H137" s="79">
        <v>0.0</v>
      </c>
      <c r="I137" s="79">
        <v>0.0</v>
      </c>
      <c r="J137" s="79">
        <v>1.0</v>
      </c>
      <c r="K137" s="79">
        <v>0.0</v>
      </c>
      <c r="L137" s="79">
        <v>1.0</v>
      </c>
      <c r="M137" s="79">
        <v>0.0</v>
      </c>
      <c r="N137" s="79">
        <v>0.0</v>
      </c>
      <c r="O137" s="79">
        <v>0.0</v>
      </c>
      <c r="P137" s="79">
        <v>0.0</v>
      </c>
      <c r="Q137" s="79">
        <v>0.0</v>
      </c>
      <c r="R137" s="79">
        <v>0.0</v>
      </c>
      <c r="S137" s="79">
        <v>0.0</v>
      </c>
      <c r="T137" s="79">
        <v>0.0</v>
      </c>
      <c r="U137" s="19"/>
      <c r="V137" s="79">
        <v>0.0</v>
      </c>
      <c r="W137" s="19"/>
      <c r="X137" s="13">
        <f t="shared" si="28"/>
        <v>2</v>
      </c>
      <c r="Y137" s="5"/>
      <c r="Z137" s="5"/>
    </row>
    <row r="138" ht="12.75" customHeight="1">
      <c r="A138" s="18"/>
      <c r="B138" s="58"/>
      <c r="C138" s="53" t="s">
        <v>111</v>
      </c>
      <c r="D138" s="60"/>
      <c r="E138" s="79">
        <v>1.0</v>
      </c>
      <c r="F138" s="19"/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0.0</v>
      </c>
      <c r="T138" s="79">
        <v>0.0</v>
      </c>
      <c r="U138" s="19"/>
      <c r="V138" s="79">
        <v>0.0</v>
      </c>
      <c r="W138" s="19"/>
      <c r="X138" s="13">
        <f t="shared" si="28"/>
        <v>1</v>
      </c>
      <c r="Y138" s="5"/>
      <c r="Z138" s="5"/>
    </row>
    <row r="139" ht="12.75" customHeight="1">
      <c r="A139" s="19" t="s">
        <v>14</v>
      </c>
      <c r="B139" s="50" t="s">
        <v>48</v>
      </c>
      <c r="C139" s="15"/>
      <c r="D139" s="16"/>
      <c r="E139" s="13">
        <f t="shared" ref="E139:W139" si="29">SUM(E129:E138)</f>
        <v>6</v>
      </c>
      <c r="F139" s="13">
        <f t="shared" si="29"/>
        <v>2</v>
      </c>
      <c r="G139" s="13">
        <f t="shared" si="29"/>
        <v>1</v>
      </c>
      <c r="H139" s="13">
        <f t="shared" si="29"/>
        <v>4</v>
      </c>
      <c r="I139" s="13">
        <f t="shared" si="29"/>
        <v>6</v>
      </c>
      <c r="J139" s="13">
        <f t="shared" si="29"/>
        <v>4</v>
      </c>
      <c r="K139" s="13">
        <f t="shared" si="29"/>
        <v>4</v>
      </c>
      <c r="L139" s="13">
        <f t="shared" si="29"/>
        <v>8</v>
      </c>
      <c r="M139" s="13">
        <f t="shared" si="29"/>
        <v>2</v>
      </c>
      <c r="N139" s="13">
        <f t="shared" si="29"/>
        <v>0</v>
      </c>
      <c r="O139" s="13">
        <f t="shared" si="29"/>
        <v>3</v>
      </c>
      <c r="P139" s="13">
        <f t="shared" si="29"/>
        <v>5</v>
      </c>
      <c r="Q139" s="13">
        <f t="shared" si="29"/>
        <v>1</v>
      </c>
      <c r="R139" s="13">
        <f t="shared" si="29"/>
        <v>3</v>
      </c>
      <c r="S139" s="13">
        <f t="shared" si="29"/>
        <v>1</v>
      </c>
      <c r="T139" s="13">
        <f t="shared" si="29"/>
        <v>3</v>
      </c>
      <c r="U139" s="13">
        <f t="shared" si="29"/>
        <v>2</v>
      </c>
      <c r="V139" s="13">
        <f t="shared" si="29"/>
        <v>1</v>
      </c>
      <c r="W139" s="13">
        <f t="shared" si="29"/>
        <v>0</v>
      </c>
      <c r="X139" s="13">
        <f t="shared" si="28"/>
        <v>56</v>
      </c>
      <c r="Y139" s="5"/>
      <c r="Z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5"/>
      <c r="Z140" s="5"/>
    </row>
    <row r="141" ht="12.75" customHeight="1">
      <c r="A141" s="31" t="s">
        <v>36</v>
      </c>
      <c r="B141" s="50" t="s">
        <v>112</v>
      </c>
      <c r="C141" s="51" t="s">
        <v>113</v>
      </c>
      <c r="D141" s="16"/>
      <c r="E141" s="79">
        <v>0.0</v>
      </c>
      <c r="F141" s="19"/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79">
        <v>0.0</v>
      </c>
      <c r="S141" s="79">
        <v>0.0</v>
      </c>
      <c r="T141" s="19"/>
      <c r="U141" s="19"/>
      <c r="V141" s="19"/>
      <c r="W141" s="19"/>
      <c r="X141" s="13">
        <f t="shared" ref="X141:X144" si="30">SUM(E141:W141)</f>
        <v>0</v>
      </c>
      <c r="Y141" s="1"/>
      <c r="Z141" s="1"/>
    </row>
    <row r="142" ht="12.75" customHeight="1">
      <c r="A142" s="31" t="s">
        <v>38</v>
      </c>
      <c r="B142" s="58"/>
      <c r="C142" s="53" t="s">
        <v>114</v>
      </c>
      <c r="D142" s="61"/>
      <c r="E142" s="79">
        <v>0.0</v>
      </c>
      <c r="F142" s="19"/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>
        <v>0.0</v>
      </c>
      <c r="R142" s="79">
        <v>0.0</v>
      </c>
      <c r="S142" s="79">
        <v>0.0</v>
      </c>
      <c r="T142" s="19"/>
      <c r="U142" s="19"/>
      <c r="V142" s="19"/>
      <c r="W142" s="19"/>
      <c r="X142" s="13">
        <f t="shared" si="30"/>
        <v>0</v>
      </c>
      <c r="Y142" s="55"/>
      <c r="Z142" s="55"/>
    </row>
    <row r="143" ht="12.75" customHeight="1">
      <c r="A143" s="18"/>
      <c r="B143" s="58"/>
      <c r="C143" s="53" t="s">
        <v>115</v>
      </c>
      <c r="D143" s="61"/>
      <c r="E143" s="79">
        <v>0.0</v>
      </c>
      <c r="F143" s="19"/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19"/>
      <c r="U143" s="19"/>
      <c r="V143" s="19"/>
      <c r="W143" s="19"/>
      <c r="X143" s="13">
        <f t="shared" si="30"/>
        <v>0</v>
      </c>
      <c r="Y143" s="5"/>
      <c r="Z143" s="5"/>
    </row>
    <row r="144" ht="12.75" customHeight="1">
      <c r="A144" s="18"/>
      <c r="B144" s="58"/>
      <c r="C144" s="53" t="s">
        <v>116</v>
      </c>
      <c r="D144" s="61"/>
      <c r="E144" s="79">
        <v>0.0</v>
      </c>
      <c r="F144" s="19"/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0.0</v>
      </c>
      <c r="T144" s="19"/>
      <c r="U144" s="19"/>
      <c r="V144" s="19"/>
      <c r="W144" s="19"/>
      <c r="X144" s="13">
        <f t="shared" si="30"/>
        <v>0</v>
      </c>
      <c r="Y144" s="5"/>
      <c r="Z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85"/>
      <c r="Y145" s="5"/>
      <c r="Z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85"/>
      <c r="Y146" s="5"/>
      <c r="Z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85"/>
      <c r="Y147" s="5"/>
      <c r="Z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85"/>
      <c r="Y148" s="5"/>
      <c r="Z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85"/>
      <c r="Y149" s="5"/>
      <c r="Z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85"/>
      <c r="Y150" s="5"/>
      <c r="Z150" s="5"/>
    </row>
    <row r="151" ht="12.75" customHeight="1">
      <c r="A151" s="19" t="s">
        <v>14</v>
      </c>
      <c r="B151" s="50" t="s">
        <v>48</v>
      </c>
      <c r="C151" s="15"/>
      <c r="D151" s="16"/>
      <c r="E151" s="13">
        <f t="shared" ref="E151:W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>SUM(E151:W151)</f>
        <v>0</v>
      </c>
      <c r="Y151" s="1"/>
      <c r="Z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13"/>
      <c r="Y152" s="55"/>
      <c r="Z152" s="55"/>
    </row>
    <row r="153" ht="12.75" customHeight="1">
      <c r="A153" s="31" t="s">
        <v>36</v>
      </c>
      <c r="B153" s="17" t="s">
        <v>117</v>
      </c>
      <c r="C153" s="68" t="s">
        <v>118</v>
      </c>
      <c r="D153" s="23"/>
      <c r="E153" s="79">
        <v>0.0</v>
      </c>
      <c r="F153" s="19"/>
      <c r="G153" s="79">
        <v>0.0</v>
      </c>
      <c r="H153" s="79">
        <v>0.0</v>
      </c>
      <c r="I153" s="79">
        <v>0.0</v>
      </c>
      <c r="J153" s="79">
        <v>0.0</v>
      </c>
      <c r="K153" s="79">
        <v>0.0</v>
      </c>
      <c r="L153" s="79">
        <v>0.0</v>
      </c>
      <c r="M153" s="79">
        <v>0.0</v>
      </c>
      <c r="N153" s="79">
        <v>1.0</v>
      </c>
      <c r="O153" s="79">
        <v>0.0</v>
      </c>
      <c r="P153" s="79">
        <v>1.0</v>
      </c>
      <c r="Q153" s="79">
        <v>1.0</v>
      </c>
      <c r="R153" s="79">
        <v>0.0</v>
      </c>
      <c r="S153" s="79">
        <v>0.0</v>
      </c>
      <c r="T153" s="79">
        <v>0.0</v>
      </c>
      <c r="U153" s="79">
        <v>4.0</v>
      </c>
      <c r="V153" s="79">
        <v>0.0</v>
      </c>
      <c r="W153" s="19"/>
      <c r="X153" s="13">
        <f t="shared" ref="X153:X156" si="32">SUM(E154:W154)</f>
        <v>8</v>
      </c>
      <c r="Y153" s="5"/>
      <c r="Z153" s="5"/>
    </row>
    <row r="154" ht="12.75" customHeight="1">
      <c r="A154" s="69" t="s">
        <v>38</v>
      </c>
      <c r="B154" s="58"/>
      <c r="C154" s="53" t="s">
        <v>119</v>
      </c>
      <c r="D154" s="61"/>
      <c r="E154" s="87">
        <v>0.0</v>
      </c>
      <c r="F154" s="79">
        <v>1.0</v>
      </c>
      <c r="G154" s="79">
        <v>0.0</v>
      </c>
      <c r="H154" s="79">
        <v>0.0</v>
      </c>
      <c r="I154" s="79">
        <v>0.0</v>
      </c>
      <c r="J154" s="79">
        <v>0.0</v>
      </c>
      <c r="K154" s="79">
        <v>0.0</v>
      </c>
      <c r="L154" s="79">
        <v>0.0</v>
      </c>
      <c r="M154" s="79">
        <v>0.0</v>
      </c>
      <c r="N154" s="79">
        <v>0.0</v>
      </c>
      <c r="O154" s="79">
        <v>1.0</v>
      </c>
      <c r="P154" s="79">
        <v>3.0</v>
      </c>
      <c r="Q154" s="79">
        <v>1.0</v>
      </c>
      <c r="R154" s="79">
        <v>0.0</v>
      </c>
      <c r="S154" s="79">
        <v>0.0</v>
      </c>
      <c r="T154" s="79">
        <v>0.0</v>
      </c>
      <c r="U154" s="79">
        <v>2.0</v>
      </c>
      <c r="V154" s="79">
        <v>0.0</v>
      </c>
      <c r="W154" s="19"/>
      <c r="X154" s="13">
        <f t="shared" si="32"/>
        <v>14</v>
      </c>
      <c r="Y154" s="5"/>
      <c r="Z154" s="5"/>
    </row>
    <row r="155" ht="12.75" customHeight="1">
      <c r="A155" s="18"/>
      <c r="B155" s="58"/>
      <c r="C155" s="53" t="s">
        <v>120</v>
      </c>
      <c r="D155" s="61"/>
      <c r="E155" s="87">
        <v>0.0</v>
      </c>
      <c r="F155" s="79">
        <v>1.0</v>
      </c>
      <c r="G155" s="79">
        <v>0.0</v>
      </c>
      <c r="H155" s="79">
        <v>0.0</v>
      </c>
      <c r="I155" s="79">
        <v>0.0</v>
      </c>
      <c r="J155" s="79">
        <v>1.0</v>
      </c>
      <c r="K155" s="79">
        <v>0.0</v>
      </c>
      <c r="L155" s="79">
        <v>0.0</v>
      </c>
      <c r="M155" s="79">
        <v>0.0</v>
      </c>
      <c r="N155" s="79">
        <v>0.0</v>
      </c>
      <c r="O155" s="79">
        <v>0.0</v>
      </c>
      <c r="P155" s="79">
        <v>1.0</v>
      </c>
      <c r="Q155" s="79">
        <v>1.0</v>
      </c>
      <c r="R155" s="79">
        <v>0.0</v>
      </c>
      <c r="S155" s="79">
        <v>0.0</v>
      </c>
      <c r="T155" s="79">
        <v>2.0</v>
      </c>
      <c r="U155" s="79">
        <v>5.0</v>
      </c>
      <c r="V155" s="79">
        <v>2.0</v>
      </c>
      <c r="W155" s="79">
        <v>1.0</v>
      </c>
      <c r="X155" s="13">
        <f t="shared" si="32"/>
        <v>6</v>
      </c>
      <c r="Y155" s="5"/>
      <c r="Z155" s="5"/>
    </row>
    <row r="156" ht="12.75" customHeight="1">
      <c r="A156" s="18"/>
      <c r="B156" s="58"/>
      <c r="C156" s="53" t="s">
        <v>121</v>
      </c>
      <c r="D156" s="61"/>
      <c r="E156" s="87">
        <v>0.0</v>
      </c>
      <c r="F156" s="19"/>
      <c r="G156" s="79">
        <v>1.0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0.0</v>
      </c>
      <c r="O156" s="79">
        <v>0.0</v>
      </c>
      <c r="P156" s="79">
        <v>0.0</v>
      </c>
      <c r="Q156" s="79">
        <v>1.0</v>
      </c>
      <c r="R156" s="79">
        <v>0.0</v>
      </c>
      <c r="S156" s="79">
        <v>0.0</v>
      </c>
      <c r="T156" s="79">
        <v>1.0</v>
      </c>
      <c r="U156" s="79">
        <v>1.0</v>
      </c>
      <c r="V156" s="79">
        <v>2.0</v>
      </c>
      <c r="W156" s="79">
        <v>0.0</v>
      </c>
      <c r="X156" s="13">
        <f t="shared" si="32"/>
        <v>0</v>
      </c>
      <c r="Y156" s="5"/>
      <c r="Z156" s="5"/>
    </row>
    <row r="157" ht="12.75" customHeight="1">
      <c r="A157" s="18"/>
      <c r="B157" s="58"/>
      <c r="C157" s="53" t="s">
        <v>122</v>
      </c>
      <c r="D157" s="61"/>
      <c r="E157" s="87">
        <v>0.0</v>
      </c>
      <c r="F157" s="19"/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0.0</v>
      </c>
      <c r="R157" s="79">
        <v>0.0</v>
      </c>
      <c r="S157" s="79">
        <v>0.0</v>
      </c>
      <c r="T157" s="79">
        <v>0.0</v>
      </c>
      <c r="U157" s="19"/>
      <c r="V157" s="79">
        <v>0.0</v>
      </c>
      <c r="W157" s="79">
        <v>0.0</v>
      </c>
      <c r="X157" s="13">
        <f t="shared" ref="X157:X160" si="33">SUM(E163:W163)</f>
        <v>38</v>
      </c>
      <c r="Y157" s="5"/>
      <c r="Z157" s="5"/>
    </row>
    <row r="158" ht="12.75" customHeight="1">
      <c r="A158" s="18"/>
      <c r="B158" s="58"/>
      <c r="C158" s="53" t="s">
        <v>123</v>
      </c>
      <c r="D158" s="61"/>
      <c r="E158" s="87">
        <v>0.0</v>
      </c>
      <c r="F158" s="19"/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0.0</v>
      </c>
      <c r="T158" s="79">
        <v>1.0</v>
      </c>
      <c r="U158" s="19"/>
      <c r="V158" s="79">
        <v>0.0</v>
      </c>
      <c r="W158" s="79">
        <v>0.0</v>
      </c>
      <c r="X158" s="13">
        <f t="shared" si="33"/>
        <v>0</v>
      </c>
      <c r="Y158" s="5"/>
      <c r="Z158" s="5"/>
    </row>
    <row r="159" ht="12.75" customHeight="1">
      <c r="A159" s="18"/>
      <c r="B159" s="58"/>
      <c r="C159" s="53" t="s">
        <v>124</v>
      </c>
      <c r="D159" s="61"/>
      <c r="E159" s="87">
        <v>0.0</v>
      </c>
      <c r="F159" s="19"/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79">
        <v>0.0</v>
      </c>
      <c r="S159" s="79">
        <v>1.0</v>
      </c>
      <c r="T159" s="79">
        <v>0.0</v>
      </c>
      <c r="U159" s="19"/>
      <c r="V159" s="79">
        <v>0.0</v>
      </c>
      <c r="W159" s="79">
        <v>0.0</v>
      </c>
      <c r="X159" s="13">
        <f t="shared" si="33"/>
        <v>4</v>
      </c>
      <c r="Y159" s="5"/>
      <c r="Z159" s="5"/>
    </row>
    <row r="160" ht="12.75" customHeight="1">
      <c r="A160" s="18"/>
      <c r="B160" s="58"/>
      <c r="C160" s="53" t="s">
        <v>125</v>
      </c>
      <c r="D160" s="61"/>
      <c r="E160" s="87">
        <v>0.0</v>
      </c>
      <c r="F160" s="19"/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1.0</v>
      </c>
      <c r="P160" s="79">
        <v>0.0</v>
      </c>
      <c r="Q160" s="79">
        <v>0.0</v>
      </c>
      <c r="R160" s="79">
        <v>0.0</v>
      </c>
      <c r="S160" s="79">
        <v>0.0</v>
      </c>
      <c r="T160" s="79">
        <v>0.0</v>
      </c>
      <c r="U160" s="19"/>
      <c r="V160" s="79">
        <v>0.0</v>
      </c>
      <c r="W160" s="79">
        <v>0.0</v>
      </c>
      <c r="X160" s="13">
        <f t="shared" si="33"/>
        <v>3</v>
      </c>
      <c r="Y160" s="5"/>
      <c r="Z160" s="5"/>
    </row>
    <row r="161" ht="12.75" customHeight="1">
      <c r="A161" s="18"/>
      <c r="B161" s="62"/>
      <c r="C161" s="70"/>
      <c r="D161" s="64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85"/>
      <c r="Y161" s="5"/>
      <c r="Z161" s="5"/>
    </row>
    <row r="162" ht="12.75" customHeight="1">
      <c r="A162" s="18"/>
      <c r="B162" s="62"/>
      <c r="C162" s="70"/>
      <c r="D162" s="64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85"/>
      <c r="Y162" s="5"/>
      <c r="Z162" s="5"/>
    </row>
    <row r="163" ht="12.75" customHeight="1">
      <c r="A163" s="19" t="s">
        <v>14</v>
      </c>
      <c r="B163" s="71" t="s">
        <v>48</v>
      </c>
      <c r="C163" s="47"/>
      <c r="D163" s="28"/>
      <c r="E163" s="13">
        <f t="shared" ref="E163:W163" si="34">SUM(E153:E162)</f>
        <v>0</v>
      </c>
      <c r="F163" s="13">
        <f t="shared" si="34"/>
        <v>2</v>
      </c>
      <c r="G163" s="13">
        <f t="shared" si="34"/>
        <v>1</v>
      </c>
      <c r="H163" s="13">
        <f t="shared" si="34"/>
        <v>0</v>
      </c>
      <c r="I163" s="13">
        <f t="shared" si="34"/>
        <v>0</v>
      </c>
      <c r="J163" s="13">
        <f t="shared" si="34"/>
        <v>1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1</v>
      </c>
      <c r="O163" s="13">
        <f t="shared" si="34"/>
        <v>2</v>
      </c>
      <c r="P163" s="13">
        <f t="shared" si="34"/>
        <v>5</v>
      </c>
      <c r="Q163" s="13">
        <f t="shared" si="34"/>
        <v>4</v>
      </c>
      <c r="R163" s="13">
        <f t="shared" si="34"/>
        <v>0</v>
      </c>
      <c r="S163" s="13">
        <f t="shared" si="34"/>
        <v>1</v>
      </c>
      <c r="T163" s="13">
        <f t="shared" si="34"/>
        <v>4</v>
      </c>
      <c r="U163" s="13">
        <f t="shared" si="34"/>
        <v>12</v>
      </c>
      <c r="V163" s="13">
        <f t="shared" si="34"/>
        <v>4</v>
      </c>
      <c r="W163" s="13">
        <f t="shared" si="34"/>
        <v>1</v>
      </c>
      <c r="X163" s="13">
        <f>SUM(E163:W163)</f>
        <v>38</v>
      </c>
      <c r="Y163" s="5"/>
      <c r="Z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5"/>
      <c r="Z164" s="5"/>
    </row>
    <row r="165" ht="12.75" customHeight="1">
      <c r="A165" s="31" t="s">
        <v>36</v>
      </c>
      <c r="B165" s="50" t="s">
        <v>126</v>
      </c>
      <c r="C165" s="51" t="s">
        <v>127</v>
      </c>
      <c r="D165" s="16"/>
      <c r="E165" s="79">
        <v>0.0</v>
      </c>
      <c r="F165" s="79">
        <v>1.0</v>
      </c>
      <c r="G165" s="79">
        <v>0.0</v>
      </c>
      <c r="H165" s="79">
        <v>0.0</v>
      </c>
      <c r="I165" s="79">
        <v>0.0</v>
      </c>
      <c r="J165" s="79">
        <v>0.0</v>
      </c>
      <c r="K165" s="79">
        <v>0.0</v>
      </c>
      <c r="L165" s="79">
        <v>1.0</v>
      </c>
      <c r="M165" s="79">
        <v>0.0</v>
      </c>
      <c r="N165" s="79">
        <v>0.0</v>
      </c>
      <c r="O165" s="79">
        <v>0.0</v>
      </c>
      <c r="P165" s="19"/>
      <c r="Q165" s="79">
        <v>0.0</v>
      </c>
      <c r="R165" s="79">
        <v>0.0</v>
      </c>
      <c r="S165" s="79">
        <v>1.0</v>
      </c>
      <c r="T165" s="19"/>
      <c r="U165" s="79">
        <v>1.0</v>
      </c>
      <c r="V165" s="19"/>
      <c r="W165" s="19"/>
      <c r="X165" s="13">
        <f t="shared" ref="X165:X166" si="35">SUM(E165:W165)</f>
        <v>4</v>
      </c>
      <c r="Y165" s="1"/>
      <c r="Z165" s="1"/>
    </row>
    <row r="166" ht="12.75" customHeight="1">
      <c r="A166" s="31" t="s">
        <v>38</v>
      </c>
      <c r="B166" s="58"/>
      <c r="C166" s="53" t="s">
        <v>128</v>
      </c>
      <c r="D166" s="61"/>
      <c r="E166" s="79">
        <v>0.0</v>
      </c>
      <c r="F166" s="19"/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1.0</v>
      </c>
      <c r="M166" s="79">
        <v>1.0</v>
      </c>
      <c r="N166" s="79">
        <v>0.0</v>
      </c>
      <c r="O166" s="79">
        <v>0.0</v>
      </c>
      <c r="P166" s="79">
        <v>1.0</v>
      </c>
      <c r="Q166" s="79">
        <v>0.0</v>
      </c>
      <c r="R166" s="79">
        <v>0.0</v>
      </c>
      <c r="S166" s="79">
        <v>0.0</v>
      </c>
      <c r="T166" s="19"/>
      <c r="U166" s="19"/>
      <c r="V166" s="19"/>
      <c r="W166" s="19"/>
      <c r="X166" s="13">
        <f t="shared" si="35"/>
        <v>3</v>
      </c>
      <c r="Y166" s="55"/>
      <c r="Z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85"/>
      <c r="Y167" s="5"/>
      <c r="Z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85"/>
      <c r="Y168" s="5"/>
      <c r="Z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85"/>
      <c r="Y169" s="5"/>
      <c r="Z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85"/>
      <c r="Y170" s="5"/>
      <c r="Z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85"/>
      <c r="Y171" s="5"/>
      <c r="Z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85"/>
      <c r="Y172" s="5"/>
      <c r="Z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85"/>
      <c r="Y173" s="5"/>
      <c r="Z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85"/>
      <c r="Y174" s="5"/>
      <c r="Z174" s="5"/>
    </row>
    <row r="175" ht="12.75" customHeight="1">
      <c r="A175" s="19" t="s">
        <v>14</v>
      </c>
      <c r="B175" s="50" t="s">
        <v>48</v>
      </c>
      <c r="C175" s="15"/>
      <c r="D175" s="16"/>
      <c r="E175" s="13">
        <f t="shared" ref="E175:W175" si="36">SUM(E165:E174)</f>
        <v>0</v>
      </c>
      <c r="F175" s="13">
        <f t="shared" si="36"/>
        <v>1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2</v>
      </c>
      <c r="M175" s="13">
        <f t="shared" si="36"/>
        <v>1</v>
      </c>
      <c r="N175" s="13">
        <f t="shared" si="36"/>
        <v>0</v>
      </c>
      <c r="O175" s="13">
        <f t="shared" si="36"/>
        <v>0</v>
      </c>
      <c r="P175" s="13">
        <f t="shared" si="36"/>
        <v>1</v>
      </c>
      <c r="Q175" s="13">
        <f t="shared" si="36"/>
        <v>0</v>
      </c>
      <c r="R175" s="13">
        <f t="shared" si="36"/>
        <v>0</v>
      </c>
      <c r="S175" s="13">
        <f t="shared" si="36"/>
        <v>1</v>
      </c>
      <c r="T175" s="13">
        <f t="shared" si="36"/>
        <v>0</v>
      </c>
      <c r="U175" s="13">
        <f t="shared" si="36"/>
        <v>1</v>
      </c>
      <c r="V175" s="13">
        <f t="shared" si="36"/>
        <v>0</v>
      </c>
      <c r="W175" s="13">
        <f t="shared" si="36"/>
        <v>0</v>
      </c>
      <c r="X175" s="13">
        <f>SUM(E175:W175)</f>
        <v>7</v>
      </c>
      <c r="Y175" s="5"/>
      <c r="Z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1"/>
      <c r="Z176" s="1"/>
    </row>
    <row r="177" ht="12.75" customHeight="1">
      <c r="A177" s="31" t="s">
        <v>36</v>
      </c>
      <c r="B177" s="50" t="s">
        <v>129</v>
      </c>
      <c r="C177" s="51" t="s">
        <v>130</v>
      </c>
      <c r="D177" s="16"/>
      <c r="E177" s="79">
        <v>0.0</v>
      </c>
      <c r="F177" s="79">
        <v>2.0</v>
      </c>
      <c r="G177" s="79">
        <v>0.0</v>
      </c>
      <c r="H177" s="79">
        <v>1.0</v>
      </c>
      <c r="I177" s="79">
        <v>5.0</v>
      </c>
      <c r="J177" s="79">
        <v>0.0</v>
      </c>
      <c r="K177" s="79">
        <v>0.0</v>
      </c>
      <c r="L177" s="79">
        <v>1.0</v>
      </c>
      <c r="M177" s="79">
        <v>2.0</v>
      </c>
      <c r="N177" s="79">
        <v>1.0</v>
      </c>
      <c r="O177" s="79">
        <v>0.0</v>
      </c>
      <c r="P177" s="79">
        <v>0.0</v>
      </c>
      <c r="Q177" s="79">
        <v>1.0</v>
      </c>
      <c r="R177" s="79">
        <v>1.0</v>
      </c>
      <c r="S177" s="79">
        <v>0.0</v>
      </c>
      <c r="T177" s="79">
        <v>2.0</v>
      </c>
      <c r="U177" s="79">
        <v>0.0</v>
      </c>
      <c r="V177" s="79">
        <v>2.0</v>
      </c>
      <c r="W177" s="79">
        <v>2.0</v>
      </c>
      <c r="X177" s="13">
        <f t="shared" ref="X177:X187" si="37">SUM(E177:W177)</f>
        <v>20</v>
      </c>
    </row>
    <row r="178" ht="12.75" customHeight="1">
      <c r="A178" s="31" t="s">
        <v>38</v>
      </c>
      <c r="B178" s="58"/>
      <c r="C178" s="53" t="s">
        <v>131</v>
      </c>
      <c r="D178" s="61"/>
      <c r="E178" s="79">
        <v>0.0</v>
      </c>
      <c r="F178" s="79">
        <v>35.0</v>
      </c>
      <c r="G178" s="79">
        <v>24.0</v>
      </c>
      <c r="H178" s="79">
        <v>14.0</v>
      </c>
      <c r="I178" s="79">
        <v>38.0</v>
      </c>
      <c r="J178" s="79">
        <v>0.0</v>
      </c>
      <c r="K178" s="79">
        <v>3.0</v>
      </c>
      <c r="L178" s="79">
        <v>10.0</v>
      </c>
      <c r="M178" s="79">
        <v>11.0</v>
      </c>
      <c r="N178" s="79">
        <v>8.0</v>
      </c>
      <c r="O178" s="79">
        <v>4.0</v>
      </c>
      <c r="P178" s="79">
        <v>4.0</v>
      </c>
      <c r="Q178" s="79">
        <v>1.0</v>
      </c>
      <c r="R178" s="79">
        <v>0.0</v>
      </c>
      <c r="S178" s="79">
        <v>2.0</v>
      </c>
      <c r="T178" s="79">
        <v>11.0</v>
      </c>
      <c r="U178" s="79">
        <v>1.0</v>
      </c>
      <c r="V178" s="79">
        <v>27.0</v>
      </c>
      <c r="W178" s="79">
        <v>17.0</v>
      </c>
      <c r="X178" s="13">
        <f t="shared" si="37"/>
        <v>210</v>
      </c>
      <c r="Y178" s="5"/>
      <c r="Z178" s="5"/>
    </row>
    <row r="179" ht="12.75" customHeight="1">
      <c r="A179" s="18"/>
      <c r="B179" s="58"/>
      <c r="C179" s="53" t="s">
        <v>132</v>
      </c>
      <c r="D179" s="61"/>
      <c r="E179" s="79">
        <v>0.0</v>
      </c>
      <c r="F179" s="19"/>
      <c r="G179" s="79">
        <v>2.0</v>
      </c>
      <c r="H179" s="79">
        <v>0.0</v>
      </c>
      <c r="I179" s="79">
        <v>1.0</v>
      </c>
      <c r="J179" s="79">
        <v>0.0</v>
      </c>
      <c r="K179" s="79">
        <v>0.0</v>
      </c>
      <c r="L179" s="79">
        <v>0.0</v>
      </c>
      <c r="M179" s="79">
        <v>0.0</v>
      </c>
      <c r="N179" s="79">
        <v>0.0</v>
      </c>
      <c r="O179" s="79">
        <v>0.0</v>
      </c>
      <c r="P179" s="79">
        <v>0.0</v>
      </c>
      <c r="Q179" s="79">
        <v>0.0</v>
      </c>
      <c r="R179" s="79">
        <v>0.0</v>
      </c>
      <c r="S179" s="79">
        <v>1.0</v>
      </c>
      <c r="T179" s="79">
        <v>0.0</v>
      </c>
      <c r="U179" s="19"/>
      <c r="V179" s="79">
        <v>0.0</v>
      </c>
      <c r="W179" s="79">
        <v>0.0</v>
      </c>
      <c r="X179" s="13">
        <f t="shared" si="37"/>
        <v>4</v>
      </c>
      <c r="Y179" s="5"/>
      <c r="Z179" s="5"/>
    </row>
    <row r="180" ht="12.75" customHeight="1">
      <c r="A180" s="18"/>
      <c r="B180" s="58"/>
      <c r="C180" s="53" t="s">
        <v>133</v>
      </c>
      <c r="D180" s="61"/>
      <c r="E180" s="79">
        <v>0.0</v>
      </c>
      <c r="F180" s="19"/>
      <c r="G180" s="79">
        <v>0.0</v>
      </c>
      <c r="H180" s="79">
        <v>0.0</v>
      </c>
      <c r="I180" s="79">
        <v>0.0</v>
      </c>
      <c r="J180" s="79">
        <v>0.0</v>
      </c>
      <c r="K180" s="79">
        <v>0.0</v>
      </c>
      <c r="L180" s="79">
        <v>0.0</v>
      </c>
      <c r="M180" s="79">
        <v>0.0</v>
      </c>
      <c r="N180" s="79">
        <v>0.0</v>
      </c>
      <c r="O180" s="79">
        <v>0.0</v>
      </c>
      <c r="P180" s="79">
        <v>0.0</v>
      </c>
      <c r="Q180" s="79">
        <v>0.0</v>
      </c>
      <c r="R180" s="79">
        <v>1.0</v>
      </c>
      <c r="S180" s="79">
        <v>0.0</v>
      </c>
      <c r="T180" s="79">
        <v>0.0</v>
      </c>
      <c r="U180" s="19"/>
      <c r="V180" s="79">
        <v>0.0</v>
      </c>
      <c r="W180" s="79">
        <v>0.0</v>
      </c>
      <c r="X180" s="13">
        <f t="shared" si="37"/>
        <v>1</v>
      </c>
      <c r="Y180" s="5"/>
      <c r="Z180" s="5"/>
    </row>
    <row r="181" ht="12.75" customHeight="1">
      <c r="A181" s="18"/>
      <c r="B181" s="58"/>
      <c r="C181" s="53" t="s">
        <v>134</v>
      </c>
      <c r="D181" s="61"/>
      <c r="E181" s="79">
        <v>0.0</v>
      </c>
      <c r="F181" s="19"/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0.0</v>
      </c>
      <c r="N181" s="79">
        <v>1.0</v>
      </c>
      <c r="O181" s="79">
        <v>0.0</v>
      </c>
      <c r="P181" s="79">
        <v>0.0</v>
      </c>
      <c r="Q181" s="79">
        <v>0.0</v>
      </c>
      <c r="R181" s="79">
        <v>0.0</v>
      </c>
      <c r="S181" s="79">
        <v>0.0</v>
      </c>
      <c r="T181" s="79">
        <v>2.0</v>
      </c>
      <c r="U181" s="19"/>
      <c r="V181" s="79">
        <v>1.0</v>
      </c>
      <c r="W181" s="79">
        <v>0.0</v>
      </c>
      <c r="X181" s="13">
        <f t="shared" si="37"/>
        <v>4</v>
      </c>
      <c r="Y181" s="5"/>
      <c r="Z181" s="5"/>
    </row>
    <row r="182" ht="12.75" customHeight="1">
      <c r="A182" s="18"/>
      <c r="B182" s="58"/>
      <c r="C182" s="53" t="s">
        <v>135</v>
      </c>
      <c r="D182" s="61"/>
      <c r="E182" s="79">
        <v>0.0</v>
      </c>
      <c r="F182" s="19"/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79">
        <v>0.0</v>
      </c>
      <c r="O182" s="79">
        <v>0.0</v>
      </c>
      <c r="P182" s="79">
        <v>0.0</v>
      </c>
      <c r="Q182" s="79">
        <v>0.0</v>
      </c>
      <c r="R182" s="79">
        <v>0.0</v>
      </c>
      <c r="S182" s="79">
        <v>0.0</v>
      </c>
      <c r="T182" s="79">
        <v>0.0</v>
      </c>
      <c r="U182" s="19"/>
      <c r="V182" s="79">
        <v>0.0</v>
      </c>
      <c r="W182" s="79">
        <v>0.0</v>
      </c>
      <c r="X182" s="13">
        <f t="shared" si="37"/>
        <v>0</v>
      </c>
      <c r="Y182" s="5"/>
      <c r="Z182" s="5"/>
    </row>
    <row r="183" ht="12.75" customHeight="1">
      <c r="A183" s="18"/>
      <c r="B183" s="58"/>
      <c r="C183" s="53" t="s">
        <v>136</v>
      </c>
      <c r="D183" s="61"/>
      <c r="E183" s="79">
        <v>0.0</v>
      </c>
      <c r="F183" s="19"/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>
        <v>0.0</v>
      </c>
      <c r="R183" s="79">
        <v>0.0</v>
      </c>
      <c r="S183" s="79">
        <v>0.0</v>
      </c>
      <c r="T183" s="79">
        <v>0.0</v>
      </c>
      <c r="U183" s="19"/>
      <c r="V183" s="79">
        <v>0.0</v>
      </c>
      <c r="W183" s="79">
        <v>0.0</v>
      </c>
      <c r="X183" s="13">
        <f t="shared" si="37"/>
        <v>0</v>
      </c>
      <c r="Y183" s="5"/>
      <c r="Z183" s="5"/>
    </row>
    <row r="184" ht="12.75" customHeight="1">
      <c r="A184" s="18"/>
      <c r="B184" s="58"/>
      <c r="C184" s="53" t="s">
        <v>137</v>
      </c>
      <c r="D184" s="61"/>
      <c r="E184" s="79">
        <v>0.0</v>
      </c>
      <c r="F184" s="19"/>
      <c r="G184" s="79">
        <v>2.0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79">
        <v>0.0</v>
      </c>
      <c r="U184" s="19"/>
      <c r="V184" s="79">
        <v>1.0</v>
      </c>
      <c r="W184" s="79">
        <v>1.0</v>
      </c>
      <c r="X184" s="13">
        <f t="shared" si="37"/>
        <v>4</v>
      </c>
      <c r="Y184" s="5"/>
      <c r="Z184" s="5"/>
    </row>
    <row r="185" ht="12.75" customHeight="1">
      <c r="A185" s="18"/>
      <c r="B185" s="58"/>
      <c r="C185" s="53" t="s">
        <v>138</v>
      </c>
      <c r="D185" s="61"/>
      <c r="E185" s="79">
        <v>0.0</v>
      </c>
      <c r="F185" s="19"/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79">
        <v>0.0</v>
      </c>
      <c r="U185" s="79">
        <v>1.0</v>
      </c>
      <c r="V185" s="79">
        <v>0.0</v>
      </c>
      <c r="W185" s="79">
        <v>0.0</v>
      </c>
      <c r="X185" s="13">
        <f t="shared" si="37"/>
        <v>1</v>
      </c>
      <c r="Y185" s="5"/>
      <c r="Z185" s="5"/>
    </row>
    <row r="186" ht="12.75" customHeight="1">
      <c r="A186" s="18"/>
      <c r="B186" s="58"/>
      <c r="C186" s="53" t="s">
        <v>139</v>
      </c>
      <c r="D186" s="61"/>
      <c r="E186" s="79">
        <v>0.0</v>
      </c>
      <c r="F186" s="19"/>
      <c r="G186" s="79">
        <v>0.0</v>
      </c>
      <c r="H186" s="79">
        <v>0.0</v>
      </c>
      <c r="I186" s="79">
        <v>1.0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0.0</v>
      </c>
      <c r="T186" s="79">
        <v>1.0</v>
      </c>
      <c r="U186" s="19"/>
      <c r="V186" s="79">
        <v>0.0</v>
      </c>
      <c r="W186" s="79">
        <v>0.0</v>
      </c>
      <c r="X186" s="13">
        <f t="shared" si="37"/>
        <v>2</v>
      </c>
      <c r="Y186" s="5"/>
      <c r="Z186" s="5"/>
    </row>
    <row r="187" ht="12.75" customHeight="1">
      <c r="A187" s="19" t="s">
        <v>14</v>
      </c>
      <c r="B187" s="50" t="s">
        <v>48</v>
      </c>
      <c r="C187" s="15"/>
      <c r="D187" s="16"/>
      <c r="E187" s="13">
        <f>SUM(E177:E184)</f>
        <v>0</v>
      </c>
      <c r="F187" s="13">
        <f t="shared" ref="F187:W187" si="38">SUM(F177:F186)</f>
        <v>37</v>
      </c>
      <c r="G187" s="13">
        <f t="shared" si="38"/>
        <v>28</v>
      </c>
      <c r="H187" s="13">
        <f t="shared" si="38"/>
        <v>15</v>
      </c>
      <c r="I187" s="13">
        <f t="shared" si="38"/>
        <v>45</v>
      </c>
      <c r="J187" s="13">
        <f t="shared" si="38"/>
        <v>0</v>
      </c>
      <c r="K187" s="13">
        <f t="shared" si="38"/>
        <v>3</v>
      </c>
      <c r="L187" s="13">
        <f t="shared" si="38"/>
        <v>11</v>
      </c>
      <c r="M187" s="13">
        <f t="shared" si="38"/>
        <v>13</v>
      </c>
      <c r="N187" s="13">
        <f t="shared" si="38"/>
        <v>10</v>
      </c>
      <c r="O187" s="13">
        <f t="shared" si="38"/>
        <v>4</v>
      </c>
      <c r="P187" s="13">
        <f t="shared" si="38"/>
        <v>4</v>
      </c>
      <c r="Q187" s="13">
        <f t="shared" si="38"/>
        <v>2</v>
      </c>
      <c r="R187" s="13">
        <f t="shared" si="38"/>
        <v>2</v>
      </c>
      <c r="S187" s="13">
        <f t="shared" si="38"/>
        <v>3</v>
      </c>
      <c r="T187" s="13">
        <f t="shared" si="38"/>
        <v>16</v>
      </c>
      <c r="U187" s="13">
        <f t="shared" si="38"/>
        <v>2</v>
      </c>
      <c r="V187" s="13">
        <f t="shared" si="38"/>
        <v>31</v>
      </c>
      <c r="W187" s="13">
        <f t="shared" si="38"/>
        <v>20</v>
      </c>
      <c r="X187" s="13">
        <f t="shared" si="37"/>
        <v>246</v>
      </c>
      <c r="Y187" s="1"/>
      <c r="Z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13"/>
    </row>
    <row r="189" ht="12.75" customHeight="1">
      <c r="A189" s="31" t="s">
        <v>36</v>
      </c>
      <c r="B189" s="50" t="s">
        <v>140</v>
      </c>
      <c r="C189" s="51" t="s">
        <v>141</v>
      </c>
      <c r="D189" s="16"/>
      <c r="E189" s="79">
        <v>0.0</v>
      </c>
      <c r="F189" s="19"/>
      <c r="G189" s="79">
        <v>0.0</v>
      </c>
      <c r="H189" s="79">
        <v>0.0</v>
      </c>
      <c r="I189" s="79">
        <v>1.0</v>
      </c>
      <c r="J189" s="79">
        <v>0.0</v>
      </c>
      <c r="K189" s="79">
        <v>0.0</v>
      </c>
      <c r="L189" s="79">
        <v>0.0</v>
      </c>
      <c r="M189" s="79">
        <v>0.0</v>
      </c>
      <c r="N189" s="79">
        <v>0.0</v>
      </c>
      <c r="O189" s="79">
        <v>0.0</v>
      </c>
      <c r="P189" s="79">
        <v>0.0</v>
      </c>
      <c r="Q189" s="79">
        <v>0.0</v>
      </c>
      <c r="R189" s="79">
        <v>1.0</v>
      </c>
      <c r="S189" s="79">
        <v>0.0</v>
      </c>
      <c r="T189" s="79">
        <v>0.0</v>
      </c>
      <c r="U189" s="79">
        <v>1.0</v>
      </c>
      <c r="V189" s="79">
        <v>0.0</v>
      </c>
      <c r="W189" s="19"/>
      <c r="X189" s="13">
        <f t="shared" ref="X189:X199" si="39">SUM(E189:W189)</f>
        <v>3</v>
      </c>
      <c r="Y189" s="5"/>
      <c r="Z189" s="5"/>
    </row>
    <row r="190" ht="12.75" customHeight="1">
      <c r="A190" s="31" t="s">
        <v>38</v>
      </c>
      <c r="B190" s="58"/>
      <c r="C190" s="53" t="s">
        <v>142</v>
      </c>
      <c r="D190" s="61"/>
      <c r="E190" s="79">
        <v>0.0</v>
      </c>
      <c r="F190" s="79">
        <v>2.0</v>
      </c>
      <c r="G190" s="79">
        <v>1.0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>
        <v>0.0</v>
      </c>
      <c r="R190" s="79">
        <v>0.0</v>
      </c>
      <c r="S190" s="79">
        <v>0.0</v>
      </c>
      <c r="T190" s="79">
        <v>0.0</v>
      </c>
      <c r="U190" s="19"/>
      <c r="V190" s="79">
        <v>0.0</v>
      </c>
      <c r="W190" s="19"/>
      <c r="X190" s="13">
        <f t="shared" si="39"/>
        <v>3</v>
      </c>
      <c r="Y190" s="5"/>
      <c r="Z190" s="5"/>
    </row>
    <row r="191" ht="12.75" customHeight="1">
      <c r="A191" s="18"/>
      <c r="B191" s="58"/>
      <c r="C191" s="53" t="s">
        <v>143</v>
      </c>
      <c r="D191" s="61"/>
      <c r="E191" s="79">
        <v>0.0</v>
      </c>
      <c r="F191" s="19"/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79">
        <v>0.0</v>
      </c>
      <c r="T191" s="79">
        <v>0.0</v>
      </c>
      <c r="U191" s="19"/>
      <c r="V191" s="79">
        <v>0.0</v>
      </c>
      <c r="W191" s="19"/>
      <c r="X191" s="13">
        <f t="shared" si="39"/>
        <v>0</v>
      </c>
      <c r="Y191" s="5"/>
      <c r="Z191" s="5"/>
    </row>
    <row r="192" ht="12.75" customHeight="1">
      <c r="A192" s="18"/>
      <c r="B192" s="58"/>
      <c r="C192" s="53" t="s">
        <v>144</v>
      </c>
      <c r="D192" s="61"/>
      <c r="E192" s="79">
        <v>0.0</v>
      </c>
      <c r="F192" s="19"/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79">
        <v>0.0</v>
      </c>
      <c r="S192" s="79">
        <v>0.0</v>
      </c>
      <c r="T192" s="79">
        <v>0.0</v>
      </c>
      <c r="U192" s="19"/>
      <c r="V192" s="79">
        <v>0.0</v>
      </c>
      <c r="W192" s="19"/>
      <c r="X192" s="13">
        <f t="shared" si="39"/>
        <v>0</v>
      </c>
      <c r="Y192" s="5"/>
      <c r="Z192" s="5"/>
    </row>
    <row r="193" ht="12.75" customHeight="1">
      <c r="A193" s="18"/>
      <c r="B193" s="58"/>
      <c r="C193" s="53" t="s">
        <v>145</v>
      </c>
      <c r="D193" s="61"/>
      <c r="E193" s="79">
        <v>0.0</v>
      </c>
      <c r="F193" s="19"/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79">
        <v>0.0</v>
      </c>
      <c r="R193" s="79">
        <v>0.0</v>
      </c>
      <c r="S193" s="79">
        <v>0.0</v>
      </c>
      <c r="T193" s="79">
        <v>0.0</v>
      </c>
      <c r="U193" s="19"/>
      <c r="V193" s="79">
        <v>0.0</v>
      </c>
      <c r="W193" s="19"/>
      <c r="X193" s="13">
        <f t="shared" si="39"/>
        <v>0</v>
      </c>
      <c r="Y193" s="5"/>
      <c r="Z193" s="5"/>
    </row>
    <row r="194" ht="12.75" customHeight="1">
      <c r="A194" s="18"/>
      <c r="B194" s="58"/>
      <c r="C194" s="53" t="s">
        <v>146</v>
      </c>
      <c r="D194" s="61"/>
      <c r="E194" s="79">
        <v>0.0</v>
      </c>
      <c r="F194" s="19"/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>
        <v>0.0</v>
      </c>
      <c r="R194" s="79">
        <v>0.0</v>
      </c>
      <c r="S194" s="79">
        <v>0.0</v>
      </c>
      <c r="T194" s="79">
        <v>0.0</v>
      </c>
      <c r="U194" s="79">
        <v>1.0</v>
      </c>
      <c r="V194" s="79">
        <v>0.0</v>
      </c>
      <c r="W194" s="19"/>
      <c r="X194" s="13">
        <f t="shared" si="39"/>
        <v>1</v>
      </c>
      <c r="Y194" s="5"/>
      <c r="Z194" s="5"/>
    </row>
    <row r="195" ht="12.75" customHeight="1">
      <c r="A195" s="18"/>
      <c r="B195" s="58"/>
      <c r="C195" s="53" t="s">
        <v>147</v>
      </c>
      <c r="D195" s="61"/>
      <c r="E195" s="79">
        <v>0.0</v>
      </c>
      <c r="F195" s="19"/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79">
        <v>0.0</v>
      </c>
      <c r="T195" s="79">
        <v>0.0</v>
      </c>
      <c r="U195" s="19"/>
      <c r="V195" s="79">
        <v>0.0</v>
      </c>
      <c r="W195" s="19"/>
      <c r="X195" s="13">
        <f t="shared" si="39"/>
        <v>0</v>
      </c>
      <c r="Y195" s="5"/>
      <c r="Z195" s="5"/>
    </row>
    <row r="196" ht="12.75" customHeight="1">
      <c r="A196" s="18"/>
      <c r="B196" s="58"/>
      <c r="C196" s="53" t="s">
        <v>148</v>
      </c>
      <c r="D196" s="61"/>
      <c r="E196" s="79">
        <v>0.0</v>
      </c>
      <c r="F196" s="19"/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>
        <v>0.0</v>
      </c>
      <c r="R196" s="79">
        <v>0.0</v>
      </c>
      <c r="S196" s="79">
        <v>0.0</v>
      </c>
      <c r="T196" s="79">
        <v>0.0</v>
      </c>
      <c r="U196" s="19"/>
      <c r="V196" s="79">
        <v>0.0</v>
      </c>
      <c r="W196" s="19"/>
      <c r="X196" s="13">
        <f t="shared" si="39"/>
        <v>0</v>
      </c>
      <c r="Y196" s="1"/>
      <c r="Z196" s="1"/>
    </row>
    <row r="197" ht="12.75" customHeight="1">
      <c r="A197" s="18"/>
      <c r="B197" s="58"/>
      <c r="C197" s="53" t="s">
        <v>149</v>
      </c>
      <c r="D197" s="61"/>
      <c r="E197" s="79">
        <v>0.0</v>
      </c>
      <c r="F197" s="19"/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0.0</v>
      </c>
      <c r="T197" s="79">
        <v>0.0</v>
      </c>
      <c r="U197" s="19"/>
      <c r="V197" s="79">
        <v>0.0</v>
      </c>
      <c r="W197" s="19"/>
      <c r="X197" s="13">
        <f t="shared" si="39"/>
        <v>0</v>
      </c>
      <c r="Y197" s="1"/>
      <c r="Z197" s="1"/>
    </row>
    <row r="198" ht="12.75" customHeight="1">
      <c r="A198" s="18"/>
      <c r="B198" s="58"/>
      <c r="C198" s="53" t="s">
        <v>150</v>
      </c>
      <c r="D198" s="61"/>
      <c r="E198" s="79">
        <v>0.0</v>
      </c>
      <c r="F198" s="19"/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0.0</v>
      </c>
      <c r="T198" s="79">
        <v>0.0</v>
      </c>
      <c r="U198" s="19"/>
      <c r="V198" s="79">
        <v>0.0</v>
      </c>
      <c r="W198" s="19"/>
      <c r="X198" s="13">
        <f t="shared" si="39"/>
        <v>0</v>
      </c>
      <c r="Y198" s="1"/>
      <c r="Z198" s="1"/>
    </row>
    <row r="199" ht="12.75" customHeight="1">
      <c r="A199" s="19" t="s">
        <v>14</v>
      </c>
      <c r="B199" s="50" t="s">
        <v>48</v>
      </c>
      <c r="C199" s="15"/>
      <c r="D199" s="16"/>
      <c r="E199" s="13">
        <f t="shared" ref="E199:W199" si="40">SUM(E189:E198)</f>
        <v>0</v>
      </c>
      <c r="F199" s="13">
        <f t="shared" si="40"/>
        <v>2</v>
      </c>
      <c r="G199" s="13">
        <f t="shared" si="40"/>
        <v>1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1</v>
      </c>
      <c r="S199" s="13">
        <f t="shared" si="40"/>
        <v>0</v>
      </c>
      <c r="T199" s="13">
        <f t="shared" si="40"/>
        <v>0</v>
      </c>
      <c r="U199" s="13">
        <f t="shared" si="40"/>
        <v>2</v>
      </c>
      <c r="V199" s="13">
        <f t="shared" si="40"/>
        <v>0</v>
      </c>
      <c r="W199" s="13">
        <f t="shared" si="40"/>
        <v>0</v>
      </c>
      <c r="X199" s="13">
        <f t="shared" si="39"/>
        <v>7</v>
      </c>
      <c r="Y199" s="55"/>
      <c r="Z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5"/>
      <c r="Z200" s="5"/>
    </row>
    <row r="201" ht="12.75" customHeight="1">
      <c r="A201" s="31" t="s">
        <v>36</v>
      </c>
      <c r="B201" s="50" t="s">
        <v>151</v>
      </c>
      <c r="C201" s="51" t="s">
        <v>152</v>
      </c>
      <c r="D201" s="16"/>
      <c r="E201" s="79">
        <v>3.0</v>
      </c>
      <c r="F201" s="79">
        <v>6.0</v>
      </c>
      <c r="G201" s="79">
        <v>5.0</v>
      </c>
      <c r="H201" s="79">
        <v>4.0</v>
      </c>
      <c r="I201" s="79">
        <v>1.0</v>
      </c>
      <c r="J201" s="79">
        <v>5.0</v>
      </c>
      <c r="K201" s="79">
        <v>3.0</v>
      </c>
      <c r="L201" s="79">
        <v>6.0</v>
      </c>
      <c r="M201" s="79">
        <v>7.0</v>
      </c>
      <c r="N201" s="79">
        <v>2.0</v>
      </c>
      <c r="O201" s="79">
        <v>1.0</v>
      </c>
      <c r="P201" s="79">
        <v>7.0</v>
      </c>
      <c r="Q201" s="79">
        <v>1.0</v>
      </c>
      <c r="R201" s="79">
        <v>1.0</v>
      </c>
      <c r="S201" s="79">
        <v>2.0</v>
      </c>
      <c r="T201" s="79">
        <v>2.0</v>
      </c>
      <c r="U201" s="79">
        <v>3.0</v>
      </c>
      <c r="V201" s="79">
        <v>2.0</v>
      </c>
      <c r="W201" s="19"/>
      <c r="X201" s="13">
        <f t="shared" ref="X201:X211" si="41">SUM(E201:W201)</f>
        <v>61</v>
      </c>
      <c r="Y201" s="5"/>
      <c r="Z201" s="5"/>
    </row>
    <row r="202" ht="12.75" customHeight="1">
      <c r="A202" s="31" t="s">
        <v>38</v>
      </c>
      <c r="B202" s="58"/>
      <c r="C202" s="53" t="s">
        <v>153</v>
      </c>
      <c r="D202" s="61"/>
      <c r="E202" s="79">
        <v>7.0</v>
      </c>
      <c r="F202" s="19"/>
      <c r="G202" s="79">
        <v>1.0</v>
      </c>
      <c r="H202" s="79">
        <v>1.0</v>
      </c>
      <c r="I202" s="79">
        <v>3.0</v>
      </c>
      <c r="J202" s="79">
        <v>5.0</v>
      </c>
      <c r="K202" s="79">
        <v>4.0</v>
      </c>
      <c r="L202" s="79">
        <v>10.0</v>
      </c>
      <c r="M202" s="79">
        <v>2.0</v>
      </c>
      <c r="N202" s="79">
        <v>1.0</v>
      </c>
      <c r="O202" s="79">
        <v>2.0</v>
      </c>
      <c r="P202" s="79">
        <v>3.0</v>
      </c>
      <c r="Q202" s="79">
        <v>2.0</v>
      </c>
      <c r="R202" s="79">
        <v>0.0</v>
      </c>
      <c r="S202" s="79">
        <v>3.0</v>
      </c>
      <c r="T202" s="79">
        <v>1.0</v>
      </c>
      <c r="U202" s="79">
        <v>2.0</v>
      </c>
      <c r="V202" s="79">
        <v>1.0</v>
      </c>
      <c r="W202" s="79">
        <v>3.0</v>
      </c>
      <c r="X202" s="13">
        <f t="shared" si="41"/>
        <v>51</v>
      </c>
      <c r="Y202" s="5"/>
      <c r="Z202" s="5"/>
    </row>
    <row r="203" ht="12.75" customHeight="1">
      <c r="A203" s="18"/>
      <c r="B203" s="58"/>
      <c r="C203" s="53" t="s">
        <v>154</v>
      </c>
      <c r="D203" s="61"/>
      <c r="E203" s="79">
        <v>0.0</v>
      </c>
      <c r="F203" s="19"/>
      <c r="G203" s="79">
        <v>0.0</v>
      </c>
      <c r="H203" s="79">
        <v>0.0</v>
      </c>
      <c r="I203" s="79">
        <v>0.0</v>
      </c>
      <c r="J203" s="79">
        <v>2.0</v>
      </c>
      <c r="K203" s="79">
        <v>1.0</v>
      </c>
      <c r="L203" s="79">
        <v>3.0</v>
      </c>
      <c r="M203" s="79">
        <v>5.0</v>
      </c>
      <c r="N203" s="79">
        <v>0.0</v>
      </c>
      <c r="O203" s="79">
        <v>1.0</v>
      </c>
      <c r="P203" s="79">
        <v>1.0</v>
      </c>
      <c r="Q203" s="79">
        <v>0.0</v>
      </c>
      <c r="R203" s="79">
        <v>4.0</v>
      </c>
      <c r="S203" s="79">
        <v>1.0</v>
      </c>
      <c r="T203" s="79">
        <v>0.0</v>
      </c>
      <c r="U203" s="79">
        <v>4.0</v>
      </c>
      <c r="V203" s="79">
        <v>1.0</v>
      </c>
      <c r="W203" s="79">
        <v>1.0</v>
      </c>
      <c r="X203" s="13">
        <f t="shared" si="41"/>
        <v>24</v>
      </c>
      <c r="Y203" s="5"/>
      <c r="Z203" s="5"/>
    </row>
    <row r="204" ht="12.75" customHeight="1">
      <c r="A204" s="18"/>
      <c r="B204" s="58"/>
      <c r="C204" s="53" t="s">
        <v>155</v>
      </c>
      <c r="D204" s="61"/>
      <c r="E204" s="79">
        <v>0.0</v>
      </c>
      <c r="F204" s="19"/>
      <c r="G204" s="79">
        <v>0.0</v>
      </c>
      <c r="H204" s="79">
        <v>0.0</v>
      </c>
      <c r="I204" s="79">
        <v>0.0</v>
      </c>
      <c r="J204" s="79">
        <v>0.0</v>
      </c>
      <c r="K204" s="79">
        <v>2.0</v>
      </c>
      <c r="L204" s="79">
        <v>0.0</v>
      </c>
      <c r="M204" s="79">
        <v>1.0</v>
      </c>
      <c r="N204" s="79">
        <v>0.0</v>
      </c>
      <c r="O204" s="79">
        <v>0.0</v>
      </c>
      <c r="P204" s="79">
        <v>0.0</v>
      </c>
      <c r="Q204" s="79">
        <v>0.0</v>
      </c>
      <c r="R204" s="79">
        <v>0.0</v>
      </c>
      <c r="S204" s="79">
        <v>0.0</v>
      </c>
      <c r="T204" s="79">
        <v>1.0</v>
      </c>
      <c r="U204" s="19"/>
      <c r="V204" s="79">
        <v>1.0</v>
      </c>
      <c r="W204" s="79">
        <v>0.0</v>
      </c>
      <c r="X204" s="13">
        <f t="shared" si="41"/>
        <v>5</v>
      </c>
      <c r="Y204" s="5"/>
      <c r="Z204" s="5"/>
    </row>
    <row r="205" ht="12.75" customHeight="1">
      <c r="A205" s="18"/>
      <c r="B205" s="58"/>
      <c r="C205" s="53" t="s">
        <v>156</v>
      </c>
      <c r="D205" s="61"/>
      <c r="E205" s="79">
        <v>0.0</v>
      </c>
      <c r="F205" s="19"/>
      <c r="G205" s="79">
        <v>0.0</v>
      </c>
      <c r="H205" s="79">
        <v>1.0</v>
      </c>
      <c r="I205" s="79">
        <v>0.0</v>
      </c>
      <c r="J205" s="79">
        <v>0.0</v>
      </c>
      <c r="K205" s="79">
        <v>0.0</v>
      </c>
      <c r="L205" s="79">
        <v>0.0</v>
      </c>
      <c r="M205" s="79">
        <v>1.0</v>
      </c>
      <c r="N205" s="79">
        <v>0.0</v>
      </c>
      <c r="O205" s="79">
        <v>1.0</v>
      </c>
      <c r="P205" s="79">
        <v>0.0</v>
      </c>
      <c r="Q205" s="79">
        <v>0.0</v>
      </c>
      <c r="R205" s="79">
        <v>0.0</v>
      </c>
      <c r="S205" s="79">
        <v>0.0</v>
      </c>
      <c r="T205" s="79">
        <v>0.0</v>
      </c>
      <c r="U205" s="19"/>
      <c r="V205" s="79">
        <v>0.0</v>
      </c>
      <c r="W205" s="79">
        <v>0.0</v>
      </c>
      <c r="X205" s="13">
        <f t="shared" si="41"/>
        <v>3</v>
      </c>
      <c r="Y205" s="5"/>
      <c r="Z205" s="5"/>
    </row>
    <row r="206" ht="12.75" customHeight="1">
      <c r="A206" s="18"/>
      <c r="B206" s="58"/>
      <c r="C206" s="53" t="s">
        <v>157</v>
      </c>
      <c r="D206" s="61"/>
      <c r="E206" s="79">
        <v>0.0</v>
      </c>
      <c r="F206" s="19"/>
      <c r="G206" s="79">
        <v>0.0</v>
      </c>
      <c r="H206" s="79">
        <v>0.0</v>
      </c>
      <c r="I206" s="79">
        <v>0.0</v>
      </c>
      <c r="J206" s="79">
        <v>0.0</v>
      </c>
      <c r="K206" s="79">
        <v>0.0</v>
      </c>
      <c r="L206" s="79">
        <v>0.0</v>
      </c>
      <c r="M206" s="79">
        <v>0.0</v>
      </c>
      <c r="N206" s="79">
        <v>0.0</v>
      </c>
      <c r="O206" s="79">
        <v>0.0</v>
      </c>
      <c r="P206" s="79">
        <v>0.0</v>
      </c>
      <c r="Q206" s="79">
        <v>1.0</v>
      </c>
      <c r="R206" s="79">
        <v>0.0</v>
      </c>
      <c r="S206" s="79">
        <v>0.0</v>
      </c>
      <c r="T206" s="79">
        <v>0.0</v>
      </c>
      <c r="U206" s="79">
        <v>1.0</v>
      </c>
      <c r="V206" s="79">
        <v>0.0</v>
      </c>
      <c r="W206" s="79">
        <v>0.0</v>
      </c>
      <c r="X206" s="13">
        <f t="shared" si="41"/>
        <v>2</v>
      </c>
      <c r="Y206" s="5"/>
      <c r="Z206" s="5"/>
    </row>
    <row r="207" ht="12.75" customHeight="1">
      <c r="A207" s="18"/>
      <c r="B207" s="58"/>
      <c r="C207" s="53" t="s">
        <v>158</v>
      </c>
      <c r="D207" s="61"/>
      <c r="E207" s="79">
        <v>0.0</v>
      </c>
      <c r="F207" s="19"/>
      <c r="G207" s="79">
        <v>0.0</v>
      </c>
      <c r="H207" s="79">
        <v>0.0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0.0</v>
      </c>
      <c r="O207" s="79">
        <v>0.0</v>
      </c>
      <c r="P207" s="79">
        <v>1.0</v>
      </c>
      <c r="Q207" s="79">
        <v>0.0</v>
      </c>
      <c r="R207" s="79">
        <v>1.0</v>
      </c>
      <c r="S207" s="79">
        <v>0.0</v>
      </c>
      <c r="T207" s="79">
        <v>0.0</v>
      </c>
      <c r="U207" s="19"/>
      <c r="V207" s="79">
        <v>0.0</v>
      </c>
      <c r="W207" s="79">
        <v>0.0</v>
      </c>
      <c r="X207" s="13">
        <f t="shared" si="41"/>
        <v>2</v>
      </c>
      <c r="Y207" s="1"/>
      <c r="Z207" s="1"/>
    </row>
    <row r="208" ht="12.75" customHeight="1">
      <c r="A208" s="18"/>
      <c r="B208" s="58"/>
      <c r="C208" s="53" t="s">
        <v>159</v>
      </c>
      <c r="D208" s="61"/>
      <c r="E208" s="79">
        <v>0.0</v>
      </c>
      <c r="F208" s="19"/>
      <c r="G208" s="79">
        <v>1.0</v>
      </c>
      <c r="H208" s="79">
        <v>1.0</v>
      </c>
      <c r="I208" s="79">
        <v>0.0</v>
      </c>
      <c r="J208" s="79">
        <v>0.0</v>
      </c>
      <c r="K208" s="79">
        <v>1.0</v>
      </c>
      <c r="L208" s="79">
        <v>1.0</v>
      </c>
      <c r="M208" s="79">
        <v>1.0</v>
      </c>
      <c r="N208" s="79">
        <v>0.0</v>
      </c>
      <c r="O208" s="79">
        <v>0.0</v>
      </c>
      <c r="P208" s="79">
        <v>0.0</v>
      </c>
      <c r="Q208" s="79">
        <v>0.0</v>
      </c>
      <c r="R208" s="79">
        <v>1.0</v>
      </c>
      <c r="S208" s="79">
        <v>0.0</v>
      </c>
      <c r="T208" s="79">
        <v>0.0</v>
      </c>
      <c r="U208" s="19"/>
      <c r="V208" s="79">
        <v>0.0</v>
      </c>
      <c r="W208" s="79">
        <v>0.0</v>
      </c>
      <c r="X208" s="13">
        <f t="shared" si="41"/>
        <v>6</v>
      </c>
      <c r="Y208" s="55"/>
      <c r="Z208" s="55"/>
    </row>
    <row r="209" ht="12.75" customHeight="1">
      <c r="A209" s="18"/>
      <c r="B209" s="58"/>
      <c r="C209" s="53" t="s">
        <v>160</v>
      </c>
      <c r="D209" s="61"/>
      <c r="E209" s="79">
        <v>0.0</v>
      </c>
      <c r="F209" s="19"/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79">
        <v>0.0</v>
      </c>
      <c r="T209" s="79">
        <v>0.0</v>
      </c>
      <c r="U209" s="19"/>
      <c r="V209" s="79">
        <v>0.0</v>
      </c>
      <c r="W209" s="79">
        <v>0.0</v>
      </c>
      <c r="X209" s="13">
        <f t="shared" si="41"/>
        <v>0</v>
      </c>
      <c r="Y209" s="55"/>
      <c r="Z209" s="55"/>
    </row>
    <row r="210" ht="12.75" customHeight="1">
      <c r="A210" s="18"/>
      <c r="B210" s="58"/>
      <c r="C210" s="53" t="s">
        <v>161</v>
      </c>
      <c r="D210" s="61"/>
      <c r="E210" s="79">
        <v>1.0</v>
      </c>
      <c r="F210" s="19"/>
      <c r="G210" s="79">
        <v>0.0</v>
      </c>
      <c r="H210" s="79">
        <v>0.0</v>
      </c>
      <c r="I210" s="79">
        <v>0.0</v>
      </c>
      <c r="J210" s="79">
        <v>0.0</v>
      </c>
      <c r="K210" s="79">
        <v>1.0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79">
        <v>0.0</v>
      </c>
      <c r="R210" s="79">
        <v>0.0</v>
      </c>
      <c r="S210" s="79">
        <v>0.0</v>
      </c>
      <c r="T210" s="79">
        <v>0.0</v>
      </c>
      <c r="U210" s="19"/>
      <c r="V210" s="79">
        <v>0.0</v>
      </c>
      <c r="W210" s="79">
        <v>0.0</v>
      </c>
      <c r="X210" s="13">
        <f t="shared" si="41"/>
        <v>2</v>
      </c>
      <c r="Y210" s="55"/>
      <c r="Z210" s="55"/>
    </row>
    <row r="211" ht="12.75" customHeight="1">
      <c r="A211" s="19" t="s">
        <v>14</v>
      </c>
      <c r="B211" s="50" t="s">
        <v>48</v>
      </c>
      <c r="C211" s="15"/>
      <c r="D211" s="16"/>
      <c r="E211" s="13">
        <f t="shared" ref="E211:W211" si="42">SUM(E201:E210)</f>
        <v>11</v>
      </c>
      <c r="F211" s="13">
        <f t="shared" si="42"/>
        <v>6</v>
      </c>
      <c r="G211" s="13">
        <f t="shared" si="42"/>
        <v>7</v>
      </c>
      <c r="H211" s="13">
        <f t="shared" si="42"/>
        <v>7</v>
      </c>
      <c r="I211" s="13">
        <f t="shared" si="42"/>
        <v>4</v>
      </c>
      <c r="J211" s="13">
        <f t="shared" si="42"/>
        <v>12</v>
      </c>
      <c r="K211" s="13">
        <f t="shared" si="42"/>
        <v>12</v>
      </c>
      <c r="L211" s="13">
        <f t="shared" si="42"/>
        <v>20</v>
      </c>
      <c r="M211" s="13">
        <f t="shared" si="42"/>
        <v>17</v>
      </c>
      <c r="N211" s="13">
        <f t="shared" si="42"/>
        <v>3</v>
      </c>
      <c r="O211" s="13">
        <f t="shared" si="42"/>
        <v>5</v>
      </c>
      <c r="P211" s="13">
        <f t="shared" si="42"/>
        <v>12</v>
      </c>
      <c r="Q211" s="13">
        <f t="shared" si="42"/>
        <v>4</v>
      </c>
      <c r="R211" s="13">
        <f t="shared" si="42"/>
        <v>7</v>
      </c>
      <c r="S211" s="13">
        <f t="shared" si="42"/>
        <v>6</v>
      </c>
      <c r="T211" s="13">
        <f t="shared" si="42"/>
        <v>4</v>
      </c>
      <c r="U211" s="13">
        <f t="shared" si="42"/>
        <v>10</v>
      </c>
      <c r="V211" s="13">
        <f t="shared" si="42"/>
        <v>5</v>
      </c>
      <c r="W211" s="13">
        <f t="shared" si="42"/>
        <v>4</v>
      </c>
      <c r="X211" s="13">
        <f t="shared" si="41"/>
        <v>156</v>
      </c>
      <c r="Y211" s="5"/>
      <c r="Z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5"/>
      <c r="Z212" s="5"/>
    </row>
    <row r="213" ht="12.75" customHeight="1">
      <c r="A213" s="31" t="s">
        <v>36</v>
      </c>
      <c r="B213" s="50" t="s">
        <v>162</v>
      </c>
      <c r="C213" s="51" t="s">
        <v>163</v>
      </c>
      <c r="D213" s="16"/>
      <c r="E213" s="79">
        <v>0.0</v>
      </c>
      <c r="F213" s="79">
        <v>3.0</v>
      </c>
      <c r="G213" s="79">
        <v>1.0</v>
      </c>
      <c r="H213" s="79">
        <v>1.0</v>
      </c>
      <c r="I213" s="79">
        <v>0.0</v>
      </c>
      <c r="J213" s="79">
        <v>0.0</v>
      </c>
      <c r="K213" s="79">
        <v>0.0</v>
      </c>
      <c r="L213" s="79">
        <v>2.0</v>
      </c>
      <c r="M213" s="79">
        <v>2.0</v>
      </c>
      <c r="N213" s="79">
        <v>0.0</v>
      </c>
      <c r="O213" s="79">
        <v>0.0</v>
      </c>
      <c r="P213" s="79">
        <v>1.0</v>
      </c>
      <c r="Q213" s="79">
        <v>4.0</v>
      </c>
      <c r="R213" s="79">
        <v>3.0</v>
      </c>
      <c r="S213" s="79">
        <v>1.0</v>
      </c>
      <c r="T213" s="79">
        <v>0.0</v>
      </c>
      <c r="U213" s="79">
        <v>2.0</v>
      </c>
      <c r="V213" s="79">
        <v>1.0</v>
      </c>
      <c r="W213" s="79">
        <v>2.0</v>
      </c>
      <c r="X213" s="13">
        <f t="shared" ref="X213:X216" si="43">SUM(E213:W213)</f>
        <v>23</v>
      </c>
      <c r="Y213" s="5"/>
      <c r="Z213" s="5"/>
    </row>
    <row r="214" ht="12.75" customHeight="1">
      <c r="A214" s="31" t="s">
        <v>38</v>
      </c>
      <c r="B214" s="58"/>
      <c r="C214" s="53" t="s">
        <v>164</v>
      </c>
      <c r="D214" s="60"/>
      <c r="E214" s="79">
        <v>1.0</v>
      </c>
      <c r="F214" s="19"/>
      <c r="G214" s="79">
        <v>0.0</v>
      </c>
      <c r="H214" s="79">
        <v>0.0</v>
      </c>
      <c r="I214" s="79">
        <v>1.0</v>
      </c>
      <c r="J214" s="79">
        <v>1.0</v>
      </c>
      <c r="K214" s="79">
        <v>0.0</v>
      </c>
      <c r="L214" s="79">
        <v>0.0</v>
      </c>
      <c r="M214" s="79">
        <v>0.0</v>
      </c>
      <c r="N214" s="79">
        <v>0.0</v>
      </c>
      <c r="O214" s="79">
        <v>1.0</v>
      </c>
      <c r="P214" s="79">
        <v>2.0</v>
      </c>
      <c r="Q214" s="79">
        <v>0.0</v>
      </c>
      <c r="R214" s="79">
        <v>0.0</v>
      </c>
      <c r="S214" s="79">
        <v>1.0</v>
      </c>
      <c r="T214" s="79">
        <v>0.0</v>
      </c>
      <c r="U214" s="19"/>
      <c r="V214" s="79">
        <v>1.0</v>
      </c>
      <c r="W214" s="79">
        <v>1.0</v>
      </c>
      <c r="X214" s="13">
        <f t="shared" si="43"/>
        <v>9</v>
      </c>
      <c r="Y214" s="5"/>
      <c r="Z214" s="5"/>
    </row>
    <row r="215" ht="12.75" customHeight="1">
      <c r="A215" s="18"/>
      <c r="B215" s="58"/>
      <c r="C215" s="53" t="s">
        <v>165</v>
      </c>
      <c r="D215" s="60"/>
      <c r="E215" s="79">
        <v>0.0</v>
      </c>
      <c r="F215" s="79">
        <v>1.0</v>
      </c>
      <c r="G215" s="79">
        <v>1.0</v>
      </c>
      <c r="H215" s="79">
        <v>0.0</v>
      </c>
      <c r="I215" s="79">
        <v>0.0</v>
      </c>
      <c r="J215" s="79">
        <v>1.0</v>
      </c>
      <c r="K215" s="79">
        <v>1.0</v>
      </c>
      <c r="L215" s="79">
        <v>0.0</v>
      </c>
      <c r="M215" s="79">
        <v>0.0</v>
      </c>
      <c r="N215" s="79">
        <v>4.0</v>
      </c>
      <c r="O215" s="79">
        <v>0.0</v>
      </c>
      <c r="P215" s="79">
        <v>0.0</v>
      </c>
      <c r="Q215" s="79">
        <v>2.0</v>
      </c>
      <c r="R215" s="79">
        <v>1.0</v>
      </c>
      <c r="S215" s="79">
        <v>2.0</v>
      </c>
      <c r="T215" s="79">
        <v>1.0</v>
      </c>
      <c r="U215" s="19"/>
      <c r="V215" s="79">
        <v>1.0</v>
      </c>
      <c r="W215" s="79">
        <v>2.0</v>
      </c>
      <c r="X215" s="13">
        <f t="shared" si="43"/>
        <v>17</v>
      </c>
      <c r="Y215" s="5"/>
      <c r="Z215" s="5"/>
    </row>
    <row r="216" ht="12.75" customHeight="1">
      <c r="A216" s="18"/>
      <c r="B216" s="58"/>
      <c r="C216" s="53" t="s">
        <v>166</v>
      </c>
      <c r="E216" s="79">
        <v>0.0</v>
      </c>
      <c r="F216" s="19"/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79">
        <v>1.0</v>
      </c>
      <c r="M216" s="79">
        <v>1.0</v>
      </c>
      <c r="N216" s="79">
        <v>0.0</v>
      </c>
      <c r="O216" s="79">
        <v>0.0</v>
      </c>
      <c r="P216" s="79">
        <v>1.0</v>
      </c>
      <c r="Q216" s="79">
        <v>0.0</v>
      </c>
      <c r="R216" s="79">
        <v>0.0</v>
      </c>
      <c r="S216" s="79">
        <v>0.0</v>
      </c>
      <c r="T216" s="79">
        <v>0.0</v>
      </c>
      <c r="U216" s="19"/>
      <c r="V216" s="79">
        <v>0.0</v>
      </c>
      <c r="W216" s="79">
        <v>1.0</v>
      </c>
      <c r="X216" s="13">
        <f t="shared" si="43"/>
        <v>4</v>
      </c>
      <c r="Y216" s="5"/>
      <c r="Z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85"/>
      <c r="Y217" s="5"/>
      <c r="Z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85"/>
      <c r="Y218" s="1"/>
      <c r="Z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85"/>
      <c r="Y219" s="55"/>
      <c r="Z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85"/>
      <c r="Y220" s="5"/>
      <c r="Z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85"/>
      <c r="Y221" s="5"/>
      <c r="Z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85"/>
      <c r="Y222" s="5"/>
      <c r="Z222" s="5"/>
    </row>
    <row r="223" ht="12.75" customHeight="1">
      <c r="A223" s="19" t="s">
        <v>14</v>
      </c>
      <c r="B223" s="50" t="s">
        <v>48</v>
      </c>
      <c r="C223" s="15"/>
      <c r="D223" s="16"/>
      <c r="E223" s="13">
        <f t="shared" ref="E223:W223" si="44">SUM(E213:E222)</f>
        <v>1</v>
      </c>
      <c r="F223" s="13">
        <f t="shared" si="44"/>
        <v>4</v>
      </c>
      <c r="G223" s="13">
        <f t="shared" si="44"/>
        <v>2</v>
      </c>
      <c r="H223" s="13">
        <f t="shared" si="44"/>
        <v>1</v>
      </c>
      <c r="I223" s="13">
        <f t="shared" si="44"/>
        <v>1</v>
      </c>
      <c r="J223" s="13">
        <f t="shared" si="44"/>
        <v>2</v>
      </c>
      <c r="K223" s="13">
        <f t="shared" si="44"/>
        <v>1</v>
      </c>
      <c r="L223" s="13">
        <f t="shared" si="44"/>
        <v>3</v>
      </c>
      <c r="M223" s="13">
        <f t="shared" si="44"/>
        <v>3</v>
      </c>
      <c r="N223" s="13">
        <f t="shared" si="44"/>
        <v>4</v>
      </c>
      <c r="O223" s="13">
        <f t="shared" si="44"/>
        <v>1</v>
      </c>
      <c r="P223" s="13">
        <f t="shared" si="44"/>
        <v>4</v>
      </c>
      <c r="Q223" s="13">
        <f t="shared" si="44"/>
        <v>6</v>
      </c>
      <c r="R223" s="13">
        <f t="shared" si="44"/>
        <v>4</v>
      </c>
      <c r="S223" s="13">
        <f t="shared" si="44"/>
        <v>4</v>
      </c>
      <c r="T223" s="13">
        <f t="shared" si="44"/>
        <v>1</v>
      </c>
      <c r="U223" s="13">
        <f t="shared" si="44"/>
        <v>2</v>
      </c>
      <c r="V223" s="13">
        <f t="shared" si="44"/>
        <v>3</v>
      </c>
      <c r="W223" s="13">
        <f t="shared" si="44"/>
        <v>6</v>
      </c>
      <c r="X223" s="13">
        <f>SUM(E223:W223)</f>
        <v>53</v>
      </c>
      <c r="Y223" s="5"/>
      <c r="Z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5"/>
      <c r="Z224" s="5"/>
    </row>
    <row r="225" ht="12.75" customHeight="1">
      <c r="A225" s="31" t="s">
        <v>36</v>
      </c>
      <c r="B225" s="50" t="s">
        <v>167</v>
      </c>
      <c r="C225" s="51" t="s">
        <v>168</v>
      </c>
      <c r="D225" s="16"/>
      <c r="E225" s="79">
        <v>0.0</v>
      </c>
      <c r="F225" s="19"/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0.0</v>
      </c>
      <c r="O225" s="79">
        <v>0.0</v>
      </c>
      <c r="P225" s="19"/>
      <c r="Q225" s="79">
        <v>0.0</v>
      </c>
      <c r="R225" s="79">
        <v>0.0</v>
      </c>
      <c r="S225" s="79">
        <v>1.0</v>
      </c>
      <c r="T225" s="79">
        <v>0.0</v>
      </c>
      <c r="U225" s="19"/>
      <c r="V225" s="79">
        <v>0.0</v>
      </c>
      <c r="W225" s="19"/>
      <c r="X225" s="13">
        <f t="shared" ref="X225:X229" si="45">SUM(E225:W225)</f>
        <v>1</v>
      </c>
      <c r="Y225" s="5"/>
      <c r="Z225" s="5"/>
    </row>
    <row r="226" ht="12.75" customHeight="1">
      <c r="A226" s="31" t="s">
        <v>38</v>
      </c>
      <c r="B226" s="58"/>
      <c r="C226" s="53" t="s">
        <v>169</v>
      </c>
      <c r="D226" s="61"/>
      <c r="E226" s="79">
        <v>0.0</v>
      </c>
      <c r="F226" s="19"/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79">
        <v>0.0</v>
      </c>
      <c r="O226" s="79">
        <v>0.0</v>
      </c>
      <c r="P226" s="19"/>
      <c r="Q226" s="79">
        <v>0.0</v>
      </c>
      <c r="R226" s="79">
        <v>1.0</v>
      </c>
      <c r="S226" s="79">
        <v>1.0</v>
      </c>
      <c r="T226" s="79">
        <v>0.0</v>
      </c>
      <c r="U226" s="19"/>
      <c r="V226" s="79">
        <v>0.0</v>
      </c>
      <c r="W226" s="19"/>
      <c r="X226" s="13">
        <f t="shared" si="45"/>
        <v>2</v>
      </c>
      <c r="Y226" s="5"/>
      <c r="Z226" s="5"/>
    </row>
    <row r="227" ht="12.75" customHeight="1">
      <c r="A227" s="18"/>
      <c r="B227" s="58"/>
      <c r="C227" s="53" t="s">
        <v>170</v>
      </c>
      <c r="D227" s="61"/>
      <c r="E227" s="79">
        <v>0.0</v>
      </c>
      <c r="F227" s="19"/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19"/>
      <c r="Q227" s="79">
        <v>0.0</v>
      </c>
      <c r="R227" s="79">
        <v>0.0</v>
      </c>
      <c r="S227" s="79">
        <v>0.0</v>
      </c>
      <c r="T227" s="79">
        <v>0.0</v>
      </c>
      <c r="U227" s="19"/>
      <c r="V227" s="79">
        <v>0.0</v>
      </c>
      <c r="W227" s="19"/>
      <c r="X227" s="13">
        <f t="shared" si="45"/>
        <v>0</v>
      </c>
      <c r="Y227" s="5"/>
      <c r="Z227" s="5"/>
    </row>
    <row r="228" ht="12.75" customHeight="1">
      <c r="A228" s="18"/>
      <c r="B228" s="58"/>
      <c r="C228" s="53" t="s">
        <v>171</v>
      </c>
      <c r="D228" s="61"/>
      <c r="E228" s="79">
        <v>0.0</v>
      </c>
      <c r="F228" s="19"/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1.0</v>
      </c>
      <c r="M228" s="79">
        <v>0.0</v>
      </c>
      <c r="N228" s="79">
        <v>0.0</v>
      </c>
      <c r="O228" s="79">
        <v>0.0</v>
      </c>
      <c r="P228" s="19"/>
      <c r="Q228" s="79">
        <v>0.0</v>
      </c>
      <c r="R228" s="79">
        <v>0.0</v>
      </c>
      <c r="S228" s="79">
        <v>0.0</v>
      </c>
      <c r="T228" s="79">
        <v>0.0</v>
      </c>
      <c r="U228" s="19"/>
      <c r="V228" s="79">
        <v>0.0</v>
      </c>
      <c r="W228" s="19"/>
      <c r="X228" s="13">
        <f t="shared" si="45"/>
        <v>1</v>
      </c>
      <c r="Y228" s="5"/>
      <c r="Z228" s="5"/>
    </row>
    <row r="229" ht="12.75" customHeight="1">
      <c r="A229" s="18"/>
      <c r="B229" s="58"/>
      <c r="C229" s="53" t="s">
        <v>172</v>
      </c>
      <c r="D229" s="61"/>
      <c r="E229" s="79">
        <v>0.0</v>
      </c>
      <c r="F229" s="19"/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19"/>
      <c r="Q229" s="79">
        <v>0.0</v>
      </c>
      <c r="R229" s="79">
        <v>1.0</v>
      </c>
      <c r="S229" s="79">
        <v>0.0</v>
      </c>
      <c r="T229" s="79">
        <v>0.0</v>
      </c>
      <c r="U229" s="19"/>
      <c r="V229" s="79">
        <v>0.0</v>
      </c>
      <c r="W229" s="19"/>
      <c r="X229" s="13">
        <f t="shared" si="45"/>
        <v>1</v>
      </c>
      <c r="Y229" s="1"/>
      <c r="Z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85"/>
      <c r="Y230" s="55"/>
      <c r="Z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85"/>
      <c r="Y231" s="5"/>
      <c r="Z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85"/>
      <c r="Y232" s="5"/>
      <c r="Z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85"/>
      <c r="Y233" s="5"/>
      <c r="Z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85"/>
      <c r="Y234" s="5"/>
      <c r="Z234" s="5"/>
    </row>
    <row r="235" ht="12.75" customHeight="1">
      <c r="A235" s="19" t="s">
        <v>14</v>
      </c>
      <c r="B235" s="50" t="s">
        <v>48</v>
      </c>
      <c r="C235" s="15"/>
      <c r="D235" s="16"/>
      <c r="E235" s="13">
        <f t="shared" ref="E235:W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1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2</v>
      </c>
      <c r="S235" s="13">
        <f t="shared" si="46"/>
        <v>2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>SUM(E235:W235)</f>
        <v>5</v>
      </c>
      <c r="Y235" s="5"/>
      <c r="Z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5"/>
      <c r="Z236" s="5"/>
    </row>
    <row r="237" ht="12.75" customHeight="1">
      <c r="A237" s="31" t="s">
        <v>36</v>
      </c>
      <c r="B237" s="50" t="s">
        <v>173</v>
      </c>
      <c r="C237" s="51" t="s">
        <v>174</v>
      </c>
      <c r="D237" s="16"/>
      <c r="E237" s="79">
        <v>0.0</v>
      </c>
      <c r="F237" s="79">
        <v>4.0</v>
      </c>
      <c r="G237" s="79">
        <v>2.0</v>
      </c>
      <c r="H237" s="79">
        <v>0.0</v>
      </c>
      <c r="I237" s="79">
        <v>5.0</v>
      </c>
      <c r="J237" s="79">
        <v>1.0</v>
      </c>
      <c r="K237" s="79">
        <v>0.0</v>
      </c>
      <c r="L237" s="79">
        <v>0.0</v>
      </c>
      <c r="M237" s="79">
        <v>1.0</v>
      </c>
      <c r="N237" s="79">
        <v>3.0</v>
      </c>
      <c r="O237" s="79">
        <v>1.0</v>
      </c>
      <c r="P237" s="19"/>
      <c r="Q237" s="79">
        <v>0.0</v>
      </c>
      <c r="R237" s="79">
        <v>0.0</v>
      </c>
      <c r="S237" s="79">
        <v>3.0</v>
      </c>
      <c r="T237" s="79">
        <v>1.0</v>
      </c>
      <c r="U237" s="79">
        <v>1.0</v>
      </c>
      <c r="V237" s="79">
        <v>0.0</v>
      </c>
      <c r="W237" s="19"/>
      <c r="X237" s="13">
        <f t="shared" ref="X237:X247" si="47">SUM(E237:W237)</f>
        <v>22</v>
      </c>
      <c r="Y237" s="5"/>
      <c r="Z237" s="5"/>
    </row>
    <row r="238" ht="12.75" customHeight="1">
      <c r="A238" s="31" t="s">
        <v>38</v>
      </c>
      <c r="B238" s="58"/>
      <c r="C238" s="53" t="s">
        <v>175</v>
      </c>
      <c r="D238" s="61"/>
      <c r="E238" s="79">
        <v>0.0</v>
      </c>
      <c r="F238" s="79">
        <v>3.0</v>
      </c>
      <c r="G238" s="79">
        <v>9.0</v>
      </c>
      <c r="H238" s="79">
        <v>4.0</v>
      </c>
      <c r="I238" s="79">
        <v>1.0</v>
      </c>
      <c r="J238" s="79">
        <v>0.0</v>
      </c>
      <c r="K238" s="79">
        <v>1.0</v>
      </c>
      <c r="L238" s="79">
        <v>0.0</v>
      </c>
      <c r="M238" s="79">
        <v>1.0</v>
      </c>
      <c r="N238" s="79">
        <v>0.0</v>
      </c>
      <c r="O238" s="79">
        <v>1.0</v>
      </c>
      <c r="P238" s="79">
        <v>1.0</v>
      </c>
      <c r="Q238" s="79">
        <v>1.0</v>
      </c>
      <c r="R238" s="79">
        <v>0.0</v>
      </c>
      <c r="S238" s="79">
        <v>0.0</v>
      </c>
      <c r="T238" s="79">
        <v>0.0</v>
      </c>
      <c r="U238" s="79">
        <v>1.0</v>
      </c>
      <c r="V238" s="79">
        <v>0.0</v>
      </c>
      <c r="W238" s="19"/>
      <c r="X238" s="13">
        <f t="shared" si="47"/>
        <v>23</v>
      </c>
      <c r="Y238" s="5"/>
      <c r="Z238" s="5"/>
    </row>
    <row r="239" ht="12.75" customHeight="1">
      <c r="A239" s="18"/>
      <c r="B239" s="58"/>
      <c r="C239" s="53" t="s">
        <v>176</v>
      </c>
      <c r="D239" s="61"/>
      <c r="E239" s="79">
        <v>0.0</v>
      </c>
      <c r="F239" s="79">
        <v>4.0</v>
      </c>
      <c r="G239" s="79">
        <v>1.0</v>
      </c>
      <c r="H239" s="79">
        <v>4.0</v>
      </c>
      <c r="I239" s="79">
        <v>5.0</v>
      </c>
      <c r="J239" s="79">
        <v>6.0</v>
      </c>
      <c r="K239" s="79">
        <v>3.0</v>
      </c>
      <c r="L239" s="79">
        <v>2.0</v>
      </c>
      <c r="M239" s="79">
        <v>0.0</v>
      </c>
      <c r="N239" s="79">
        <v>0.0</v>
      </c>
      <c r="O239" s="79">
        <v>1.0</v>
      </c>
      <c r="P239" s="79">
        <v>2.0</v>
      </c>
      <c r="Q239" s="79">
        <v>0.0</v>
      </c>
      <c r="R239" s="79">
        <v>0.0</v>
      </c>
      <c r="S239" s="79">
        <v>0.0</v>
      </c>
      <c r="T239" s="79">
        <v>3.0</v>
      </c>
      <c r="U239" s="79">
        <v>21.0</v>
      </c>
      <c r="V239" s="79">
        <v>6.0</v>
      </c>
      <c r="W239" s="79">
        <v>1.0</v>
      </c>
      <c r="X239" s="13">
        <f t="shared" si="47"/>
        <v>59</v>
      </c>
      <c r="Y239" s="5"/>
      <c r="Z239" s="5"/>
    </row>
    <row r="240" ht="12.75" customHeight="1">
      <c r="A240" s="18"/>
      <c r="B240" s="58"/>
      <c r="C240" s="53" t="s">
        <v>177</v>
      </c>
      <c r="D240" s="61"/>
      <c r="E240" s="79">
        <v>0.0</v>
      </c>
      <c r="F240" s="79">
        <v>1.0</v>
      </c>
      <c r="G240" s="79">
        <v>0.0</v>
      </c>
      <c r="H240" s="79">
        <v>0.0</v>
      </c>
      <c r="I240" s="79">
        <v>0.0</v>
      </c>
      <c r="J240" s="79">
        <v>0.0</v>
      </c>
      <c r="K240" s="79">
        <v>0.0</v>
      </c>
      <c r="L240" s="79">
        <v>0.0</v>
      </c>
      <c r="M240" s="79">
        <v>0.0</v>
      </c>
      <c r="N240" s="79">
        <v>1.0</v>
      </c>
      <c r="O240" s="79">
        <v>0.0</v>
      </c>
      <c r="P240" s="79">
        <v>1.0</v>
      </c>
      <c r="Q240" s="79">
        <v>0.0</v>
      </c>
      <c r="R240" s="79">
        <v>0.0</v>
      </c>
      <c r="S240" s="79">
        <v>0.0</v>
      </c>
      <c r="T240" s="79">
        <v>0.0</v>
      </c>
      <c r="U240" s="19"/>
      <c r="V240" s="79">
        <v>0.0</v>
      </c>
      <c r="W240" s="79">
        <v>0.0</v>
      </c>
      <c r="X240" s="13">
        <f t="shared" si="47"/>
        <v>3</v>
      </c>
      <c r="Y240" s="1"/>
      <c r="Z240" s="1"/>
    </row>
    <row r="241" ht="12.75" customHeight="1">
      <c r="A241" s="18"/>
      <c r="B241" s="58"/>
      <c r="C241" s="53" t="s">
        <v>178</v>
      </c>
      <c r="D241" s="61"/>
      <c r="E241" s="79">
        <v>0.0</v>
      </c>
      <c r="F241" s="19"/>
      <c r="G241" s="79">
        <v>0.0</v>
      </c>
      <c r="H241" s="79">
        <v>0.0</v>
      </c>
      <c r="I241" s="79">
        <v>0.0</v>
      </c>
      <c r="J241" s="79">
        <v>0.0</v>
      </c>
      <c r="K241" s="79">
        <v>0.0</v>
      </c>
      <c r="L241" s="79">
        <v>0.0</v>
      </c>
      <c r="M241" s="79">
        <v>0.0</v>
      </c>
      <c r="N241" s="79">
        <v>0.0</v>
      </c>
      <c r="O241" s="79">
        <v>3.0</v>
      </c>
      <c r="P241" s="19"/>
      <c r="Q241" s="79">
        <v>0.0</v>
      </c>
      <c r="R241" s="79">
        <v>0.0</v>
      </c>
      <c r="S241" s="79">
        <v>0.0</v>
      </c>
      <c r="T241" s="79">
        <v>0.0</v>
      </c>
      <c r="U241" s="19"/>
      <c r="V241" s="79">
        <v>0.0</v>
      </c>
      <c r="W241" s="79">
        <v>0.0</v>
      </c>
      <c r="X241" s="13">
        <f t="shared" si="47"/>
        <v>3</v>
      </c>
    </row>
    <row r="242" ht="12.75" customHeight="1">
      <c r="A242" s="18"/>
      <c r="B242" s="58"/>
      <c r="C242" s="53" t="s">
        <v>179</v>
      </c>
      <c r="D242" s="61"/>
      <c r="E242" s="79">
        <v>0.0</v>
      </c>
      <c r="F242" s="19"/>
      <c r="G242" s="79">
        <v>0.0</v>
      </c>
      <c r="H242" s="79">
        <v>1.0</v>
      </c>
      <c r="I242" s="79">
        <v>1.0</v>
      </c>
      <c r="J242" s="79">
        <v>0.0</v>
      </c>
      <c r="K242" s="79">
        <v>1.0</v>
      </c>
      <c r="L242" s="79">
        <v>1.0</v>
      </c>
      <c r="M242" s="79">
        <v>1.0</v>
      </c>
      <c r="N242" s="79">
        <v>0.0</v>
      </c>
      <c r="O242" s="79">
        <v>0.0</v>
      </c>
      <c r="P242" s="19"/>
      <c r="Q242" s="79">
        <v>0.0</v>
      </c>
      <c r="R242" s="79">
        <v>0.0</v>
      </c>
      <c r="S242" s="79">
        <v>0.0</v>
      </c>
      <c r="T242" s="79">
        <v>0.0</v>
      </c>
      <c r="U242" s="79">
        <v>1.0</v>
      </c>
      <c r="V242" s="79">
        <v>0.0</v>
      </c>
      <c r="W242" s="79">
        <v>2.0</v>
      </c>
      <c r="X242" s="13">
        <f t="shared" si="47"/>
        <v>8</v>
      </c>
    </row>
    <row r="243" ht="12.75" customHeight="1">
      <c r="A243" s="18"/>
      <c r="B243" s="58"/>
      <c r="C243" s="53" t="s">
        <v>180</v>
      </c>
      <c r="D243" s="61"/>
      <c r="E243" s="79">
        <v>1.0</v>
      </c>
      <c r="F243" s="19"/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79">
        <v>0.0</v>
      </c>
      <c r="P243" s="19"/>
      <c r="Q243" s="79">
        <v>0.0</v>
      </c>
      <c r="R243" s="79">
        <v>1.0</v>
      </c>
      <c r="S243" s="79">
        <v>1.0</v>
      </c>
      <c r="T243" s="79">
        <v>0.0</v>
      </c>
      <c r="U243" s="19"/>
      <c r="V243" s="79">
        <v>0.0</v>
      </c>
      <c r="W243" s="79">
        <v>0.0</v>
      </c>
      <c r="X243" s="13">
        <f t="shared" si="47"/>
        <v>3</v>
      </c>
    </row>
    <row r="244" ht="12.75" customHeight="1">
      <c r="A244" s="18"/>
      <c r="B244" s="58"/>
      <c r="C244" s="53" t="s">
        <v>181</v>
      </c>
      <c r="D244" s="61"/>
      <c r="E244" s="79">
        <v>0.0</v>
      </c>
      <c r="F244" s="19"/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1.0</v>
      </c>
      <c r="N244" s="79">
        <v>0.0</v>
      </c>
      <c r="O244" s="79">
        <v>0.0</v>
      </c>
      <c r="P244" s="19"/>
      <c r="Q244" s="79">
        <v>0.0</v>
      </c>
      <c r="R244" s="79">
        <v>0.0</v>
      </c>
      <c r="S244" s="79">
        <v>0.0</v>
      </c>
      <c r="T244" s="79">
        <v>0.0</v>
      </c>
      <c r="U244" s="19"/>
      <c r="V244" s="79">
        <v>0.0</v>
      </c>
      <c r="W244" s="79">
        <v>0.0</v>
      </c>
      <c r="X244" s="13">
        <f t="shared" si="47"/>
        <v>1</v>
      </c>
    </row>
    <row r="245" ht="12.75" customHeight="1">
      <c r="A245" s="18"/>
      <c r="B245" s="58"/>
      <c r="C245" s="53" t="s">
        <v>182</v>
      </c>
      <c r="D245" s="61"/>
      <c r="E245" s="79">
        <v>0.0</v>
      </c>
      <c r="F245" s="19"/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1.0</v>
      </c>
      <c r="Q245" s="79">
        <v>0.0</v>
      </c>
      <c r="R245" s="79">
        <v>0.0</v>
      </c>
      <c r="S245" s="79">
        <v>0.0</v>
      </c>
      <c r="T245" s="79">
        <v>0.0</v>
      </c>
      <c r="U245" s="79">
        <v>1.0</v>
      </c>
      <c r="V245" s="79">
        <v>0.0</v>
      </c>
      <c r="W245" s="79">
        <v>0.0</v>
      </c>
      <c r="X245" s="13">
        <f t="shared" si="47"/>
        <v>2</v>
      </c>
    </row>
    <row r="246" ht="12.75" customHeight="1">
      <c r="A246" s="18"/>
      <c r="B246" s="58"/>
      <c r="C246" s="53" t="s">
        <v>183</v>
      </c>
      <c r="D246" s="61"/>
      <c r="E246" s="79">
        <v>0.0</v>
      </c>
      <c r="F246" s="79">
        <v>1.0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0.0</v>
      </c>
      <c r="M246" s="79">
        <v>1.0</v>
      </c>
      <c r="N246" s="79">
        <v>0.0</v>
      </c>
      <c r="O246" s="79">
        <v>0.0</v>
      </c>
      <c r="P246" s="19"/>
      <c r="Q246" s="79">
        <v>0.0</v>
      </c>
      <c r="R246" s="79">
        <v>0.0</v>
      </c>
      <c r="S246" s="79">
        <v>0.0</v>
      </c>
      <c r="T246" s="79">
        <v>0.0</v>
      </c>
      <c r="U246" s="19"/>
      <c r="V246" s="79">
        <v>0.0</v>
      </c>
      <c r="W246" s="79">
        <v>0.0</v>
      </c>
      <c r="X246" s="13">
        <f t="shared" si="47"/>
        <v>2</v>
      </c>
    </row>
    <row r="247" ht="12.75" customHeight="1">
      <c r="A247" s="19" t="s">
        <v>14</v>
      </c>
      <c r="B247" s="50" t="s">
        <v>48</v>
      </c>
      <c r="C247" s="15"/>
      <c r="D247" s="16"/>
      <c r="E247" s="13">
        <f t="shared" ref="E247:W247" si="48">SUM(E237:E246)</f>
        <v>1</v>
      </c>
      <c r="F247" s="13">
        <f t="shared" si="48"/>
        <v>13</v>
      </c>
      <c r="G247" s="13">
        <f t="shared" si="48"/>
        <v>12</v>
      </c>
      <c r="H247" s="13">
        <f t="shared" si="48"/>
        <v>9</v>
      </c>
      <c r="I247" s="13">
        <f t="shared" si="48"/>
        <v>12</v>
      </c>
      <c r="J247" s="13">
        <f t="shared" si="48"/>
        <v>7</v>
      </c>
      <c r="K247" s="13">
        <f t="shared" si="48"/>
        <v>5</v>
      </c>
      <c r="L247" s="13">
        <f t="shared" si="48"/>
        <v>3</v>
      </c>
      <c r="M247" s="13">
        <f t="shared" si="48"/>
        <v>5</v>
      </c>
      <c r="N247" s="13">
        <f t="shared" si="48"/>
        <v>4</v>
      </c>
      <c r="O247" s="13">
        <f t="shared" si="48"/>
        <v>6</v>
      </c>
      <c r="P247" s="13">
        <f t="shared" si="48"/>
        <v>5</v>
      </c>
      <c r="Q247" s="13">
        <f t="shared" si="48"/>
        <v>1</v>
      </c>
      <c r="R247" s="13">
        <f t="shared" si="48"/>
        <v>1</v>
      </c>
      <c r="S247" s="13">
        <f t="shared" si="48"/>
        <v>4</v>
      </c>
      <c r="T247" s="13">
        <f t="shared" si="48"/>
        <v>4</v>
      </c>
      <c r="U247" s="13">
        <f t="shared" si="48"/>
        <v>25</v>
      </c>
      <c r="V247" s="13">
        <f t="shared" si="48"/>
        <v>6</v>
      </c>
      <c r="W247" s="13">
        <f t="shared" si="48"/>
        <v>3</v>
      </c>
      <c r="X247" s="13">
        <f t="shared" si="47"/>
        <v>126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36</v>
      </c>
      <c r="B249" s="50" t="s">
        <v>184</v>
      </c>
      <c r="C249" s="51" t="s">
        <v>185</v>
      </c>
      <c r="D249" s="16"/>
      <c r="E249" s="79">
        <v>0.0</v>
      </c>
      <c r="F249" s="19"/>
      <c r="G249" s="79">
        <v>0.0</v>
      </c>
      <c r="H249" s="79">
        <v>0.0</v>
      </c>
      <c r="I249" s="79">
        <v>1.0</v>
      </c>
      <c r="J249" s="79">
        <v>0.0</v>
      </c>
      <c r="K249" s="79">
        <v>0.0</v>
      </c>
      <c r="L249" s="79">
        <v>0.0</v>
      </c>
      <c r="M249" s="79">
        <v>1.0</v>
      </c>
      <c r="N249" s="79">
        <v>0.0</v>
      </c>
      <c r="O249" s="79">
        <v>0.0</v>
      </c>
      <c r="P249" s="79">
        <v>1.0</v>
      </c>
      <c r="Q249" s="79">
        <v>0.0</v>
      </c>
      <c r="R249" s="79">
        <v>0.0</v>
      </c>
      <c r="S249" s="79">
        <v>1.0</v>
      </c>
      <c r="T249" s="79">
        <v>0.0</v>
      </c>
      <c r="U249" s="19"/>
      <c r="V249" s="19"/>
      <c r="W249" s="19"/>
      <c r="X249" s="13">
        <f t="shared" ref="X249:X252" si="49">SUM(E249:W249)</f>
        <v>4</v>
      </c>
    </row>
    <row r="250" ht="12.75" customHeight="1">
      <c r="A250" s="31" t="s">
        <v>38</v>
      </c>
      <c r="B250" s="58"/>
      <c r="C250" s="53" t="s">
        <v>186</v>
      </c>
      <c r="D250" s="61"/>
      <c r="E250" s="79">
        <v>0.0</v>
      </c>
      <c r="F250" s="19"/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0.0</v>
      </c>
      <c r="N250" s="79">
        <v>0.0</v>
      </c>
      <c r="O250" s="79">
        <v>0.0</v>
      </c>
      <c r="P250" s="79">
        <v>1.0</v>
      </c>
      <c r="Q250" s="79">
        <v>0.0</v>
      </c>
      <c r="R250" s="79">
        <v>0.0</v>
      </c>
      <c r="S250" s="79">
        <v>0.0</v>
      </c>
      <c r="T250" s="79">
        <v>0.0</v>
      </c>
      <c r="U250" s="19"/>
      <c r="V250" s="19"/>
      <c r="W250" s="19"/>
      <c r="X250" s="13">
        <f t="shared" si="49"/>
        <v>1</v>
      </c>
    </row>
    <row r="251" ht="12.75" customHeight="1">
      <c r="A251" s="18"/>
      <c r="B251" s="58"/>
      <c r="C251" s="53" t="s">
        <v>187</v>
      </c>
      <c r="D251" s="61"/>
      <c r="E251" s="79">
        <v>0.0</v>
      </c>
      <c r="F251" s="19"/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19"/>
      <c r="Q251" s="79">
        <v>0.0</v>
      </c>
      <c r="R251" s="79">
        <v>0.0</v>
      </c>
      <c r="S251" s="79">
        <v>0.0</v>
      </c>
      <c r="T251" s="79">
        <v>0.0</v>
      </c>
      <c r="U251" s="19"/>
      <c r="V251" s="19"/>
      <c r="W251" s="19"/>
      <c r="X251" s="13">
        <f t="shared" si="49"/>
        <v>0</v>
      </c>
    </row>
    <row r="252" ht="12.75" customHeight="1">
      <c r="A252" s="18"/>
      <c r="B252" s="58"/>
      <c r="C252" s="53" t="s">
        <v>188</v>
      </c>
      <c r="D252" s="61"/>
      <c r="E252" s="79">
        <v>0.0</v>
      </c>
      <c r="F252" s="19"/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19"/>
      <c r="Q252" s="79">
        <v>0.0</v>
      </c>
      <c r="R252" s="79">
        <v>0.0</v>
      </c>
      <c r="S252" s="79">
        <v>0.0</v>
      </c>
      <c r="T252" s="79">
        <v>0.0</v>
      </c>
      <c r="U252" s="19"/>
      <c r="V252" s="19"/>
      <c r="W252" s="19"/>
      <c r="X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85"/>
    </row>
    <row r="259" ht="12.75" customHeight="1">
      <c r="A259" s="19" t="s">
        <v>14</v>
      </c>
      <c r="B259" s="50" t="s">
        <v>48</v>
      </c>
      <c r="C259" s="15"/>
      <c r="D259" s="16"/>
      <c r="E259" s="13">
        <f t="shared" ref="E259:W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1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2</v>
      </c>
      <c r="Q259" s="13">
        <f t="shared" si="50"/>
        <v>0</v>
      </c>
      <c r="R259" s="13">
        <f t="shared" si="50"/>
        <v>0</v>
      </c>
      <c r="S259" s="13">
        <f t="shared" si="50"/>
        <v>1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>SUM(E259:W259)</f>
        <v>5</v>
      </c>
    </row>
    <row r="260" ht="12.75" customHeight="1"/>
    <row r="261" ht="12.75" customHeight="1">
      <c r="A261" s="45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2"/>
      <c r="O261" s="13"/>
      <c r="P261" s="13"/>
      <c r="Q261" s="13"/>
      <c r="R261" s="13"/>
      <c r="S261" s="82"/>
      <c r="T261" s="13"/>
      <c r="U261" s="13"/>
      <c r="V261" s="13"/>
      <c r="W261" s="13"/>
      <c r="X261" s="13"/>
    </row>
    <row r="262" ht="12.75" customHeight="1">
      <c r="A262" s="45"/>
      <c r="B262" s="74" t="s">
        <v>191</v>
      </c>
      <c r="C262" s="75" t="s">
        <v>192</v>
      </c>
      <c r="D262" s="16"/>
      <c r="E262" s="19">
        <f t="shared" ref="E262:W262" si="51">E55+E67+E79+E91+E103+E115+E127+E139+E151+E163+E175+E187+E199+E211+E223+E235+E247+E259</f>
        <v>140</v>
      </c>
      <c r="F262" s="19">
        <f t="shared" si="51"/>
        <v>161</v>
      </c>
      <c r="G262" s="19">
        <f t="shared" si="51"/>
        <v>193</v>
      </c>
      <c r="H262" s="19">
        <f t="shared" si="51"/>
        <v>147</v>
      </c>
      <c r="I262" s="19">
        <f t="shared" si="51"/>
        <v>174</v>
      </c>
      <c r="J262" s="19">
        <f t="shared" si="51"/>
        <v>195</v>
      </c>
      <c r="K262" s="19">
        <f t="shared" si="51"/>
        <v>175</v>
      </c>
      <c r="L262" s="19">
        <f t="shared" si="51"/>
        <v>171</v>
      </c>
      <c r="M262" s="19">
        <f t="shared" si="51"/>
        <v>185</v>
      </c>
      <c r="N262" s="19">
        <f t="shared" si="51"/>
        <v>163</v>
      </c>
      <c r="O262" s="19">
        <f t="shared" si="51"/>
        <v>175</v>
      </c>
      <c r="P262" s="19">
        <f t="shared" si="51"/>
        <v>189</v>
      </c>
      <c r="Q262" s="19">
        <f t="shared" si="51"/>
        <v>194</v>
      </c>
      <c r="R262" s="19">
        <f t="shared" si="51"/>
        <v>190</v>
      </c>
      <c r="S262" s="19">
        <f t="shared" si="51"/>
        <v>181</v>
      </c>
      <c r="T262" s="19">
        <f t="shared" si="51"/>
        <v>184</v>
      </c>
      <c r="U262" s="19">
        <f t="shared" si="51"/>
        <v>192</v>
      </c>
      <c r="V262" s="19">
        <f t="shared" si="51"/>
        <v>176</v>
      </c>
      <c r="W262" s="19">
        <f t="shared" si="51"/>
        <v>224</v>
      </c>
      <c r="X262" s="13">
        <f t="shared" ref="X262:X264" si="52">SUM(E262:W262)</f>
        <v>3409</v>
      </c>
    </row>
    <row r="263" ht="12.75" customHeight="1">
      <c r="A263" s="36"/>
      <c r="B263" s="74" t="s">
        <v>193</v>
      </c>
      <c r="C263" s="75" t="s">
        <v>194</v>
      </c>
      <c r="D263" s="16"/>
      <c r="E263" s="79">
        <v>24.0</v>
      </c>
      <c r="F263" s="79">
        <v>60.0</v>
      </c>
      <c r="G263" s="79">
        <v>40.0</v>
      </c>
      <c r="H263" s="79">
        <v>49.0</v>
      </c>
      <c r="I263" s="79">
        <v>13.0</v>
      </c>
      <c r="J263" s="79">
        <v>20.0</v>
      </c>
      <c r="K263" s="79">
        <v>36.0</v>
      </c>
      <c r="L263" s="79">
        <v>60.0</v>
      </c>
      <c r="M263" s="79">
        <v>40.0</v>
      </c>
      <c r="N263" s="79">
        <v>47.0</v>
      </c>
      <c r="O263" s="79">
        <v>47.0</v>
      </c>
      <c r="P263" s="79">
        <v>40.0</v>
      </c>
      <c r="Q263" s="79">
        <v>28.0</v>
      </c>
      <c r="R263" s="79">
        <v>34.0</v>
      </c>
      <c r="S263" s="79">
        <v>36.0</v>
      </c>
      <c r="T263" s="79">
        <v>22.0</v>
      </c>
      <c r="U263" s="79">
        <v>39.0</v>
      </c>
      <c r="V263" s="79">
        <v>48.0</v>
      </c>
      <c r="W263" s="79">
        <v>23.0</v>
      </c>
      <c r="X263" s="13">
        <f t="shared" si="52"/>
        <v>706</v>
      </c>
    </row>
    <row r="264" ht="12.75" customHeight="1">
      <c r="A264" s="44"/>
      <c r="B264" s="74" t="s">
        <v>195</v>
      </c>
      <c r="C264" s="75" t="s">
        <v>196</v>
      </c>
      <c r="D264" s="16"/>
      <c r="E264" s="13">
        <f t="shared" ref="E264:W264" si="53">SUM(E262:E263)</f>
        <v>164</v>
      </c>
      <c r="F264" s="13">
        <f t="shared" si="53"/>
        <v>221</v>
      </c>
      <c r="G264" s="13">
        <f t="shared" si="53"/>
        <v>233</v>
      </c>
      <c r="H264" s="13">
        <f t="shared" si="53"/>
        <v>196</v>
      </c>
      <c r="I264" s="13">
        <f t="shared" si="53"/>
        <v>187</v>
      </c>
      <c r="J264" s="13">
        <f t="shared" si="53"/>
        <v>215</v>
      </c>
      <c r="K264" s="13">
        <f t="shared" si="53"/>
        <v>211</v>
      </c>
      <c r="L264" s="13">
        <f t="shared" si="53"/>
        <v>231</v>
      </c>
      <c r="M264" s="13">
        <f t="shared" si="53"/>
        <v>225</v>
      </c>
      <c r="N264" s="13">
        <f t="shared" si="53"/>
        <v>210</v>
      </c>
      <c r="O264" s="13">
        <f t="shared" si="53"/>
        <v>222</v>
      </c>
      <c r="P264" s="13">
        <f t="shared" si="53"/>
        <v>229</v>
      </c>
      <c r="Q264" s="13">
        <f t="shared" si="53"/>
        <v>222</v>
      </c>
      <c r="R264" s="13">
        <f t="shared" si="53"/>
        <v>224</v>
      </c>
      <c r="S264" s="13">
        <f t="shared" si="53"/>
        <v>217</v>
      </c>
      <c r="T264" s="13">
        <f t="shared" si="53"/>
        <v>206</v>
      </c>
      <c r="U264" s="13">
        <f t="shared" si="53"/>
        <v>231</v>
      </c>
      <c r="V264" s="13">
        <f t="shared" si="53"/>
        <v>224</v>
      </c>
      <c r="W264" s="13">
        <f t="shared" si="53"/>
        <v>247</v>
      </c>
      <c r="X264" s="13">
        <f t="shared" si="52"/>
        <v>4115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2" width="8.71"/>
    <col customWidth="1" min="33" max="33" width="13.29"/>
    <col customWidth="1" min="34" max="35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</row>
    <row r="12" ht="12.75" customHeight="1">
      <c r="A12" s="13" t="s">
        <v>5</v>
      </c>
      <c r="B12" s="14" t="s">
        <v>6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7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13" t="s">
        <v>217</v>
      </c>
      <c r="Y13" s="13" t="s">
        <v>218</v>
      </c>
      <c r="Z13" s="13" t="s">
        <v>219</v>
      </c>
      <c r="AA13" s="13" t="s">
        <v>220</v>
      </c>
      <c r="AB13" s="13" t="s">
        <v>221</v>
      </c>
      <c r="AC13" s="13" t="s">
        <v>222</v>
      </c>
      <c r="AD13" s="13" t="s">
        <v>223</v>
      </c>
      <c r="AE13" s="13" t="s">
        <v>224</v>
      </c>
      <c r="AF13" s="13" t="s">
        <v>225</v>
      </c>
      <c r="AG13" s="37"/>
    </row>
    <row r="14" ht="12.75" customHeight="1">
      <c r="A14" s="18"/>
      <c r="B14" s="22" t="s">
        <v>10</v>
      </c>
      <c r="C14" s="23"/>
      <c r="D14" s="19" t="s">
        <v>11</v>
      </c>
      <c r="E14" s="79">
        <v>133.0</v>
      </c>
      <c r="F14" s="79">
        <v>130.0</v>
      </c>
      <c r="G14" s="79">
        <v>141.0</v>
      </c>
      <c r="H14" s="79">
        <v>116.0</v>
      </c>
      <c r="I14" s="79">
        <v>135.0</v>
      </c>
      <c r="J14" s="79">
        <v>111.0</v>
      </c>
      <c r="K14" s="79">
        <v>134.0</v>
      </c>
      <c r="L14" s="79">
        <v>150.0</v>
      </c>
      <c r="M14" s="79">
        <v>151.0</v>
      </c>
      <c r="N14" s="79">
        <v>146.0</v>
      </c>
      <c r="O14" s="79">
        <v>125.0</v>
      </c>
      <c r="P14" s="79">
        <v>115.0</v>
      </c>
      <c r="Q14" s="79">
        <v>115.0</v>
      </c>
      <c r="R14" s="79">
        <v>143.0</v>
      </c>
      <c r="S14" s="79">
        <v>150.0</v>
      </c>
      <c r="T14" s="79">
        <v>151.0</v>
      </c>
      <c r="U14" s="79">
        <v>157.0</v>
      </c>
      <c r="V14" s="79">
        <v>140.0</v>
      </c>
      <c r="W14" s="79">
        <v>142.0</v>
      </c>
      <c r="X14" s="79">
        <v>149.0</v>
      </c>
      <c r="Y14" s="79">
        <v>148.0</v>
      </c>
      <c r="Z14" s="79">
        <v>151.0</v>
      </c>
      <c r="AA14" s="79">
        <v>149.0</v>
      </c>
      <c r="AB14" s="79">
        <v>131.0</v>
      </c>
      <c r="AC14" s="79">
        <v>127.0</v>
      </c>
      <c r="AD14" s="79">
        <v>148.0</v>
      </c>
      <c r="AE14" s="79">
        <v>151.0</v>
      </c>
      <c r="AF14" s="79">
        <v>135.0</v>
      </c>
      <c r="AG14" s="13">
        <f t="shared" ref="AG14:AG16" si="1">SUM(E14:AF14)</f>
        <v>3874</v>
      </c>
    </row>
    <row r="15" ht="12.75" customHeight="1">
      <c r="A15" s="18"/>
      <c r="B15" s="26"/>
      <c r="C15" s="27"/>
      <c r="D15" s="19" t="s">
        <v>12</v>
      </c>
      <c r="E15" s="79">
        <v>137.0</v>
      </c>
      <c r="F15" s="79">
        <v>129.0</v>
      </c>
      <c r="G15" s="79">
        <v>133.0</v>
      </c>
      <c r="H15" s="79">
        <v>122.0</v>
      </c>
      <c r="I15" s="79">
        <v>125.0</v>
      </c>
      <c r="J15" s="79">
        <v>103.0</v>
      </c>
      <c r="K15" s="79">
        <v>142.0</v>
      </c>
      <c r="L15" s="79">
        <v>148.0</v>
      </c>
      <c r="M15" s="79">
        <v>148.0</v>
      </c>
      <c r="N15" s="79">
        <v>149.0</v>
      </c>
      <c r="O15" s="79">
        <v>132.0</v>
      </c>
      <c r="P15" s="79">
        <v>106.0</v>
      </c>
      <c r="Q15" s="79">
        <v>115.0</v>
      </c>
      <c r="R15" s="79">
        <v>148.0</v>
      </c>
      <c r="S15" s="79">
        <v>139.0</v>
      </c>
      <c r="T15" s="79">
        <v>142.0</v>
      </c>
      <c r="U15" s="79">
        <v>136.0</v>
      </c>
      <c r="V15" s="79">
        <v>156.0</v>
      </c>
      <c r="W15" s="79">
        <v>152.0</v>
      </c>
      <c r="X15" s="79">
        <v>145.0</v>
      </c>
      <c r="Y15" s="79">
        <v>148.0</v>
      </c>
      <c r="Z15" s="79">
        <v>140.0</v>
      </c>
      <c r="AA15" s="79">
        <v>143.0</v>
      </c>
      <c r="AB15" s="79">
        <v>117.0</v>
      </c>
      <c r="AC15" s="79">
        <v>135.0</v>
      </c>
      <c r="AD15" s="79">
        <v>150.0</v>
      </c>
      <c r="AE15" s="79">
        <v>140.0</v>
      </c>
      <c r="AF15" s="79">
        <v>142.0</v>
      </c>
      <c r="AG15" s="13">
        <f t="shared" si="1"/>
        <v>3822</v>
      </c>
    </row>
    <row r="16" ht="12.75" customHeight="1">
      <c r="A16" s="25"/>
      <c r="B16" s="21"/>
      <c r="C16" s="28"/>
      <c r="D16" s="13" t="s">
        <v>13</v>
      </c>
      <c r="E16" s="13">
        <f t="shared" ref="E16:AF16" si="2">SUM(E14:E15)</f>
        <v>270</v>
      </c>
      <c r="F16" s="13">
        <f t="shared" si="2"/>
        <v>259</v>
      </c>
      <c r="G16" s="13">
        <f t="shared" si="2"/>
        <v>274</v>
      </c>
      <c r="H16" s="13">
        <f t="shared" si="2"/>
        <v>238</v>
      </c>
      <c r="I16" s="13">
        <f t="shared" si="2"/>
        <v>260</v>
      </c>
      <c r="J16" s="13">
        <f t="shared" si="2"/>
        <v>214</v>
      </c>
      <c r="K16" s="13">
        <f t="shared" si="2"/>
        <v>276</v>
      </c>
      <c r="L16" s="13">
        <f t="shared" si="2"/>
        <v>298</v>
      </c>
      <c r="M16" s="13">
        <f t="shared" si="2"/>
        <v>299</v>
      </c>
      <c r="N16" s="13">
        <f t="shared" si="2"/>
        <v>295</v>
      </c>
      <c r="O16" s="13">
        <f t="shared" si="2"/>
        <v>257</v>
      </c>
      <c r="P16" s="13">
        <f t="shared" si="2"/>
        <v>221</v>
      </c>
      <c r="Q16" s="13">
        <f t="shared" si="2"/>
        <v>230</v>
      </c>
      <c r="R16" s="13">
        <f t="shared" si="2"/>
        <v>291</v>
      </c>
      <c r="S16" s="13">
        <f t="shared" si="2"/>
        <v>289</v>
      </c>
      <c r="T16" s="13">
        <f t="shared" si="2"/>
        <v>293</v>
      </c>
      <c r="U16" s="13">
        <f t="shared" si="2"/>
        <v>293</v>
      </c>
      <c r="V16" s="13">
        <f t="shared" si="2"/>
        <v>296</v>
      </c>
      <c r="W16" s="13">
        <f t="shared" si="2"/>
        <v>294</v>
      </c>
      <c r="X16" s="13">
        <f t="shared" si="2"/>
        <v>294</v>
      </c>
      <c r="Y16" s="13">
        <f t="shared" si="2"/>
        <v>296</v>
      </c>
      <c r="Z16" s="13">
        <f t="shared" si="2"/>
        <v>291</v>
      </c>
      <c r="AA16" s="13">
        <f t="shared" si="2"/>
        <v>292</v>
      </c>
      <c r="AB16" s="13">
        <f t="shared" si="2"/>
        <v>248</v>
      </c>
      <c r="AC16" s="13">
        <f t="shared" si="2"/>
        <v>262</v>
      </c>
      <c r="AD16" s="13">
        <f t="shared" si="2"/>
        <v>298</v>
      </c>
      <c r="AE16" s="13">
        <f t="shared" si="2"/>
        <v>291</v>
      </c>
      <c r="AF16" s="13">
        <f t="shared" si="2"/>
        <v>277</v>
      </c>
      <c r="AG16" s="13">
        <f t="shared" si="1"/>
        <v>7696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  <c r="O17" s="19"/>
      <c r="P17" s="19"/>
      <c r="Q17" s="19"/>
      <c r="R17" s="19"/>
      <c r="S17" s="80"/>
      <c r="T17" s="19"/>
      <c r="U17" s="19"/>
      <c r="V17" s="19"/>
      <c r="W17" s="19"/>
      <c r="X17" s="80"/>
      <c r="Y17" s="19"/>
      <c r="Z17" s="19"/>
      <c r="AA17" s="19"/>
      <c r="AB17" s="19"/>
      <c r="AC17" s="80"/>
      <c r="AD17" s="19"/>
      <c r="AE17" s="19"/>
      <c r="AF17" s="19"/>
      <c r="AG17" s="81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0"/>
      <c r="O18" s="19"/>
      <c r="P18" s="19"/>
      <c r="Q18" s="19"/>
      <c r="R18" s="19"/>
      <c r="S18" s="80"/>
      <c r="T18" s="19"/>
      <c r="U18" s="19"/>
      <c r="V18" s="19"/>
      <c r="W18" s="19"/>
      <c r="X18" s="80"/>
      <c r="Y18" s="19"/>
      <c r="Z18" s="19"/>
      <c r="AA18" s="19"/>
      <c r="AB18" s="19"/>
      <c r="AC18" s="80"/>
      <c r="AD18" s="19"/>
      <c r="AE18" s="19"/>
      <c r="AF18" s="19"/>
      <c r="AG18" s="81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79">
        <v>100.0</v>
      </c>
      <c r="F19" s="79">
        <v>88.0</v>
      </c>
      <c r="G19" s="79">
        <v>101.0</v>
      </c>
      <c r="H19" s="79">
        <v>67.0</v>
      </c>
      <c r="I19" s="79">
        <v>99.0</v>
      </c>
      <c r="J19" s="79">
        <v>81.0</v>
      </c>
      <c r="K19" s="79">
        <v>101.0</v>
      </c>
      <c r="L19" s="79">
        <v>101.0</v>
      </c>
      <c r="M19" s="79">
        <v>113.0</v>
      </c>
      <c r="N19" s="79">
        <v>118.0</v>
      </c>
      <c r="O19" s="79">
        <v>90.0</v>
      </c>
      <c r="P19" s="79">
        <v>90.0</v>
      </c>
      <c r="Q19" s="79">
        <v>86.0</v>
      </c>
      <c r="R19" s="79">
        <v>111.0</v>
      </c>
      <c r="S19" s="79">
        <v>108.0</v>
      </c>
      <c r="T19" s="79">
        <v>113.0</v>
      </c>
      <c r="U19" s="79">
        <v>101.0</v>
      </c>
      <c r="V19" s="79">
        <v>113.0</v>
      </c>
      <c r="W19" s="79">
        <v>101.0</v>
      </c>
      <c r="X19" s="79">
        <v>116.0</v>
      </c>
      <c r="Y19" s="79">
        <v>119.0</v>
      </c>
      <c r="Z19" s="79">
        <v>115.0</v>
      </c>
      <c r="AA19" s="79">
        <v>112.0</v>
      </c>
      <c r="AB19" s="79">
        <v>99.0</v>
      </c>
      <c r="AC19" s="79">
        <v>94.0</v>
      </c>
      <c r="AD19" s="79">
        <v>102.0</v>
      </c>
      <c r="AE19" s="79">
        <v>112.0</v>
      </c>
      <c r="AF19" s="79">
        <v>104.0</v>
      </c>
      <c r="AG19" s="13">
        <f t="shared" ref="AG19:AG30" si="3">SUM(E19:AF19)</f>
        <v>2855</v>
      </c>
    </row>
    <row r="20" ht="12.75" customHeight="1">
      <c r="A20" s="34"/>
      <c r="B20" s="27"/>
      <c r="C20" s="35"/>
      <c r="D20" s="19" t="s">
        <v>12</v>
      </c>
      <c r="E20" s="79">
        <v>104.0</v>
      </c>
      <c r="F20" s="79">
        <v>108.0</v>
      </c>
      <c r="G20" s="79">
        <v>96.0</v>
      </c>
      <c r="H20" s="79">
        <v>86.0</v>
      </c>
      <c r="I20" s="79">
        <v>102.0</v>
      </c>
      <c r="J20" s="79">
        <v>83.0</v>
      </c>
      <c r="K20" s="79">
        <v>109.0</v>
      </c>
      <c r="L20" s="79">
        <v>118.0</v>
      </c>
      <c r="M20" s="79">
        <v>129.0</v>
      </c>
      <c r="N20" s="79">
        <v>124.0</v>
      </c>
      <c r="O20" s="79">
        <v>108.0</v>
      </c>
      <c r="P20" s="79">
        <v>87.0</v>
      </c>
      <c r="Q20" s="79">
        <v>93.0</v>
      </c>
      <c r="R20" s="79">
        <v>119.0</v>
      </c>
      <c r="S20" s="79">
        <v>108.0</v>
      </c>
      <c r="T20" s="79">
        <v>111.0</v>
      </c>
      <c r="U20" s="79">
        <v>101.0</v>
      </c>
      <c r="V20" s="79">
        <v>126.0</v>
      </c>
      <c r="W20" s="79">
        <v>115.0</v>
      </c>
      <c r="X20" s="79">
        <v>116.0</v>
      </c>
      <c r="Y20" s="79">
        <v>127.0</v>
      </c>
      <c r="Z20" s="79">
        <v>108.0</v>
      </c>
      <c r="AA20" s="79">
        <v>111.0</v>
      </c>
      <c r="AB20" s="79">
        <v>99.0</v>
      </c>
      <c r="AC20" s="79">
        <v>107.0</v>
      </c>
      <c r="AD20" s="79">
        <v>115.0</v>
      </c>
      <c r="AE20" s="79">
        <v>118.0</v>
      </c>
      <c r="AF20" s="79">
        <v>111.0</v>
      </c>
      <c r="AG20" s="13">
        <f t="shared" si="3"/>
        <v>3039</v>
      </c>
    </row>
    <row r="21" ht="12.75" customHeight="1">
      <c r="A21" s="36"/>
      <c r="B21" s="28"/>
      <c r="C21" s="37"/>
      <c r="D21" s="13" t="s">
        <v>13</v>
      </c>
      <c r="E21" s="13">
        <f t="shared" ref="E21:AF21" si="4">SUM(E19:E20)</f>
        <v>204</v>
      </c>
      <c r="F21" s="13">
        <f t="shared" si="4"/>
        <v>196</v>
      </c>
      <c r="G21" s="13">
        <f t="shared" si="4"/>
        <v>197</v>
      </c>
      <c r="H21" s="13">
        <f t="shared" si="4"/>
        <v>153</v>
      </c>
      <c r="I21" s="13">
        <f t="shared" si="4"/>
        <v>201</v>
      </c>
      <c r="J21" s="13">
        <f t="shared" si="4"/>
        <v>164</v>
      </c>
      <c r="K21" s="13">
        <f t="shared" si="4"/>
        <v>210</v>
      </c>
      <c r="L21" s="13">
        <f t="shared" si="4"/>
        <v>219</v>
      </c>
      <c r="M21" s="13">
        <f t="shared" si="4"/>
        <v>242</v>
      </c>
      <c r="N21" s="13">
        <f t="shared" si="4"/>
        <v>242</v>
      </c>
      <c r="O21" s="13">
        <f t="shared" si="4"/>
        <v>198</v>
      </c>
      <c r="P21" s="13">
        <f t="shared" si="4"/>
        <v>177</v>
      </c>
      <c r="Q21" s="13">
        <f t="shared" si="4"/>
        <v>179</v>
      </c>
      <c r="R21" s="13">
        <f t="shared" si="4"/>
        <v>230</v>
      </c>
      <c r="S21" s="13">
        <f t="shared" si="4"/>
        <v>216</v>
      </c>
      <c r="T21" s="13">
        <f t="shared" si="4"/>
        <v>224</v>
      </c>
      <c r="U21" s="13">
        <f t="shared" si="4"/>
        <v>202</v>
      </c>
      <c r="V21" s="13">
        <f t="shared" si="4"/>
        <v>239</v>
      </c>
      <c r="W21" s="13">
        <f t="shared" si="4"/>
        <v>216</v>
      </c>
      <c r="X21" s="13">
        <f t="shared" si="4"/>
        <v>232</v>
      </c>
      <c r="Y21" s="13">
        <f t="shared" si="4"/>
        <v>246</v>
      </c>
      <c r="Z21" s="13">
        <f t="shared" si="4"/>
        <v>223</v>
      </c>
      <c r="AA21" s="13">
        <f t="shared" si="4"/>
        <v>223</v>
      </c>
      <c r="AB21" s="13">
        <f t="shared" si="4"/>
        <v>198</v>
      </c>
      <c r="AC21" s="13">
        <f t="shared" si="4"/>
        <v>201</v>
      </c>
      <c r="AD21" s="13">
        <f t="shared" si="4"/>
        <v>217</v>
      </c>
      <c r="AE21" s="13">
        <f t="shared" si="4"/>
        <v>230</v>
      </c>
      <c r="AF21" s="13">
        <f t="shared" si="4"/>
        <v>215</v>
      </c>
      <c r="AG21" s="13">
        <f t="shared" si="3"/>
        <v>5894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</v>
      </c>
      <c r="Y22" s="79">
        <v>0.0</v>
      </c>
      <c r="Z22" s="79">
        <v>0.0</v>
      </c>
      <c r="AA22" s="79">
        <v>0.0</v>
      </c>
      <c r="AB22" s="79">
        <v>0.0</v>
      </c>
      <c r="AC22" s="79">
        <v>0.0</v>
      </c>
      <c r="AD22" s="79">
        <v>0.0</v>
      </c>
      <c r="AE22" s="79">
        <v>0.0</v>
      </c>
      <c r="AF22" s="79">
        <v>0.0</v>
      </c>
      <c r="AG22" s="13">
        <f t="shared" si="3"/>
        <v>0</v>
      </c>
    </row>
    <row r="23" ht="12.75" customHeight="1">
      <c r="A23" s="34"/>
      <c r="B23" s="27"/>
      <c r="C23" s="35"/>
      <c r="D23" s="19" t="s">
        <v>12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79">
        <v>0.0</v>
      </c>
      <c r="AC23" s="79">
        <v>0.0</v>
      </c>
      <c r="AD23" s="79">
        <v>0.0</v>
      </c>
      <c r="AE23" s="79">
        <v>0.0</v>
      </c>
      <c r="AF23" s="79">
        <v>0.0</v>
      </c>
      <c r="AG23" s="13">
        <f t="shared" si="3"/>
        <v>0</v>
      </c>
    </row>
    <row r="24" ht="12.75" customHeight="1">
      <c r="A24" s="36"/>
      <c r="B24" s="28"/>
      <c r="C24" s="37"/>
      <c r="D24" s="13" t="s">
        <v>13</v>
      </c>
      <c r="E24" s="13">
        <f t="shared" ref="E24:AF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3"/>
        <v>0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79">
        <v>1.0</v>
      </c>
      <c r="F25" s="79">
        <v>1.0</v>
      </c>
      <c r="G25" s="79">
        <v>0.0</v>
      </c>
      <c r="H25" s="79">
        <v>2.0</v>
      </c>
      <c r="I25" s="79">
        <v>0.0</v>
      </c>
      <c r="J25" s="79">
        <v>0.0</v>
      </c>
      <c r="K25" s="79">
        <v>2.0</v>
      </c>
      <c r="L25" s="79">
        <v>0.0</v>
      </c>
      <c r="M25" s="79">
        <v>1.0</v>
      </c>
      <c r="N25" s="79">
        <v>2.0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0.0</v>
      </c>
      <c r="U25" s="79">
        <v>1.0</v>
      </c>
      <c r="V25" s="79">
        <v>1.0</v>
      </c>
      <c r="W25" s="79">
        <v>0.0</v>
      </c>
      <c r="X25" s="79">
        <v>0.0</v>
      </c>
      <c r="Y25" s="79">
        <v>0.0</v>
      </c>
      <c r="Z25" s="79">
        <v>0.0</v>
      </c>
      <c r="AA25" s="79">
        <v>0.0</v>
      </c>
      <c r="AB25" s="79">
        <v>0.0</v>
      </c>
      <c r="AC25" s="79">
        <v>4.0</v>
      </c>
      <c r="AD25" s="79">
        <v>1.0</v>
      </c>
      <c r="AE25" s="79">
        <v>2.0</v>
      </c>
      <c r="AF25" s="79">
        <v>3.0</v>
      </c>
      <c r="AG25" s="13">
        <f t="shared" si="3"/>
        <v>21</v>
      </c>
    </row>
    <row r="26" ht="12.75" customHeight="1">
      <c r="A26" s="34"/>
      <c r="B26" s="27"/>
      <c r="C26" s="35"/>
      <c r="D26" s="19" t="s">
        <v>12</v>
      </c>
      <c r="E26" s="79">
        <v>0.0</v>
      </c>
      <c r="F26" s="79">
        <v>0.0</v>
      </c>
      <c r="G26" s="79">
        <v>0.0</v>
      </c>
      <c r="H26" s="79">
        <v>0.0</v>
      </c>
      <c r="I26" s="79">
        <v>1.0</v>
      </c>
      <c r="J26" s="79">
        <v>1.0</v>
      </c>
      <c r="K26" s="79">
        <v>2.0</v>
      </c>
      <c r="L26" s="79">
        <v>2.0</v>
      </c>
      <c r="M26" s="79">
        <v>1.0</v>
      </c>
      <c r="N26" s="79">
        <v>0.0</v>
      </c>
      <c r="O26" s="79">
        <v>0.0</v>
      </c>
      <c r="P26" s="79">
        <v>0.0</v>
      </c>
      <c r="Q26" s="79">
        <v>1.0</v>
      </c>
      <c r="R26" s="79">
        <v>0.0</v>
      </c>
      <c r="S26" s="79">
        <v>0.0</v>
      </c>
      <c r="T26" s="79">
        <v>0.0</v>
      </c>
      <c r="U26" s="79">
        <v>1.0</v>
      </c>
      <c r="V26" s="79">
        <v>1.0</v>
      </c>
      <c r="W26" s="79">
        <v>0.0</v>
      </c>
      <c r="X26" s="79">
        <v>0.0</v>
      </c>
      <c r="Y26" s="79">
        <v>1.0</v>
      </c>
      <c r="Z26" s="79">
        <v>0.0</v>
      </c>
      <c r="AA26" s="79">
        <v>0.0</v>
      </c>
      <c r="AB26" s="79">
        <v>0.0</v>
      </c>
      <c r="AC26" s="79">
        <v>2.0</v>
      </c>
      <c r="AD26" s="79">
        <v>1.0</v>
      </c>
      <c r="AE26" s="79">
        <v>1.0</v>
      </c>
      <c r="AF26" s="79">
        <v>8.0</v>
      </c>
      <c r="AG26" s="13">
        <f t="shared" si="3"/>
        <v>23</v>
      </c>
    </row>
    <row r="27" ht="12.75" customHeight="1">
      <c r="A27" s="36"/>
      <c r="B27" s="28"/>
      <c r="C27" s="37"/>
      <c r="D27" s="13" t="s">
        <v>13</v>
      </c>
      <c r="E27" s="13">
        <f t="shared" ref="E27:AF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2</v>
      </c>
      <c r="I27" s="13">
        <f t="shared" si="6"/>
        <v>1</v>
      </c>
      <c r="J27" s="13">
        <f t="shared" si="6"/>
        <v>1</v>
      </c>
      <c r="K27" s="13">
        <f t="shared" si="6"/>
        <v>4</v>
      </c>
      <c r="L27" s="13">
        <f t="shared" si="6"/>
        <v>2</v>
      </c>
      <c r="M27" s="13">
        <f t="shared" si="6"/>
        <v>2</v>
      </c>
      <c r="N27" s="13">
        <f t="shared" si="6"/>
        <v>2</v>
      </c>
      <c r="O27" s="13">
        <f t="shared" si="6"/>
        <v>0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2</v>
      </c>
      <c r="V27" s="13">
        <f t="shared" si="6"/>
        <v>2</v>
      </c>
      <c r="W27" s="13">
        <f t="shared" si="6"/>
        <v>0</v>
      </c>
      <c r="X27" s="13">
        <f t="shared" si="6"/>
        <v>0</v>
      </c>
      <c r="Y27" s="13">
        <f t="shared" si="6"/>
        <v>1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6</v>
      </c>
      <c r="AD27" s="13">
        <f t="shared" si="6"/>
        <v>2</v>
      </c>
      <c r="AE27" s="13">
        <f t="shared" si="6"/>
        <v>3</v>
      </c>
      <c r="AF27" s="13">
        <f t="shared" si="6"/>
        <v>11</v>
      </c>
      <c r="AG27" s="13">
        <f t="shared" si="3"/>
        <v>44</v>
      </c>
    </row>
    <row r="28" ht="12.75" customHeight="1">
      <c r="A28" s="36"/>
      <c r="B28" s="40" t="s">
        <v>22</v>
      </c>
      <c r="C28" s="41" t="s">
        <v>23</v>
      </c>
      <c r="D28" s="13" t="s">
        <v>11</v>
      </c>
      <c r="E28" s="13">
        <f t="shared" ref="E28:AF28" si="7">SUM(E19,E22,E25)</f>
        <v>101</v>
      </c>
      <c r="F28" s="13">
        <f t="shared" si="7"/>
        <v>89</v>
      </c>
      <c r="G28" s="13">
        <f t="shared" si="7"/>
        <v>101</v>
      </c>
      <c r="H28" s="13">
        <f t="shared" si="7"/>
        <v>69</v>
      </c>
      <c r="I28" s="13">
        <f t="shared" si="7"/>
        <v>99</v>
      </c>
      <c r="J28" s="13">
        <f t="shared" si="7"/>
        <v>81</v>
      </c>
      <c r="K28" s="13">
        <f t="shared" si="7"/>
        <v>103</v>
      </c>
      <c r="L28" s="13">
        <f t="shared" si="7"/>
        <v>101</v>
      </c>
      <c r="M28" s="13">
        <f t="shared" si="7"/>
        <v>114</v>
      </c>
      <c r="N28" s="13">
        <f t="shared" si="7"/>
        <v>120</v>
      </c>
      <c r="O28" s="13">
        <f t="shared" si="7"/>
        <v>90</v>
      </c>
      <c r="P28" s="13">
        <f t="shared" si="7"/>
        <v>90</v>
      </c>
      <c r="Q28" s="13">
        <f t="shared" si="7"/>
        <v>86</v>
      </c>
      <c r="R28" s="13">
        <f t="shared" si="7"/>
        <v>111</v>
      </c>
      <c r="S28" s="13">
        <f t="shared" si="7"/>
        <v>108</v>
      </c>
      <c r="T28" s="13">
        <f t="shared" si="7"/>
        <v>113</v>
      </c>
      <c r="U28" s="13">
        <f t="shared" si="7"/>
        <v>102</v>
      </c>
      <c r="V28" s="13">
        <f t="shared" si="7"/>
        <v>114</v>
      </c>
      <c r="W28" s="13">
        <f t="shared" si="7"/>
        <v>101</v>
      </c>
      <c r="X28" s="13">
        <f t="shared" si="7"/>
        <v>116</v>
      </c>
      <c r="Y28" s="13">
        <f t="shared" si="7"/>
        <v>119</v>
      </c>
      <c r="Z28" s="13">
        <f t="shared" si="7"/>
        <v>115</v>
      </c>
      <c r="AA28" s="13">
        <f t="shared" si="7"/>
        <v>112</v>
      </c>
      <c r="AB28" s="13">
        <f t="shared" si="7"/>
        <v>99</v>
      </c>
      <c r="AC28" s="13">
        <f t="shared" si="7"/>
        <v>98</v>
      </c>
      <c r="AD28" s="13">
        <f t="shared" si="7"/>
        <v>103</v>
      </c>
      <c r="AE28" s="13">
        <f t="shared" si="7"/>
        <v>114</v>
      </c>
      <c r="AF28" s="13">
        <f t="shared" si="7"/>
        <v>107</v>
      </c>
      <c r="AG28" s="13">
        <f t="shared" si="3"/>
        <v>2876</v>
      </c>
    </row>
    <row r="29" ht="12.75" customHeight="1">
      <c r="A29" s="36"/>
      <c r="B29" s="27"/>
      <c r="C29" s="35"/>
      <c r="D29" s="13" t="s">
        <v>12</v>
      </c>
      <c r="E29" s="13">
        <f t="shared" ref="E29:AF29" si="8">SUM(E20,E23,E26)</f>
        <v>104</v>
      </c>
      <c r="F29" s="13">
        <f t="shared" si="8"/>
        <v>108</v>
      </c>
      <c r="G29" s="13">
        <f t="shared" si="8"/>
        <v>96</v>
      </c>
      <c r="H29" s="13">
        <f t="shared" si="8"/>
        <v>86</v>
      </c>
      <c r="I29" s="13">
        <f t="shared" si="8"/>
        <v>103</v>
      </c>
      <c r="J29" s="13">
        <f t="shared" si="8"/>
        <v>84</v>
      </c>
      <c r="K29" s="13">
        <f t="shared" si="8"/>
        <v>111</v>
      </c>
      <c r="L29" s="13">
        <f t="shared" si="8"/>
        <v>120</v>
      </c>
      <c r="M29" s="13">
        <f t="shared" si="8"/>
        <v>130</v>
      </c>
      <c r="N29" s="13">
        <f t="shared" si="8"/>
        <v>124</v>
      </c>
      <c r="O29" s="13">
        <f t="shared" si="8"/>
        <v>108</v>
      </c>
      <c r="P29" s="13">
        <f t="shared" si="8"/>
        <v>87</v>
      </c>
      <c r="Q29" s="13">
        <f t="shared" si="8"/>
        <v>94</v>
      </c>
      <c r="R29" s="13">
        <f t="shared" si="8"/>
        <v>119</v>
      </c>
      <c r="S29" s="13">
        <f t="shared" si="8"/>
        <v>108</v>
      </c>
      <c r="T29" s="13">
        <f t="shared" si="8"/>
        <v>111</v>
      </c>
      <c r="U29" s="13">
        <f t="shared" si="8"/>
        <v>102</v>
      </c>
      <c r="V29" s="13">
        <f t="shared" si="8"/>
        <v>127</v>
      </c>
      <c r="W29" s="13">
        <f t="shared" si="8"/>
        <v>115</v>
      </c>
      <c r="X29" s="13">
        <f t="shared" si="8"/>
        <v>116</v>
      </c>
      <c r="Y29" s="13">
        <f t="shared" si="8"/>
        <v>128</v>
      </c>
      <c r="Z29" s="13">
        <f t="shared" si="8"/>
        <v>108</v>
      </c>
      <c r="AA29" s="13">
        <f t="shared" si="8"/>
        <v>111</v>
      </c>
      <c r="AB29" s="13">
        <f t="shared" si="8"/>
        <v>99</v>
      </c>
      <c r="AC29" s="13">
        <f t="shared" si="8"/>
        <v>109</v>
      </c>
      <c r="AD29" s="13">
        <f t="shared" si="8"/>
        <v>116</v>
      </c>
      <c r="AE29" s="13">
        <f t="shared" si="8"/>
        <v>119</v>
      </c>
      <c r="AF29" s="13">
        <f t="shared" si="8"/>
        <v>119</v>
      </c>
      <c r="AG29" s="13">
        <f t="shared" si="3"/>
        <v>3062</v>
      </c>
    </row>
    <row r="30" ht="12.75" customHeight="1">
      <c r="A30" s="36"/>
      <c r="B30" s="28"/>
      <c r="C30" s="37"/>
      <c r="D30" s="13" t="s">
        <v>13</v>
      </c>
      <c r="E30" s="13">
        <f t="shared" ref="E30:AF30" si="9">SUM(E28:E29)</f>
        <v>205</v>
      </c>
      <c r="F30" s="13">
        <f t="shared" si="9"/>
        <v>197</v>
      </c>
      <c r="G30" s="13">
        <f t="shared" si="9"/>
        <v>197</v>
      </c>
      <c r="H30" s="13">
        <f t="shared" si="9"/>
        <v>155</v>
      </c>
      <c r="I30" s="13">
        <f t="shared" si="9"/>
        <v>202</v>
      </c>
      <c r="J30" s="13">
        <f t="shared" si="9"/>
        <v>165</v>
      </c>
      <c r="K30" s="13">
        <f t="shared" si="9"/>
        <v>214</v>
      </c>
      <c r="L30" s="13">
        <f t="shared" si="9"/>
        <v>221</v>
      </c>
      <c r="M30" s="13">
        <f t="shared" si="9"/>
        <v>244</v>
      </c>
      <c r="N30" s="13">
        <f t="shared" si="9"/>
        <v>244</v>
      </c>
      <c r="O30" s="13">
        <f t="shared" si="9"/>
        <v>198</v>
      </c>
      <c r="P30" s="13">
        <f t="shared" si="9"/>
        <v>177</v>
      </c>
      <c r="Q30" s="13">
        <f t="shared" si="9"/>
        <v>180</v>
      </c>
      <c r="R30" s="13">
        <f t="shared" si="9"/>
        <v>230</v>
      </c>
      <c r="S30" s="13">
        <f t="shared" si="9"/>
        <v>216</v>
      </c>
      <c r="T30" s="13">
        <f t="shared" si="9"/>
        <v>224</v>
      </c>
      <c r="U30" s="13">
        <f t="shared" si="9"/>
        <v>204</v>
      </c>
      <c r="V30" s="13">
        <f t="shared" si="9"/>
        <v>241</v>
      </c>
      <c r="W30" s="13">
        <f t="shared" si="9"/>
        <v>216</v>
      </c>
      <c r="X30" s="13">
        <f t="shared" si="9"/>
        <v>232</v>
      </c>
      <c r="Y30" s="13">
        <f t="shared" si="9"/>
        <v>247</v>
      </c>
      <c r="Z30" s="13">
        <f t="shared" si="9"/>
        <v>223</v>
      </c>
      <c r="AA30" s="13">
        <f t="shared" si="9"/>
        <v>223</v>
      </c>
      <c r="AB30" s="13">
        <f t="shared" si="9"/>
        <v>198</v>
      </c>
      <c r="AC30" s="13">
        <f t="shared" si="9"/>
        <v>207</v>
      </c>
      <c r="AD30" s="13">
        <f t="shared" si="9"/>
        <v>219</v>
      </c>
      <c r="AE30" s="13">
        <f t="shared" si="9"/>
        <v>233</v>
      </c>
      <c r="AF30" s="13">
        <f t="shared" si="9"/>
        <v>226</v>
      </c>
      <c r="AG30" s="13">
        <f t="shared" si="3"/>
        <v>5938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  <c r="O31" s="19"/>
      <c r="P31" s="19"/>
      <c r="Q31" s="19"/>
      <c r="R31" s="19"/>
      <c r="S31" s="80"/>
      <c r="T31" s="19"/>
      <c r="U31" s="19"/>
      <c r="V31" s="19"/>
      <c r="W31" s="19"/>
      <c r="X31" s="80"/>
      <c r="Y31" s="19"/>
      <c r="Z31" s="19"/>
      <c r="AA31" s="19"/>
      <c r="AB31" s="19"/>
      <c r="AC31" s="80"/>
      <c r="AD31" s="19"/>
      <c r="AE31" s="19"/>
      <c r="AF31" s="19"/>
      <c r="AG31" s="81"/>
    </row>
    <row r="32" ht="12.75" customHeight="1">
      <c r="A32" s="44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2"/>
      <c r="O32" s="13"/>
      <c r="P32" s="13"/>
      <c r="Q32" s="13"/>
      <c r="R32" s="13"/>
      <c r="S32" s="82"/>
      <c r="T32" s="13"/>
      <c r="U32" s="13"/>
      <c r="V32" s="13"/>
      <c r="W32" s="13"/>
      <c r="X32" s="82"/>
      <c r="Y32" s="13"/>
      <c r="Z32" s="13"/>
      <c r="AA32" s="13"/>
      <c r="AB32" s="13"/>
      <c r="AC32" s="82"/>
      <c r="AD32" s="13"/>
      <c r="AE32" s="13"/>
      <c r="AF32" s="13"/>
      <c r="AG32" s="81"/>
    </row>
    <row r="33" ht="12.75" customHeight="1">
      <c r="A33" s="19">
        <v>1.0</v>
      </c>
      <c r="B33" s="20" t="s">
        <v>26</v>
      </c>
      <c r="C33" s="15"/>
      <c r="D33" s="16"/>
      <c r="E33" s="79">
        <v>255.0</v>
      </c>
      <c r="F33" s="79">
        <v>265.0</v>
      </c>
      <c r="G33" s="79">
        <v>280.0</v>
      </c>
      <c r="H33" s="79">
        <v>243.0</v>
      </c>
      <c r="I33" s="79">
        <v>266.0</v>
      </c>
      <c r="J33" s="79">
        <v>219.0</v>
      </c>
      <c r="K33" s="79">
        <v>282.0</v>
      </c>
      <c r="L33" s="79">
        <v>304.0</v>
      </c>
      <c r="M33" s="79">
        <v>303.0</v>
      </c>
      <c r="N33" s="79">
        <v>301.0</v>
      </c>
      <c r="O33" s="79">
        <v>263.0</v>
      </c>
      <c r="P33" s="79">
        <v>226.0</v>
      </c>
      <c r="Q33" s="79">
        <v>235.0</v>
      </c>
      <c r="R33" s="79">
        <v>297.0</v>
      </c>
      <c r="S33" s="79">
        <v>295.0</v>
      </c>
      <c r="T33" s="79">
        <v>299.0</v>
      </c>
      <c r="U33" s="79">
        <v>299.0</v>
      </c>
      <c r="V33" s="79">
        <v>302.0</v>
      </c>
      <c r="W33" s="79">
        <v>298.0</v>
      </c>
      <c r="X33" s="79">
        <v>302.0</v>
      </c>
      <c r="Y33" s="79">
        <v>302.0</v>
      </c>
      <c r="Z33" s="79">
        <v>297.0</v>
      </c>
      <c r="AA33" s="79">
        <v>298.0</v>
      </c>
      <c r="AB33" s="79">
        <v>243.0</v>
      </c>
      <c r="AC33" s="79">
        <v>258.0</v>
      </c>
      <c r="AD33" s="79">
        <v>304.0</v>
      </c>
      <c r="AE33" s="79">
        <v>298.0</v>
      </c>
      <c r="AF33" s="79">
        <v>283.0</v>
      </c>
      <c r="AG33" s="13">
        <f t="shared" ref="AG33:AG36" si="10">SUM(E33:AF33)</f>
        <v>7817</v>
      </c>
    </row>
    <row r="34" ht="12.75" customHeight="1">
      <c r="A34" s="19">
        <v>2.0</v>
      </c>
      <c r="B34" s="20" t="s">
        <v>27</v>
      </c>
      <c r="C34" s="15"/>
      <c r="D34" s="16"/>
      <c r="E34" s="73">
        <v>205.0</v>
      </c>
      <c r="F34" s="73">
        <v>197.0</v>
      </c>
      <c r="G34" s="73">
        <v>197.0</v>
      </c>
      <c r="H34" s="73">
        <v>155.0</v>
      </c>
      <c r="I34" s="73">
        <v>202.0</v>
      </c>
      <c r="J34" s="73">
        <v>165.0</v>
      </c>
      <c r="K34" s="73">
        <v>214.0</v>
      </c>
      <c r="L34" s="73">
        <v>221.0</v>
      </c>
      <c r="M34" s="73">
        <v>244.0</v>
      </c>
      <c r="N34" s="73">
        <v>244.0</v>
      </c>
      <c r="O34" s="73">
        <v>198.0</v>
      </c>
      <c r="P34" s="73">
        <v>177.0</v>
      </c>
      <c r="Q34" s="73">
        <v>180.0</v>
      </c>
      <c r="R34" s="73">
        <v>230.0</v>
      </c>
      <c r="S34" s="73">
        <v>216.0</v>
      </c>
      <c r="T34" s="73">
        <v>224.0</v>
      </c>
      <c r="U34" s="73">
        <v>204.0</v>
      </c>
      <c r="V34" s="73">
        <v>241.0</v>
      </c>
      <c r="W34" s="73">
        <v>216.0</v>
      </c>
      <c r="X34" s="73">
        <v>232.0</v>
      </c>
      <c r="Y34" s="73">
        <v>247.0</v>
      </c>
      <c r="Z34" s="73">
        <v>223.0</v>
      </c>
      <c r="AA34" s="73">
        <v>223.0</v>
      </c>
      <c r="AB34" s="73">
        <v>198.0</v>
      </c>
      <c r="AC34" s="73">
        <v>207.0</v>
      </c>
      <c r="AD34" s="73">
        <v>219.0</v>
      </c>
      <c r="AE34" s="73">
        <v>233.0</v>
      </c>
      <c r="AF34" s="73">
        <v>226.0</v>
      </c>
      <c r="AG34" s="13">
        <f t="shared" si="10"/>
        <v>5938</v>
      </c>
    </row>
    <row r="35" ht="12.75" customHeight="1">
      <c r="A35" s="19">
        <v>3.0</v>
      </c>
      <c r="B35" s="20" t="s">
        <v>28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2.0</v>
      </c>
      <c r="P35" s="79">
        <v>0.0</v>
      </c>
      <c r="Q35" s="79">
        <v>0.0</v>
      </c>
      <c r="R35" s="79">
        <v>0.0</v>
      </c>
      <c r="S35" s="79">
        <v>0.0</v>
      </c>
      <c r="T35" s="79">
        <v>0.0</v>
      </c>
      <c r="U35" s="79">
        <v>0.0</v>
      </c>
      <c r="V35" s="79">
        <v>1.0</v>
      </c>
      <c r="W35" s="79">
        <v>2.0</v>
      </c>
      <c r="X35" s="79">
        <v>0.0</v>
      </c>
      <c r="Y35" s="79">
        <v>0.0</v>
      </c>
      <c r="Z35" s="79">
        <v>0.0</v>
      </c>
      <c r="AA35" s="79">
        <v>0.0</v>
      </c>
      <c r="AB35" s="79">
        <v>0.0</v>
      </c>
      <c r="AC35" s="79">
        <v>1.0</v>
      </c>
      <c r="AD35" s="79">
        <v>0.0</v>
      </c>
      <c r="AE35" s="79">
        <v>0.0</v>
      </c>
      <c r="AF35" s="79">
        <v>0.0</v>
      </c>
      <c r="AG35" s="13">
        <f t="shared" si="10"/>
        <v>6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F36" si="11">E33-(E34+E35)</f>
        <v>50</v>
      </c>
      <c r="F36" s="13">
        <f t="shared" si="11"/>
        <v>68</v>
      </c>
      <c r="G36" s="13">
        <f t="shared" si="11"/>
        <v>83</v>
      </c>
      <c r="H36" s="13">
        <f t="shared" si="11"/>
        <v>88</v>
      </c>
      <c r="I36" s="13">
        <f t="shared" si="11"/>
        <v>64</v>
      </c>
      <c r="J36" s="13">
        <f t="shared" si="11"/>
        <v>54</v>
      </c>
      <c r="K36" s="13">
        <f t="shared" si="11"/>
        <v>68</v>
      </c>
      <c r="L36" s="13">
        <f t="shared" si="11"/>
        <v>83</v>
      </c>
      <c r="M36" s="13">
        <f t="shared" si="11"/>
        <v>59</v>
      </c>
      <c r="N36" s="13">
        <f t="shared" si="11"/>
        <v>57</v>
      </c>
      <c r="O36" s="13">
        <f t="shared" si="11"/>
        <v>63</v>
      </c>
      <c r="P36" s="13">
        <f t="shared" si="11"/>
        <v>49</v>
      </c>
      <c r="Q36" s="13">
        <f t="shared" si="11"/>
        <v>55</v>
      </c>
      <c r="R36" s="13">
        <f t="shared" si="11"/>
        <v>67</v>
      </c>
      <c r="S36" s="13">
        <f t="shared" si="11"/>
        <v>79</v>
      </c>
      <c r="T36" s="13">
        <f t="shared" si="11"/>
        <v>75</v>
      </c>
      <c r="U36" s="13">
        <f t="shared" si="11"/>
        <v>95</v>
      </c>
      <c r="V36" s="13">
        <f t="shared" si="11"/>
        <v>60</v>
      </c>
      <c r="W36" s="13">
        <f t="shared" si="11"/>
        <v>80</v>
      </c>
      <c r="X36" s="13">
        <f t="shared" si="11"/>
        <v>70</v>
      </c>
      <c r="Y36" s="13">
        <f t="shared" si="11"/>
        <v>55</v>
      </c>
      <c r="Z36" s="13">
        <f t="shared" si="11"/>
        <v>74</v>
      </c>
      <c r="AA36" s="13">
        <f t="shared" si="11"/>
        <v>75</v>
      </c>
      <c r="AB36" s="13">
        <f t="shared" si="11"/>
        <v>45</v>
      </c>
      <c r="AC36" s="13">
        <f t="shared" si="11"/>
        <v>50</v>
      </c>
      <c r="AD36" s="13">
        <f t="shared" si="11"/>
        <v>85</v>
      </c>
      <c r="AE36" s="13">
        <f t="shared" si="11"/>
        <v>65</v>
      </c>
      <c r="AF36" s="13">
        <f t="shared" si="11"/>
        <v>57</v>
      </c>
      <c r="AG36" s="13">
        <f t="shared" si="10"/>
        <v>1873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  <c r="O37" s="19"/>
      <c r="P37" s="19"/>
      <c r="Q37" s="19"/>
      <c r="R37" s="19"/>
      <c r="S37" s="80"/>
      <c r="T37" s="19"/>
      <c r="U37" s="19"/>
      <c r="V37" s="19"/>
      <c r="W37" s="19"/>
      <c r="X37" s="80"/>
      <c r="Y37" s="19"/>
      <c r="Z37" s="19"/>
      <c r="AA37" s="19"/>
      <c r="AB37" s="19"/>
      <c r="AC37" s="80"/>
      <c r="AD37" s="19"/>
      <c r="AE37" s="19"/>
      <c r="AF37" s="19"/>
      <c r="AG37" s="81"/>
    </row>
    <row r="38" ht="12.75" customHeight="1">
      <c r="A38" s="45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2"/>
      <c r="O38" s="13"/>
      <c r="P38" s="13"/>
      <c r="Q38" s="13"/>
      <c r="R38" s="13"/>
      <c r="S38" s="82"/>
      <c r="T38" s="13"/>
      <c r="U38" s="13"/>
      <c r="V38" s="13"/>
      <c r="W38" s="13"/>
      <c r="X38" s="82"/>
      <c r="Y38" s="13"/>
      <c r="Z38" s="13"/>
      <c r="AA38" s="13"/>
      <c r="AB38" s="13"/>
      <c r="AC38" s="82"/>
      <c r="AD38" s="13"/>
      <c r="AE38" s="13"/>
      <c r="AF38" s="13"/>
      <c r="AG38" s="81"/>
    </row>
    <row r="39" ht="12.75" customHeight="1">
      <c r="A39" s="31"/>
      <c r="B39" s="46" t="s">
        <v>32</v>
      </c>
      <c r="C39" s="23"/>
      <c r="D39" s="19" t="s">
        <v>11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1.0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</v>
      </c>
      <c r="AB39" s="79">
        <v>0.0</v>
      </c>
      <c r="AC39" s="79">
        <v>0.0</v>
      </c>
      <c r="AD39" s="79">
        <v>0.0</v>
      </c>
      <c r="AE39" s="79">
        <v>1.0</v>
      </c>
      <c r="AF39" s="79">
        <v>1.0</v>
      </c>
      <c r="AG39" s="13">
        <f t="shared" ref="AG39:AG41" si="12">SUM(E39:AF39)</f>
        <v>3</v>
      </c>
    </row>
    <row r="40" ht="12.75" customHeight="1">
      <c r="A40" s="34"/>
      <c r="C40" s="27"/>
      <c r="D40" s="19" t="s">
        <v>12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79">
        <v>0.0</v>
      </c>
      <c r="U40" s="79">
        <v>0.0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0.0</v>
      </c>
      <c r="AB40" s="79">
        <v>0.0</v>
      </c>
      <c r="AC40" s="79">
        <v>0.0</v>
      </c>
      <c r="AD40" s="79">
        <v>1.0</v>
      </c>
      <c r="AE40" s="79">
        <v>0.0</v>
      </c>
      <c r="AF40" s="79">
        <v>0.0</v>
      </c>
      <c r="AG40" s="13">
        <f t="shared" si="12"/>
        <v>1</v>
      </c>
    </row>
    <row r="41" ht="12.75" customHeight="1">
      <c r="A41" s="44"/>
      <c r="B41" s="47"/>
      <c r="C41" s="28"/>
      <c r="D41" s="13" t="s">
        <v>13</v>
      </c>
      <c r="E41" s="13">
        <f t="shared" ref="E41:AF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1</v>
      </c>
      <c r="AE41" s="13">
        <f t="shared" si="13"/>
        <v>1</v>
      </c>
      <c r="AF41" s="13">
        <f t="shared" si="13"/>
        <v>1</v>
      </c>
      <c r="AG41" s="13">
        <f t="shared" si="12"/>
        <v>4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0"/>
      <c r="O42" s="19"/>
      <c r="P42" s="19"/>
      <c r="Q42" s="19"/>
      <c r="R42" s="19"/>
      <c r="S42" s="80"/>
      <c r="T42" s="19"/>
      <c r="U42" s="19"/>
      <c r="V42" s="19"/>
      <c r="W42" s="19"/>
      <c r="X42" s="80"/>
      <c r="Y42" s="19"/>
      <c r="Z42" s="19"/>
      <c r="AA42" s="19"/>
      <c r="AB42" s="19"/>
      <c r="AC42" s="80"/>
      <c r="AD42" s="19"/>
      <c r="AE42" s="19"/>
      <c r="AF42" s="19"/>
      <c r="AG42" s="13"/>
    </row>
    <row r="43" ht="12.75" customHeight="1">
      <c r="A43" s="45" t="s">
        <v>33</v>
      </c>
      <c r="B43" s="14" t="s">
        <v>34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82"/>
      <c r="O43" s="13"/>
      <c r="P43" s="13"/>
      <c r="Q43" s="13"/>
      <c r="R43" s="13"/>
      <c r="S43" s="82"/>
      <c r="T43" s="13"/>
      <c r="U43" s="13"/>
      <c r="V43" s="13"/>
      <c r="W43" s="13"/>
      <c r="X43" s="82"/>
      <c r="Y43" s="13"/>
      <c r="Z43" s="13"/>
      <c r="AA43" s="13"/>
      <c r="AB43" s="13"/>
      <c r="AC43" s="82"/>
      <c r="AD43" s="13"/>
      <c r="AE43" s="13"/>
      <c r="AF43" s="13"/>
      <c r="AG43" s="13"/>
    </row>
    <row r="44" ht="12.75" customHeight="1">
      <c r="A44" s="46" t="s">
        <v>35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0"/>
      <c r="O44" s="19"/>
      <c r="P44" s="19"/>
      <c r="Q44" s="19"/>
      <c r="R44" s="19"/>
      <c r="S44" s="80"/>
      <c r="T44" s="19"/>
      <c r="U44" s="19"/>
      <c r="V44" s="19"/>
      <c r="W44" s="19"/>
      <c r="X44" s="80"/>
      <c r="Y44" s="19"/>
      <c r="Z44" s="19"/>
      <c r="AA44" s="19"/>
      <c r="AB44" s="19"/>
      <c r="AC44" s="80"/>
      <c r="AD44" s="19"/>
      <c r="AE44" s="19"/>
      <c r="AF44" s="19"/>
      <c r="AG44" s="13"/>
    </row>
    <row r="45" ht="12.75" customHeight="1">
      <c r="A45" s="31" t="s">
        <v>36</v>
      </c>
      <c r="B45" s="50" t="s">
        <v>16</v>
      </c>
      <c r="C45" s="51" t="s">
        <v>37</v>
      </c>
      <c r="D45" s="16"/>
      <c r="E45" s="79">
        <v>9.0</v>
      </c>
      <c r="F45" s="79">
        <v>16.0</v>
      </c>
      <c r="G45" s="79">
        <v>9.0</v>
      </c>
      <c r="H45" s="79">
        <v>5.0</v>
      </c>
      <c r="I45" s="79">
        <v>9.0</v>
      </c>
      <c r="J45" s="79">
        <v>6.0</v>
      </c>
      <c r="K45" s="79">
        <v>10.0</v>
      </c>
      <c r="L45" s="79">
        <v>5.0</v>
      </c>
      <c r="M45" s="79">
        <v>5.0</v>
      </c>
      <c r="N45" s="79">
        <v>15.0</v>
      </c>
      <c r="O45" s="79">
        <v>5.0</v>
      </c>
      <c r="P45" s="79">
        <v>11.0</v>
      </c>
      <c r="Q45" s="79">
        <v>10.0</v>
      </c>
      <c r="R45" s="79">
        <v>15.0</v>
      </c>
      <c r="S45" s="79">
        <v>10.0</v>
      </c>
      <c r="T45" s="79">
        <v>10.0</v>
      </c>
      <c r="U45" s="79">
        <v>7.0</v>
      </c>
      <c r="V45" s="79">
        <v>3.0</v>
      </c>
      <c r="W45" s="79">
        <v>6.0</v>
      </c>
      <c r="X45" s="79">
        <v>0.0</v>
      </c>
      <c r="Y45" s="79">
        <v>9.0</v>
      </c>
      <c r="Z45" s="79">
        <v>9.0</v>
      </c>
      <c r="AA45" s="79">
        <v>4.0</v>
      </c>
      <c r="AB45" s="79">
        <v>8.0</v>
      </c>
      <c r="AC45" s="79">
        <v>8.0</v>
      </c>
      <c r="AD45" s="79">
        <v>10.0</v>
      </c>
      <c r="AE45" s="79">
        <v>37.0</v>
      </c>
      <c r="AF45" s="79">
        <v>19.0</v>
      </c>
      <c r="AG45" s="13">
        <f t="shared" ref="AG45:AG55" si="14">SUM(E45:AF45)</f>
        <v>270</v>
      </c>
    </row>
    <row r="46" ht="12.75" customHeight="1">
      <c r="A46" s="31" t="s">
        <v>38</v>
      </c>
      <c r="B46" s="52"/>
      <c r="C46" s="53" t="s">
        <v>39</v>
      </c>
      <c r="D46" s="53"/>
      <c r="E46" s="79">
        <v>14.0</v>
      </c>
      <c r="F46" s="79">
        <v>25.0</v>
      </c>
      <c r="G46" s="79">
        <v>13.0</v>
      </c>
      <c r="H46" s="79">
        <v>12.0</v>
      </c>
      <c r="I46" s="79">
        <v>22.0</v>
      </c>
      <c r="J46" s="79">
        <v>15.0</v>
      </c>
      <c r="K46" s="79">
        <v>9.0</v>
      </c>
      <c r="L46" s="79">
        <v>11.0</v>
      </c>
      <c r="M46" s="79">
        <v>18.0</v>
      </c>
      <c r="N46" s="79">
        <v>15.0</v>
      </c>
      <c r="O46" s="79">
        <v>9.0</v>
      </c>
      <c r="P46" s="79">
        <v>8.0</v>
      </c>
      <c r="Q46" s="79">
        <v>16.0</v>
      </c>
      <c r="R46" s="79">
        <v>23.0</v>
      </c>
      <c r="S46" s="79">
        <v>14.0</v>
      </c>
      <c r="T46" s="79">
        <v>7.0</v>
      </c>
      <c r="U46" s="79">
        <v>14.0</v>
      </c>
      <c r="V46" s="79">
        <v>4.0</v>
      </c>
      <c r="W46" s="79">
        <v>17.0</v>
      </c>
      <c r="X46" s="79">
        <v>12.0</v>
      </c>
      <c r="Y46" s="79">
        <v>25.0</v>
      </c>
      <c r="Z46" s="79">
        <v>19.0</v>
      </c>
      <c r="AA46" s="79">
        <v>6.0</v>
      </c>
      <c r="AB46" s="79">
        <v>20.0</v>
      </c>
      <c r="AC46" s="79">
        <v>15.0</v>
      </c>
      <c r="AD46" s="79">
        <v>14.0</v>
      </c>
      <c r="AE46" s="79">
        <v>69.0</v>
      </c>
      <c r="AF46" s="79">
        <v>23.0</v>
      </c>
      <c r="AG46" s="13">
        <f t="shared" si="14"/>
        <v>469</v>
      </c>
    </row>
    <row r="47" ht="12.75" customHeight="1">
      <c r="A47" s="18"/>
      <c r="B47" s="58"/>
      <c r="C47" s="53" t="s">
        <v>40</v>
      </c>
      <c r="D47" s="53"/>
      <c r="E47" s="79">
        <v>0.0</v>
      </c>
      <c r="F47" s="79">
        <v>3.0</v>
      </c>
      <c r="G47" s="79">
        <v>3.0</v>
      </c>
      <c r="H47" s="79">
        <v>2.0</v>
      </c>
      <c r="I47" s="79">
        <v>3.0</v>
      </c>
      <c r="J47" s="79">
        <v>2.0</v>
      </c>
      <c r="K47" s="79">
        <v>1.0</v>
      </c>
      <c r="L47" s="79">
        <v>4.0</v>
      </c>
      <c r="M47" s="79">
        <v>6.0</v>
      </c>
      <c r="N47" s="79">
        <v>8.0</v>
      </c>
      <c r="O47" s="79">
        <v>5.0</v>
      </c>
      <c r="P47" s="79">
        <v>3.0</v>
      </c>
      <c r="Q47" s="79">
        <v>2.0</v>
      </c>
      <c r="R47" s="79">
        <v>1.0</v>
      </c>
      <c r="S47" s="79">
        <v>1.0</v>
      </c>
      <c r="T47" s="79">
        <v>2.0</v>
      </c>
      <c r="U47" s="79">
        <v>4.0</v>
      </c>
      <c r="V47" s="79">
        <v>1.0</v>
      </c>
      <c r="W47" s="79">
        <v>3.0</v>
      </c>
      <c r="X47" s="79">
        <v>0.0</v>
      </c>
      <c r="Y47" s="79">
        <v>1.0</v>
      </c>
      <c r="Z47" s="79">
        <v>0.0</v>
      </c>
      <c r="AA47" s="79">
        <v>2.0</v>
      </c>
      <c r="AB47" s="79">
        <v>1.0</v>
      </c>
      <c r="AC47" s="79">
        <v>2.0</v>
      </c>
      <c r="AD47" s="79">
        <v>1.0</v>
      </c>
      <c r="AE47" s="79">
        <v>7.0</v>
      </c>
      <c r="AF47" s="79">
        <v>0.0</v>
      </c>
      <c r="AG47" s="13">
        <f t="shared" si="14"/>
        <v>68</v>
      </c>
    </row>
    <row r="48" ht="12.75" customHeight="1">
      <c r="A48" s="18"/>
      <c r="B48" s="58"/>
      <c r="C48" s="53" t="s">
        <v>41</v>
      </c>
      <c r="D48" s="53"/>
      <c r="E48" s="79">
        <v>3.0</v>
      </c>
      <c r="F48" s="79">
        <v>3.0</v>
      </c>
      <c r="G48" s="79">
        <v>0.0</v>
      </c>
      <c r="H48" s="79">
        <v>0.0</v>
      </c>
      <c r="I48" s="79">
        <v>2.0</v>
      </c>
      <c r="J48" s="79">
        <v>1.0</v>
      </c>
      <c r="K48" s="79">
        <v>0.0</v>
      </c>
      <c r="L48" s="79">
        <v>1.0</v>
      </c>
      <c r="M48" s="79">
        <v>1.0</v>
      </c>
      <c r="N48" s="79">
        <v>1.0</v>
      </c>
      <c r="O48" s="79">
        <v>0.0</v>
      </c>
      <c r="P48" s="79">
        <v>0.0</v>
      </c>
      <c r="Q48" s="79">
        <v>2.0</v>
      </c>
      <c r="R48" s="79">
        <v>2.0</v>
      </c>
      <c r="S48" s="79">
        <v>2.0</v>
      </c>
      <c r="T48" s="79">
        <v>0.0</v>
      </c>
      <c r="U48" s="79">
        <v>0.0</v>
      </c>
      <c r="V48" s="79">
        <v>1.0</v>
      </c>
      <c r="W48" s="79">
        <v>1.0</v>
      </c>
      <c r="X48" s="79">
        <v>0.0</v>
      </c>
      <c r="Y48" s="79">
        <v>2.0</v>
      </c>
      <c r="Z48" s="79">
        <v>3.0</v>
      </c>
      <c r="AA48" s="79">
        <v>0.0</v>
      </c>
      <c r="AB48" s="79">
        <v>6.0</v>
      </c>
      <c r="AC48" s="79">
        <v>0.0</v>
      </c>
      <c r="AD48" s="79">
        <v>0.0</v>
      </c>
      <c r="AE48" s="79">
        <v>2.0</v>
      </c>
      <c r="AF48" s="79">
        <v>1.0</v>
      </c>
      <c r="AG48" s="13">
        <f t="shared" si="14"/>
        <v>34</v>
      </c>
    </row>
    <row r="49" ht="12.75" customHeight="1">
      <c r="A49" s="18"/>
      <c r="B49" s="58"/>
      <c r="C49" s="53" t="s">
        <v>42</v>
      </c>
      <c r="D49" s="53"/>
      <c r="E49" s="79">
        <v>0.0</v>
      </c>
      <c r="F49" s="79">
        <v>0.0</v>
      </c>
      <c r="G49" s="79">
        <v>1.0</v>
      </c>
      <c r="H49" s="79">
        <v>1.0</v>
      </c>
      <c r="I49" s="79">
        <v>0.0</v>
      </c>
      <c r="J49" s="79">
        <v>1.0</v>
      </c>
      <c r="K49" s="79">
        <v>0.0</v>
      </c>
      <c r="L49" s="79">
        <v>3.0</v>
      </c>
      <c r="M49" s="79">
        <v>2.0</v>
      </c>
      <c r="N49" s="79">
        <v>0.0</v>
      </c>
      <c r="O49" s="79">
        <v>0.0</v>
      </c>
      <c r="P49" s="79">
        <v>0.0</v>
      </c>
      <c r="Q49" s="79">
        <v>2.0</v>
      </c>
      <c r="R49" s="79">
        <v>4.0</v>
      </c>
      <c r="S49" s="79">
        <v>0.0</v>
      </c>
      <c r="T49" s="79">
        <v>1.0</v>
      </c>
      <c r="U49" s="79">
        <v>0.0</v>
      </c>
      <c r="V49" s="79">
        <v>1.0</v>
      </c>
      <c r="W49" s="79">
        <v>1.0</v>
      </c>
      <c r="X49" s="79">
        <v>0.0</v>
      </c>
      <c r="Y49" s="79">
        <v>3.0</v>
      </c>
      <c r="Z49" s="79">
        <v>0.0</v>
      </c>
      <c r="AA49" s="79">
        <v>1.0</v>
      </c>
      <c r="AB49" s="79">
        <v>3.0</v>
      </c>
      <c r="AC49" s="79">
        <v>0.0</v>
      </c>
      <c r="AD49" s="79">
        <v>0.0</v>
      </c>
      <c r="AE49" s="79">
        <v>2.0</v>
      </c>
      <c r="AF49" s="79">
        <v>1.0</v>
      </c>
      <c r="AG49" s="13">
        <f t="shared" si="14"/>
        <v>27</v>
      </c>
    </row>
    <row r="50" ht="12.75" customHeight="1">
      <c r="A50" s="18"/>
      <c r="B50" s="58"/>
      <c r="C50" s="53" t="s">
        <v>43</v>
      </c>
      <c r="D50" s="53"/>
      <c r="E50" s="79">
        <v>0.0</v>
      </c>
      <c r="F50" s="79">
        <v>0.0</v>
      </c>
      <c r="G50" s="79">
        <v>1.0</v>
      </c>
      <c r="H50" s="79">
        <v>0.0</v>
      </c>
      <c r="I50" s="79">
        <v>0.0</v>
      </c>
      <c r="J50" s="79">
        <v>1.0</v>
      </c>
      <c r="K50" s="79">
        <v>0.0</v>
      </c>
      <c r="L50" s="79">
        <v>0.0</v>
      </c>
      <c r="M50" s="79">
        <v>1.0</v>
      </c>
      <c r="N50" s="79">
        <v>1.0</v>
      </c>
      <c r="O50" s="79">
        <v>0.0</v>
      </c>
      <c r="P50" s="79">
        <v>0.0</v>
      </c>
      <c r="Q50" s="79">
        <v>0.0</v>
      </c>
      <c r="R50" s="79">
        <v>1.0</v>
      </c>
      <c r="S50" s="79">
        <v>0.0</v>
      </c>
      <c r="T50" s="79">
        <v>1.0</v>
      </c>
      <c r="U50" s="79">
        <v>0.0</v>
      </c>
      <c r="V50" s="79">
        <v>0.0</v>
      </c>
      <c r="W50" s="79">
        <v>0.0</v>
      </c>
      <c r="X50" s="79">
        <v>0.0</v>
      </c>
      <c r="Y50" s="79">
        <v>1.0</v>
      </c>
      <c r="Z50" s="79">
        <v>1.0</v>
      </c>
      <c r="AA50" s="79">
        <v>0.0</v>
      </c>
      <c r="AB50" s="79">
        <v>1.0</v>
      </c>
      <c r="AC50" s="79">
        <v>0.0</v>
      </c>
      <c r="AD50" s="79">
        <v>0.0</v>
      </c>
      <c r="AE50" s="79">
        <v>0.0</v>
      </c>
      <c r="AF50" s="79">
        <v>0.0</v>
      </c>
      <c r="AG50" s="13">
        <f t="shared" si="14"/>
        <v>9</v>
      </c>
    </row>
    <row r="51" ht="12.75" customHeight="1">
      <c r="A51" s="18"/>
      <c r="B51" s="58"/>
      <c r="C51" s="53" t="s">
        <v>44</v>
      </c>
      <c r="D51" s="53"/>
      <c r="E51" s="79">
        <v>1.0</v>
      </c>
      <c r="F51" s="79">
        <v>1.0</v>
      </c>
      <c r="G51" s="79">
        <v>0.0</v>
      </c>
      <c r="H51" s="79">
        <v>0.0</v>
      </c>
      <c r="I51" s="79">
        <v>0.0</v>
      </c>
      <c r="J51" s="79">
        <v>0.0</v>
      </c>
      <c r="K51" s="79">
        <v>0.0</v>
      </c>
      <c r="L51" s="79">
        <v>0.0</v>
      </c>
      <c r="M51" s="79">
        <v>2.0</v>
      </c>
      <c r="N51" s="79">
        <v>1.0</v>
      </c>
      <c r="O51" s="79">
        <v>1.0</v>
      </c>
      <c r="P51" s="79">
        <v>0.0</v>
      </c>
      <c r="Q51" s="79">
        <v>0.0</v>
      </c>
      <c r="R51" s="79">
        <v>0.0</v>
      </c>
      <c r="S51" s="79">
        <v>0.0</v>
      </c>
      <c r="T51" s="79">
        <v>0.0</v>
      </c>
      <c r="U51" s="79">
        <v>0.0</v>
      </c>
      <c r="V51" s="79">
        <v>0.0</v>
      </c>
      <c r="W51" s="79">
        <v>0.0</v>
      </c>
      <c r="X51" s="79">
        <v>0.0</v>
      </c>
      <c r="Y51" s="79">
        <v>0.0</v>
      </c>
      <c r="Z51" s="79">
        <v>0.0</v>
      </c>
      <c r="AA51" s="79">
        <v>0.0</v>
      </c>
      <c r="AB51" s="79">
        <v>1.0</v>
      </c>
      <c r="AC51" s="79">
        <v>0.0</v>
      </c>
      <c r="AD51" s="79">
        <v>1.0</v>
      </c>
      <c r="AE51" s="79">
        <v>1.0</v>
      </c>
      <c r="AF51" s="79">
        <v>1.0</v>
      </c>
      <c r="AG51" s="13">
        <f t="shared" si="14"/>
        <v>10</v>
      </c>
    </row>
    <row r="52" ht="12.75" customHeight="1">
      <c r="A52" s="18"/>
      <c r="B52" s="58"/>
      <c r="C52" s="53" t="s">
        <v>45</v>
      </c>
      <c r="D52" s="53"/>
      <c r="E52" s="79">
        <v>0.0</v>
      </c>
      <c r="F52" s="79">
        <v>0.0</v>
      </c>
      <c r="G52" s="79">
        <v>0.0</v>
      </c>
      <c r="H52" s="79">
        <v>2.0</v>
      </c>
      <c r="I52" s="79">
        <v>1.0</v>
      </c>
      <c r="J52" s="79">
        <v>0.0</v>
      </c>
      <c r="K52" s="79">
        <v>0.0</v>
      </c>
      <c r="L52" s="79">
        <v>2.0</v>
      </c>
      <c r="M52" s="79">
        <v>0.0</v>
      </c>
      <c r="N52" s="79">
        <v>0.0</v>
      </c>
      <c r="O52" s="79">
        <v>0.0</v>
      </c>
      <c r="P52" s="79">
        <v>0.0</v>
      </c>
      <c r="Q52" s="79">
        <v>0.0</v>
      </c>
      <c r="R52" s="79">
        <v>2.0</v>
      </c>
      <c r="S52" s="79">
        <v>0.0</v>
      </c>
      <c r="T52" s="79">
        <v>0.0</v>
      </c>
      <c r="U52" s="79">
        <v>1.0</v>
      </c>
      <c r="V52" s="79">
        <v>0.0</v>
      </c>
      <c r="W52" s="79">
        <v>0.0</v>
      </c>
      <c r="X52" s="79">
        <v>0.0</v>
      </c>
      <c r="Y52" s="79">
        <v>2.0</v>
      </c>
      <c r="Z52" s="79">
        <v>1.0</v>
      </c>
      <c r="AA52" s="79">
        <v>1.0</v>
      </c>
      <c r="AB52" s="79">
        <v>0.0</v>
      </c>
      <c r="AC52" s="79">
        <v>0.0</v>
      </c>
      <c r="AD52" s="79">
        <v>0.0</v>
      </c>
      <c r="AE52" s="79">
        <v>1.0</v>
      </c>
      <c r="AF52" s="79">
        <v>0.0</v>
      </c>
      <c r="AG52" s="13">
        <f t="shared" si="14"/>
        <v>13</v>
      </c>
    </row>
    <row r="53" ht="12.75" customHeight="1">
      <c r="A53" s="18"/>
      <c r="B53" s="58"/>
      <c r="C53" s="53" t="s">
        <v>46</v>
      </c>
      <c r="D53" s="53"/>
      <c r="E53" s="79">
        <v>0.0</v>
      </c>
      <c r="F53" s="79">
        <v>0.0</v>
      </c>
      <c r="G53" s="79">
        <v>0.0</v>
      </c>
      <c r="H53" s="79">
        <v>0.0</v>
      </c>
      <c r="I53" s="79">
        <v>2.0</v>
      </c>
      <c r="J53" s="79">
        <v>1.0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0.0</v>
      </c>
      <c r="U53" s="79">
        <v>1.0</v>
      </c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79">
        <v>0.0</v>
      </c>
      <c r="AC53" s="79">
        <v>1.0</v>
      </c>
      <c r="AD53" s="79">
        <v>0.0</v>
      </c>
      <c r="AE53" s="79">
        <v>0.0</v>
      </c>
      <c r="AF53" s="79">
        <v>0.0</v>
      </c>
      <c r="AG53" s="13">
        <f t="shared" si="14"/>
        <v>5</v>
      </c>
    </row>
    <row r="54" ht="12.75" customHeight="1">
      <c r="A54" s="18"/>
      <c r="B54" s="58"/>
      <c r="C54" s="53" t="s">
        <v>47</v>
      </c>
      <c r="D54" s="53"/>
      <c r="E54" s="79">
        <v>0.0</v>
      </c>
      <c r="F54" s="79">
        <v>0.0</v>
      </c>
      <c r="G54" s="79">
        <v>0.0</v>
      </c>
      <c r="H54" s="79">
        <v>1.0</v>
      </c>
      <c r="I54" s="79">
        <v>0.0</v>
      </c>
      <c r="J54" s="79">
        <v>1.0</v>
      </c>
      <c r="K54" s="79">
        <v>0.0</v>
      </c>
      <c r="L54" s="79">
        <v>2.0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2.0</v>
      </c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79">
        <v>1.0</v>
      </c>
      <c r="AC54" s="79">
        <v>0.0</v>
      </c>
      <c r="AD54" s="79">
        <v>0.0</v>
      </c>
      <c r="AE54" s="79">
        <v>0.0</v>
      </c>
      <c r="AF54" s="79">
        <v>0.0</v>
      </c>
      <c r="AG54" s="13">
        <f t="shared" si="14"/>
        <v>7</v>
      </c>
    </row>
    <row r="55" ht="12.75" customHeight="1">
      <c r="A55" s="19" t="s">
        <v>14</v>
      </c>
      <c r="B55" s="50" t="s">
        <v>48</v>
      </c>
      <c r="C55" s="15"/>
      <c r="D55" s="16"/>
      <c r="E55" s="13">
        <f t="shared" ref="E55:AF55" si="15">SUM(E45:E54)</f>
        <v>27</v>
      </c>
      <c r="F55" s="13">
        <f t="shared" si="15"/>
        <v>48</v>
      </c>
      <c r="G55" s="13">
        <f t="shared" si="15"/>
        <v>27</v>
      </c>
      <c r="H55" s="13">
        <f t="shared" si="15"/>
        <v>23</v>
      </c>
      <c r="I55" s="13">
        <f t="shared" si="15"/>
        <v>39</v>
      </c>
      <c r="J55" s="13">
        <f t="shared" si="15"/>
        <v>28</v>
      </c>
      <c r="K55" s="13">
        <f t="shared" si="15"/>
        <v>20</v>
      </c>
      <c r="L55" s="13">
        <f t="shared" si="15"/>
        <v>28</v>
      </c>
      <c r="M55" s="13">
        <f t="shared" si="15"/>
        <v>35</v>
      </c>
      <c r="N55" s="13">
        <f t="shared" si="15"/>
        <v>41</v>
      </c>
      <c r="O55" s="13">
        <f t="shared" si="15"/>
        <v>20</v>
      </c>
      <c r="P55" s="13">
        <f t="shared" si="15"/>
        <v>22</v>
      </c>
      <c r="Q55" s="13">
        <f t="shared" si="15"/>
        <v>32</v>
      </c>
      <c r="R55" s="13">
        <f t="shared" si="15"/>
        <v>48</v>
      </c>
      <c r="S55" s="13">
        <f t="shared" si="15"/>
        <v>27</v>
      </c>
      <c r="T55" s="13">
        <f t="shared" si="15"/>
        <v>21</v>
      </c>
      <c r="U55" s="13">
        <f t="shared" si="15"/>
        <v>29</v>
      </c>
      <c r="V55" s="13">
        <f t="shared" si="15"/>
        <v>10</v>
      </c>
      <c r="W55" s="13">
        <f t="shared" si="15"/>
        <v>28</v>
      </c>
      <c r="X55" s="13">
        <f t="shared" si="15"/>
        <v>12</v>
      </c>
      <c r="Y55" s="13">
        <f t="shared" si="15"/>
        <v>43</v>
      </c>
      <c r="Z55" s="13">
        <f t="shared" si="15"/>
        <v>33</v>
      </c>
      <c r="AA55" s="13">
        <f t="shared" si="15"/>
        <v>14</v>
      </c>
      <c r="AB55" s="13">
        <f t="shared" si="15"/>
        <v>41</v>
      </c>
      <c r="AC55" s="13">
        <f t="shared" si="15"/>
        <v>26</v>
      </c>
      <c r="AD55" s="13">
        <f t="shared" si="15"/>
        <v>26</v>
      </c>
      <c r="AE55" s="13">
        <f t="shared" si="15"/>
        <v>119</v>
      </c>
      <c r="AF55" s="13">
        <f t="shared" si="15"/>
        <v>45</v>
      </c>
      <c r="AG55" s="13">
        <f t="shared" si="14"/>
        <v>912</v>
      </c>
    </row>
    <row r="56" ht="12.75" customHeight="1">
      <c r="A56" s="48"/>
      <c r="B56" s="47"/>
      <c r="C56" s="47"/>
      <c r="D56" s="47"/>
      <c r="E56" s="47"/>
      <c r="AG56" s="13"/>
    </row>
    <row r="57" ht="12.75" customHeight="1">
      <c r="A57" s="31" t="s">
        <v>36</v>
      </c>
      <c r="B57" s="50" t="s">
        <v>18</v>
      </c>
      <c r="C57" s="51" t="s">
        <v>49</v>
      </c>
      <c r="D57" s="16"/>
      <c r="E57" s="79">
        <v>17.0</v>
      </c>
      <c r="F57" s="79">
        <v>7.0</v>
      </c>
      <c r="G57" s="79">
        <v>6.0</v>
      </c>
      <c r="H57" s="79">
        <v>10.0</v>
      </c>
      <c r="I57" s="79">
        <v>4.0</v>
      </c>
      <c r="J57" s="79">
        <v>5.0</v>
      </c>
      <c r="K57" s="79">
        <v>3.0</v>
      </c>
      <c r="L57" s="79">
        <v>19.0</v>
      </c>
      <c r="M57" s="79">
        <v>11.0</v>
      </c>
      <c r="N57" s="79">
        <v>16.0</v>
      </c>
      <c r="O57" s="79">
        <v>4.0</v>
      </c>
      <c r="P57" s="79">
        <v>11.0</v>
      </c>
      <c r="Q57" s="79">
        <v>9.0</v>
      </c>
      <c r="R57" s="79">
        <v>10.0</v>
      </c>
      <c r="S57" s="79">
        <v>14.0</v>
      </c>
      <c r="T57" s="79">
        <v>7.0</v>
      </c>
      <c r="U57" s="79">
        <v>20.0</v>
      </c>
      <c r="V57" s="79">
        <v>8.0</v>
      </c>
      <c r="W57" s="79">
        <v>4.0</v>
      </c>
      <c r="X57" s="79">
        <v>4.0</v>
      </c>
      <c r="Y57" s="79">
        <v>5.0</v>
      </c>
      <c r="Z57" s="79">
        <v>8.0</v>
      </c>
      <c r="AA57" s="79">
        <v>7.0</v>
      </c>
      <c r="AB57" s="79">
        <v>4.0</v>
      </c>
      <c r="AC57" s="79">
        <v>8.0</v>
      </c>
      <c r="AD57" s="79">
        <v>10.0</v>
      </c>
      <c r="AE57" s="79">
        <v>13.0</v>
      </c>
      <c r="AF57" s="79">
        <v>4.0</v>
      </c>
      <c r="AG57" s="13">
        <f t="shared" ref="AG57:AG67" si="16">SUM(E57:AF57)</f>
        <v>248</v>
      </c>
    </row>
    <row r="58" ht="12.75" customHeight="1">
      <c r="A58" s="31" t="s">
        <v>38</v>
      </c>
      <c r="B58" s="58"/>
      <c r="C58" s="53" t="s">
        <v>50</v>
      </c>
      <c r="D58" s="60"/>
      <c r="E58" s="79">
        <v>13.0</v>
      </c>
      <c r="F58" s="79">
        <v>11.0</v>
      </c>
      <c r="G58" s="79">
        <v>17.0</v>
      </c>
      <c r="H58" s="79">
        <v>12.0</v>
      </c>
      <c r="I58" s="79">
        <v>8.0</v>
      </c>
      <c r="J58" s="79">
        <v>6.0</v>
      </c>
      <c r="K58" s="79">
        <v>37.0</v>
      </c>
      <c r="L58" s="79">
        <v>10.0</v>
      </c>
      <c r="M58" s="79">
        <v>6.0</v>
      </c>
      <c r="N58" s="79">
        <v>24.0</v>
      </c>
      <c r="O58" s="79">
        <v>5.0</v>
      </c>
      <c r="P58" s="79">
        <v>17.0</v>
      </c>
      <c r="Q58" s="79">
        <v>54.0</v>
      </c>
      <c r="R58" s="79">
        <v>5.0</v>
      </c>
      <c r="S58" s="79">
        <v>10.0</v>
      </c>
      <c r="T58" s="79">
        <v>3.0</v>
      </c>
      <c r="U58" s="79">
        <v>10.0</v>
      </c>
      <c r="V58" s="79">
        <v>13.0</v>
      </c>
      <c r="W58" s="79">
        <v>25.0</v>
      </c>
      <c r="X58" s="79">
        <v>2.0</v>
      </c>
      <c r="Y58" s="79">
        <v>8.0</v>
      </c>
      <c r="Z58" s="79">
        <v>10.0</v>
      </c>
      <c r="AA58" s="79">
        <v>8.0</v>
      </c>
      <c r="AB58" s="79">
        <v>7.0</v>
      </c>
      <c r="AC58" s="79">
        <v>20.0</v>
      </c>
      <c r="AD58" s="79">
        <v>15.0</v>
      </c>
      <c r="AE58" s="79">
        <v>25.0</v>
      </c>
      <c r="AF58" s="79">
        <v>29.0</v>
      </c>
      <c r="AG58" s="13">
        <f t="shared" si="16"/>
        <v>410</v>
      </c>
    </row>
    <row r="59" ht="12.75" customHeight="1">
      <c r="A59" s="18"/>
      <c r="B59" s="58"/>
      <c r="C59" s="53" t="s">
        <v>51</v>
      </c>
      <c r="D59" s="60"/>
      <c r="E59" s="79">
        <v>3.0</v>
      </c>
      <c r="F59" s="79">
        <v>5.0</v>
      </c>
      <c r="G59" s="79">
        <v>4.0</v>
      </c>
      <c r="H59" s="79">
        <v>3.0</v>
      </c>
      <c r="I59" s="79">
        <v>2.0</v>
      </c>
      <c r="J59" s="79">
        <v>2.0</v>
      </c>
      <c r="K59" s="79">
        <v>16.0</v>
      </c>
      <c r="L59" s="79">
        <v>5.0</v>
      </c>
      <c r="M59" s="79">
        <v>4.0</v>
      </c>
      <c r="N59" s="79">
        <v>10.0</v>
      </c>
      <c r="O59" s="79">
        <v>9.0</v>
      </c>
      <c r="P59" s="79">
        <v>0.0</v>
      </c>
      <c r="Q59" s="79">
        <v>5.0</v>
      </c>
      <c r="R59" s="79">
        <v>6.0</v>
      </c>
      <c r="S59" s="79">
        <v>25.0</v>
      </c>
      <c r="T59" s="79">
        <v>12.0</v>
      </c>
      <c r="U59" s="79">
        <v>16.0</v>
      </c>
      <c r="V59" s="79">
        <v>5.0</v>
      </c>
      <c r="W59" s="79">
        <v>4.0</v>
      </c>
      <c r="X59" s="79">
        <v>2.0</v>
      </c>
      <c r="Y59" s="79">
        <v>1.0</v>
      </c>
      <c r="Z59" s="79">
        <v>4.0</v>
      </c>
      <c r="AA59" s="79">
        <v>37.0</v>
      </c>
      <c r="AB59" s="79">
        <v>2.0</v>
      </c>
      <c r="AC59" s="79">
        <v>7.0</v>
      </c>
      <c r="AD59" s="79">
        <v>5.0</v>
      </c>
      <c r="AE59" s="79">
        <v>8.0</v>
      </c>
      <c r="AF59" s="79">
        <v>3.0</v>
      </c>
      <c r="AG59" s="13">
        <f t="shared" si="16"/>
        <v>205</v>
      </c>
    </row>
    <row r="60" ht="12.75" customHeight="1">
      <c r="A60" s="18"/>
      <c r="B60" s="58"/>
      <c r="C60" s="53" t="s">
        <v>52</v>
      </c>
      <c r="D60" s="60"/>
      <c r="E60" s="79">
        <v>2.0</v>
      </c>
      <c r="F60" s="79">
        <v>1.0</v>
      </c>
      <c r="G60" s="79">
        <v>2.0</v>
      </c>
      <c r="H60" s="79">
        <v>1.0</v>
      </c>
      <c r="I60" s="79">
        <v>0.0</v>
      </c>
      <c r="J60" s="79">
        <v>1.0</v>
      </c>
      <c r="K60" s="79">
        <v>1.0</v>
      </c>
      <c r="L60" s="79">
        <v>6.0</v>
      </c>
      <c r="M60" s="79">
        <v>2.0</v>
      </c>
      <c r="N60" s="79">
        <v>2.0</v>
      </c>
      <c r="O60" s="79">
        <v>0.0</v>
      </c>
      <c r="P60" s="79">
        <v>1.0</v>
      </c>
      <c r="Q60" s="79">
        <v>2.0</v>
      </c>
      <c r="R60" s="79">
        <v>2.0</v>
      </c>
      <c r="S60" s="79">
        <v>2.0</v>
      </c>
      <c r="T60" s="79">
        <v>1.0</v>
      </c>
      <c r="U60" s="79">
        <v>3.0</v>
      </c>
      <c r="V60" s="79">
        <v>2.0</v>
      </c>
      <c r="W60" s="79">
        <v>4.0</v>
      </c>
      <c r="X60" s="79">
        <v>2.0</v>
      </c>
      <c r="Y60" s="79">
        <v>4.0</v>
      </c>
      <c r="Z60" s="79">
        <v>1.0</v>
      </c>
      <c r="AA60" s="79">
        <v>2.0</v>
      </c>
      <c r="AB60" s="79">
        <v>0.0</v>
      </c>
      <c r="AC60" s="79">
        <v>2.0</v>
      </c>
      <c r="AD60" s="79">
        <v>3.0</v>
      </c>
      <c r="AE60" s="79">
        <v>1.0</v>
      </c>
      <c r="AF60" s="79">
        <v>1.0</v>
      </c>
      <c r="AG60" s="13">
        <f t="shared" si="16"/>
        <v>51</v>
      </c>
    </row>
    <row r="61" ht="12.75" customHeight="1">
      <c r="A61" s="18"/>
      <c r="B61" s="58"/>
      <c r="C61" s="53" t="s">
        <v>53</v>
      </c>
      <c r="D61" s="60"/>
      <c r="E61" s="79">
        <v>1.0</v>
      </c>
      <c r="F61" s="79">
        <v>0.0</v>
      </c>
      <c r="G61" s="79">
        <v>3.0</v>
      </c>
      <c r="H61" s="79">
        <v>0.0</v>
      </c>
      <c r="I61" s="79">
        <v>3.0</v>
      </c>
      <c r="J61" s="79">
        <v>4.0</v>
      </c>
      <c r="K61" s="79">
        <v>1.0</v>
      </c>
      <c r="L61" s="79">
        <v>11.0</v>
      </c>
      <c r="M61" s="79">
        <v>77.0</v>
      </c>
      <c r="N61" s="79">
        <v>59.0</v>
      </c>
      <c r="O61" s="79">
        <v>1.0</v>
      </c>
      <c r="P61" s="79">
        <v>2.0</v>
      </c>
      <c r="Q61" s="79">
        <v>1.0</v>
      </c>
      <c r="R61" s="79">
        <v>27.0</v>
      </c>
      <c r="S61" s="79">
        <v>4.0</v>
      </c>
      <c r="T61" s="79">
        <v>29.0</v>
      </c>
      <c r="U61" s="79">
        <v>1.0</v>
      </c>
      <c r="V61" s="79">
        <v>3.0</v>
      </c>
      <c r="W61" s="79">
        <v>10.0</v>
      </c>
      <c r="X61" s="79">
        <v>4.0</v>
      </c>
      <c r="Y61" s="79">
        <v>2.0</v>
      </c>
      <c r="Z61" s="79">
        <v>1.0</v>
      </c>
      <c r="AA61" s="79">
        <v>3.0</v>
      </c>
      <c r="AB61" s="79">
        <v>1.0</v>
      </c>
      <c r="AC61" s="79">
        <v>3.0</v>
      </c>
      <c r="AD61" s="79">
        <v>4.0</v>
      </c>
      <c r="AE61" s="79">
        <v>0.0</v>
      </c>
      <c r="AF61" s="79">
        <v>1.0</v>
      </c>
      <c r="AG61" s="13">
        <f t="shared" si="16"/>
        <v>256</v>
      </c>
    </row>
    <row r="62" ht="12.75" customHeight="1">
      <c r="A62" s="18"/>
      <c r="B62" s="58"/>
      <c r="C62" s="53" t="s">
        <v>54</v>
      </c>
      <c r="D62" s="60"/>
      <c r="E62" s="79">
        <v>4.0</v>
      </c>
      <c r="F62" s="79">
        <v>1.0</v>
      </c>
      <c r="G62" s="79">
        <v>2.0</v>
      </c>
      <c r="H62" s="79">
        <v>0.0</v>
      </c>
      <c r="I62" s="79">
        <v>1.0</v>
      </c>
      <c r="J62" s="79">
        <v>0.0</v>
      </c>
      <c r="K62" s="79">
        <v>1.0</v>
      </c>
      <c r="L62" s="79">
        <v>0.0</v>
      </c>
      <c r="M62" s="79">
        <v>1.0</v>
      </c>
      <c r="N62" s="79">
        <v>1.0</v>
      </c>
      <c r="O62" s="79">
        <v>1.0</v>
      </c>
      <c r="P62" s="79">
        <v>1.0</v>
      </c>
      <c r="Q62" s="79">
        <v>1.0</v>
      </c>
      <c r="R62" s="79">
        <v>0.0</v>
      </c>
      <c r="S62" s="79">
        <v>0.0</v>
      </c>
      <c r="T62" s="79">
        <v>3.0</v>
      </c>
      <c r="U62" s="79">
        <v>0.0</v>
      </c>
      <c r="V62" s="79">
        <v>1.0</v>
      </c>
      <c r="W62" s="79">
        <v>0.0</v>
      </c>
      <c r="X62" s="79">
        <v>1.0</v>
      </c>
      <c r="Y62" s="79">
        <v>0.0</v>
      </c>
      <c r="Z62" s="79">
        <v>1.0</v>
      </c>
      <c r="AA62" s="79">
        <v>5.0</v>
      </c>
      <c r="AB62" s="79">
        <v>1.0</v>
      </c>
      <c r="AC62" s="79">
        <v>0.0</v>
      </c>
      <c r="AD62" s="79">
        <v>3.0</v>
      </c>
      <c r="AE62" s="79">
        <v>3.0</v>
      </c>
      <c r="AF62" s="79">
        <v>0.0</v>
      </c>
      <c r="AG62" s="13">
        <f t="shared" si="16"/>
        <v>32</v>
      </c>
    </row>
    <row r="63" ht="12.75" customHeight="1">
      <c r="A63" s="18"/>
      <c r="B63" s="58"/>
      <c r="C63" s="53" t="s">
        <v>55</v>
      </c>
      <c r="D63" s="61"/>
      <c r="E63" s="79">
        <v>0.0</v>
      </c>
      <c r="F63" s="79">
        <v>0.0</v>
      </c>
      <c r="G63" s="79">
        <v>0.0</v>
      </c>
      <c r="H63" s="79">
        <v>2.0</v>
      </c>
      <c r="I63" s="79">
        <v>0.0</v>
      </c>
      <c r="J63" s="79">
        <v>1.0</v>
      </c>
      <c r="K63" s="79">
        <v>3.0</v>
      </c>
      <c r="L63" s="79">
        <v>1.0</v>
      </c>
      <c r="M63" s="79">
        <v>1.0</v>
      </c>
      <c r="N63" s="79">
        <v>0.0</v>
      </c>
      <c r="O63" s="79">
        <v>1.0</v>
      </c>
      <c r="P63" s="79">
        <v>0.0</v>
      </c>
      <c r="Q63" s="79">
        <v>0.0</v>
      </c>
      <c r="R63" s="79">
        <v>1.0</v>
      </c>
      <c r="S63" s="79">
        <v>0.0</v>
      </c>
      <c r="T63" s="79">
        <v>0.0</v>
      </c>
      <c r="U63" s="79">
        <v>0.0</v>
      </c>
      <c r="V63" s="79">
        <v>0.0</v>
      </c>
      <c r="W63" s="79">
        <v>1.0</v>
      </c>
      <c r="X63" s="79">
        <v>2.0</v>
      </c>
      <c r="Y63" s="79">
        <v>0.0</v>
      </c>
      <c r="Z63" s="79">
        <v>0.0</v>
      </c>
      <c r="AA63" s="79">
        <v>2.0</v>
      </c>
      <c r="AB63" s="79">
        <v>1.0</v>
      </c>
      <c r="AC63" s="79">
        <v>1.0</v>
      </c>
      <c r="AD63" s="79">
        <v>1.0</v>
      </c>
      <c r="AE63" s="79">
        <v>1.0</v>
      </c>
      <c r="AF63" s="79">
        <v>0.0</v>
      </c>
      <c r="AG63" s="13">
        <f t="shared" si="16"/>
        <v>19</v>
      </c>
    </row>
    <row r="64" ht="12.75" customHeight="1">
      <c r="A64" s="18"/>
      <c r="B64" s="58"/>
      <c r="C64" s="53" t="s">
        <v>56</v>
      </c>
      <c r="D64" s="60"/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2.0</v>
      </c>
      <c r="K64" s="79">
        <v>1.0</v>
      </c>
      <c r="L64" s="79">
        <v>0.0</v>
      </c>
      <c r="M64" s="79">
        <v>2.0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1.0</v>
      </c>
      <c r="T64" s="79">
        <v>1.0</v>
      </c>
      <c r="U64" s="79">
        <v>0.0</v>
      </c>
      <c r="V64" s="79">
        <v>0.0</v>
      </c>
      <c r="W64" s="79">
        <v>0.0</v>
      </c>
      <c r="X64" s="79">
        <v>0.0</v>
      </c>
      <c r="Y64" s="79">
        <v>0.0</v>
      </c>
      <c r="Z64" s="79">
        <v>0.0</v>
      </c>
      <c r="AA64" s="79">
        <v>0.0</v>
      </c>
      <c r="AB64" s="79">
        <v>0.0</v>
      </c>
      <c r="AC64" s="79">
        <v>0.0</v>
      </c>
      <c r="AD64" s="79">
        <v>0.0</v>
      </c>
      <c r="AE64" s="79">
        <v>0.0</v>
      </c>
      <c r="AF64" s="79">
        <v>0.0</v>
      </c>
      <c r="AG64" s="13">
        <f t="shared" si="16"/>
        <v>7</v>
      </c>
    </row>
    <row r="65" ht="12.75" customHeight="1">
      <c r="A65" s="18"/>
      <c r="B65" s="58"/>
      <c r="C65" s="53" t="s">
        <v>57</v>
      </c>
      <c r="D65" s="60"/>
      <c r="E65" s="79">
        <v>0.0</v>
      </c>
      <c r="F65" s="79">
        <v>0.0</v>
      </c>
      <c r="G65" s="79">
        <v>0.0</v>
      </c>
      <c r="H65" s="79">
        <v>0.0</v>
      </c>
      <c r="I65" s="79">
        <v>1.0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1.0</v>
      </c>
      <c r="P65" s="79">
        <v>0.0</v>
      </c>
      <c r="Q65" s="79">
        <v>0.0</v>
      </c>
      <c r="R65" s="79">
        <v>1.0</v>
      </c>
      <c r="S65" s="79">
        <v>0.0</v>
      </c>
      <c r="T65" s="79">
        <v>0.0</v>
      </c>
      <c r="U65" s="79">
        <v>0.0</v>
      </c>
      <c r="V65" s="79">
        <v>0.0</v>
      </c>
      <c r="W65" s="79">
        <v>0.0</v>
      </c>
      <c r="X65" s="79">
        <v>0.0</v>
      </c>
      <c r="Y65" s="79">
        <v>0.0</v>
      </c>
      <c r="Z65" s="79">
        <v>0.0</v>
      </c>
      <c r="AA65" s="79">
        <v>0.0</v>
      </c>
      <c r="AB65" s="79">
        <v>0.0</v>
      </c>
      <c r="AC65" s="79">
        <v>0.0</v>
      </c>
      <c r="AD65" s="79">
        <v>0.0</v>
      </c>
      <c r="AE65" s="79">
        <v>0.0</v>
      </c>
      <c r="AF65" s="79">
        <v>0.0</v>
      </c>
      <c r="AG65" s="13">
        <f t="shared" si="16"/>
        <v>3</v>
      </c>
    </row>
    <row r="66" ht="12.75" customHeight="1">
      <c r="A66" s="18"/>
      <c r="B66" s="58"/>
      <c r="C66" s="53" t="s">
        <v>58</v>
      </c>
      <c r="D66" s="60"/>
      <c r="E66" s="79">
        <v>0.0</v>
      </c>
      <c r="F66" s="79">
        <v>1.0</v>
      </c>
      <c r="G66" s="79">
        <v>0.0</v>
      </c>
      <c r="H66" s="79">
        <v>0.0</v>
      </c>
      <c r="I66" s="79">
        <v>0.0</v>
      </c>
      <c r="J66" s="79">
        <v>1.0</v>
      </c>
      <c r="K66" s="79">
        <v>1.0</v>
      </c>
      <c r="L66" s="79">
        <v>0.0</v>
      </c>
      <c r="M66" s="79">
        <v>0.0</v>
      </c>
      <c r="N66" s="79">
        <v>0.0</v>
      </c>
      <c r="O66" s="79">
        <v>1.0</v>
      </c>
      <c r="P66" s="79">
        <v>0.0</v>
      </c>
      <c r="Q66" s="79">
        <v>0.0</v>
      </c>
      <c r="R66" s="79">
        <v>0.0</v>
      </c>
      <c r="S66" s="79">
        <v>0.0</v>
      </c>
      <c r="T66" s="79">
        <v>1.0</v>
      </c>
      <c r="U66" s="79">
        <v>0.0</v>
      </c>
      <c r="V66" s="79">
        <v>1.0</v>
      </c>
      <c r="W66" s="79">
        <v>1.0</v>
      </c>
      <c r="X66" s="79">
        <v>0.0</v>
      </c>
      <c r="Y66" s="79">
        <v>0.0</v>
      </c>
      <c r="Z66" s="79">
        <v>1.0</v>
      </c>
      <c r="AA66" s="79">
        <v>2.0</v>
      </c>
      <c r="AB66" s="79">
        <v>0.0</v>
      </c>
      <c r="AC66" s="79">
        <v>0.0</v>
      </c>
      <c r="AD66" s="79">
        <v>1.0</v>
      </c>
      <c r="AE66" s="79">
        <v>0.0</v>
      </c>
      <c r="AF66" s="79">
        <v>0.0</v>
      </c>
      <c r="AG66" s="13">
        <f t="shared" si="16"/>
        <v>11</v>
      </c>
    </row>
    <row r="67" ht="12.75" customHeight="1">
      <c r="A67" s="19" t="s">
        <v>14</v>
      </c>
      <c r="B67" s="50" t="s">
        <v>48</v>
      </c>
      <c r="C67" s="15"/>
      <c r="D67" s="16"/>
      <c r="E67" s="13">
        <f t="shared" ref="E67:AF67" si="17">SUM(E57:E66)</f>
        <v>40</v>
      </c>
      <c r="F67" s="13">
        <f t="shared" si="17"/>
        <v>26</v>
      </c>
      <c r="G67" s="13">
        <f t="shared" si="17"/>
        <v>34</v>
      </c>
      <c r="H67" s="13">
        <f t="shared" si="17"/>
        <v>28</v>
      </c>
      <c r="I67" s="13">
        <f t="shared" si="17"/>
        <v>19</v>
      </c>
      <c r="J67" s="13">
        <f t="shared" si="17"/>
        <v>22</v>
      </c>
      <c r="K67" s="13">
        <f t="shared" si="17"/>
        <v>64</v>
      </c>
      <c r="L67" s="13">
        <f t="shared" si="17"/>
        <v>52</v>
      </c>
      <c r="M67" s="13">
        <f t="shared" si="17"/>
        <v>104</v>
      </c>
      <c r="N67" s="13">
        <f t="shared" si="17"/>
        <v>112</v>
      </c>
      <c r="O67" s="13">
        <f t="shared" si="17"/>
        <v>23</v>
      </c>
      <c r="P67" s="13">
        <f t="shared" si="17"/>
        <v>32</v>
      </c>
      <c r="Q67" s="13">
        <f t="shared" si="17"/>
        <v>72</v>
      </c>
      <c r="R67" s="13">
        <f t="shared" si="17"/>
        <v>52</v>
      </c>
      <c r="S67" s="13">
        <f t="shared" si="17"/>
        <v>56</v>
      </c>
      <c r="T67" s="13">
        <f t="shared" si="17"/>
        <v>57</v>
      </c>
      <c r="U67" s="13">
        <f t="shared" si="17"/>
        <v>50</v>
      </c>
      <c r="V67" s="13">
        <f t="shared" si="17"/>
        <v>33</v>
      </c>
      <c r="W67" s="13">
        <f t="shared" si="17"/>
        <v>49</v>
      </c>
      <c r="X67" s="13">
        <f t="shared" si="17"/>
        <v>17</v>
      </c>
      <c r="Y67" s="13">
        <f t="shared" si="17"/>
        <v>20</v>
      </c>
      <c r="Z67" s="13">
        <f t="shared" si="17"/>
        <v>26</v>
      </c>
      <c r="AA67" s="13">
        <f t="shared" si="17"/>
        <v>66</v>
      </c>
      <c r="AB67" s="13">
        <f t="shared" si="17"/>
        <v>16</v>
      </c>
      <c r="AC67" s="13">
        <f t="shared" si="17"/>
        <v>41</v>
      </c>
      <c r="AD67" s="13">
        <f t="shared" si="17"/>
        <v>42</v>
      </c>
      <c r="AE67" s="13">
        <f t="shared" si="17"/>
        <v>51</v>
      </c>
      <c r="AF67" s="13">
        <f t="shared" si="17"/>
        <v>38</v>
      </c>
      <c r="AG67" s="13">
        <f t="shared" si="16"/>
        <v>1242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36</v>
      </c>
      <c r="B69" s="50" t="s">
        <v>20</v>
      </c>
      <c r="C69" s="51" t="s">
        <v>59</v>
      </c>
      <c r="D69" s="16"/>
      <c r="E69" s="79">
        <v>9.0</v>
      </c>
      <c r="F69" s="79">
        <v>12.0</v>
      </c>
      <c r="G69" s="79">
        <v>14.0</v>
      </c>
      <c r="H69" s="79">
        <v>3.0</v>
      </c>
      <c r="I69" s="79">
        <v>5.0</v>
      </c>
      <c r="J69" s="79">
        <v>5.0</v>
      </c>
      <c r="K69" s="79">
        <v>9.0</v>
      </c>
      <c r="L69" s="79">
        <v>4.0</v>
      </c>
      <c r="M69" s="79">
        <v>6.0</v>
      </c>
      <c r="N69" s="79">
        <v>9.0</v>
      </c>
      <c r="O69" s="79">
        <v>4.0</v>
      </c>
      <c r="P69" s="79">
        <v>8.0</v>
      </c>
      <c r="Q69" s="79">
        <v>6.0</v>
      </c>
      <c r="R69" s="79">
        <v>4.0</v>
      </c>
      <c r="S69" s="79">
        <v>8.0</v>
      </c>
      <c r="T69" s="79">
        <v>8.0</v>
      </c>
      <c r="U69" s="79">
        <v>16.0</v>
      </c>
      <c r="V69" s="79">
        <v>29.0</v>
      </c>
      <c r="W69" s="79">
        <v>20.0</v>
      </c>
      <c r="X69" s="79">
        <v>22.0</v>
      </c>
      <c r="Y69" s="79">
        <v>14.0</v>
      </c>
      <c r="Z69" s="79">
        <v>24.0</v>
      </c>
      <c r="AA69" s="79">
        <v>11.0</v>
      </c>
      <c r="AB69" s="79">
        <v>13.0</v>
      </c>
      <c r="AC69" s="79">
        <v>11.0</v>
      </c>
      <c r="AD69" s="79">
        <v>9.0</v>
      </c>
      <c r="AE69" s="79">
        <v>6.0</v>
      </c>
      <c r="AF69" s="79">
        <v>16.0</v>
      </c>
      <c r="AG69" s="13">
        <f t="shared" ref="AG69:AG79" si="18">SUM(E69:AF69)</f>
        <v>305</v>
      </c>
    </row>
    <row r="70" ht="12.75" customHeight="1">
      <c r="A70" s="31" t="s">
        <v>38</v>
      </c>
      <c r="B70" s="58"/>
      <c r="C70" s="53" t="s">
        <v>60</v>
      </c>
      <c r="D70" s="61"/>
      <c r="E70" s="79">
        <v>7.0</v>
      </c>
      <c r="F70" s="79">
        <v>5.0</v>
      </c>
      <c r="G70" s="79">
        <v>8.0</v>
      </c>
      <c r="H70" s="79">
        <v>1.0</v>
      </c>
      <c r="I70" s="79">
        <v>2.0</v>
      </c>
      <c r="J70" s="79">
        <v>1.0</v>
      </c>
      <c r="K70" s="79">
        <v>1.0</v>
      </c>
      <c r="L70" s="79">
        <v>2.0</v>
      </c>
      <c r="M70" s="79">
        <v>3.0</v>
      </c>
      <c r="N70" s="79">
        <v>1.0</v>
      </c>
      <c r="O70" s="79">
        <v>2.0</v>
      </c>
      <c r="P70" s="79">
        <v>1.0</v>
      </c>
      <c r="Q70" s="79">
        <v>2.0</v>
      </c>
      <c r="R70" s="79">
        <v>5.0</v>
      </c>
      <c r="S70" s="79">
        <v>0.0</v>
      </c>
      <c r="T70" s="79">
        <v>6.0</v>
      </c>
      <c r="U70" s="79">
        <v>7.0</v>
      </c>
      <c r="V70" s="79">
        <v>6.0</v>
      </c>
      <c r="W70" s="79">
        <v>4.0</v>
      </c>
      <c r="X70" s="79">
        <v>13.0</v>
      </c>
      <c r="Y70" s="79">
        <v>10.0</v>
      </c>
      <c r="Z70" s="79">
        <v>11.0</v>
      </c>
      <c r="AA70" s="79">
        <v>5.0</v>
      </c>
      <c r="AB70" s="79">
        <v>11.0</v>
      </c>
      <c r="AC70" s="79">
        <v>8.0</v>
      </c>
      <c r="AD70" s="79">
        <v>4.0</v>
      </c>
      <c r="AE70" s="79">
        <v>2.0</v>
      </c>
      <c r="AF70" s="79">
        <v>4.0</v>
      </c>
      <c r="AG70" s="13">
        <f t="shared" si="18"/>
        <v>132</v>
      </c>
    </row>
    <row r="71" ht="12.75" customHeight="1">
      <c r="A71" s="18"/>
      <c r="B71" s="58"/>
      <c r="C71" s="53" t="s">
        <v>61</v>
      </c>
      <c r="D71" s="61"/>
      <c r="E71" s="79">
        <v>31.0</v>
      </c>
      <c r="F71" s="79">
        <v>7.0</v>
      </c>
      <c r="G71" s="79">
        <v>3.0</v>
      </c>
      <c r="H71" s="79">
        <v>2.0</v>
      </c>
      <c r="I71" s="79">
        <v>5.0</v>
      </c>
      <c r="J71" s="79">
        <v>62.0</v>
      </c>
      <c r="K71" s="79">
        <v>12.0</v>
      </c>
      <c r="L71" s="79">
        <v>9.0</v>
      </c>
      <c r="M71" s="79">
        <v>9.0</v>
      </c>
      <c r="N71" s="79">
        <v>0.0</v>
      </c>
      <c r="O71" s="79">
        <v>6.0</v>
      </c>
      <c r="P71" s="79">
        <v>58.0</v>
      </c>
      <c r="Q71" s="79">
        <v>27.0</v>
      </c>
      <c r="R71" s="79">
        <v>30.0</v>
      </c>
      <c r="S71" s="79">
        <v>59.0</v>
      </c>
      <c r="T71" s="79">
        <v>65.0</v>
      </c>
      <c r="U71" s="79">
        <v>6.0</v>
      </c>
      <c r="V71" s="79">
        <v>16.0</v>
      </c>
      <c r="W71" s="79">
        <v>29.0</v>
      </c>
      <c r="X71" s="79">
        <v>107.0</v>
      </c>
      <c r="Y71" s="79">
        <v>51.0</v>
      </c>
      <c r="Z71" s="79">
        <v>39.0</v>
      </c>
      <c r="AA71" s="79">
        <v>6.0</v>
      </c>
      <c r="AB71" s="79">
        <v>15.0</v>
      </c>
      <c r="AC71" s="79">
        <v>4.0</v>
      </c>
      <c r="AD71" s="79">
        <v>4.0</v>
      </c>
      <c r="AE71" s="79">
        <v>10.0</v>
      </c>
      <c r="AF71" s="79">
        <v>21.0</v>
      </c>
      <c r="AG71" s="13">
        <f t="shared" si="18"/>
        <v>693</v>
      </c>
    </row>
    <row r="72" ht="12.75" customHeight="1">
      <c r="A72" s="18"/>
      <c r="B72" s="58"/>
      <c r="C72" s="53" t="s">
        <v>62</v>
      </c>
      <c r="D72" s="61"/>
      <c r="E72" s="79">
        <v>1.0</v>
      </c>
      <c r="F72" s="79">
        <v>3.0</v>
      </c>
      <c r="G72" s="79">
        <v>5.0</v>
      </c>
      <c r="H72" s="79">
        <v>1.0</v>
      </c>
      <c r="I72" s="79">
        <v>2.0</v>
      </c>
      <c r="J72" s="79">
        <v>0.0</v>
      </c>
      <c r="K72" s="79">
        <v>1.0</v>
      </c>
      <c r="L72" s="79">
        <v>0.0</v>
      </c>
      <c r="M72" s="79">
        <v>1.0</v>
      </c>
      <c r="N72" s="79">
        <v>3.0</v>
      </c>
      <c r="O72" s="79">
        <v>0.0</v>
      </c>
      <c r="P72" s="79">
        <v>0.0</v>
      </c>
      <c r="Q72" s="79">
        <v>2.0</v>
      </c>
      <c r="R72" s="79">
        <v>3.0</v>
      </c>
      <c r="S72" s="79">
        <v>1.0</v>
      </c>
      <c r="T72" s="79">
        <v>1.0</v>
      </c>
      <c r="U72" s="79">
        <v>8.0</v>
      </c>
      <c r="V72" s="79">
        <v>11.0</v>
      </c>
      <c r="W72" s="79">
        <v>9.0</v>
      </c>
      <c r="X72" s="79">
        <v>10.0</v>
      </c>
      <c r="Y72" s="79">
        <v>4.0</v>
      </c>
      <c r="Z72" s="79">
        <v>7.0</v>
      </c>
      <c r="AA72" s="79">
        <v>5.0</v>
      </c>
      <c r="AB72" s="79">
        <v>12.0</v>
      </c>
      <c r="AC72" s="79">
        <v>2.0</v>
      </c>
      <c r="AD72" s="79">
        <v>3.0</v>
      </c>
      <c r="AE72" s="79">
        <v>5.0</v>
      </c>
      <c r="AF72" s="79">
        <v>2.0</v>
      </c>
      <c r="AG72" s="13">
        <f t="shared" si="18"/>
        <v>102</v>
      </c>
    </row>
    <row r="73" ht="12.75" customHeight="1">
      <c r="A73" s="18"/>
      <c r="B73" s="58"/>
      <c r="C73" s="53" t="s">
        <v>63</v>
      </c>
      <c r="D73" s="61"/>
      <c r="E73" s="79">
        <v>2.0</v>
      </c>
      <c r="F73" s="79">
        <v>4.0</v>
      </c>
      <c r="G73" s="79">
        <v>6.0</v>
      </c>
      <c r="H73" s="79">
        <v>1.0</v>
      </c>
      <c r="I73" s="79">
        <v>0.0</v>
      </c>
      <c r="J73" s="79">
        <v>1.0</v>
      </c>
      <c r="K73" s="79">
        <v>7.0</v>
      </c>
      <c r="L73" s="79">
        <v>2.0</v>
      </c>
      <c r="M73" s="79">
        <v>12.0</v>
      </c>
      <c r="N73" s="79">
        <v>5.0</v>
      </c>
      <c r="O73" s="79">
        <v>0.0</v>
      </c>
      <c r="P73" s="79">
        <v>4.0</v>
      </c>
      <c r="Q73" s="79">
        <v>1.0</v>
      </c>
      <c r="R73" s="79">
        <v>0.0</v>
      </c>
      <c r="S73" s="79">
        <v>3.0</v>
      </c>
      <c r="T73" s="79">
        <v>3.0</v>
      </c>
      <c r="U73" s="79">
        <v>6.0</v>
      </c>
      <c r="V73" s="79">
        <v>4.0</v>
      </c>
      <c r="W73" s="79">
        <v>1.0</v>
      </c>
      <c r="X73" s="79">
        <v>4.0</v>
      </c>
      <c r="Y73" s="79">
        <v>10.0</v>
      </c>
      <c r="Z73" s="79">
        <v>3.0</v>
      </c>
      <c r="AA73" s="79">
        <v>1.0</v>
      </c>
      <c r="AB73" s="79">
        <v>8.0</v>
      </c>
      <c r="AC73" s="79">
        <v>10.0</v>
      </c>
      <c r="AD73" s="79">
        <v>2.0</v>
      </c>
      <c r="AE73" s="79">
        <v>2.0</v>
      </c>
      <c r="AF73" s="79">
        <v>3.0</v>
      </c>
      <c r="AG73" s="13">
        <f t="shared" si="18"/>
        <v>105</v>
      </c>
    </row>
    <row r="74" ht="12.75" customHeight="1">
      <c r="A74" s="18"/>
      <c r="B74" s="58"/>
      <c r="C74" s="53" t="s">
        <v>64</v>
      </c>
      <c r="D74" s="61"/>
      <c r="E74" s="79">
        <v>1.0</v>
      </c>
      <c r="F74" s="79">
        <v>0.0</v>
      </c>
      <c r="G74" s="79">
        <v>0.0</v>
      </c>
      <c r="H74" s="79">
        <v>0.0</v>
      </c>
      <c r="I74" s="79">
        <v>0.0</v>
      </c>
      <c r="J74" s="79">
        <v>0.0</v>
      </c>
      <c r="K74" s="79">
        <v>1.0</v>
      </c>
      <c r="L74" s="79">
        <v>5.0</v>
      </c>
      <c r="M74" s="79">
        <v>3.0</v>
      </c>
      <c r="N74" s="79">
        <v>2.0</v>
      </c>
      <c r="O74" s="79">
        <v>3.0</v>
      </c>
      <c r="P74" s="79">
        <v>0.0</v>
      </c>
      <c r="Q74" s="79">
        <v>0.0</v>
      </c>
      <c r="R74" s="79">
        <v>1.0</v>
      </c>
      <c r="S74" s="79">
        <v>1.0</v>
      </c>
      <c r="T74" s="79">
        <v>1.0</v>
      </c>
      <c r="U74" s="79">
        <v>1.0</v>
      </c>
      <c r="V74" s="79">
        <v>1.0</v>
      </c>
      <c r="W74" s="79">
        <v>2.0</v>
      </c>
      <c r="X74" s="79">
        <v>2.0</v>
      </c>
      <c r="Y74" s="79">
        <v>4.0</v>
      </c>
      <c r="Z74" s="79">
        <v>0.0</v>
      </c>
      <c r="AA74" s="79">
        <v>2.0</v>
      </c>
      <c r="AB74" s="79">
        <v>5.0</v>
      </c>
      <c r="AC74" s="79">
        <v>4.0</v>
      </c>
      <c r="AD74" s="79">
        <v>5.0</v>
      </c>
      <c r="AE74" s="79">
        <v>0.0</v>
      </c>
      <c r="AF74" s="79">
        <v>1.0</v>
      </c>
      <c r="AG74" s="13">
        <f t="shared" si="18"/>
        <v>45</v>
      </c>
    </row>
    <row r="75" ht="12.75" customHeight="1">
      <c r="A75" s="18"/>
      <c r="B75" s="58"/>
      <c r="C75" s="53" t="s">
        <v>65</v>
      </c>
      <c r="D75" s="61"/>
      <c r="E75" s="79">
        <v>0.0</v>
      </c>
      <c r="F75" s="79">
        <v>1.0</v>
      </c>
      <c r="G75" s="79">
        <v>2.0</v>
      </c>
      <c r="H75" s="79">
        <v>0.0</v>
      </c>
      <c r="I75" s="79">
        <v>1.0</v>
      </c>
      <c r="J75" s="79">
        <v>1.0</v>
      </c>
      <c r="K75" s="79">
        <v>2.0</v>
      </c>
      <c r="L75" s="79">
        <v>2.0</v>
      </c>
      <c r="M75" s="79">
        <v>3.0</v>
      </c>
      <c r="N75" s="79">
        <v>1.0</v>
      </c>
      <c r="O75" s="79">
        <v>1.0</v>
      </c>
      <c r="P75" s="79">
        <v>0.0</v>
      </c>
      <c r="Q75" s="79">
        <v>0.0</v>
      </c>
      <c r="R75" s="79">
        <v>1.0</v>
      </c>
      <c r="S75" s="79">
        <v>1.0</v>
      </c>
      <c r="T75" s="79">
        <v>0.0</v>
      </c>
      <c r="U75" s="79">
        <v>0.0</v>
      </c>
      <c r="V75" s="79">
        <v>4.0</v>
      </c>
      <c r="W75" s="79">
        <v>2.0</v>
      </c>
      <c r="X75" s="79">
        <v>2.0</v>
      </c>
      <c r="Y75" s="79">
        <v>2.0</v>
      </c>
      <c r="Z75" s="79">
        <v>1.0</v>
      </c>
      <c r="AA75" s="79">
        <v>3.0</v>
      </c>
      <c r="AB75" s="79">
        <v>5.0</v>
      </c>
      <c r="AC75" s="79">
        <v>4.0</v>
      </c>
      <c r="AD75" s="79">
        <v>3.0</v>
      </c>
      <c r="AE75" s="79">
        <v>2.0</v>
      </c>
      <c r="AF75" s="79">
        <v>2.0</v>
      </c>
      <c r="AG75" s="13">
        <f t="shared" si="18"/>
        <v>46</v>
      </c>
    </row>
    <row r="76" ht="12.75" customHeight="1">
      <c r="A76" s="18"/>
      <c r="B76" s="58"/>
      <c r="C76" s="53" t="s">
        <v>66</v>
      </c>
      <c r="D76" s="61"/>
      <c r="E76" s="79">
        <v>0.0</v>
      </c>
      <c r="F76" s="79">
        <v>0.0</v>
      </c>
      <c r="G76" s="79">
        <v>0.0</v>
      </c>
      <c r="H76" s="79">
        <v>1.0</v>
      </c>
      <c r="I76" s="79">
        <v>0.0</v>
      </c>
      <c r="J76" s="79">
        <v>0.0</v>
      </c>
      <c r="K76" s="79">
        <v>0.0</v>
      </c>
      <c r="L76" s="79">
        <v>1.0</v>
      </c>
      <c r="M76" s="79">
        <v>0.0</v>
      </c>
      <c r="N76" s="79">
        <v>0.0</v>
      </c>
      <c r="O76" s="79">
        <v>0.0</v>
      </c>
      <c r="P76" s="79">
        <v>1.0</v>
      </c>
      <c r="Q76" s="79">
        <v>0.0</v>
      </c>
      <c r="R76" s="79">
        <v>0.0</v>
      </c>
      <c r="S76" s="79">
        <v>0.0</v>
      </c>
      <c r="T76" s="79">
        <v>1.0</v>
      </c>
      <c r="U76" s="79">
        <v>0.0</v>
      </c>
      <c r="V76" s="79">
        <v>0.0</v>
      </c>
      <c r="W76" s="79">
        <v>2.0</v>
      </c>
      <c r="X76" s="79">
        <v>2.0</v>
      </c>
      <c r="Y76" s="79">
        <v>1.0</v>
      </c>
      <c r="Z76" s="79">
        <v>0.0</v>
      </c>
      <c r="AA76" s="79">
        <v>0.0</v>
      </c>
      <c r="AB76" s="79">
        <v>3.0</v>
      </c>
      <c r="AC76" s="79">
        <v>2.0</v>
      </c>
      <c r="AD76" s="79">
        <v>1.0</v>
      </c>
      <c r="AE76" s="79">
        <v>0.0</v>
      </c>
      <c r="AF76" s="79">
        <v>1.0</v>
      </c>
      <c r="AG76" s="13">
        <f t="shared" si="18"/>
        <v>16</v>
      </c>
    </row>
    <row r="77" ht="12.75" customHeight="1">
      <c r="A77" s="18"/>
      <c r="B77" s="58"/>
      <c r="C77" s="53" t="s">
        <v>67</v>
      </c>
      <c r="D77" s="61"/>
      <c r="E77" s="79">
        <v>0.0</v>
      </c>
      <c r="F77" s="79">
        <v>0.0</v>
      </c>
      <c r="G77" s="79">
        <v>0.0</v>
      </c>
      <c r="H77" s="79">
        <v>1.0</v>
      </c>
      <c r="I77" s="79">
        <v>0.0</v>
      </c>
      <c r="J77" s="79">
        <v>0.0</v>
      </c>
      <c r="K77" s="79">
        <v>0.0</v>
      </c>
      <c r="L77" s="79">
        <v>0.0</v>
      </c>
      <c r="M77" s="79">
        <v>1.0</v>
      </c>
      <c r="N77" s="79">
        <v>0.0</v>
      </c>
      <c r="O77" s="79">
        <v>1.0</v>
      </c>
      <c r="P77" s="79">
        <v>0.0</v>
      </c>
      <c r="Q77" s="79">
        <v>0.0</v>
      </c>
      <c r="R77" s="79">
        <v>1.0</v>
      </c>
      <c r="S77" s="79">
        <v>1.0</v>
      </c>
      <c r="T77" s="79">
        <v>0.0</v>
      </c>
      <c r="U77" s="79">
        <v>0.0</v>
      </c>
      <c r="V77" s="79">
        <v>1.0</v>
      </c>
      <c r="W77" s="79">
        <v>1.0</v>
      </c>
      <c r="X77" s="79">
        <v>1.0</v>
      </c>
      <c r="Y77" s="79">
        <v>2.0</v>
      </c>
      <c r="Z77" s="79">
        <v>0.0</v>
      </c>
      <c r="AA77" s="79">
        <v>0.0</v>
      </c>
      <c r="AB77" s="79">
        <v>3.0</v>
      </c>
      <c r="AC77" s="79">
        <v>2.0</v>
      </c>
      <c r="AD77" s="79">
        <v>1.0</v>
      </c>
      <c r="AE77" s="79">
        <v>0.0</v>
      </c>
      <c r="AF77" s="79">
        <v>0.0</v>
      </c>
      <c r="AG77" s="13">
        <f t="shared" si="18"/>
        <v>16</v>
      </c>
    </row>
    <row r="78" ht="12.75" customHeight="1">
      <c r="A78" s="18"/>
      <c r="B78" s="58"/>
      <c r="C78" s="53" t="s">
        <v>68</v>
      </c>
      <c r="D78" s="61"/>
      <c r="E78" s="79">
        <v>0.0</v>
      </c>
      <c r="F78" s="79">
        <v>0.0</v>
      </c>
      <c r="G78" s="79">
        <v>1.0</v>
      </c>
      <c r="H78" s="79">
        <v>0.0</v>
      </c>
      <c r="I78" s="79">
        <v>0.0</v>
      </c>
      <c r="J78" s="79">
        <v>0.0</v>
      </c>
      <c r="K78" s="79">
        <v>3.0</v>
      </c>
      <c r="L78" s="79">
        <v>1.0</v>
      </c>
      <c r="M78" s="79">
        <v>1.0</v>
      </c>
      <c r="N78" s="79">
        <v>1.0</v>
      </c>
      <c r="O78" s="79">
        <v>1.0</v>
      </c>
      <c r="P78" s="79">
        <v>1.0</v>
      </c>
      <c r="Q78" s="79">
        <v>0.0</v>
      </c>
      <c r="R78" s="79">
        <v>0.0</v>
      </c>
      <c r="S78" s="79">
        <v>0.0</v>
      </c>
      <c r="T78" s="79">
        <v>1.0</v>
      </c>
      <c r="U78" s="79">
        <v>0.0</v>
      </c>
      <c r="V78" s="79">
        <v>1.0</v>
      </c>
      <c r="W78" s="79">
        <v>0.0</v>
      </c>
      <c r="X78" s="79">
        <v>0.0</v>
      </c>
      <c r="Y78" s="79">
        <v>0.0</v>
      </c>
      <c r="Z78" s="79">
        <v>0.0</v>
      </c>
      <c r="AA78" s="79">
        <v>2.0</v>
      </c>
      <c r="AB78" s="79">
        <v>1.0</v>
      </c>
      <c r="AC78" s="79">
        <v>2.0</v>
      </c>
      <c r="AD78" s="79">
        <v>3.0</v>
      </c>
      <c r="AE78" s="79">
        <v>0.0</v>
      </c>
      <c r="AF78" s="79">
        <v>2.0</v>
      </c>
      <c r="AG78" s="13">
        <f t="shared" si="18"/>
        <v>21</v>
      </c>
    </row>
    <row r="79" ht="12.75" customHeight="1">
      <c r="A79" s="19" t="s">
        <v>14</v>
      </c>
      <c r="B79" s="50" t="s">
        <v>48</v>
      </c>
      <c r="C79" s="15"/>
      <c r="D79" s="16"/>
      <c r="E79" s="13">
        <f t="shared" ref="E79:AF79" si="19">SUM(E69:E78)</f>
        <v>51</v>
      </c>
      <c r="F79" s="13">
        <f t="shared" si="19"/>
        <v>32</v>
      </c>
      <c r="G79" s="13">
        <f t="shared" si="19"/>
        <v>39</v>
      </c>
      <c r="H79" s="13">
        <f t="shared" si="19"/>
        <v>10</v>
      </c>
      <c r="I79" s="13">
        <f t="shared" si="19"/>
        <v>15</v>
      </c>
      <c r="J79" s="13">
        <f t="shared" si="19"/>
        <v>70</v>
      </c>
      <c r="K79" s="13">
        <f t="shared" si="19"/>
        <v>36</v>
      </c>
      <c r="L79" s="13">
        <f t="shared" si="19"/>
        <v>26</v>
      </c>
      <c r="M79" s="13">
        <f t="shared" si="19"/>
        <v>39</v>
      </c>
      <c r="N79" s="13">
        <f t="shared" si="19"/>
        <v>22</v>
      </c>
      <c r="O79" s="13">
        <f t="shared" si="19"/>
        <v>18</v>
      </c>
      <c r="P79" s="13">
        <f t="shared" si="19"/>
        <v>73</v>
      </c>
      <c r="Q79" s="13">
        <f t="shared" si="19"/>
        <v>38</v>
      </c>
      <c r="R79" s="13">
        <f t="shared" si="19"/>
        <v>45</v>
      </c>
      <c r="S79" s="13">
        <f t="shared" si="19"/>
        <v>74</v>
      </c>
      <c r="T79" s="13">
        <f t="shared" si="19"/>
        <v>86</v>
      </c>
      <c r="U79" s="13">
        <f t="shared" si="19"/>
        <v>44</v>
      </c>
      <c r="V79" s="13">
        <f t="shared" si="19"/>
        <v>73</v>
      </c>
      <c r="W79" s="13">
        <f t="shared" si="19"/>
        <v>70</v>
      </c>
      <c r="X79" s="13">
        <f t="shared" si="19"/>
        <v>163</v>
      </c>
      <c r="Y79" s="13">
        <f t="shared" si="19"/>
        <v>98</v>
      </c>
      <c r="Z79" s="13">
        <f t="shared" si="19"/>
        <v>85</v>
      </c>
      <c r="AA79" s="13">
        <f t="shared" si="19"/>
        <v>35</v>
      </c>
      <c r="AB79" s="13">
        <f t="shared" si="19"/>
        <v>76</v>
      </c>
      <c r="AC79" s="13">
        <f t="shared" si="19"/>
        <v>49</v>
      </c>
      <c r="AD79" s="13">
        <f t="shared" si="19"/>
        <v>35</v>
      </c>
      <c r="AE79" s="13">
        <f t="shared" si="19"/>
        <v>27</v>
      </c>
      <c r="AF79" s="13">
        <f t="shared" si="19"/>
        <v>52</v>
      </c>
      <c r="AG79" s="13">
        <f t="shared" si="18"/>
        <v>1481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36</v>
      </c>
      <c r="B81" s="50" t="s">
        <v>22</v>
      </c>
      <c r="C81" s="51" t="s">
        <v>69</v>
      </c>
      <c r="D81" s="16"/>
      <c r="E81" s="79">
        <v>7.0</v>
      </c>
      <c r="F81" s="79">
        <v>8.0</v>
      </c>
      <c r="G81" s="79">
        <v>4.0</v>
      </c>
      <c r="H81" s="79">
        <v>7.0</v>
      </c>
      <c r="I81" s="79">
        <v>3.0</v>
      </c>
      <c r="J81" s="79">
        <v>4.0</v>
      </c>
      <c r="K81" s="79">
        <v>0.0</v>
      </c>
      <c r="L81" s="79">
        <v>7.0</v>
      </c>
      <c r="M81" s="79">
        <v>4.0</v>
      </c>
      <c r="N81" s="79">
        <v>1.0</v>
      </c>
      <c r="O81" s="79">
        <v>4.0</v>
      </c>
      <c r="P81" s="79">
        <v>2.0</v>
      </c>
      <c r="Q81" s="79">
        <v>0.0</v>
      </c>
      <c r="R81" s="79">
        <v>3.0</v>
      </c>
      <c r="S81" s="79">
        <v>3.0</v>
      </c>
      <c r="T81" s="79">
        <v>1.0</v>
      </c>
      <c r="U81" s="79">
        <v>2.0</v>
      </c>
      <c r="V81" s="79">
        <v>11.0</v>
      </c>
      <c r="W81" s="79">
        <v>3.0</v>
      </c>
      <c r="X81" s="79">
        <v>1.0</v>
      </c>
      <c r="Y81" s="79">
        <v>5.0</v>
      </c>
      <c r="Z81" s="79">
        <v>3.0</v>
      </c>
      <c r="AA81" s="79">
        <v>2.0</v>
      </c>
      <c r="AB81" s="79">
        <v>2.0</v>
      </c>
      <c r="AC81" s="79">
        <v>8.0</v>
      </c>
      <c r="AD81" s="79">
        <v>7.0</v>
      </c>
      <c r="AE81" s="79">
        <v>5.0</v>
      </c>
      <c r="AF81" s="79">
        <v>10.0</v>
      </c>
      <c r="AG81" s="13">
        <f t="shared" ref="AG81:AG91" si="20">SUM(E81:AF81)</f>
        <v>117</v>
      </c>
    </row>
    <row r="82" ht="12.75" customHeight="1">
      <c r="A82" s="31" t="s">
        <v>38</v>
      </c>
      <c r="B82" s="58"/>
      <c r="C82" s="53" t="s">
        <v>70</v>
      </c>
      <c r="D82" s="61"/>
      <c r="E82" s="79">
        <v>7.0</v>
      </c>
      <c r="F82" s="79">
        <v>5.0</v>
      </c>
      <c r="G82" s="79">
        <v>2.0</v>
      </c>
      <c r="H82" s="79">
        <v>24.0</v>
      </c>
      <c r="I82" s="79">
        <v>6.0</v>
      </c>
      <c r="J82" s="79">
        <v>7.0</v>
      </c>
      <c r="K82" s="79">
        <v>5.0</v>
      </c>
      <c r="L82" s="79">
        <v>10.0</v>
      </c>
      <c r="M82" s="79">
        <v>4.0</v>
      </c>
      <c r="N82" s="79">
        <v>9.0</v>
      </c>
      <c r="O82" s="79">
        <v>102.0</v>
      </c>
      <c r="P82" s="79">
        <v>15.0</v>
      </c>
      <c r="Q82" s="79">
        <v>5.0</v>
      </c>
      <c r="R82" s="79">
        <v>7.0</v>
      </c>
      <c r="S82" s="79">
        <v>0.0</v>
      </c>
      <c r="T82" s="79">
        <v>1.0</v>
      </c>
      <c r="U82" s="79">
        <v>4.0</v>
      </c>
      <c r="V82" s="79">
        <v>10.0</v>
      </c>
      <c r="W82" s="79">
        <v>7.0</v>
      </c>
      <c r="X82" s="79">
        <v>9.0</v>
      </c>
      <c r="Y82" s="79">
        <v>7.0</v>
      </c>
      <c r="Z82" s="79">
        <v>3.0</v>
      </c>
      <c r="AA82" s="79">
        <v>33.0</v>
      </c>
      <c r="AB82" s="79">
        <v>11.0</v>
      </c>
      <c r="AC82" s="79">
        <v>22.0</v>
      </c>
      <c r="AD82" s="79">
        <v>26.0</v>
      </c>
      <c r="AE82" s="79">
        <v>0.0</v>
      </c>
      <c r="AF82" s="79">
        <v>32.0</v>
      </c>
      <c r="AG82" s="13">
        <f t="shared" si="20"/>
        <v>373</v>
      </c>
    </row>
    <row r="83" ht="12.75" customHeight="1">
      <c r="A83" s="18"/>
      <c r="B83" s="58"/>
      <c r="C83" s="53" t="s">
        <v>71</v>
      </c>
      <c r="D83" s="61"/>
      <c r="E83" s="79">
        <v>0.0</v>
      </c>
      <c r="F83" s="79">
        <v>2.0</v>
      </c>
      <c r="G83" s="79">
        <v>2.0</v>
      </c>
      <c r="H83" s="79">
        <v>3.0</v>
      </c>
      <c r="I83" s="79">
        <v>0.0</v>
      </c>
      <c r="J83" s="79">
        <v>1.0</v>
      </c>
      <c r="K83" s="79">
        <v>0.0</v>
      </c>
      <c r="L83" s="79">
        <v>1.0</v>
      </c>
      <c r="M83" s="79">
        <v>1.0</v>
      </c>
      <c r="N83" s="79">
        <v>1.0</v>
      </c>
      <c r="O83" s="79">
        <v>1.0</v>
      </c>
      <c r="P83" s="79">
        <v>1.0</v>
      </c>
      <c r="Q83" s="79">
        <v>1.0</v>
      </c>
      <c r="R83" s="79">
        <v>0.0</v>
      </c>
      <c r="S83" s="79">
        <v>0.0</v>
      </c>
      <c r="T83" s="79">
        <v>0.0</v>
      </c>
      <c r="U83" s="79">
        <v>2.0</v>
      </c>
      <c r="V83" s="79">
        <v>3.0</v>
      </c>
      <c r="W83" s="79">
        <v>1.0</v>
      </c>
      <c r="X83" s="79">
        <v>0.0</v>
      </c>
      <c r="Y83" s="79">
        <v>4.0</v>
      </c>
      <c r="Z83" s="79">
        <v>0.0</v>
      </c>
      <c r="AA83" s="79">
        <v>3.0</v>
      </c>
      <c r="AB83" s="79">
        <v>0.0</v>
      </c>
      <c r="AC83" s="79">
        <v>2.0</v>
      </c>
      <c r="AD83" s="79">
        <v>5.0</v>
      </c>
      <c r="AE83" s="79">
        <v>0.0</v>
      </c>
      <c r="AF83" s="79">
        <v>0.0</v>
      </c>
      <c r="AG83" s="13">
        <f t="shared" si="20"/>
        <v>34</v>
      </c>
    </row>
    <row r="84" ht="12.75" customHeight="1">
      <c r="A84" s="18"/>
      <c r="B84" s="58"/>
      <c r="C84" s="53" t="s">
        <v>72</v>
      </c>
      <c r="D84" s="61"/>
      <c r="E84" s="79">
        <v>1.0</v>
      </c>
      <c r="F84" s="79">
        <v>0.0</v>
      </c>
      <c r="G84" s="79">
        <v>2.0</v>
      </c>
      <c r="H84" s="79">
        <v>3.0</v>
      </c>
      <c r="I84" s="79">
        <v>0.0</v>
      </c>
      <c r="J84" s="79">
        <v>3.0</v>
      </c>
      <c r="K84" s="79">
        <v>0.0</v>
      </c>
      <c r="L84" s="79">
        <v>0.0</v>
      </c>
      <c r="M84" s="79">
        <v>1.0</v>
      </c>
      <c r="N84" s="79">
        <v>1.0</v>
      </c>
      <c r="O84" s="79">
        <v>0.0</v>
      </c>
      <c r="P84" s="79">
        <v>2.0</v>
      </c>
      <c r="Q84" s="79">
        <v>0.0</v>
      </c>
      <c r="R84" s="79">
        <v>0.0</v>
      </c>
      <c r="S84" s="79">
        <v>0.0</v>
      </c>
      <c r="T84" s="79">
        <v>1.0</v>
      </c>
      <c r="U84" s="79">
        <v>0.0</v>
      </c>
      <c r="V84" s="79">
        <v>6.0</v>
      </c>
      <c r="W84" s="79">
        <v>1.0</v>
      </c>
      <c r="X84" s="79">
        <v>0.0</v>
      </c>
      <c r="Y84" s="79">
        <v>0.0</v>
      </c>
      <c r="Z84" s="79">
        <v>2.0</v>
      </c>
      <c r="AA84" s="79">
        <v>2.0</v>
      </c>
      <c r="AB84" s="79">
        <v>1.0</v>
      </c>
      <c r="AC84" s="79">
        <v>2.0</v>
      </c>
      <c r="AD84" s="79">
        <v>0.0</v>
      </c>
      <c r="AE84" s="79">
        <v>1.0</v>
      </c>
      <c r="AF84" s="79">
        <v>3.0</v>
      </c>
      <c r="AG84" s="13">
        <f t="shared" si="20"/>
        <v>32</v>
      </c>
    </row>
    <row r="85" ht="12.75" customHeight="1">
      <c r="A85" s="18"/>
      <c r="B85" s="58"/>
      <c r="C85" s="53" t="s">
        <v>73</v>
      </c>
      <c r="D85" s="61"/>
      <c r="E85" s="79">
        <v>0.0</v>
      </c>
      <c r="F85" s="79">
        <v>2.0</v>
      </c>
      <c r="G85" s="79">
        <v>1.0</v>
      </c>
      <c r="H85" s="79">
        <v>0.0</v>
      </c>
      <c r="I85" s="79">
        <v>0.0</v>
      </c>
      <c r="J85" s="79">
        <v>0.0</v>
      </c>
      <c r="K85" s="79">
        <v>1.0</v>
      </c>
      <c r="L85" s="79">
        <v>1.0</v>
      </c>
      <c r="M85" s="79">
        <v>0.0</v>
      </c>
      <c r="N85" s="79">
        <v>0.0</v>
      </c>
      <c r="O85" s="79">
        <v>0.0</v>
      </c>
      <c r="P85" s="79">
        <v>0.0</v>
      </c>
      <c r="Q85" s="79">
        <v>0.0</v>
      </c>
      <c r="R85" s="79">
        <v>3.0</v>
      </c>
      <c r="S85" s="79">
        <v>1.0</v>
      </c>
      <c r="T85" s="79">
        <v>0.0</v>
      </c>
      <c r="U85" s="79">
        <v>2.0</v>
      </c>
      <c r="V85" s="79">
        <v>2.0</v>
      </c>
      <c r="W85" s="79">
        <v>0.0</v>
      </c>
      <c r="X85" s="79">
        <v>1.0</v>
      </c>
      <c r="Y85" s="79">
        <v>1.0</v>
      </c>
      <c r="Z85" s="79">
        <v>0.0</v>
      </c>
      <c r="AA85" s="79">
        <v>2.0</v>
      </c>
      <c r="AB85" s="79">
        <v>2.0</v>
      </c>
      <c r="AC85" s="79">
        <v>0.0</v>
      </c>
      <c r="AD85" s="79">
        <v>2.0</v>
      </c>
      <c r="AE85" s="79">
        <v>1.0</v>
      </c>
      <c r="AF85" s="79">
        <v>1.0</v>
      </c>
      <c r="AG85" s="13">
        <f t="shared" si="20"/>
        <v>23</v>
      </c>
    </row>
    <row r="86" ht="12.75" customHeight="1">
      <c r="A86" s="18"/>
      <c r="B86" s="58"/>
      <c r="C86" s="53" t="s">
        <v>74</v>
      </c>
      <c r="D86" s="61"/>
      <c r="E86" s="79">
        <v>2.0</v>
      </c>
      <c r="F86" s="79">
        <v>11.0</v>
      </c>
      <c r="G86" s="79">
        <v>7.0</v>
      </c>
      <c r="H86" s="79">
        <v>7.0</v>
      </c>
      <c r="I86" s="79">
        <v>1.0</v>
      </c>
      <c r="J86" s="79">
        <v>0.0</v>
      </c>
      <c r="K86" s="79">
        <v>0.0</v>
      </c>
      <c r="L86" s="79">
        <v>4.0</v>
      </c>
      <c r="M86" s="79">
        <v>12.0</v>
      </c>
      <c r="N86" s="79">
        <v>4.0</v>
      </c>
      <c r="O86" s="79">
        <v>0.0</v>
      </c>
      <c r="P86" s="79">
        <v>2.0</v>
      </c>
      <c r="Q86" s="79">
        <v>1.0</v>
      </c>
      <c r="R86" s="79">
        <v>0.0</v>
      </c>
      <c r="S86" s="79">
        <v>0.0</v>
      </c>
      <c r="T86" s="79">
        <v>3.0</v>
      </c>
      <c r="U86" s="79">
        <v>0.0</v>
      </c>
      <c r="V86" s="79">
        <v>1.0</v>
      </c>
      <c r="W86" s="79">
        <v>0.0</v>
      </c>
      <c r="X86" s="79">
        <v>1.0</v>
      </c>
      <c r="Y86" s="79">
        <v>1.0</v>
      </c>
      <c r="Z86" s="79">
        <v>0.0</v>
      </c>
      <c r="AA86" s="79">
        <v>2.0</v>
      </c>
      <c r="AB86" s="79">
        <v>1.0</v>
      </c>
      <c r="AC86" s="79">
        <v>6.0</v>
      </c>
      <c r="AD86" s="79">
        <v>4.0</v>
      </c>
      <c r="AE86" s="79">
        <v>0.0</v>
      </c>
      <c r="AF86" s="79">
        <v>0.0</v>
      </c>
      <c r="AG86" s="13">
        <f t="shared" si="20"/>
        <v>70</v>
      </c>
    </row>
    <row r="87" ht="12.75" customHeight="1">
      <c r="A87" s="18"/>
      <c r="B87" s="58"/>
      <c r="C87" s="53" t="s">
        <v>75</v>
      </c>
      <c r="D87" s="61"/>
      <c r="E87" s="79">
        <v>0.0</v>
      </c>
      <c r="F87" s="79">
        <v>1.0</v>
      </c>
      <c r="G87" s="79">
        <v>0.0</v>
      </c>
      <c r="H87" s="79">
        <v>0.0</v>
      </c>
      <c r="I87" s="79">
        <v>0.0</v>
      </c>
      <c r="J87" s="79">
        <v>0.0</v>
      </c>
      <c r="K87" s="79">
        <v>0.0</v>
      </c>
      <c r="L87" s="79">
        <v>1.0</v>
      </c>
      <c r="M87" s="79">
        <v>0.0</v>
      </c>
      <c r="N87" s="79">
        <v>0.0</v>
      </c>
      <c r="O87" s="79">
        <v>0.0</v>
      </c>
      <c r="P87" s="79">
        <v>0.0</v>
      </c>
      <c r="Q87" s="79">
        <v>0.0</v>
      </c>
      <c r="R87" s="79">
        <v>0.0</v>
      </c>
      <c r="S87" s="79">
        <v>0.0</v>
      </c>
      <c r="T87" s="79">
        <v>0.0</v>
      </c>
      <c r="U87" s="79">
        <v>0.0</v>
      </c>
      <c r="V87" s="79">
        <v>1.0</v>
      </c>
      <c r="W87" s="79">
        <v>0.0</v>
      </c>
      <c r="X87" s="79">
        <v>0.0</v>
      </c>
      <c r="Y87" s="79">
        <v>0.0</v>
      </c>
      <c r="Z87" s="79">
        <v>0.0</v>
      </c>
      <c r="AA87" s="79">
        <v>0.0</v>
      </c>
      <c r="AB87" s="79">
        <v>0.0</v>
      </c>
      <c r="AC87" s="79">
        <v>0.0</v>
      </c>
      <c r="AD87" s="79">
        <v>2.0</v>
      </c>
      <c r="AE87" s="79">
        <v>0.0</v>
      </c>
      <c r="AF87" s="79">
        <v>0.0</v>
      </c>
      <c r="AG87" s="13">
        <f t="shared" si="20"/>
        <v>5</v>
      </c>
    </row>
    <row r="88" ht="12.75" customHeight="1">
      <c r="A88" s="18"/>
      <c r="B88" s="58"/>
      <c r="C88" s="53" t="s">
        <v>76</v>
      </c>
      <c r="D88" s="61"/>
      <c r="E88" s="79">
        <v>1.0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1.0</v>
      </c>
      <c r="L88" s="79">
        <v>0.0</v>
      </c>
      <c r="M88" s="79">
        <v>0.0</v>
      </c>
      <c r="N88" s="79">
        <v>0.0</v>
      </c>
      <c r="O88" s="79">
        <v>0.0</v>
      </c>
      <c r="P88" s="79">
        <v>0.0</v>
      </c>
      <c r="Q88" s="79">
        <v>0.0</v>
      </c>
      <c r="R88" s="79">
        <v>0.0</v>
      </c>
      <c r="S88" s="79">
        <v>0.0</v>
      </c>
      <c r="T88" s="79">
        <v>0.0</v>
      </c>
      <c r="U88" s="79">
        <v>0.0</v>
      </c>
      <c r="V88" s="79">
        <v>0.0</v>
      </c>
      <c r="W88" s="79">
        <v>0.0</v>
      </c>
      <c r="X88" s="79">
        <v>0.0</v>
      </c>
      <c r="Y88" s="79">
        <v>0.0</v>
      </c>
      <c r="Z88" s="79">
        <v>0.0</v>
      </c>
      <c r="AA88" s="79">
        <v>0.0</v>
      </c>
      <c r="AB88" s="79">
        <v>0.0</v>
      </c>
      <c r="AC88" s="79">
        <v>0.0</v>
      </c>
      <c r="AD88" s="79">
        <v>0.0</v>
      </c>
      <c r="AE88" s="79">
        <v>0.0</v>
      </c>
      <c r="AF88" s="79">
        <v>0.0</v>
      </c>
      <c r="AG88" s="13">
        <f t="shared" si="20"/>
        <v>2</v>
      </c>
    </row>
    <row r="89" ht="12.75" customHeight="1">
      <c r="A89" s="18"/>
      <c r="B89" s="58"/>
      <c r="C89" s="53" t="s">
        <v>77</v>
      </c>
      <c r="D89" s="61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0.0</v>
      </c>
      <c r="V89" s="79">
        <v>0.0</v>
      </c>
      <c r="W89" s="79">
        <v>1.0</v>
      </c>
      <c r="X89" s="79">
        <v>0.0</v>
      </c>
      <c r="Y89" s="79">
        <v>0.0</v>
      </c>
      <c r="Z89" s="79">
        <v>0.0</v>
      </c>
      <c r="AA89" s="79">
        <v>0.0</v>
      </c>
      <c r="AB89" s="79">
        <v>0.0</v>
      </c>
      <c r="AC89" s="79">
        <v>1.0</v>
      </c>
      <c r="AD89" s="79">
        <v>0.0</v>
      </c>
      <c r="AE89" s="79">
        <v>0.0</v>
      </c>
      <c r="AF89" s="79">
        <v>0.0</v>
      </c>
      <c r="AG89" s="13">
        <f t="shared" si="20"/>
        <v>2</v>
      </c>
    </row>
    <row r="90" ht="12.75" customHeight="1">
      <c r="A90" s="18"/>
      <c r="B90" s="58"/>
      <c r="C90" s="53" t="s">
        <v>78</v>
      </c>
      <c r="D90" s="61"/>
      <c r="E90" s="79">
        <v>1.0</v>
      </c>
      <c r="F90" s="79">
        <v>0.0</v>
      </c>
      <c r="G90" s="79">
        <v>1.0</v>
      </c>
      <c r="H90" s="79">
        <v>0.0</v>
      </c>
      <c r="I90" s="79">
        <v>0.0</v>
      </c>
      <c r="J90" s="79">
        <v>0.0</v>
      </c>
      <c r="K90" s="79">
        <v>1.0</v>
      </c>
      <c r="L90" s="79">
        <v>0.0</v>
      </c>
      <c r="M90" s="79">
        <v>0.0</v>
      </c>
      <c r="N90" s="79">
        <v>0.0</v>
      </c>
      <c r="O90" s="79">
        <v>0.0</v>
      </c>
      <c r="P90" s="79">
        <v>0.0</v>
      </c>
      <c r="Q90" s="79">
        <v>0.0</v>
      </c>
      <c r="R90" s="79">
        <v>0.0</v>
      </c>
      <c r="S90" s="79">
        <v>0.0</v>
      </c>
      <c r="T90" s="79">
        <v>1.0</v>
      </c>
      <c r="U90" s="79">
        <v>0.0</v>
      </c>
      <c r="V90" s="79">
        <v>0.0</v>
      </c>
      <c r="W90" s="79">
        <v>0.0</v>
      </c>
      <c r="X90" s="79">
        <v>0.0</v>
      </c>
      <c r="Y90" s="79">
        <v>0.0</v>
      </c>
      <c r="Z90" s="79">
        <v>1.0</v>
      </c>
      <c r="AA90" s="79">
        <v>0.0</v>
      </c>
      <c r="AB90" s="79">
        <v>0.0</v>
      </c>
      <c r="AC90" s="79">
        <v>0.0</v>
      </c>
      <c r="AD90" s="79">
        <v>0.0</v>
      </c>
      <c r="AE90" s="79">
        <v>0.0</v>
      </c>
      <c r="AF90" s="79">
        <v>0.0</v>
      </c>
      <c r="AG90" s="13">
        <f t="shared" si="20"/>
        <v>5</v>
      </c>
    </row>
    <row r="91" ht="12.75" customHeight="1">
      <c r="A91" s="19" t="s">
        <v>14</v>
      </c>
      <c r="B91" s="50" t="s">
        <v>48</v>
      </c>
      <c r="C91" s="15"/>
      <c r="D91" s="16"/>
      <c r="E91" s="13">
        <f t="shared" ref="E91:AF91" si="21">SUM(E81:E90)</f>
        <v>19</v>
      </c>
      <c r="F91" s="13">
        <f t="shared" si="21"/>
        <v>29</v>
      </c>
      <c r="G91" s="13">
        <f t="shared" si="21"/>
        <v>19</v>
      </c>
      <c r="H91" s="13">
        <f t="shared" si="21"/>
        <v>44</v>
      </c>
      <c r="I91" s="13">
        <f t="shared" si="21"/>
        <v>10</v>
      </c>
      <c r="J91" s="13">
        <f t="shared" si="21"/>
        <v>15</v>
      </c>
      <c r="K91" s="13">
        <f t="shared" si="21"/>
        <v>8</v>
      </c>
      <c r="L91" s="13">
        <f t="shared" si="21"/>
        <v>24</v>
      </c>
      <c r="M91" s="13">
        <f t="shared" si="21"/>
        <v>22</v>
      </c>
      <c r="N91" s="13">
        <f t="shared" si="21"/>
        <v>16</v>
      </c>
      <c r="O91" s="13">
        <f t="shared" si="21"/>
        <v>107</v>
      </c>
      <c r="P91" s="13">
        <f t="shared" si="21"/>
        <v>22</v>
      </c>
      <c r="Q91" s="13">
        <f t="shared" si="21"/>
        <v>7</v>
      </c>
      <c r="R91" s="13">
        <f t="shared" si="21"/>
        <v>13</v>
      </c>
      <c r="S91" s="13">
        <f t="shared" si="21"/>
        <v>4</v>
      </c>
      <c r="T91" s="13">
        <f t="shared" si="21"/>
        <v>7</v>
      </c>
      <c r="U91" s="13">
        <f t="shared" si="21"/>
        <v>10</v>
      </c>
      <c r="V91" s="13">
        <f t="shared" si="21"/>
        <v>34</v>
      </c>
      <c r="W91" s="13">
        <f t="shared" si="21"/>
        <v>13</v>
      </c>
      <c r="X91" s="13">
        <f t="shared" si="21"/>
        <v>12</v>
      </c>
      <c r="Y91" s="13">
        <f t="shared" si="21"/>
        <v>18</v>
      </c>
      <c r="Z91" s="13">
        <f t="shared" si="21"/>
        <v>9</v>
      </c>
      <c r="AA91" s="13">
        <f t="shared" si="21"/>
        <v>44</v>
      </c>
      <c r="AB91" s="13">
        <f t="shared" si="21"/>
        <v>17</v>
      </c>
      <c r="AC91" s="13">
        <f t="shared" si="21"/>
        <v>41</v>
      </c>
      <c r="AD91" s="13">
        <f t="shared" si="21"/>
        <v>46</v>
      </c>
      <c r="AE91" s="13">
        <f t="shared" si="21"/>
        <v>7</v>
      </c>
      <c r="AF91" s="13">
        <f t="shared" si="21"/>
        <v>46</v>
      </c>
      <c r="AG91" s="13">
        <f t="shared" si="20"/>
        <v>663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36</v>
      </c>
      <c r="B93" s="50" t="s">
        <v>79</v>
      </c>
      <c r="C93" s="51" t="s">
        <v>80</v>
      </c>
      <c r="D93" s="16"/>
      <c r="E93" s="79">
        <v>0.0</v>
      </c>
      <c r="F93" s="79">
        <v>2.0</v>
      </c>
      <c r="G93" s="79">
        <v>0.0</v>
      </c>
      <c r="H93" s="79">
        <v>0.0</v>
      </c>
      <c r="I93" s="79">
        <v>0.0</v>
      </c>
      <c r="J93" s="79">
        <v>0.0</v>
      </c>
      <c r="K93" s="79">
        <v>2.0</v>
      </c>
      <c r="L93" s="79">
        <v>0.0</v>
      </c>
      <c r="M93" s="79">
        <v>3.0</v>
      </c>
      <c r="N93" s="79">
        <v>0.0</v>
      </c>
      <c r="O93" s="79">
        <v>0.0</v>
      </c>
      <c r="P93" s="79">
        <v>0.0</v>
      </c>
      <c r="Q93" s="79">
        <v>1.0</v>
      </c>
      <c r="R93" s="79">
        <v>0.0</v>
      </c>
      <c r="S93" s="79">
        <v>2.0</v>
      </c>
      <c r="T93" s="79">
        <v>2.0</v>
      </c>
      <c r="U93" s="79">
        <v>0.0</v>
      </c>
      <c r="V93" s="79">
        <v>4.0</v>
      </c>
      <c r="W93" s="79">
        <v>0.0</v>
      </c>
      <c r="X93" s="79">
        <v>0.0</v>
      </c>
      <c r="Y93" s="79">
        <v>0.0</v>
      </c>
      <c r="Z93" s="79">
        <v>0.0</v>
      </c>
      <c r="AA93" s="79">
        <v>1.0</v>
      </c>
      <c r="AB93" s="79">
        <v>1.0</v>
      </c>
      <c r="AC93" s="79">
        <v>0.0</v>
      </c>
      <c r="AD93" s="79">
        <v>0.0</v>
      </c>
      <c r="AE93" s="79">
        <v>0.0</v>
      </c>
      <c r="AF93" s="79">
        <v>0.0</v>
      </c>
      <c r="AG93" s="13">
        <f t="shared" ref="AG93:AG103" si="22">SUM(E93:AF93)</f>
        <v>18</v>
      </c>
    </row>
    <row r="94" ht="12.75" customHeight="1">
      <c r="A94" s="31" t="s">
        <v>38</v>
      </c>
      <c r="B94" s="58"/>
      <c r="C94" s="53" t="s">
        <v>81</v>
      </c>
      <c r="D94" s="61"/>
      <c r="E94" s="79">
        <v>0.0</v>
      </c>
      <c r="F94" s="79">
        <v>1.0</v>
      </c>
      <c r="G94" s="79">
        <v>2.0</v>
      </c>
      <c r="H94" s="79">
        <v>0.0</v>
      </c>
      <c r="I94" s="79">
        <v>3.0</v>
      </c>
      <c r="J94" s="79">
        <v>0.0</v>
      </c>
      <c r="K94" s="79">
        <v>1.0</v>
      </c>
      <c r="L94" s="79">
        <v>3.0</v>
      </c>
      <c r="M94" s="79">
        <v>0.0</v>
      </c>
      <c r="N94" s="79">
        <v>0.0</v>
      </c>
      <c r="O94" s="79">
        <v>0.0</v>
      </c>
      <c r="P94" s="79">
        <v>0.0</v>
      </c>
      <c r="Q94" s="79">
        <v>0.0</v>
      </c>
      <c r="R94" s="79">
        <v>0.0</v>
      </c>
      <c r="S94" s="79">
        <v>2.0</v>
      </c>
      <c r="T94" s="79">
        <v>0.0</v>
      </c>
      <c r="U94" s="79">
        <v>1.0</v>
      </c>
      <c r="V94" s="79">
        <v>0.0</v>
      </c>
      <c r="W94" s="79">
        <v>1.0</v>
      </c>
      <c r="X94" s="79">
        <v>0.0</v>
      </c>
      <c r="Y94" s="79">
        <v>0.0</v>
      </c>
      <c r="Z94" s="79">
        <v>1.0</v>
      </c>
      <c r="AA94" s="79">
        <v>2.0</v>
      </c>
      <c r="AB94" s="79">
        <v>0.0</v>
      </c>
      <c r="AC94" s="79">
        <v>0.0</v>
      </c>
      <c r="AD94" s="79">
        <v>0.0</v>
      </c>
      <c r="AE94" s="79">
        <v>1.0</v>
      </c>
      <c r="AF94" s="79">
        <v>2.0</v>
      </c>
      <c r="AG94" s="13">
        <f t="shared" si="22"/>
        <v>20</v>
      </c>
    </row>
    <row r="95" ht="12.75" customHeight="1">
      <c r="A95" s="18"/>
      <c r="B95" s="58"/>
      <c r="C95" s="53" t="s">
        <v>82</v>
      </c>
      <c r="D95" s="61"/>
      <c r="E95" s="79">
        <v>0.0</v>
      </c>
      <c r="F95" s="79">
        <v>0.0</v>
      </c>
      <c r="G95" s="79">
        <v>0.0</v>
      </c>
      <c r="H95" s="79">
        <v>0.0</v>
      </c>
      <c r="I95" s="79">
        <v>0.0</v>
      </c>
      <c r="J95" s="79">
        <v>1.0</v>
      </c>
      <c r="K95" s="79">
        <v>0.0</v>
      </c>
      <c r="L95" s="79">
        <v>0.0</v>
      </c>
      <c r="M95" s="79">
        <v>0.0</v>
      </c>
      <c r="N95" s="79">
        <v>0.0</v>
      </c>
      <c r="O95" s="79">
        <v>0.0</v>
      </c>
      <c r="P95" s="79">
        <v>0.0</v>
      </c>
      <c r="Q95" s="79">
        <v>0.0</v>
      </c>
      <c r="R95" s="79">
        <v>0.0</v>
      </c>
      <c r="S95" s="79">
        <v>0.0</v>
      </c>
      <c r="T95" s="79">
        <v>0.0</v>
      </c>
      <c r="U95" s="79">
        <v>1.0</v>
      </c>
      <c r="V95" s="79">
        <v>0.0</v>
      </c>
      <c r="W95" s="79">
        <v>0.0</v>
      </c>
      <c r="X95" s="79">
        <v>0.0</v>
      </c>
      <c r="Y95" s="79">
        <v>0.0</v>
      </c>
      <c r="Z95" s="79">
        <v>0.0</v>
      </c>
      <c r="AA95" s="79">
        <v>0.0</v>
      </c>
      <c r="AB95" s="79">
        <v>0.0</v>
      </c>
      <c r="AC95" s="79">
        <v>0.0</v>
      </c>
      <c r="AD95" s="79">
        <v>0.0</v>
      </c>
      <c r="AE95" s="79">
        <v>0.0</v>
      </c>
      <c r="AF95" s="79">
        <v>0.0</v>
      </c>
      <c r="AG95" s="13">
        <f t="shared" si="22"/>
        <v>2</v>
      </c>
    </row>
    <row r="96" ht="12.75" customHeight="1">
      <c r="A96" s="18"/>
      <c r="B96" s="58"/>
      <c r="C96" s="53" t="s">
        <v>83</v>
      </c>
      <c r="D96" s="61"/>
      <c r="E96" s="79">
        <v>0.0</v>
      </c>
      <c r="F96" s="79">
        <v>1.0</v>
      </c>
      <c r="G96" s="79">
        <v>0.0</v>
      </c>
      <c r="H96" s="79">
        <v>0.0</v>
      </c>
      <c r="I96" s="79">
        <v>0.0</v>
      </c>
      <c r="J96" s="79">
        <v>0.0</v>
      </c>
      <c r="K96" s="79">
        <v>0.0</v>
      </c>
      <c r="L96" s="79">
        <v>1.0</v>
      </c>
      <c r="M96" s="79">
        <v>0.0</v>
      </c>
      <c r="N96" s="79">
        <v>0.0</v>
      </c>
      <c r="O96" s="79">
        <v>0.0</v>
      </c>
      <c r="P96" s="79">
        <v>1.0</v>
      </c>
      <c r="Q96" s="79">
        <v>0.0</v>
      </c>
      <c r="R96" s="79">
        <v>0.0</v>
      </c>
      <c r="S96" s="79">
        <v>0.0</v>
      </c>
      <c r="T96" s="79">
        <v>0.0</v>
      </c>
      <c r="U96" s="79">
        <v>1.0</v>
      </c>
      <c r="V96" s="79">
        <v>0.0</v>
      </c>
      <c r="W96" s="79">
        <v>0.0</v>
      </c>
      <c r="X96" s="79">
        <v>0.0</v>
      </c>
      <c r="Y96" s="79">
        <v>1.0</v>
      </c>
      <c r="Z96" s="79">
        <v>0.0</v>
      </c>
      <c r="AA96" s="79">
        <v>0.0</v>
      </c>
      <c r="AB96" s="79">
        <v>1.0</v>
      </c>
      <c r="AC96" s="79">
        <v>0.0</v>
      </c>
      <c r="AD96" s="79">
        <v>0.0</v>
      </c>
      <c r="AE96" s="79">
        <v>0.0</v>
      </c>
      <c r="AF96" s="79">
        <v>0.0</v>
      </c>
      <c r="AG96" s="13">
        <f t="shared" si="22"/>
        <v>6</v>
      </c>
    </row>
    <row r="97" ht="12.75" customHeight="1">
      <c r="A97" s="18"/>
      <c r="B97" s="58"/>
      <c r="C97" s="53" t="s">
        <v>84</v>
      </c>
      <c r="D97" s="61"/>
      <c r="E97" s="79">
        <v>0.0</v>
      </c>
      <c r="F97" s="79">
        <v>2.0</v>
      </c>
      <c r="G97" s="79">
        <v>1.0</v>
      </c>
      <c r="H97" s="79">
        <v>0.0</v>
      </c>
      <c r="I97" s="79">
        <v>0.0</v>
      </c>
      <c r="J97" s="79">
        <v>0.0</v>
      </c>
      <c r="K97" s="79">
        <v>0.0</v>
      </c>
      <c r="L97" s="79">
        <v>0.0</v>
      </c>
      <c r="M97" s="79">
        <v>0.0</v>
      </c>
      <c r="N97" s="79">
        <v>0.0</v>
      </c>
      <c r="O97" s="79">
        <v>0.0</v>
      </c>
      <c r="P97" s="79">
        <v>0.0</v>
      </c>
      <c r="Q97" s="79">
        <v>1.0</v>
      </c>
      <c r="R97" s="79">
        <v>0.0</v>
      </c>
      <c r="S97" s="79">
        <v>0.0</v>
      </c>
      <c r="T97" s="79">
        <v>0.0</v>
      </c>
      <c r="U97" s="79">
        <v>0.0</v>
      </c>
      <c r="V97" s="79">
        <v>2.0</v>
      </c>
      <c r="W97" s="79">
        <v>0.0</v>
      </c>
      <c r="X97" s="79">
        <v>0.0</v>
      </c>
      <c r="Y97" s="79">
        <v>0.0</v>
      </c>
      <c r="Z97" s="79">
        <v>0.0</v>
      </c>
      <c r="AA97" s="79">
        <v>1.0</v>
      </c>
      <c r="AB97" s="79">
        <v>0.0</v>
      </c>
      <c r="AC97" s="79">
        <v>0.0</v>
      </c>
      <c r="AD97" s="79">
        <v>0.0</v>
      </c>
      <c r="AE97" s="79">
        <v>0.0</v>
      </c>
      <c r="AF97" s="79">
        <v>0.0</v>
      </c>
      <c r="AG97" s="13">
        <f t="shared" si="22"/>
        <v>7</v>
      </c>
    </row>
    <row r="98" ht="12.75" customHeight="1">
      <c r="A98" s="18"/>
      <c r="B98" s="58"/>
      <c r="C98" s="53" t="s">
        <v>85</v>
      </c>
      <c r="D98" s="61"/>
      <c r="E98" s="79">
        <v>1.0</v>
      </c>
      <c r="F98" s="79">
        <v>1.0</v>
      </c>
      <c r="G98" s="79">
        <v>0.0</v>
      </c>
      <c r="H98" s="79">
        <v>0.0</v>
      </c>
      <c r="I98" s="79">
        <v>0.0</v>
      </c>
      <c r="J98" s="79">
        <v>0.0</v>
      </c>
      <c r="K98" s="79">
        <v>0.0</v>
      </c>
      <c r="L98" s="79">
        <v>0.0</v>
      </c>
      <c r="M98" s="79">
        <v>0.0</v>
      </c>
      <c r="N98" s="79">
        <v>0.0</v>
      </c>
      <c r="O98" s="79">
        <v>0.0</v>
      </c>
      <c r="P98" s="79">
        <v>0.0</v>
      </c>
      <c r="Q98" s="79">
        <v>0.0</v>
      </c>
      <c r="R98" s="79">
        <v>0.0</v>
      </c>
      <c r="S98" s="79">
        <v>0.0</v>
      </c>
      <c r="T98" s="79">
        <v>2.0</v>
      </c>
      <c r="U98" s="79">
        <v>0.0</v>
      </c>
      <c r="V98" s="79">
        <v>0.0</v>
      </c>
      <c r="W98" s="79">
        <v>0.0</v>
      </c>
      <c r="X98" s="79">
        <v>0.0</v>
      </c>
      <c r="Y98" s="79">
        <v>0.0</v>
      </c>
      <c r="Z98" s="79">
        <v>0.0</v>
      </c>
      <c r="AA98" s="79">
        <v>0.0</v>
      </c>
      <c r="AB98" s="79">
        <v>0.0</v>
      </c>
      <c r="AC98" s="79">
        <v>2.0</v>
      </c>
      <c r="AD98" s="79">
        <v>0.0</v>
      </c>
      <c r="AE98" s="79">
        <v>0.0</v>
      </c>
      <c r="AF98" s="79">
        <v>0.0</v>
      </c>
      <c r="AG98" s="13">
        <f t="shared" si="22"/>
        <v>6</v>
      </c>
    </row>
    <row r="99" ht="12.75" customHeight="1">
      <c r="A99" s="18"/>
      <c r="B99" s="58"/>
      <c r="C99" s="53" t="s">
        <v>86</v>
      </c>
      <c r="D99" s="61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0.0</v>
      </c>
      <c r="Q99" s="79">
        <v>0.0</v>
      </c>
      <c r="R99" s="79">
        <v>0.0</v>
      </c>
      <c r="S99" s="79">
        <v>0.0</v>
      </c>
      <c r="T99" s="79">
        <v>0.0</v>
      </c>
      <c r="U99" s="79">
        <v>0.0</v>
      </c>
      <c r="V99" s="79">
        <v>0.0</v>
      </c>
      <c r="W99" s="79">
        <v>0.0</v>
      </c>
      <c r="X99" s="79">
        <v>0.0</v>
      </c>
      <c r="Y99" s="79">
        <v>0.0</v>
      </c>
      <c r="Z99" s="79">
        <v>0.0</v>
      </c>
      <c r="AA99" s="79">
        <v>0.0</v>
      </c>
      <c r="AB99" s="79">
        <v>0.0</v>
      </c>
      <c r="AC99" s="79">
        <v>0.0</v>
      </c>
      <c r="AD99" s="79">
        <v>0.0</v>
      </c>
      <c r="AE99" s="79">
        <v>0.0</v>
      </c>
      <c r="AF99" s="79">
        <v>0.0</v>
      </c>
      <c r="AG99" s="13">
        <f t="shared" si="22"/>
        <v>0</v>
      </c>
    </row>
    <row r="100" ht="12.75" customHeight="1">
      <c r="A100" s="18"/>
      <c r="B100" s="58"/>
      <c r="C100" s="53" t="s">
        <v>87</v>
      </c>
      <c r="D100" s="61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79">
        <v>0.0</v>
      </c>
      <c r="U100" s="79">
        <v>0.0</v>
      </c>
      <c r="V100" s="79">
        <v>0.0</v>
      </c>
      <c r="W100" s="79">
        <v>0.0</v>
      </c>
      <c r="X100" s="79">
        <v>0.0</v>
      </c>
      <c r="Y100" s="79">
        <v>0.0</v>
      </c>
      <c r="Z100" s="79">
        <v>0.0</v>
      </c>
      <c r="AA100" s="79">
        <v>0.0</v>
      </c>
      <c r="AB100" s="79">
        <v>0.0</v>
      </c>
      <c r="AC100" s="79">
        <v>0.0</v>
      </c>
      <c r="AD100" s="79">
        <v>0.0</v>
      </c>
      <c r="AE100" s="79">
        <v>0.0</v>
      </c>
      <c r="AF100" s="79">
        <v>0.0</v>
      </c>
      <c r="AG100" s="13">
        <f t="shared" si="22"/>
        <v>0</v>
      </c>
    </row>
    <row r="101" ht="12.75" customHeight="1">
      <c r="A101" s="18"/>
      <c r="B101" s="58"/>
      <c r="C101" s="53" t="s">
        <v>88</v>
      </c>
      <c r="D101" s="61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>
        <v>0.0</v>
      </c>
      <c r="R101" s="79">
        <v>0.0</v>
      </c>
      <c r="S101" s="79">
        <v>0.0</v>
      </c>
      <c r="T101" s="79">
        <v>0.0</v>
      </c>
      <c r="U101" s="79">
        <v>0.0</v>
      </c>
      <c r="V101" s="79">
        <v>0.0</v>
      </c>
      <c r="W101" s="79">
        <v>0.0</v>
      </c>
      <c r="X101" s="79">
        <v>0.0</v>
      </c>
      <c r="Y101" s="79">
        <v>0.0</v>
      </c>
      <c r="Z101" s="79">
        <v>0.0</v>
      </c>
      <c r="AA101" s="79">
        <v>0.0</v>
      </c>
      <c r="AB101" s="79">
        <v>0.0</v>
      </c>
      <c r="AC101" s="79">
        <v>0.0</v>
      </c>
      <c r="AD101" s="79">
        <v>0.0</v>
      </c>
      <c r="AE101" s="79">
        <v>0.0</v>
      </c>
      <c r="AF101" s="79">
        <v>0.0</v>
      </c>
      <c r="AG101" s="13">
        <f t="shared" si="22"/>
        <v>0</v>
      </c>
    </row>
    <row r="102" ht="12.75" customHeight="1">
      <c r="A102" s="18"/>
      <c r="B102" s="58"/>
      <c r="C102" s="53" t="s">
        <v>89</v>
      </c>
      <c r="D102" s="61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79">
        <v>0.0</v>
      </c>
      <c r="T102" s="79">
        <v>0.0</v>
      </c>
      <c r="U102" s="79">
        <v>0.0</v>
      </c>
      <c r="V102" s="79">
        <v>0.0</v>
      </c>
      <c r="W102" s="79">
        <v>0.0</v>
      </c>
      <c r="X102" s="79">
        <v>0.0</v>
      </c>
      <c r="Y102" s="79">
        <v>0.0</v>
      </c>
      <c r="Z102" s="79">
        <v>0.0</v>
      </c>
      <c r="AA102" s="79">
        <v>0.0</v>
      </c>
      <c r="AB102" s="79">
        <v>0.0</v>
      </c>
      <c r="AC102" s="79">
        <v>0.0</v>
      </c>
      <c r="AD102" s="79">
        <v>0.0</v>
      </c>
      <c r="AE102" s="79">
        <v>0.0</v>
      </c>
      <c r="AF102" s="79">
        <v>0.0</v>
      </c>
      <c r="AG102" s="13">
        <f t="shared" si="22"/>
        <v>0</v>
      </c>
    </row>
    <row r="103" ht="12.75" customHeight="1">
      <c r="A103" s="19" t="s">
        <v>14</v>
      </c>
      <c r="B103" s="50" t="s">
        <v>48</v>
      </c>
      <c r="C103" s="15"/>
      <c r="D103" s="16"/>
      <c r="E103" s="13">
        <f t="shared" ref="E103:AF103" si="23">SUM(E93:E102)</f>
        <v>1</v>
      </c>
      <c r="F103" s="13">
        <f t="shared" si="23"/>
        <v>7</v>
      </c>
      <c r="G103" s="13">
        <f t="shared" si="23"/>
        <v>3</v>
      </c>
      <c r="H103" s="13">
        <f t="shared" si="23"/>
        <v>0</v>
      </c>
      <c r="I103" s="13">
        <f t="shared" si="23"/>
        <v>3</v>
      </c>
      <c r="J103" s="13">
        <f t="shared" si="23"/>
        <v>1</v>
      </c>
      <c r="K103" s="13">
        <f t="shared" si="23"/>
        <v>3</v>
      </c>
      <c r="L103" s="13">
        <f t="shared" si="23"/>
        <v>4</v>
      </c>
      <c r="M103" s="13">
        <f t="shared" si="23"/>
        <v>3</v>
      </c>
      <c r="N103" s="13">
        <f t="shared" si="23"/>
        <v>0</v>
      </c>
      <c r="O103" s="13">
        <f t="shared" si="23"/>
        <v>0</v>
      </c>
      <c r="P103" s="13">
        <f t="shared" si="23"/>
        <v>1</v>
      </c>
      <c r="Q103" s="13">
        <f t="shared" si="23"/>
        <v>2</v>
      </c>
      <c r="R103" s="13">
        <f t="shared" si="23"/>
        <v>0</v>
      </c>
      <c r="S103" s="13">
        <f t="shared" si="23"/>
        <v>4</v>
      </c>
      <c r="T103" s="13">
        <f t="shared" si="23"/>
        <v>4</v>
      </c>
      <c r="U103" s="13">
        <f t="shared" si="23"/>
        <v>3</v>
      </c>
      <c r="V103" s="13">
        <f t="shared" si="23"/>
        <v>6</v>
      </c>
      <c r="W103" s="13">
        <f t="shared" si="23"/>
        <v>1</v>
      </c>
      <c r="X103" s="13">
        <f t="shared" si="23"/>
        <v>0</v>
      </c>
      <c r="Y103" s="13">
        <f t="shared" si="23"/>
        <v>1</v>
      </c>
      <c r="Z103" s="13">
        <f t="shared" si="23"/>
        <v>1</v>
      </c>
      <c r="AA103" s="13">
        <f t="shared" si="23"/>
        <v>4</v>
      </c>
      <c r="AB103" s="13">
        <f t="shared" si="23"/>
        <v>2</v>
      </c>
      <c r="AC103" s="13">
        <f t="shared" si="23"/>
        <v>2</v>
      </c>
      <c r="AD103" s="13">
        <f t="shared" si="23"/>
        <v>0</v>
      </c>
      <c r="AE103" s="13">
        <f t="shared" si="23"/>
        <v>1</v>
      </c>
      <c r="AF103" s="13">
        <f t="shared" si="23"/>
        <v>2</v>
      </c>
      <c r="AG103" s="13">
        <f t="shared" si="22"/>
        <v>59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</row>
    <row r="105" ht="12.75" customHeight="1">
      <c r="A105" s="31" t="s">
        <v>36</v>
      </c>
      <c r="B105" s="50" t="s">
        <v>90</v>
      </c>
      <c r="C105" s="51" t="s">
        <v>91</v>
      </c>
      <c r="D105" s="16"/>
      <c r="E105" s="79">
        <v>0.0</v>
      </c>
      <c r="F105" s="79">
        <v>0.0</v>
      </c>
      <c r="G105" s="79">
        <v>1.0</v>
      </c>
      <c r="H105" s="79">
        <v>0.0</v>
      </c>
      <c r="I105" s="79">
        <v>0.0</v>
      </c>
      <c r="J105" s="79">
        <v>1.0</v>
      </c>
      <c r="K105" s="79">
        <v>8.0</v>
      </c>
      <c r="L105" s="79">
        <v>0.0</v>
      </c>
      <c r="M105" s="79">
        <v>1.0</v>
      </c>
      <c r="N105" s="79">
        <v>2.0</v>
      </c>
      <c r="O105" s="79">
        <v>1.0</v>
      </c>
      <c r="P105" s="79">
        <v>3.0</v>
      </c>
      <c r="Q105" s="79">
        <v>1.0</v>
      </c>
      <c r="R105" s="79">
        <v>0.0</v>
      </c>
      <c r="S105" s="79">
        <v>0.0</v>
      </c>
      <c r="T105" s="79">
        <v>0.0</v>
      </c>
      <c r="U105" s="79">
        <v>0.0</v>
      </c>
      <c r="V105" s="79">
        <v>1.0</v>
      </c>
      <c r="W105" s="79">
        <v>0.0</v>
      </c>
      <c r="X105" s="79">
        <v>1.0</v>
      </c>
      <c r="Y105" s="79">
        <v>0.0</v>
      </c>
      <c r="Z105" s="79">
        <v>0.0</v>
      </c>
      <c r="AA105" s="79">
        <v>0.0</v>
      </c>
      <c r="AB105" s="79">
        <v>0.0</v>
      </c>
      <c r="AC105" s="79">
        <v>2.0</v>
      </c>
      <c r="AD105" s="79">
        <v>1.0</v>
      </c>
      <c r="AE105" s="79">
        <v>3.0</v>
      </c>
      <c r="AF105" s="79">
        <v>1.0</v>
      </c>
      <c r="AG105" s="13">
        <f t="shared" ref="AG105:AG107" si="24">SUM(E105:AF105)</f>
        <v>27</v>
      </c>
    </row>
    <row r="106" ht="12.75" customHeight="1">
      <c r="A106" s="31" t="s">
        <v>38</v>
      </c>
      <c r="B106" s="58"/>
      <c r="C106" s="53" t="s">
        <v>92</v>
      </c>
      <c r="D106" s="61"/>
      <c r="E106" s="79">
        <v>0.0</v>
      </c>
      <c r="F106" s="79">
        <v>0.0</v>
      </c>
      <c r="G106" s="79">
        <v>0.0</v>
      </c>
      <c r="H106" s="79">
        <v>0.0</v>
      </c>
      <c r="I106" s="79">
        <v>1.0</v>
      </c>
      <c r="J106" s="79">
        <v>1.0</v>
      </c>
      <c r="K106" s="79">
        <v>0.0</v>
      </c>
      <c r="L106" s="79">
        <v>1.0</v>
      </c>
      <c r="M106" s="79">
        <v>1.0</v>
      </c>
      <c r="N106" s="79">
        <v>0.0</v>
      </c>
      <c r="O106" s="79">
        <v>0.0</v>
      </c>
      <c r="P106" s="79">
        <v>0.0</v>
      </c>
      <c r="Q106" s="79">
        <v>0.0</v>
      </c>
      <c r="R106" s="79">
        <v>0.0</v>
      </c>
      <c r="S106" s="79">
        <v>0.0</v>
      </c>
      <c r="T106" s="79">
        <v>0.0</v>
      </c>
      <c r="U106" s="79">
        <v>1.0</v>
      </c>
      <c r="V106" s="79">
        <v>0.0</v>
      </c>
      <c r="W106" s="79">
        <v>1.0</v>
      </c>
      <c r="X106" s="79">
        <v>0.0</v>
      </c>
      <c r="Y106" s="79">
        <v>0.0</v>
      </c>
      <c r="Z106" s="79">
        <v>2.0</v>
      </c>
      <c r="AA106" s="79">
        <v>0.0</v>
      </c>
      <c r="AB106" s="79">
        <v>0.0</v>
      </c>
      <c r="AC106" s="79">
        <v>0.0</v>
      </c>
      <c r="AD106" s="79">
        <v>1.0</v>
      </c>
      <c r="AE106" s="79">
        <v>0.0</v>
      </c>
      <c r="AF106" s="79">
        <v>0.0</v>
      </c>
      <c r="AG106" s="13">
        <f t="shared" si="24"/>
        <v>9</v>
      </c>
    </row>
    <row r="107" ht="12.75" customHeight="1">
      <c r="A107" s="18"/>
      <c r="B107" s="58"/>
      <c r="C107" s="53" t="s">
        <v>93</v>
      </c>
      <c r="D107" s="61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0.0</v>
      </c>
      <c r="O107" s="79">
        <v>1.0</v>
      </c>
      <c r="P107" s="79">
        <v>0.0</v>
      </c>
      <c r="Q107" s="79">
        <v>0.0</v>
      </c>
      <c r="R107" s="79">
        <v>0.0</v>
      </c>
      <c r="S107" s="79">
        <v>1.0</v>
      </c>
      <c r="T107" s="79">
        <v>0.0</v>
      </c>
      <c r="U107" s="79">
        <v>1.0</v>
      </c>
      <c r="V107" s="79">
        <v>0.0</v>
      </c>
      <c r="W107" s="79">
        <v>0.0</v>
      </c>
      <c r="X107" s="79">
        <v>0.0</v>
      </c>
      <c r="Y107" s="79">
        <v>0.0</v>
      </c>
      <c r="Z107" s="79">
        <v>0.0</v>
      </c>
      <c r="AA107" s="79">
        <v>0.0</v>
      </c>
      <c r="AB107" s="79">
        <v>0.0</v>
      </c>
      <c r="AC107" s="79">
        <v>0.0</v>
      </c>
      <c r="AD107" s="79">
        <v>0.0</v>
      </c>
      <c r="AE107" s="79">
        <v>0.0</v>
      </c>
      <c r="AF107" s="79">
        <v>1.0</v>
      </c>
      <c r="AG107" s="13">
        <f t="shared" si="24"/>
        <v>4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85"/>
    </row>
    <row r="115" ht="12.75" customHeight="1">
      <c r="A115" s="19" t="s">
        <v>14</v>
      </c>
      <c r="B115" s="50" t="s">
        <v>48</v>
      </c>
      <c r="C115" s="15"/>
      <c r="D115" s="16"/>
      <c r="E115" s="13">
        <f t="shared" ref="E115:AF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8</v>
      </c>
      <c r="L115" s="13">
        <f t="shared" si="25"/>
        <v>1</v>
      </c>
      <c r="M115" s="13">
        <f t="shared" si="25"/>
        <v>2</v>
      </c>
      <c r="N115" s="13">
        <f t="shared" si="25"/>
        <v>2</v>
      </c>
      <c r="O115" s="13">
        <f t="shared" si="25"/>
        <v>2</v>
      </c>
      <c r="P115" s="13">
        <f t="shared" si="25"/>
        <v>3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2</v>
      </c>
      <c r="V115" s="13">
        <f t="shared" si="25"/>
        <v>1</v>
      </c>
      <c r="W115" s="13">
        <f t="shared" si="25"/>
        <v>1</v>
      </c>
      <c r="X115" s="13">
        <f t="shared" si="25"/>
        <v>1</v>
      </c>
      <c r="Y115" s="13">
        <f t="shared" si="25"/>
        <v>0</v>
      </c>
      <c r="Z115" s="13">
        <f t="shared" si="25"/>
        <v>2</v>
      </c>
      <c r="AA115" s="13">
        <f t="shared" si="25"/>
        <v>0</v>
      </c>
      <c r="AB115" s="13">
        <f t="shared" si="25"/>
        <v>0</v>
      </c>
      <c r="AC115" s="13">
        <f t="shared" si="25"/>
        <v>2</v>
      </c>
      <c r="AD115" s="13">
        <f t="shared" si="25"/>
        <v>2</v>
      </c>
      <c r="AE115" s="13">
        <f t="shared" si="25"/>
        <v>3</v>
      </c>
      <c r="AF115" s="13">
        <f t="shared" si="25"/>
        <v>2</v>
      </c>
      <c r="AG115" s="13">
        <f>SUM(E115:AF115)</f>
        <v>40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13"/>
    </row>
    <row r="117" ht="12.75" customHeight="1">
      <c r="A117" s="31" t="s">
        <v>36</v>
      </c>
      <c r="B117" s="50" t="s">
        <v>94</v>
      </c>
      <c r="C117" s="51" t="s">
        <v>95</v>
      </c>
      <c r="D117" s="16"/>
      <c r="E117" s="79">
        <v>1.0</v>
      </c>
      <c r="F117" s="79">
        <v>2.0</v>
      </c>
      <c r="G117" s="79">
        <v>0.0</v>
      </c>
      <c r="H117" s="79">
        <v>0.0</v>
      </c>
      <c r="I117" s="79">
        <v>0.0</v>
      </c>
      <c r="J117" s="79">
        <v>0.0</v>
      </c>
      <c r="K117" s="79">
        <v>4.0</v>
      </c>
      <c r="L117" s="79">
        <v>0.0</v>
      </c>
      <c r="M117" s="79">
        <v>0.0</v>
      </c>
      <c r="N117" s="79">
        <v>0.0</v>
      </c>
      <c r="O117" s="79">
        <v>1.0</v>
      </c>
      <c r="P117" s="79">
        <v>1.0</v>
      </c>
      <c r="Q117" s="79">
        <v>0.0</v>
      </c>
      <c r="R117" s="79">
        <v>0.0</v>
      </c>
      <c r="S117" s="79">
        <v>0.0</v>
      </c>
      <c r="T117" s="79">
        <v>0.0</v>
      </c>
      <c r="U117" s="79">
        <v>0.0</v>
      </c>
      <c r="V117" s="79">
        <v>1.0</v>
      </c>
      <c r="W117" s="79">
        <v>0.0</v>
      </c>
      <c r="X117" s="79">
        <v>0.0</v>
      </c>
      <c r="Y117" s="79">
        <v>0.0</v>
      </c>
      <c r="Z117" s="79">
        <v>0.0</v>
      </c>
      <c r="AA117" s="79">
        <v>0.0</v>
      </c>
      <c r="AB117" s="79">
        <v>0.0</v>
      </c>
      <c r="AC117" s="79">
        <v>0.0</v>
      </c>
      <c r="AD117" s="79">
        <v>2.0</v>
      </c>
      <c r="AE117" s="79">
        <v>0.0</v>
      </c>
      <c r="AF117" s="79">
        <v>0.0</v>
      </c>
      <c r="AG117" s="13">
        <f t="shared" ref="AG117:AG122" si="26">SUM(E117:AF117)</f>
        <v>12</v>
      </c>
      <c r="AH117" s="5"/>
      <c r="AI117" s="5"/>
    </row>
    <row r="118" ht="12.75" customHeight="1">
      <c r="A118" s="31" t="s">
        <v>38</v>
      </c>
      <c r="B118" s="58"/>
      <c r="C118" s="53" t="s">
        <v>96</v>
      </c>
      <c r="D118" s="61"/>
      <c r="E118" s="79">
        <v>0.0</v>
      </c>
      <c r="F118" s="79">
        <v>0.0</v>
      </c>
      <c r="G118" s="79">
        <v>0.0</v>
      </c>
      <c r="H118" s="79">
        <v>0.0</v>
      </c>
      <c r="I118" s="79">
        <v>0.0</v>
      </c>
      <c r="J118" s="79">
        <v>0.0</v>
      </c>
      <c r="K118" s="79">
        <v>1.0</v>
      </c>
      <c r="L118" s="79">
        <v>0.0</v>
      </c>
      <c r="M118" s="79">
        <v>0.0</v>
      </c>
      <c r="N118" s="79">
        <v>0.0</v>
      </c>
      <c r="O118" s="79">
        <v>0.0</v>
      </c>
      <c r="P118" s="79">
        <v>0.0</v>
      </c>
      <c r="Q118" s="79">
        <v>0.0</v>
      </c>
      <c r="R118" s="79">
        <v>0.0</v>
      </c>
      <c r="S118" s="79">
        <v>0.0</v>
      </c>
      <c r="T118" s="79">
        <v>0.0</v>
      </c>
      <c r="U118" s="79">
        <v>1.0</v>
      </c>
      <c r="V118" s="79">
        <v>0.0</v>
      </c>
      <c r="W118" s="79">
        <v>0.0</v>
      </c>
      <c r="X118" s="79">
        <v>0.0</v>
      </c>
      <c r="Y118" s="79">
        <v>0.0</v>
      </c>
      <c r="Z118" s="79">
        <v>0.0</v>
      </c>
      <c r="AA118" s="79">
        <v>0.0</v>
      </c>
      <c r="AB118" s="79">
        <v>0.0</v>
      </c>
      <c r="AC118" s="79">
        <v>0.0</v>
      </c>
      <c r="AD118" s="79">
        <v>0.0</v>
      </c>
      <c r="AE118" s="79">
        <v>0.0</v>
      </c>
      <c r="AF118" s="79">
        <v>0.0</v>
      </c>
      <c r="AG118" s="13">
        <f t="shared" si="26"/>
        <v>2</v>
      </c>
      <c r="AH118" s="5"/>
      <c r="AI118" s="5"/>
    </row>
    <row r="119" ht="12.75" customHeight="1">
      <c r="A119" s="18"/>
      <c r="B119" s="58"/>
      <c r="C119" s="53" t="s">
        <v>97</v>
      </c>
      <c r="D119" s="61"/>
      <c r="E119" s="79">
        <v>0.0</v>
      </c>
      <c r="F119" s="79">
        <v>0.0</v>
      </c>
      <c r="G119" s="79">
        <v>0.0</v>
      </c>
      <c r="H119" s="79">
        <v>0.0</v>
      </c>
      <c r="I119" s="79">
        <v>0.0</v>
      </c>
      <c r="J119" s="79">
        <v>0.0</v>
      </c>
      <c r="K119" s="79">
        <v>0.0</v>
      </c>
      <c r="L119" s="79">
        <v>0.0</v>
      </c>
      <c r="M119" s="79">
        <v>1.0</v>
      </c>
      <c r="N119" s="79">
        <v>0.0</v>
      </c>
      <c r="O119" s="79">
        <v>0.0</v>
      </c>
      <c r="P119" s="79">
        <v>0.0</v>
      </c>
      <c r="Q119" s="79">
        <v>0.0</v>
      </c>
      <c r="R119" s="79">
        <v>0.0</v>
      </c>
      <c r="S119" s="79">
        <v>0.0</v>
      </c>
      <c r="T119" s="79">
        <v>0.0</v>
      </c>
      <c r="U119" s="79">
        <v>0.0</v>
      </c>
      <c r="V119" s="79">
        <v>0.0</v>
      </c>
      <c r="W119" s="79">
        <v>0.0</v>
      </c>
      <c r="X119" s="79">
        <v>0.0</v>
      </c>
      <c r="Y119" s="79">
        <v>1.0</v>
      </c>
      <c r="Z119" s="79">
        <v>0.0</v>
      </c>
      <c r="AA119" s="79">
        <v>0.0</v>
      </c>
      <c r="AB119" s="79">
        <v>0.0</v>
      </c>
      <c r="AC119" s="79">
        <v>0.0</v>
      </c>
      <c r="AD119" s="79">
        <v>0.0</v>
      </c>
      <c r="AE119" s="79">
        <v>0.0</v>
      </c>
      <c r="AF119" s="79">
        <v>0.0</v>
      </c>
      <c r="AG119" s="13">
        <f t="shared" si="26"/>
        <v>2</v>
      </c>
      <c r="AH119" s="5"/>
      <c r="AI119" s="5"/>
    </row>
    <row r="120" ht="12.75" customHeight="1">
      <c r="A120" s="18"/>
      <c r="B120" s="58"/>
      <c r="C120" s="53" t="s">
        <v>98</v>
      </c>
      <c r="D120" s="61"/>
      <c r="E120" s="79">
        <v>1.0</v>
      </c>
      <c r="F120" s="79">
        <v>0.0</v>
      </c>
      <c r="G120" s="79">
        <v>0.0</v>
      </c>
      <c r="H120" s="79">
        <v>1.0</v>
      </c>
      <c r="I120" s="79">
        <v>0.0</v>
      </c>
      <c r="J120" s="79">
        <v>0.0</v>
      </c>
      <c r="K120" s="79">
        <v>0.0</v>
      </c>
      <c r="L120" s="79">
        <v>1.0</v>
      </c>
      <c r="M120" s="79">
        <v>0.0</v>
      </c>
      <c r="N120" s="79">
        <v>0.0</v>
      </c>
      <c r="O120" s="79">
        <v>1.0</v>
      </c>
      <c r="P120" s="79">
        <v>0.0</v>
      </c>
      <c r="Q120" s="79">
        <v>0.0</v>
      </c>
      <c r="R120" s="79">
        <v>0.0</v>
      </c>
      <c r="S120" s="79">
        <v>0.0</v>
      </c>
      <c r="T120" s="79">
        <v>0.0</v>
      </c>
      <c r="U120" s="79">
        <v>1.0</v>
      </c>
      <c r="V120" s="79">
        <v>0.0</v>
      </c>
      <c r="W120" s="79">
        <v>0.0</v>
      </c>
      <c r="X120" s="79">
        <v>0.0</v>
      </c>
      <c r="Y120" s="79">
        <v>0.0</v>
      </c>
      <c r="Z120" s="79">
        <v>0.0</v>
      </c>
      <c r="AA120" s="79">
        <v>0.0</v>
      </c>
      <c r="AB120" s="79">
        <v>0.0</v>
      </c>
      <c r="AC120" s="79">
        <v>0.0</v>
      </c>
      <c r="AD120" s="79">
        <v>0.0</v>
      </c>
      <c r="AE120" s="79">
        <v>0.0</v>
      </c>
      <c r="AF120" s="79">
        <v>0.0</v>
      </c>
      <c r="AG120" s="13">
        <f t="shared" si="26"/>
        <v>5</v>
      </c>
      <c r="AH120" s="5"/>
      <c r="AI120" s="5"/>
    </row>
    <row r="121" ht="12.75" customHeight="1">
      <c r="A121" s="18"/>
      <c r="B121" s="58"/>
      <c r="C121" s="53" t="s">
        <v>99</v>
      </c>
      <c r="D121" s="61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1.0</v>
      </c>
      <c r="M121" s="79">
        <v>1.0</v>
      </c>
      <c r="N121" s="79">
        <v>0.0</v>
      </c>
      <c r="O121" s="79">
        <v>0.0</v>
      </c>
      <c r="P121" s="79">
        <v>0.0</v>
      </c>
      <c r="Q121" s="79">
        <v>0.0</v>
      </c>
      <c r="R121" s="79">
        <v>0.0</v>
      </c>
      <c r="S121" s="79">
        <v>0.0</v>
      </c>
      <c r="T121" s="79">
        <v>0.0</v>
      </c>
      <c r="U121" s="79">
        <v>0.0</v>
      </c>
      <c r="V121" s="79">
        <v>1.0</v>
      </c>
      <c r="W121" s="79">
        <v>0.0</v>
      </c>
      <c r="X121" s="79">
        <v>0.0</v>
      </c>
      <c r="Y121" s="79">
        <v>0.0</v>
      </c>
      <c r="Z121" s="79">
        <v>1.0</v>
      </c>
      <c r="AA121" s="79">
        <v>2.0</v>
      </c>
      <c r="AB121" s="79">
        <v>0.0</v>
      </c>
      <c r="AC121" s="79">
        <v>0.0</v>
      </c>
      <c r="AD121" s="79">
        <v>0.0</v>
      </c>
      <c r="AE121" s="79">
        <v>0.0</v>
      </c>
      <c r="AF121" s="79">
        <v>1.0</v>
      </c>
      <c r="AG121" s="13">
        <f t="shared" si="26"/>
        <v>7</v>
      </c>
      <c r="AH121" s="5"/>
      <c r="AI121" s="5"/>
    </row>
    <row r="122" ht="12.75" customHeight="1">
      <c r="A122" s="18"/>
      <c r="B122" s="58"/>
      <c r="C122" s="53" t="s">
        <v>100</v>
      </c>
      <c r="D122" s="61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2.0</v>
      </c>
      <c r="L122" s="79">
        <v>0.0</v>
      </c>
      <c r="M122" s="79">
        <v>0.0</v>
      </c>
      <c r="N122" s="79">
        <v>0.0</v>
      </c>
      <c r="O122" s="79">
        <v>0.0</v>
      </c>
      <c r="P122" s="79">
        <v>0.0</v>
      </c>
      <c r="Q122" s="79">
        <v>0.0</v>
      </c>
      <c r="R122" s="79">
        <v>0.0</v>
      </c>
      <c r="S122" s="79">
        <v>0.0</v>
      </c>
      <c r="T122" s="79">
        <v>0.0</v>
      </c>
      <c r="U122" s="79">
        <v>0.0</v>
      </c>
      <c r="V122" s="79">
        <v>1.0</v>
      </c>
      <c r="W122" s="79">
        <v>0.0</v>
      </c>
      <c r="X122" s="79">
        <v>1.0</v>
      </c>
      <c r="Y122" s="79">
        <v>0.0</v>
      </c>
      <c r="Z122" s="79">
        <v>0.0</v>
      </c>
      <c r="AA122" s="79">
        <v>0.0</v>
      </c>
      <c r="AB122" s="79">
        <v>0.0</v>
      </c>
      <c r="AC122" s="79">
        <v>0.0</v>
      </c>
      <c r="AD122" s="79">
        <v>0.0</v>
      </c>
      <c r="AE122" s="79">
        <v>0.0</v>
      </c>
      <c r="AF122" s="79">
        <v>0.0</v>
      </c>
      <c r="AG122" s="13">
        <f t="shared" si="26"/>
        <v>4</v>
      </c>
      <c r="AH122" s="5"/>
      <c r="AI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85"/>
      <c r="AH123" s="5"/>
      <c r="AI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85"/>
      <c r="AH124" s="5"/>
      <c r="AI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85"/>
      <c r="AH125" s="5"/>
      <c r="AI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85"/>
      <c r="AH126" s="5"/>
      <c r="AI126" s="5"/>
    </row>
    <row r="127" ht="12.75" customHeight="1">
      <c r="A127" s="19" t="s">
        <v>14</v>
      </c>
      <c r="B127" s="50" t="s">
        <v>48</v>
      </c>
      <c r="C127" s="15"/>
      <c r="D127" s="16"/>
      <c r="E127" s="67">
        <f t="shared" ref="E127:AF127" si="27">SUM(E117:E126)</f>
        <v>2</v>
      </c>
      <c r="F127" s="67">
        <f t="shared" si="27"/>
        <v>2</v>
      </c>
      <c r="G127" s="67">
        <f t="shared" si="27"/>
        <v>0</v>
      </c>
      <c r="H127" s="67">
        <f t="shared" si="27"/>
        <v>1</v>
      </c>
      <c r="I127" s="67">
        <f t="shared" si="27"/>
        <v>0</v>
      </c>
      <c r="J127" s="67">
        <f t="shared" si="27"/>
        <v>0</v>
      </c>
      <c r="K127" s="67">
        <f t="shared" si="27"/>
        <v>7</v>
      </c>
      <c r="L127" s="67">
        <f t="shared" si="27"/>
        <v>2</v>
      </c>
      <c r="M127" s="67">
        <f t="shared" si="27"/>
        <v>2</v>
      </c>
      <c r="N127" s="67">
        <f t="shared" si="27"/>
        <v>0</v>
      </c>
      <c r="O127" s="67">
        <f t="shared" si="27"/>
        <v>2</v>
      </c>
      <c r="P127" s="67">
        <f t="shared" si="27"/>
        <v>1</v>
      </c>
      <c r="Q127" s="67">
        <f t="shared" si="27"/>
        <v>0</v>
      </c>
      <c r="R127" s="67">
        <f t="shared" si="27"/>
        <v>0</v>
      </c>
      <c r="S127" s="67">
        <f t="shared" si="27"/>
        <v>0</v>
      </c>
      <c r="T127" s="67">
        <f t="shared" si="27"/>
        <v>0</v>
      </c>
      <c r="U127" s="67">
        <f t="shared" si="27"/>
        <v>2</v>
      </c>
      <c r="V127" s="67">
        <f t="shared" si="27"/>
        <v>3</v>
      </c>
      <c r="W127" s="67">
        <f t="shared" si="27"/>
        <v>0</v>
      </c>
      <c r="X127" s="67">
        <f t="shared" si="27"/>
        <v>1</v>
      </c>
      <c r="Y127" s="67">
        <f t="shared" si="27"/>
        <v>1</v>
      </c>
      <c r="Z127" s="67">
        <f t="shared" si="27"/>
        <v>1</v>
      </c>
      <c r="AA127" s="67">
        <f t="shared" si="27"/>
        <v>2</v>
      </c>
      <c r="AB127" s="67">
        <f t="shared" si="27"/>
        <v>0</v>
      </c>
      <c r="AC127" s="67">
        <f t="shared" si="27"/>
        <v>0</v>
      </c>
      <c r="AD127" s="67">
        <f t="shared" si="27"/>
        <v>2</v>
      </c>
      <c r="AE127" s="67">
        <f t="shared" si="27"/>
        <v>0</v>
      </c>
      <c r="AF127" s="67">
        <f t="shared" si="27"/>
        <v>1</v>
      </c>
      <c r="AG127" s="13">
        <f>SUM(E127:AF127)</f>
        <v>32</v>
      </c>
      <c r="AH127" s="5"/>
      <c r="AI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5"/>
      <c r="AI128" s="5"/>
    </row>
    <row r="129" ht="12.75" customHeight="1">
      <c r="A129" s="31" t="s">
        <v>36</v>
      </c>
      <c r="B129" s="50" t="s">
        <v>101</v>
      </c>
      <c r="C129" s="51" t="s">
        <v>102</v>
      </c>
      <c r="D129" s="16"/>
      <c r="E129" s="79">
        <v>1.0</v>
      </c>
      <c r="F129" s="79">
        <v>4.0</v>
      </c>
      <c r="G129" s="79">
        <v>2.0</v>
      </c>
      <c r="H129" s="79">
        <v>1.0</v>
      </c>
      <c r="I129" s="79">
        <v>0.0</v>
      </c>
      <c r="J129" s="79">
        <v>0.0</v>
      </c>
      <c r="K129" s="79">
        <v>0.0</v>
      </c>
      <c r="L129" s="79">
        <v>0.0</v>
      </c>
      <c r="M129" s="79">
        <v>0.0</v>
      </c>
      <c r="N129" s="79">
        <v>0.0</v>
      </c>
      <c r="O129" s="79">
        <v>0.0</v>
      </c>
      <c r="P129" s="79">
        <v>0.0</v>
      </c>
      <c r="Q129" s="79">
        <v>0.0</v>
      </c>
      <c r="R129" s="79">
        <v>0.0</v>
      </c>
      <c r="S129" s="79">
        <v>0.0</v>
      </c>
      <c r="T129" s="79">
        <v>1.0</v>
      </c>
      <c r="U129" s="79">
        <v>0.0</v>
      </c>
      <c r="V129" s="79">
        <v>0.0</v>
      </c>
      <c r="W129" s="79">
        <v>1.0</v>
      </c>
      <c r="X129" s="79">
        <v>0.0</v>
      </c>
      <c r="Y129" s="79">
        <v>0.0</v>
      </c>
      <c r="Z129" s="79">
        <v>2.0</v>
      </c>
      <c r="AA129" s="79">
        <v>0.0</v>
      </c>
      <c r="AB129" s="79">
        <v>0.0</v>
      </c>
      <c r="AC129" s="79">
        <v>0.0</v>
      </c>
      <c r="AD129" s="79">
        <v>2.0</v>
      </c>
      <c r="AE129" s="79">
        <v>0.0</v>
      </c>
      <c r="AF129" s="79">
        <v>2.0</v>
      </c>
      <c r="AG129" s="13">
        <f t="shared" ref="AG129:AG139" si="28">SUM(E129:AF129)</f>
        <v>16</v>
      </c>
      <c r="AH129" s="5"/>
      <c r="AI129" s="5"/>
    </row>
    <row r="130" ht="12.75" customHeight="1">
      <c r="A130" s="31" t="s">
        <v>38</v>
      </c>
      <c r="B130" s="58"/>
      <c r="C130" s="53" t="s">
        <v>103</v>
      </c>
      <c r="D130" s="60"/>
      <c r="E130" s="79">
        <v>1.0</v>
      </c>
      <c r="F130" s="79">
        <v>4.0</v>
      </c>
      <c r="G130" s="79">
        <v>2.0</v>
      </c>
      <c r="H130" s="79">
        <v>1.0</v>
      </c>
      <c r="I130" s="79">
        <v>0.0</v>
      </c>
      <c r="J130" s="79">
        <v>8.0</v>
      </c>
      <c r="K130" s="79">
        <v>1.0</v>
      </c>
      <c r="L130" s="79">
        <v>5.0</v>
      </c>
      <c r="M130" s="79">
        <v>0.0</v>
      </c>
      <c r="N130" s="79">
        <v>1.0</v>
      </c>
      <c r="O130" s="79">
        <v>0.0</v>
      </c>
      <c r="P130" s="79">
        <v>12.0</v>
      </c>
      <c r="Q130" s="79">
        <v>2.0</v>
      </c>
      <c r="R130" s="79">
        <v>3.0</v>
      </c>
      <c r="S130" s="79">
        <v>0.0</v>
      </c>
      <c r="T130" s="79">
        <v>0.0</v>
      </c>
      <c r="U130" s="79">
        <v>0.0</v>
      </c>
      <c r="V130" s="79">
        <v>6.0</v>
      </c>
      <c r="W130" s="79">
        <v>0.0</v>
      </c>
      <c r="X130" s="79">
        <v>2.0</v>
      </c>
      <c r="Y130" s="79">
        <v>2.0</v>
      </c>
      <c r="Z130" s="79">
        <v>4.0</v>
      </c>
      <c r="AA130" s="79">
        <v>3.0</v>
      </c>
      <c r="AB130" s="79">
        <v>4.0</v>
      </c>
      <c r="AC130" s="79">
        <v>3.0</v>
      </c>
      <c r="AD130" s="79">
        <v>1.0</v>
      </c>
      <c r="AE130" s="79">
        <v>2.0</v>
      </c>
      <c r="AF130" s="79">
        <v>0.0</v>
      </c>
      <c r="AG130" s="13">
        <f t="shared" si="28"/>
        <v>67</v>
      </c>
      <c r="AH130" s="1"/>
      <c r="AI130" s="1"/>
    </row>
    <row r="131" ht="12.75" customHeight="1">
      <c r="A131" s="18"/>
      <c r="B131" s="58"/>
      <c r="C131" s="53" t="s">
        <v>104</v>
      </c>
      <c r="D131" s="60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1.0</v>
      </c>
      <c r="N131" s="79">
        <v>0.0</v>
      </c>
      <c r="O131" s="79">
        <v>0.0</v>
      </c>
      <c r="P131" s="79">
        <v>0.0</v>
      </c>
      <c r="Q131" s="79">
        <v>0.0</v>
      </c>
      <c r="R131" s="79">
        <v>0.0</v>
      </c>
      <c r="S131" s="79">
        <v>0.0</v>
      </c>
      <c r="T131" s="79">
        <v>1.0</v>
      </c>
      <c r="U131" s="79">
        <v>0.0</v>
      </c>
      <c r="V131" s="79">
        <v>1.0</v>
      </c>
      <c r="W131" s="79">
        <v>0.0</v>
      </c>
      <c r="X131" s="79">
        <v>0.0</v>
      </c>
      <c r="Y131" s="79">
        <v>1.0</v>
      </c>
      <c r="Z131" s="79">
        <v>0.0</v>
      </c>
      <c r="AA131" s="79">
        <v>0.0</v>
      </c>
      <c r="AB131" s="79">
        <v>0.0</v>
      </c>
      <c r="AC131" s="79">
        <v>0.0</v>
      </c>
      <c r="AD131" s="79">
        <v>0.0</v>
      </c>
      <c r="AE131" s="79">
        <v>0.0</v>
      </c>
      <c r="AF131" s="79">
        <v>0.0</v>
      </c>
      <c r="AG131" s="13">
        <f t="shared" si="28"/>
        <v>4</v>
      </c>
      <c r="AH131" s="55"/>
      <c r="AI131" s="55"/>
    </row>
    <row r="132" ht="12.75" customHeight="1">
      <c r="A132" s="18"/>
      <c r="B132" s="58"/>
      <c r="C132" s="53" t="s">
        <v>105</v>
      </c>
      <c r="D132" s="60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1.0</v>
      </c>
      <c r="L132" s="79">
        <v>1.0</v>
      </c>
      <c r="M132" s="79">
        <v>0.0</v>
      </c>
      <c r="N132" s="79">
        <v>0.0</v>
      </c>
      <c r="O132" s="79">
        <v>0.0</v>
      </c>
      <c r="P132" s="79">
        <v>0.0</v>
      </c>
      <c r="Q132" s="79">
        <v>0.0</v>
      </c>
      <c r="R132" s="79">
        <v>0.0</v>
      </c>
      <c r="S132" s="79">
        <v>0.0</v>
      </c>
      <c r="T132" s="79">
        <v>0.0</v>
      </c>
      <c r="U132" s="79">
        <v>0.0</v>
      </c>
      <c r="V132" s="79">
        <v>2.0</v>
      </c>
      <c r="W132" s="79">
        <v>1.0</v>
      </c>
      <c r="X132" s="79">
        <v>0.0</v>
      </c>
      <c r="Y132" s="79">
        <v>0.0</v>
      </c>
      <c r="Z132" s="79">
        <v>0.0</v>
      </c>
      <c r="AA132" s="79">
        <v>0.0</v>
      </c>
      <c r="AB132" s="79">
        <v>1.0</v>
      </c>
      <c r="AC132" s="79">
        <v>0.0</v>
      </c>
      <c r="AD132" s="79">
        <v>1.0</v>
      </c>
      <c r="AE132" s="79">
        <v>0.0</v>
      </c>
      <c r="AF132" s="79">
        <v>0.0</v>
      </c>
      <c r="AG132" s="13">
        <f t="shared" si="28"/>
        <v>7</v>
      </c>
      <c r="AH132" s="5"/>
      <c r="AI132" s="5"/>
    </row>
    <row r="133" ht="12.75" customHeight="1">
      <c r="A133" s="18"/>
      <c r="B133" s="58"/>
      <c r="C133" s="53" t="s">
        <v>106</v>
      </c>
      <c r="D133" s="60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79">
        <v>1.0</v>
      </c>
      <c r="S133" s="79">
        <v>0.0</v>
      </c>
      <c r="T133" s="79">
        <v>1.0</v>
      </c>
      <c r="U133" s="79">
        <v>0.0</v>
      </c>
      <c r="V133" s="79">
        <v>0.0</v>
      </c>
      <c r="W133" s="79">
        <v>0.0</v>
      </c>
      <c r="X133" s="79">
        <v>0.0</v>
      </c>
      <c r="Y133" s="79">
        <v>0.0</v>
      </c>
      <c r="Z133" s="79">
        <v>0.0</v>
      </c>
      <c r="AA133" s="79">
        <v>0.0</v>
      </c>
      <c r="AB133" s="79">
        <v>0.0</v>
      </c>
      <c r="AC133" s="79">
        <v>0.0</v>
      </c>
      <c r="AD133" s="79">
        <v>0.0</v>
      </c>
      <c r="AE133" s="79">
        <v>0.0</v>
      </c>
      <c r="AF133" s="79">
        <v>0.0</v>
      </c>
      <c r="AG133" s="13">
        <f t="shared" si="28"/>
        <v>2</v>
      </c>
      <c r="AH133" s="5"/>
      <c r="AI133" s="5"/>
    </row>
    <row r="134" ht="12.75" customHeight="1">
      <c r="A134" s="18"/>
      <c r="B134" s="58"/>
      <c r="C134" s="53" t="s">
        <v>107</v>
      </c>
      <c r="D134" s="60"/>
      <c r="E134" s="79">
        <v>1.0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79">
        <v>0.0</v>
      </c>
      <c r="R134" s="79">
        <v>0.0</v>
      </c>
      <c r="S134" s="79">
        <v>0.0</v>
      </c>
      <c r="T134" s="79">
        <v>0.0</v>
      </c>
      <c r="U134" s="79">
        <v>0.0</v>
      </c>
      <c r="V134" s="79">
        <v>0.0</v>
      </c>
      <c r="W134" s="79">
        <v>0.0</v>
      </c>
      <c r="X134" s="79">
        <v>0.0</v>
      </c>
      <c r="Y134" s="79">
        <v>2.0</v>
      </c>
      <c r="Z134" s="79">
        <v>0.0</v>
      </c>
      <c r="AA134" s="79">
        <v>0.0</v>
      </c>
      <c r="AB134" s="79">
        <v>0.0</v>
      </c>
      <c r="AC134" s="79">
        <v>0.0</v>
      </c>
      <c r="AD134" s="79">
        <v>0.0</v>
      </c>
      <c r="AE134" s="79">
        <v>0.0</v>
      </c>
      <c r="AF134" s="79">
        <v>0.0</v>
      </c>
      <c r="AG134" s="13">
        <f t="shared" si="28"/>
        <v>3</v>
      </c>
      <c r="AH134" s="5"/>
      <c r="AI134" s="5"/>
    </row>
    <row r="135" ht="12.75" customHeight="1">
      <c r="A135" s="18"/>
      <c r="B135" s="58"/>
      <c r="C135" s="53" t="s">
        <v>108</v>
      </c>
      <c r="D135" s="61"/>
      <c r="E135" s="79">
        <v>1.0</v>
      </c>
      <c r="F135" s="79">
        <v>1.0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79">
        <v>0.0</v>
      </c>
      <c r="N135" s="79">
        <v>0.0</v>
      </c>
      <c r="O135" s="79">
        <v>0.0</v>
      </c>
      <c r="P135" s="79">
        <v>0.0</v>
      </c>
      <c r="Q135" s="79">
        <v>0.0</v>
      </c>
      <c r="R135" s="79">
        <v>0.0</v>
      </c>
      <c r="S135" s="79">
        <v>0.0</v>
      </c>
      <c r="T135" s="79">
        <v>1.0</v>
      </c>
      <c r="U135" s="79">
        <v>0.0</v>
      </c>
      <c r="V135" s="79">
        <v>0.0</v>
      </c>
      <c r="W135" s="79">
        <v>0.0</v>
      </c>
      <c r="X135" s="79">
        <v>0.0</v>
      </c>
      <c r="Y135" s="79">
        <v>0.0</v>
      </c>
      <c r="Z135" s="79">
        <v>1.0</v>
      </c>
      <c r="AA135" s="79">
        <v>1.0</v>
      </c>
      <c r="AB135" s="79">
        <v>0.0</v>
      </c>
      <c r="AC135" s="79">
        <v>0.0</v>
      </c>
      <c r="AD135" s="79">
        <v>0.0</v>
      </c>
      <c r="AE135" s="79">
        <v>0.0</v>
      </c>
      <c r="AF135" s="79">
        <v>0.0</v>
      </c>
      <c r="AG135" s="13">
        <f t="shared" si="28"/>
        <v>5</v>
      </c>
      <c r="AH135" s="5"/>
      <c r="AI135" s="5"/>
    </row>
    <row r="136" ht="12.75" customHeight="1">
      <c r="A136" s="18"/>
      <c r="B136" s="58"/>
      <c r="C136" s="53" t="s">
        <v>109</v>
      </c>
      <c r="D136" s="60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0.0</v>
      </c>
      <c r="T136" s="79">
        <v>0.0</v>
      </c>
      <c r="U136" s="79">
        <v>0.0</v>
      </c>
      <c r="V136" s="79">
        <v>0.0</v>
      </c>
      <c r="W136" s="79">
        <v>0.0</v>
      </c>
      <c r="X136" s="79">
        <v>0.0</v>
      </c>
      <c r="Y136" s="79">
        <v>0.0</v>
      </c>
      <c r="Z136" s="79">
        <v>0.0</v>
      </c>
      <c r="AA136" s="79">
        <v>0.0</v>
      </c>
      <c r="AB136" s="79">
        <v>0.0</v>
      </c>
      <c r="AC136" s="79">
        <v>0.0</v>
      </c>
      <c r="AD136" s="79">
        <v>0.0</v>
      </c>
      <c r="AE136" s="79">
        <v>0.0</v>
      </c>
      <c r="AF136" s="79">
        <v>0.0</v>
      </c>
      <c r="AG136" s="13">
        <f t="shared" si="28"/>
        <v>0</v>
      </c>
      <c r="AH136" s="5"/>
      <c r="AI136" s="5"/>
    </row>
    <row r="137" ht="12.75" customHeight="1">
      <c r="A137" s="18"/>
      <c r="B137" s="58"/>
      <c r="C137" s="53" t="s">
        <v>110</v>
      </c>
      <c r="D137" s="60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1.0</v>
      </c>
      <c r="K137" s="79">
        <v>0.0</v>
      </c>
      <c r="L137" s="79">
        <v>0.0</v>
      </c>
      <c r="M137" s="79">
        <v>0.0</v>
      </c>
      <c r="N137" s="79">
        <v>0.0</v>
      </c>
      <c r="O137" s="79">
        <v>0.0</v>
      </c>
      <c r="P137" s="79">
        <v>0.0</v>
      </c>
      <c r="Q137" s="79">
        <v>0.0</v>
      </c>
      <c r="R137" s="79">
        <v>0.0</v>
      </c>
      <c r="S137" s="79">
        <v>0.0</v>
      </c>
      <c r="T137" s="79">
        <v>0.0</v>
      </c>
      <c r="U137" s="79">
        <v>0.0</v>
      </c>
      <c r="V137" s="79">
        <v>1.0</v>
      </c>
      <c r="W137" s="79">
        <v>0.0</v>
      </c>
      <c r="X137" s="79">
        <v>0.0</v>
      </c>
      <c r="Y137" s="79">
        <v>0.0</v>
      </c>
      <c r="Z137" s="79">
        <v>0.0</v>
      </c>
      <c r="AA137" s="79">
        <v>0.0</v>
      </c>
      <c r="AB137" s="79">
        <v>0.0</v>
      </c>
      <c r="AC137" s="79">
        <v>0.0</v>
      </c>
      <c r="AD137" s="79">
        <v>0.0</v>
      </c>
      <c r="AE137" s="79">
        <v>0.0</v>
      </c>
      <c r="AF137" s="79">
        <v>0.0</v>
      </c>
      <c r="AG137" s="13">
        <f t="shared" si="28"/>
        <v>2</v>
      </c>
      <c r="AH137" s="5"/>
      <c r="AI137" s="5"/>
    </row>
    <row r="138" ht="12.75" customHeight="1">
      <c r="A138" s="18"/>
      <c r="B138" s="58"/>
      <c r="C138" s="53" t="s">
        <v>111</v>
      </c>
      <c r="D138" s="60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1.0</v>
      </c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0.0</v>
      </c>
      <c r="T138" s="79">
        <v>1.0</v>
      </c>
      <c r="U138" s="79">
        <v>0.0</v>
      </c>
      <c r="V138" s="79">
        <v>0.0</v>
      </c>
      <c r="W138" s="79">
        <v>0.0</v>
      </c>
      <c r="X138" s="79">
        <v>0.0</v>
      </c>
      <c r="Y138" s="79">
        <v>0.0</v>
      </c>
      <c r="Z138" s="79">
        <v>0.0</v>
      </c>
      <c r="AA138" s="79">
        <v>2.0</v>
      </c>
      <c r="AB138" s="79">
        <v>0.0</v>
      </c>
      <c r="AC138" s="79">
        <v>0.0</v>
      </c>
      <c r="AD138" s="79">
        <v>0.0</v>
      </c>
      <c r="AE138" s="79">
        <v>0.0</v>
      </c>
      <c r="AF138" s="79">
        <v>0.0</v>
      </c>
      <c r="AG138" s="13">
        <f t="shared" si="28"/>
        <v>4</v>
      </c>
      <c r="AH138" s="5"/>
      <c r="AI138" s="5"/>
    </row>
    <row r="139" ht="12.75" customHeight="1">
      <c r="A139" s="19" t="s">
        <v>14</v>
      </c>
      <c r="B139" s="50" t="s">
        <v>48</v>
      </c>
      <c r="C139" s="15"/>
      <c r="D139" s="16"/>
      <c r="E139" s="13">
        <f t="shared" ref="E139:AF139" si="29">SUM(E129:E138)</f>
        <v>4</v>
      </c>
      <c r="F139" s="13">
        <f t="shared" si="29"/>
        <v>9</v>
      </c>
      <c r="G139" s="13">
        <f t="shared" si="29"/>
        <v>4</v>
      </c>
      <c r="H139" s="13">
        <f t="shared" si="29"/>
        <v>2</v>
      </c>
      <c r="I139" s="13">
        <f t="shared" si="29"/>
        <v>0</v>
      </c>
      <c r="J139" s="13">
        <f t="shared" si="29"/>
        <v>9</v>
      </c>
      <c r="K139" s="13">
        <f t="shared" si="29"/>
        <v>3</v>
      </c>
      <c r="L139" s="13">
        <f t="shared" si="29"/>
        <v>6</v>
      </c>
      <c r="M139" s="13">
        <f t="shared" si="29"/>
        <v>1</v>
      </c>
      <c r="N139" s="13">
        <f t="shared" si="29"/>
        <v>1</v>
      </c>
      <c r="O139" s="13">
        <f t="shared" si="29"/>
        <v>0</v>
      </c>
      <c r="P139" s="13">
        <f t="shared" si="29"/>
        <v>12</v>
      </c>
      <c r="Q139" s="13">
        <f t="shared" si="29"/>
        <v>2</v>
      </c>
      <c r="R139" s="13">
        <f t="shared" si="29"/>
        <v>4</v>
      </c>
      <c r="S139" s="13">
        <f t="shared" si="29"/>
        <v>0</v>
      </c>
      <c r="T139" s="13">
        <f t="shared" si="29"/>
        <v>5</v>
      </c>
      <c r="U139" s="13">
        <f t="shared" si="29"/>
        <v>0</v>
      </c>
      <c r="V139" s="13">
        <f t="shared" si="29"/>
        <v>10</v>
      </c>
      <c r="W139" s="13">
        <f t="shared" si="29"/>
        <v>2</v>
      </c>
      <c r="X139" s="13">
        <f t="shared" si="29"/>
        <v>2</v>
      </c>
      <c r="Y139" s="13">
        <f t="shared" si="29"/>
        <v>5</v>
      </c>
      <c r="Z139" s="13">
        <f t="shared" si="29"/>
        <v>7</v>
      </c>
      <c r="AA139" s="13">
        <f t="shared" si="29"/>
        <v>6</v>
      </c>
      <c r="AB139" s="13">
        <f t="shared" si="29"/>
        <v>5</v>
      </c>
      <c r="AC139" s="13">
        <f t="shared" si="29"/>
        <v>3</v>
      </c>
      <c r="AD139" s="13">
        <f t="shared" si="29"/>
        <v>4</v>
      </c>
      <c r="AE139" s="13">
        <f t="shared" si="29"/>
        <v>2</v>
      </c>
      <c r="AF139" s="13">
        <f t="shared" si="29"/>
        <v>2</v>
      </c>
      <c r="AG139" s="13">
        <f t="shared" si="28"/>
        <v>110</v>
      </c>
      <c r="AH139" s="5"/>
      <c r="AI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5"/>
      <c r="AI140" s="5"/>
    </row>
    <row r="141" ht="12.75" customHeight="1">
      <c r="A141" s="31" t="s">
        <v>36</v>
      </c>
      <c r="B141" s="50" t="s">
        <v>112</v>
      </c>
      <c r="C141" s="51" t="s">
        <v>113</v>
      </c>
      <c r="D141" s="16"/>
      <c r="E141" s="79">
        <v>0.0</v>
      </c>
      <c r="F141" s="79">
        <v>1.0</v>
      </c>
      <c r="G141" s="79">
        <v>0.0</v>
      </c>
      <c r="H141" s="79">
        <v>0.0</v>
      </c>
      <c r="I141" s="79">
        <v>0.0</v>
      </c>
      <c r="J141" s="79">
        <v>0.0</v>
      </c>
      <c r="K141" s="79">
        <v>2.0</v>
      </c>
      <c r="L141" s="79">
        <v>0.0</v>
      </c>
      <c r="M141" s="79">
        <v>0.0</v>
      </c>
      <c r="N141" s="79">
        <v>0.0</v>
      </c>
      <c r="O141" s="79">
        <v>1.0</v>
      </c>
      <c r="P141" s="79">
        <v>0.0</v>
      </c>
      <c r="Q141" s="79">
        <v>0.0</v>
      </c>
      <c r="R141" s="79">
        <v>0.0</v>
      </c>
      <c r="S141" s="79">
        <v>0.0</v>
      </c>
      <c r="T141" s="79">
        <v>0.0</v>
      </c>
      <c r="U141" s="79">
        <v>0.0</v>
      </c>
      <c r="V141" s="79">
        <v>0.0</v>
      </c>
      <c r="W141" s="79">
        <v>0.0</v>
      </c>
      <c r="X141" s="79">
        <v>0.0</v>
      </c>
      <c r="Y141" s="79">
        <v>0.0</v>
      </c>
      <c r="Z141" s="79">
        <v>0.0</v>
      </c>
      <c r="AA141" s="79">
        <v>0.0</v>
      </c>
      <c r="AB141" s="79">
        <v>0.0</v>
      </c>
      <c r="AC141" s="79">
        <v>0.0</v>
      </c>
      <c r="AD141" s="79">
        <v>0.0</v>
      </c>
      <c r="AE141" s="79">
        <v>0.0</v>
      </c>
      <c r="AF141" s="79">
        <v>0.0</v>
      </c>
      <c r="AG141" s="13">
        <f t="shared" ref="AG141:AG144" si="30">SUM(E141:AF141)</f>
        <v>4</v>
      </c>
      <c r="AH141" s="1"/>
      <c r="AI141" s="1"/>
    </row>
    <row r="142" ht="12.75" customHeight="1">
      <c r="A142" s="31" t="s">
        <v>38</v>
      </c>
      <c r="B142" s="58"/>
      <c r="C142" s="53" t="s">
        <v>114</v>
      </c>
      <c r="D142" s="61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>
        <v>0.0</v>
      </c>
      <c r="R142" s="79">
        <v>0.0</v>
      </c>
      <c r="S142" s="79">
        <v>0.0</v>
      </c>
      <c r="T142" s="79">
        <v>0.0</v>
      </c>
      <c r="U142" s="79">
        <v>0.0</v>
      </c>
      <c r="V142" s="79">
        <v>0.0</v>
      </c>
      <c r="W142" s="79">
        <v>0.0</v>
      </c>
      <c r="X142" s="79">
        <v>0.0</v>
      </c>
      <c r="Y142" s="79">
        <v>0.0</v>
      </c>
      <c r="Z142" s="79">
        <v>0.0</v>
      </c>
      <c r="AA142" s="79">
        <v>0.0</v>
      </c>
      <c r="AB142" s="79">
        <v>0.0</v>
      </c>
      <c r="AC142" s="79">
        <v>0.0</v>
      </c>
      <c r="AD142" s="79">
        <v>0.0</v>
      </c>
      <c r="AE142" s="79">
        <v>1.0</v>
      </c>
      <c r="AF142" s="79">
        <v>0.0</v>
      </c>
      <c r="AG142" s="13">
        <f t="shared" si="30"/>
        <v>1</v>
      </c>
      <c r="AH142" s="55"/>
      <c r="AI142" s="55"/>
    </row>
    <row r="143" ht="12.75" customHeight="1">
      <c r="A143" s="18"/>
      <c r="B143" s="58"/>
      <c r="C143" s="53" t="s">
        <v>115</v>
      </c>
      <c r="D143" s="61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79">
        <v>0.0</v>
      </c>
      <c r="U143" s="79">
        <v>0.0</v>
      </c>
      <c r="V143" s="79">
        <v>0.0</v>
      </c>
      <c r="W143" s="79">
        <v>0.0</v>
      </c>
      <c r="X143" s="79">
        <v>0.0</v>
      </c>
      <c r="Y143" s="79">
        <v>0.0</v>
      </c>
      <c r="Z143" s="79">
        <v>0.0</v>
      </c>
      <c r="AA143" s="79">
        <v>0.0</v>
      </c>
      <c r="AB143" s="79">
        <v>0.0</v>
      </c>
      <c r="AC143" s="79">
        <v>0.0</v>
      </c>
      <c r="AD143" s="79">
        <v>0.0</v>
      </c>
      <c r="AE143" s="79">
        <v>0.0</v>
      </c>
      <c r="AF143" s="79">
        <v>0.0</v>
      </c>
      <c r="AG143" s="13">
        <f t="shared" si="30"/>
        <v>0</v>
      </c>
      <c r="AH143" s="5"/>
      <c r="AI143" s="5"/>
    </row>
    <row r="144" ht="12.75" customHeight="1">
      <c r="A144" s="18"/>
      <c r="B144" s="58"/>
      <c r="C144" s="53" t="s">
        <v>116</v>
      </c>
      <c r="D144" s="61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0.0</v>
      </c>
      <c r="T144" s="79">
        <v>0.0</v>
      </c>
      <c r="U144" s="79">
        <v>0.0</v>
      </c>
      <c r="V144" s="79">
        <v>0.0</v>
      </c>
      <c r="W144" s="79">
        <v>0.0</v>
      </c>
      <c r="X144" s="79">
        <v>0.0</v>
      </c>
      <c r="Y144" s="79">
        <v>0.0</v>
      </c>
      <c r="Z144" s="79">
        <v>0.0</v>
      </c>
      <c r="AA144" s="79">
        <v>0.0</v>
      </c>
      <c r="AB144" s="79">
        <v>0.0</v>
      </c>
      <c r="AC144" s="79">
        <v>0.0</v>
      </c>
      <c r="AD144" s="79">
        <v>0.0</v>
      </c>
      <c r="AE144" s="79">
        <v>0.0</v>
      </c>
      <c r="AF144" s="79">
        <v>0.0</v>
      </c>
      <c r="AG144" s="13">
        <f t="shared" si="30"/>
        <v>0</v>
      </c>
      <c r="AH144" s="5"/>
      <c r="AI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85"/>
      <c r="AH145" s="5"/>
      <c r="AI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85"/>
      <c r="AH146" s="5"/>
      <c r="AI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85"/>
      <c r="AH147" s="5"/>
      <c r="AI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85"/>
      <c r="AH148" s="5"/>
      <c r="AI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85"/>
      <c r="AH149" s="5"/>
      <c r="AI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85"/>
      <c r="AH150" s="5"/>
      <c r="AI150" s="5"/>
    </row>
    <row r="151" ht="12.75" customHeight="1">
      <c r="A151" s="19" t="s">
        <v>14</v>
      </c>
      <c r="B151" s="50" t="s">
        <v>48</v>
      </c>
      <c r="C151" s="15"/>
      <c r="D151" s="16"/>
      <c r="E151" s="13">
        <f t="shared" ref="E151:AF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2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1</v>
      </c>
      <c r="AF151" s="13">
        <f t="shared" si="31"/>
        <v>0</v>
      </c>
      <c r="AG151" s="13">
        <f>SUM(E151:AF151)</f>
        <v>5</v>
      </c>
      <c r="AH151" s="1"/>
      <c r="AI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13"/>
      <c r="AH152" s="55"/>
      <c r="AI152" s="55"/>
    </row>
    <row r="153" ht="12.75" customHeight="1">
      <c r="A153" s="31" t="s">
        <v>36</v>
      </c>
      <c r="B153" s="17" t="s">
        <v>117</v>
      </c>
      <c r="C153" s="68" t="s">
        <v>118</v>
      </c>
      <c r="D153" s="23"/>
      <c r="E153" s="79">
        <v>0.0</v>
      </c>
      <c r="F153" s="79">
        <v>0.0</v>
      </c>
      <c r="G153" s="79">
        <v>0.0</v>
      </c>
      <c r="H153" s="79">
        <v>0.0</v>
      </c>
      <c r="I153" s="79">
        <v>0.0</v>
      </c>
      <c r="J153" s="79">
        <v>0.0</v>
      </c>
      <c r="K153" s="79">
        <v>0.0</v>
      </c>
      <c r="L153" s="79">
        <v>0.0</v>
      </c>
      <c r="M153" s="79">
        <v>0.0</v>
      </c>
      <c r="N153" s="79">
        <v>0.0</v>
      </c>
      <c r="O153" s="79">
        <v>0.0</v>
      </c>
      <c r="P153" s="79">
        <v>0.0</v>
      </c>
      <c r="Q153" s="79">
        <v>0.0</v>
      </c>
      <c r="R153" s="79">
        <v>0.0</v>
      </c>
      <c r="S153" s="79">
        <v>0.0</v>
      </c>
      <c r="T153" s="79">
        <v>0.0</v>
      </c>
      <c r="U153" s="79">
        <v>1.0</v>
      </c>
      <c r="V153" s="79">
        <v>1.0</v>
      </c>
      <c r="W153" s="79">
        <v>0.0</v>
      </c>
      <c r="X153" s="79">
        <v>0.0</v>
      </c>
      <c r="Y153" s="79">
        <v>0.0</v>
      </c>
      <c r="Z153" s="79">
        <v>0.0</v>
      </c>
      <c r="AA153" s="79">
        <v>0.0</v>
      </c>
      <c r="AB153" s="79">
        <v>0.0</v>
      </c>
      <c r="AC153" s="79">
        <v>0.0</v>
      </c>
      <c r="AD153" s="79">
        <v>0.0</v>
      </c>
      <c r="AE153" s="79">
        <v>0.0</v>
      </c>
      <c r="AF153" s="79">
        <v>0.0</v>
      </c>
      <c r="AG153" s="13">
        <f t="shared" ref="AG153:AG156" si="32">SUM(E154:AF154)</f>
        <v>3</v>
      </c>
      <c r="AH153" s="5"/>
      <c r="AI153" s="5"/>
    </row>
    <row r="154" ht="12.75" customHeight="1">
      <c r="A154" s="69" t="s">
        <v>38</v>
      </c>
      <c r="B154" s="58"/>
      <c r="C154" s="53" t="s">
        <v>119</v>
      </c>
      <c r="D154" s="61"/>
      <c r="E154" s="87">
        <v>0.0</v>
      </c>
      <c r="F154" s="79">
        <v>0.0</v>
      </c>
      <c r="G154" s="79">
        <v>0.0</v>
      </c>
      <c r="H154" s="79">
        <v>0.0</v>
      </c>
      <c r="I154" s="79">
        <v>0.0</v>
      </c>
      <c r="J154" s="79">
        <v>0.0</v>
      </c>
      <c r="K154" s="79">
        <v>0.0</v>
      </c>
      <c r="L154" s="79">
        <v>0.0</v>
      </c>
      <c r="M154" s="79">
        <v>0.0</v>
      </c>
      <c r="N154" s="79">
        <v>0.0</v>
      </c>
      <c r="O154" s="79">
        <v>0.0</v>
      </c>
      <c r="P154" s="79">
        <v>0.0</v>
      </c>
      <c r="Q154" s="79">
        <v>0.0</v>
      </c>
      <c r="R154" s="79">
        <v>0.0</v>
      </c>
      <c r="S154" s="79">
        <v>0.0</v>
      </c>
      <c r="T154" s="79">
        <v>0.0</v>
      </c>
      <c r="U154" s="79">
        <v>1.0</v>
      </c>
      <c r="V154" s="79">
        <v>0.0</v>
      </c>
      <c r="W154" s="79">
        <v>1.0</v>
      </c>
      <c r="X154" s="79">
        <v>0.0</v>
      </c>
      <c r="Y154" s="79">
        <v>0.0</v>
      </c>
      <c r="Z154" s="79">
        <v>0.0</v>
      </c>
      <c r="AA154" s="79">
        <v>0.0</v>
      </c>
      <c r="AB154" s="79">
        <v>0.0</v>
      </c>
      <c r="AC154" s="79">
        <v>0.0</v>
      </c>
      <c r="AD154" s="79">
        <v>1.0</v>
      </c>
      <c r="AE154" s="79">
        <v>0.0</v>
      </c>
      <c r="AF154" s="79">
        <v>0.0</v>
      </c>
      <c r="AG154" s="13">
        <f t="shared" si="32"/>
        <v>3</v>
      </c>
      <c r="AH154" s="5"/>
      <c r="AI154" s="5"/>
    </row>
    <row r="155" ht="12.75" customHeight="1">
      <c r="A155" s="18"/>
      <c r="B155" s="58"/>
      <c r="C155" s="53" t="s">
        <v>120</v>
      </c>
      <c r="D155" s="61"/>
      <c r="E155" s="87">
        <v>1.0</v>
      </c>
      <c r="F155" s="79">
        <v>0.0</v>
      </c>
      <c r="G155" s="79">
        <v>0.0</v>
      </c>
      <c r="H155" s="79">
        <v>0.0</v>
      </c>
      <c r="I155" s="79">
        <v>0.0</v>
      </c>
      <c r="J155" s="79">
        <v>0.0</v>
      </c>
      <c r="K155" s="79">
        <v>0.0</v>
      </c>
      <c r="L155" s="79">
        <v>0.0</v>
      </c>
      <c r="M155" s="79">
        <v>0.0</v>
      </c>
      <c r="N155" s="79">
        <v>0.0</v>
      </c>
      <c r="O155" s="79">
        <v>0.0</v>
      </c>
      <c r="P155" s="79">
        <v>0.0</v>
      </c>
      <c r="Q155" s="79">
        <v>0.0</v>
      </c>
      <c r="R155" s="79">
        <v>0.0</v>
      </c>
      <c r="S155" s="79">
        <v>0.0</v>
      </c>
      <c r="T155" s="79">
        <v>0.0</v>
      </c>
      <c r="U155" s="79">
        <v>0.0</v>
      </c>
      <c r="V155" s="79">
        <v>0.0</v>
      </c>
      <c r="W155" s="79">
        <v>0.0</v>
      </c>
      <c r="X155" s="79">
        <v>0.0</v>
      </c>
      <c r="Y155" s="79">
        <v>0.0</v>
      </c>
      <c r="Z155" s="79">
        <v>0.0</v>
      </c>
      <c r="AA155" s="79">
        <v>0.0</v>
      </c>
      <c r="AB155" s="79">
        <v>1.0</v>
      </c>
      <c r="AC155" s="79">
        <v>0.0</v>
      </c>
      <c r="AD155" s="79">
        <v>0.0</v>
      </c>
      <c r="AE155" s="79">
        <v>1.0</v>
      </c>
      <c r="AF155" s="79">
        <v>0.0</v>
      </c>
      <c r="AG155" s="13">
        <f t="shared" si="32"/>
        <v>1</v>
      </c>
      <c r="AH155" s="5"/>
      <c r="AI155" s="5"/>
    </row>
    <row r="156" ht="12.75" customHeight="1">
      <c r="A156" s="18"/>
      <c r="B156" s="58"/>
      <c r="C156" s="53" t="s">
        <v>121</v>
      </c>
      <c r="D156" s="61"/>
      <c r="E156" s="87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0.0</v>
      </c>
      <c r="O156" s="79">
        <v>0.0</v>
      </c>
      <c r="P156" s="79">
        <v>0.0</v>
      </c>
      <c r="Q156" s="79">
        <v>0.0</v>
      </c>
      <c r="R156" s="79">
        <v>0.0</v>
      </c>
      <c r="S156" s="79">
        <v>0.0</v>
      </c>
      <c r="T156" s="79">
        <v>0.0</v>
      </c>
      <c r="U156" s="79">
        <v>0.0</v>
      </c>
      <c r="V156" s="79">
        <v>1.0</v>
      </c>
      <c r="W156" s="79">
        <v>0.0</v>
      </c>
      <c r="X156" s="79">
        <v>0.0</v>
      </c>
      <c r="Y156" s="79">
        <v>0.0</v>
      </c>
      <c r="Z156" s="79">
        <v>0.0</v>
      </c>
      <c r="AA156" s="79">
        <v>0.0</v>
      </c>
      <c r="AB156" s="79">
        <v>0.0</v>
      </c>
      <c r="AC156" s="79">
        <v>0.0</v>
      </c>
      <c r="AD156" s="79">
        <v>0.0</v>
      </c>
      <c r="AE156" s="79">
        <v>0.0</v>
      </c>
      <c r="AF156" s="79">
        <v>0.0</v>
      </c>
      <c r="AG156" s="13">
        <f t="shared" si="32"/>
        <v>2</v>
      </c>
      <c r="AH156" s="5"/>
      <c r="AI156" s="5"/>
    </row>
    <row r="157" ht="12.75" customHeight="1">
      <c r="A157" s="18"/>
      <c r="B157" s="58"/>
      <c r="C157" s="53" t="s">
        <v>122</v>
      </c>
      <c r="D157" s="61"/>
      <c r="E157" s="87">
        <v>0.0</v>
      </c>
      <c r="F157" s="79">
        <v>1.0</v>
      </c>
      <c r="G157" s="79">
        <v>0.0</v>
      </c>
      <c r="H157" s="79">
        <v>0.0</v>
      </c>
      <c r="I157" s="79">
        <v>1.0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0.0</v>
      </c>
      <c r="R157" s="79">
        <v>0.0</v>
      </c>
      <c r="S157" s="79">
        <v>0.0</v>
      </c>
      <c r="T157" s="79">
        <v>0.0</v>
      </c>
      <c r="U157" s="79">
        <v>0.0</v>
      </c>
      <c r="V157" s="79">
        <v>0.0</v>
      </c>
      <c r="W157" s="79">
        <v>0.0</v>
      </c>
      <c r="X157" s="79">
        <v>0.0</v>
      </c>
      <c r="Y157" s="79">
        <v>0.0</v>
      </c>
      <c r="Z157" s="79">
        <v>0.0</v>
      </c>
      <c r="AA157" s="79">
        <v>0.0</v>
      </c>
      <c r="AB157" s="79">
        <v>0.0</v>
      </c>
      <c r="AC157" s="79">
        <v>0.0</v>
      </c>
      <c r="AD157" s="79">
        <v>0.0</v>
      </c>
      <c r="AE157" s="79">
        <v>0.0</v>
      </c>
      <c r="AF157" s="79">
        <v>0.0</v>
      </c>
      <c r="AG157" s="13">
        <f t="shared" ref="AG157:AG160" si="33">SUM(E163:AF163)</f>
        <v>12</v>
      </c>
      <c r="AH157" s="5"/>
      <c r="AI157" s="5"/>
    </row>
    <row r="158" ht="12.75" customHeight="1">
      <c r="A158" s="18"/>
      <c r="B158" s="58"/>
      <c r="C158" s="53" t="s">
        <v>123</v>
      </c>
      <c r="D158" s="61"/>
      <c r="E158" s="87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0.0</v>
      </c>
      <c r="T158" s="79">
        <v>0.0</v>
      </c>
      <c r="U158" s="79">
        <v>0.0</v>
      </c>
      <c r="V158" s="79">
        <v>0.0</v>
      </c>
      <c r="W158" s="79">
        <v>0.0</v>
      </c>
      <c r="X158" s="79">
        <v>0.0</v>
      </c>
      <c r="Y158" s="79">
        <v>0.0</v>
      </c>
      <c r="Z158" s="79">
        <v>1.0</v>
      </c>
      <c r="AA158" s="79">
        <v>0.0</v>
      </c>
      <c r="AB158" s="79">
        <v>0.0</v>
      </c>
      <c r="AC158" s="79">
        <v>0.0</v>
      </c>
      <c r="AD158" s="79">
        <v>0.0</v>
      </c>
      <c r="AE158" s="79">
        <v>0.0</v>
      </c>
      <c r="AF158" s="79">
        <v>0.0</v>
      </c>
      <c r="AG158" s="13">
        <f t="shared" si="33"/>
        <v>0</v>
      </c>
      <c r="AH158" s="5"/>
      <c r="AI158" s="5"/>
    </row>
    <row r="159" ht="12.75" customHeight="1">
      <c r="A159" s="18"/>
      <c r="B159" s="58"/>
      <c r="C159" s="53" t="s">
        <v>124</v>
      </c>
      <c r="D159" s="61"/>
      <c r="E159" s="87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79">
        <v>0.0</v>
      </c>
      <c r="S159" s="79">
        <v>0.0</v>
      </c>
      <c r="T159" s="79">
        <v>0.0</v>
      </c>
      <c r="U159" s="79">
        <v>0.0</v>
      </c>
      <c r="V159" s="79">
        <v>0.0</v>
      </c>
      <c r="W159" s="79">
        <v>0.0</v>
      </c>
      <c r="X159" s="79">
        <v>0.0</v>
      </c>
      <c r="Y159" s="79">
        <v>0.0</v>
      </c>
      <c r="Z159" s="79">
        <v>0.0</v>
      </c>
      <c r="AA159" s="79">
        <v>0.0</v>
      </c>
      <c r="AB159" s="79">
        <v>0.0</v>
      </c>
      <c r="AC159" s="79">
        <v>0.0</v>
      </c>
      <c r="AD159" s="79">
        <v>0.0</v>
      </c>
      <c r="AE159" s="79">
        <v>0.0</v>
      </c>
      <c r="AF159" s="79">
        <v>0.0</v>
      </c>
      <c r="AG159" s="13">
        <f t="shared" si="33"/>
        <v>9</v>
      </c>
      <c r="AH159" s="5"/>
      <c r="AI159" s="5"/>
    </row>
    <row r="160" ht="12.75" customHeight="1">
      <c r="A160" s="18"/>
      <c r="B160" s="58"/>
      <c r="C160" s="53" t="s">
        <v>125</v>
      </c>
      <c r="D160" s="61"/>
      <c r="E160" s="87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79">
        <v>0.0</v>
      </c>
      <c r="T160" s="79">
        <v>0.0</v>
      </c>
      <c r="U160" s="79">
        <v>0.0</v>
      </c>
      <c r="V160" s="79">
        <v>0.0</v>
      </c>
      <c r="W160" s="79">
        <v>0.0</v>
      </c>
      <c r="X160" s="79">
        <v>0.0</v>
      </c>
      <c r="Y160" s="79">
        <v>0.0</v>
      </c>
      <c r="Z160" s="79">
        <v>0.0</v>
      </c>
      <c r="AA160" s="79">
        <v>0.0</v>
      </c>
      <c r="AB160" s="79">
        <v>0.0</v>
      </c>
      <c r="AC160" s="79">
        <v>0.0</v>
      </c>
      <c r="AD160" s="79">
        <v>0.0</v>
      </c>
      <c r="AE160" s="79">
        <v>0.0</v>
      </c>
      <c r="AF160" s="79">
        <v>0.0</v>
      </c>
      <c r="AG160" s="13">
        <f t="shared" si="33"/>
        <v>8</v>
      </c>
      <c r="AH160" s="5"/>
      <c r="AI160" s="5"/>
    </row>
    <row r="161" ht="12.75" customHeight="1">
      <c r="A161" s="18"/>
      <c r="B161" s="62"/>
      <c r="C161" s="70"/>
      <c r="D161" s="64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85"/>
      <c r="AH161" s="5"/>
      <c r="AI161" s="5"/>
    </row>
    <row r="162" ht="12.75" customHeight="1">
      <c r="A162" s="18"/>
      <c r="B162" s="62"/>
      <c r="C162" s="70"/>
      <c r="D162" s="64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85"/>
      <c r="AH162" s="5"/>
      <c r="AI162" s="5"/>
    </row>
    <row r="163" ht="12.75" customHeight="1">
      <c r="A163" s="19" t="s">
        <v>14</v>
      </c>
      <c r="B163" s="71" t="s">
        <v>48</v>
      </c>
      <c r="C163" s="47"/>
      <c r="D163" s="28"/>
      <c r="E163" s="13">
        <f t="shared" ref="E163:AF163" si="34">SUM(E153:E162)</f>
        <v>1</v>
      </c>
      <c r="F163" s="13">
        <f t="shared" si="34"/>
        <v>1</v>
      </c>
      <c r="G163" s="13">
        <f t="shared" si="34"/>
        <v>0</v>
      </c>
      <c r="H163" s="13">
        <f t="shared" si="34"/>
        <v>0</v>
      </c>
      <c r="I163" s="13">
        <f t="shared" si="34"/>
        <v>1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2</v>
      </c>
      <c r="V163" s="13">
        <f t="shared" si="34"/>
        <v>2</v>
      </c>
      <c r="W163" s="13">
        <f t="shared" si="34"/>
        <v>1</v>
      </c>
      <c r="X163" s="13">
        <f t="shared" si="34"/>
        <v>0</v>
      </c>
      <c r="Y163" s="13">
        <f t="shared" si="34"/>
        <v>0</v>
      </c>
      <c r="Z163" s="13">
        <f t="shared" si="34"/>
        <v>1</v>
      </c>
      <c r="AA163" s="13">
        <f t="shared" si="34"/>
        <v>0</v>
      </c>
      <c r="AB163" s="13">
        <f t="shared" si="34"/>
        <v>1</v>
      </c>
      <c r="AC163" s="13">
        <f t="shared" si="34"/>
        <v>0</v>
      </c>
      <c r="AD163" s="13">
        <f t="shared" si="34"/>
        <v>1</v>
      </c>
      <c r="AE163" s="13">
        <f t="shared" si="34"/>
        <v>1</v>
      </c>
      <c r="AF163" s="13">
        <f t="shared" si="34"/>
        <v>0</v>
      </c>
      <c r="AG163" s="13">
        <f>SUM(E163:AF163)</f>
        <v>12</v>
      </c>
      <c r="AH163" s="5"/>
      <c r="AI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5"/>
      <c r="AI164" s="5"/>
    </row>
    <row r="165" ht="12.75" customHeight="1">
      <c r="A165" s="31" t="s">
        <v>36</v>
      </c>
      <c r="B165" s="50" t="s">
        <v>126</v>
      </c>
      <c r="C165" s="51" t="s">
        <v>127</v>
      </c>
      <c r="D165" s="16"/>
      <c r="E165" s="79">
        <v>0.0</v>
      </c>
      <c r="F165" s="79">
        <v>1.0</v>
      </c>
      <c r="G165" s="79">
        <v>0.0</v>
      </c>
      <c r="H165" s="79">
        <v>0.0</v>
      </c>
      <c r="I165" s="79">
        <v>0.0</v>
      </c>
      <c r="J165" s="79">
        <v>0.0</v>
      </c>
      <c r="K165" s="79">
        <v>0.0</v>
      </c>
      <c r="L165" s="79">
        <v>0.0</v>
      </c>
      <c r="M165" s="79">
        <v>0.0</v>
      </c>
      <c r="N165" s="79">
        <v>2.0</v>
      </c>
      <c r="O165" s="79">
        <v>0.0</v>
      </c>
      <c r="P165" s="79">
        <v>0.0</v>
      </c>
      <c r="Q165" s="79">
        <v>0.0</v>
      </c>
      <c r="R165" s="79">
        <v>1.0</v>
      </c>
      <c r="S165" s="79">
        <v>0.0</v>
      </c>
      <c r="T165" s="79">
        <v>0.0</v>
      </c>
      <c r="U165" s="79">
        <v>0.0</v>
      </c>
      <c r="V165" s="79">
        <v>3.0</v>
      </c>
      <c r="W165" s="79">
        <v>0.0</v>
      </c>
      <c r="X165" s="79">
        <v>0.0</v>
      </c>
      <c r="Y165" s="79">
        <v>1.0</v>
      </c>
      <c r="Z165" s="79">
        <v>0.0</v>
      </c>
      <c r="AA165" s="79">
        <v>1.0</v>
      </c>
      <c r="AB165" s="79">
        <v>0.0</v>
      </c>
      <c r="AC165" s="79">
        <v>0.0</v>
      </c>
      <c r="AD165" s="79">
        <v>0.0</v>
      </c>
      <c r="AE165" s="79">
        <v>0.0</v>
      </c>
      <c r="AF165" s="79">
        <v>0.0</v>
      </c>
      <c r="AG165" s="13">
        <f t="shared" ref="AG165:AG166" si="35">SUM(E165:AF165)</f>
        <v>9</v>
      </c>
      <c r="AH165" s="1"/>
      <c r="AI165" s="1"/>
    </row>
    <row r="166" ht="12.75" customHeight="1">
      <c r="A166" s="31" t="s">
        <v>38</v>
      </c>
      <c r="B166" s="58"/>
      <c r="C166" s="53" t="s">
        <v>128</v>
      </c>
      <c r="D166" s="61"/>
      <c r="E166" s="79">
        <v>0.0</v>
      </c>
      <c r="F166" s="79">
        <v>1.0</v>
      </c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0.0</v>
      </c>
      <c r="M166" s="79">
        <v>0.0</v>
      </c>
      <c r="N166" s="79">
        <v>0.0</v>
      </c>
      <c r="O166" s="79">
        <v>1.0</v>
      </c>
      <c r="P166" s="79">
        <v>0.0</v>
      </c>
      <c r="Q166" s="79">
        <v>0.0</v>
      </c>
      <c r="R166" s="79">
        <v>0.0</v>
      </c>
      <c r="S166" s="79">
        <v>0.0</v>
      </c>
      <c r="T166" s="79">
        <v>0.0</v>
      </c>
      <c r="U166" s="79">
        <v>0.0</v>
      </c>
      <c r="V166" s="79">
        <v>1.0</v>
      </c>
      <c r="W166" s="79">
        <v>2.0</v>
      </c>
      <c r="X166" s="79">
        <v>0.0</v>
      </c>
      <c r="Y166" s="79">
        <v>0.0</v>
      </c>
      <c r="Z166" s="79">
        <v>1.0</v>
      </c>
      <c r="AA166" s="79">
        <v>1.0</v>
      </c>
      <c r="AB166" s="79">
        <v>0.0</v>
      </c>
      <c r="AC166" s="79">
        <v>0.0</v>
      </c>
      <c r="AD166" s="79">
        <v>1.0</v>
      </c>
      <c r="AE166" s="79">
        <v>0.0</v>
      </c>
      <c r="AF166" s="79">
        <v>0.0</v>
      </c>
      <c r="AG166" s="13">
        <f t="shared" si="35"/>
        <v>8</v>
      </c>
      <c r="AH166" s="55"/>
      <c r="AI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85"/>
      <c r="AH167" s="5"/>
      <c r="AI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85"/>
      <c r="AH168" s="5"/>
      <c r="AI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85"/>
      <c r="AH169" s="5"/>
      <c r="AI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85"/>
      <c r="AH170" s="5"/>
      <c r="AI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85"/>
      <c r="AH171" s="5"/>
      <c r="AI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85"/>
      <c r="AH172" s="5"/>
      <c r="AI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85"/>
      <c r="AH173" s="5"/>
      <c r="AI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85"/>
      <c r="AH174" s="5"/>
      <c r="AI174" s="5"/>
    </row>
    <row r="175" ht="12.75" customHeight="1">
      <c r="A175" s="19" t="s">
        <v>14</v>
      </c>
      <c r="B175" s="50" t="s">
        <v>48</v>
      </c>
      <c r="C175" s="15"/>
      <c r="D175" s="16"/>
      <c r="E175" s="13">
        <f t="shared" ref="E175:AF175" si="36">SUM(E165:E174)</f>
        <v>0</v>
      </c>
      <c r="F175" s="13">
        <f t="shared" si="36"/>
        <v>2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2</v>
      </c>
      <c r="O175" s="13">
        <f t="shared" si="36"/>
        <v>1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4</v>
      </c>
      <c r="W175" s="13">
        <f t="shared" si="36"/>
        <v>2</v>
      </c>
      <c r="X175" s="13">
        <f t="shared" si="36"/>
        <v>0</v>
      </c>
      <c r="Y175" s="13">
        <f t="shared" si="36"/>
        <v>1</v>
      </c>
      <c r="Z175" s="13">
        <f t="shared" si="36"/>
        <v>1</v>
      </c>
      <c r="AA175" s="13">
        <f t="shared" si="36"/>
        <v>2</v>
      </c>
      <c r="AB175" s="13">
        <f t="shared" si="36"/>
        <v>0</v>
      </c>
      <c r="AC175" s="13">
        <f t="shared" si="36"/>
        <v>0</v>
      </c>
      <c r="AD175" s="13">
        <f t="shared" si="36"/>
        <v>1</v>
      </c>
      <c r="AE175" s="13">
        <f t="shared" si="36"/>
        <v>0</v>
      </c>
      <c r="AF175" s="13">
        <f t="shared" si="36"/>
        <v>0</v>
      </c>
      <c r="AG175" s="13">
        <f>SUM(E175:AF175)</f>
        <v>17</v>
      </c>
      <c r="AH175" s="5"/>
      <c r="AI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1"/>
      <c r="AI176" s="1"/>
    </row>
    <row r="177" ht="12.75" customHeight="1">
      <c r="A177" s="31" t="s">
        <v>36</v>
      </c>
      <c r="B177" s="50" t="s">
        <v>129</v>
      </c>
      <c r="C177" s="51" t="s">
        <v>130</v>
      </c>
      <c r="D177" s="16"/>
      <c r="E177" s="79">
        <v>2.0</v>
      </c>
      <c r="F177" s="79">
        <v>0.0</v>
      </c>
      <c r="G177" s="79">
        <v>1.0</v>
      </c>
      <c r="H177" s="79">
        <v>0.0</v>
      </c>
      <c r="I177" s="79">
        <v>0.0</v>
      </c>
      <c r="J177" s="79">
        <v>0.0</v>
      </c>
      <c r="K177" s="79">
        <v>1.0</v>
      </c>
      <c r="L177" s="79">
        <v>0.0</v>
      </c>
      <c r="M177" s="79">
        <v>0.0</v>
      </c>
      <c r="N177" s="79">
        <v>1.0</v>
      </c>
      <c r="O177" s="79">
        <v>0.0</v>
      </c>
      <c r="P177" s="79">
        <v>0.0</v>
      </c>
      <c r="Q177" s="79">
        <v>1.0</v>
      </c>
      <c r="R177" s="79">
        <v>1.0</v>
      </c>
      <c r="S177" s="79">
        <v>0.0</v>
      </c>
      <c r="T177" s="79">
        <v>0.0</v>
      </c>
      <c r="U177" s="79">
        <v>0.0</v>
      </c>
      <c r="V177" s="79">
        <v>1.0</v>
      </c>
      <c r="W177" s="79">
        <v>3.0</v>
      </c>
      <c r="X177" s="79">
        <v>0.0</v>
      </c>
      <c r="Y177" s="79">
        <v>1.0</v>
      </c>
      <c r="Z177" s="79">
        <v>1.0</v>
      </c>
      <c r="AA177" s="79">
        <v>0.0</v>
      </c>
      <c r="AB177" s="79">
        <v>0.0</v>
      </c>
      <c r="AC177" s="79">
        <v>0.0</v>
      </c>
      <c r="AD177" s="79">
        <v>0.0</v>
      </c>
      <c r="AE177" s="79">
        <v>0.0</v>
      </c>
      <c r="AF177" s="79">
        <v>0.0</v>
      </c>
      <c r="AG177" s="13">
        <f t="shared" ref="AG177:AG187" si="37">SUM(E177:AF177)</f>
        <v>13</v>
      </c>
    </row>
    <row r="178" ht="12.75" customHeight="1">
      <c r="A178" s="31" t="s">
        <v>38</v>
      </c>
      <c r="B178" s="58"/>
      <c r="C178" s="53" t="s">
        <v>131</v>
      </c>
      <c r="D178" s="61"/>
      <c r="E178" s="79">
        <v>0.0</v>
      </c>
      <c r="F178" s="79">
        <v>1.0</v>
      </c>
      <c r="G178" s="79">
        <v>0.0</v>
      </c>
      <c r="H178" s="79">
        <v>0.0</v>
      </c>
      <c r="I178" s="79">
        <v>0.0</v>
      </c>
      <c r="J178" s="79">
        <v>0.0</v>
      </c>
      <c r="K178" s="79">
        <v>0.0</v>
      </c>
      <c r="L178" s="79">
        <v>1.0</v>
      </c>
      <c r="M178" s="79">
        <v>1.0</v>
      </c>
      <c r="N178" s="79">
        <v>0.0</v>
      </c>
      <c r="O178" s="79">
        <v>0.0</v>
      </c>
      <c r="P178" s="79">
        <v>1.0</v>
      </c>
      <c r="Q178" s="79">
        <v>0.0</v>
      </c>
      <c r="R178" s="79">
        <v>0.0</v>
      </c>
      <c r="S178" s="79">
        <v>0.0</v>
      </c>
      <c r="T178" s="79">
        <v>1.0</v>
      </c>
      <c r="U178" s="79">
        <v>0.0</v>
      </c>
      <c r="V178" s="79">
        <v>2.0</v>
      </c>
      <c r="W178" s="79">
        <v>2.0</v>
      </c>
      <c r="X178" s="79">
        <v>0.0</v>
      </c>
      <c r="Y178" s="79">
        <v>1.0</v>
      </c>
      <c r="Z178" s="79">
        <v>1.0</v>
      </c>
      <c r="AA178" s="79">
        <v>0.0</v>
      </c>
      <c r="AB178" s="79">
        <v>0.0</v>
      </c>
      <c r="AC178" s="79">
        <v>0.0</v>
      </c>
      <c r="AD178" s="79">
        <v>1.0</v>
      </c>
      <c r="AE178" s="79">
        <v>0.0</v>
      </c>
      <c r="AF178" s="79">
        <v>0.0</v>
      </c>
      <c r="AG178" s="13">
        <f t="shared" si="37"/>
        <v>12</v>
      </c>
      <c r="AH178" s="5"/>
      <c r="AI178" s="5"/>
    </row>
    <row r="179" ht="12.75" customHeight="1">
      <c r="A179" s="18"/>
      <c r="B179" s="58"/>
      <c r="C179" s="53" t="s">
        <v>132</v>
      </c>
      <c r="D179" s="61"/>
      <c r="E179" s="79">
        <v>1.0</v>
      </c>
      <c r="F179" s="79">
        <v>0.0</v>
      </c>
      <c r="G179" s="79">
        <v>0.0</v>
      </c>
      <c r="H179" s="79">
        <v>0.0</v>
      </c>
      <c r="I179" s="79">
        <v>0.0</v>
      </c>
      <c r="J179" s="79">
        <v>0.0</v>
      </c>
      <c r="K179" s="79">
        <v>0.0</v>
      </c>
      <c r="L179" s="79">
        <v>0.0</v>
      </c>
      <c r="M179" s="79">
        <v>0.0</v>
      </c>
      <c r="N179" s="79">
        <v>0.0</v>
      </c>
      <c r="O179" s="79">
        <v>0.0</v>
      </c>
      <c r="P179" s="79">
        <v>0.0</v>
      </c>
      <c r="Q179" s="79">
        <v>0.0</v>
      </c>
      <c r="R179" s="79">
        <v>0.0</v>
      </c>
      <c r="S179" s="79">
        <v>0.0</v>
      </c>
      <c r="T179" s="79">
        <v>0.0</v>
      </c>
      <c r="U179" s="79">
        <v>0.0</v>
      </c>
      <c r="V179" s="79">
        <v>0.0</v>
      </c>
      <c r="W179" s="79">
        <v>0.0</v>
      </c>
      <c r="X179" s="79">
        <v>0.0</v>
      </c>
      <c r="Y179" s="79">
        <v>0.0</v>
      </c>
      <c r="Z179" s="79">
        <v>0.0</v>
      </c>
      <c r="AA179" s="79">
        <v>0.0</v>
      </c>
      <c r="AB179" s="79">
        <v>0.0</v>
      </c>
      <c r="AC179" s="79">
        <v>0.0</v>
      </c>
      <c r="AD179" s="79">
        <v>0.0</v>
      </c>
      <c r="AE179" s="79">
        <v>0.0</v>
      </c>
      <c r="AF179" s="79">
        <v>0.0</v>
      </c>
      <c r="AG179" s="13">
        <f t="shared" si="37"/>
        <v>1</v>
      </c>
      <c r="AH179" s="5"/>
      <c r="AI179" s="5"/>
    </row>
    <row r="180" ht="12.75" customHeight="1">
      <c r="A180" s="18"/>
      <c r="B180" s="58"/>
      <c r="C180" s="53" t="s">
        <v>133</v>
      </c>
      <c r="D180" s="61"/>
      <c r="E180" s="79">
        <v>0.0</v>
      </c>
      <c r="F180" s="79">
        <v>0.0</v>
      </c>
      <c r="G180" s="79">
        <v>1.0</v>
      </c>
      <c r="H180" s="79">
        <v>2.0</v>
      </c>
      <c r="I180" s="79">
        <v>0.0</v>
      </c>
      <c r="J180" s="79">
        <v>0.0</v>
      </c>
      <c r="K180" s="79">
        <v>0.0</v>
      </c>
      <c r="L180" s="79">
        <v>0.0</v>
      </c>
      <c r="M180" s="79">
        <v>0.0</v>
      </c>
      <c r="N180" s="79">
        <v>0.0</v>
      </c>
      <c r="O180" s="79">
        <v>0.0</v>
      </c>
      <c r="P180" s="79">
        <v>1.0</v>
      </c>
      <c r="Q180" s="79">
        <v>0.0</v>
      </c>
      <c r="R180" s="79">
        <v>0.0</v>
      </c>
      <c r="S180" s="79">
        <v>0.0</v>
      </c>
      <c r="T180" s="79">
        <v>0.0</v>
      </c>
      <c r="U180" s="79">
        <v>0.0</v>
      </c>
      <c r="V180" s="79">
        <v>0.0</v>
      </c>
      <c r="W180" s="79">
        <v>0.0</v>
      </c>
      <c r="X180" s="79">
        <v>0.0</v>
      </c>
      <c r="Y180" s="79">
        <v>0.0</v>
      </c>
      <c r="Z180" s="79">
        <v>0.0</v>
      </c>
      <c r="AA180" s="79">
        <v>0.0</v>
      </c>
      <c r="AB180" s="79">
        <v>0.0</v>
      </c>
      <c r="AC180" s="79">
        <v>0.0</v>
      </c>
      <c r="AD180" s="79">
        <v>0.0</v>
      </c>
      <c r="AE180" s="79">
        <v>0.0</v>
      </c>
      <c r="AF180" s="79">
        <v>0.0</v>
      </c>
      <c r="AG180" s="13">
        <f t="shared" si="37"/>
        <v>4</v>
      </c>
      <c r="AH180" s="5"/>
      <c r="AI180" s="5"/>
    </row>
    <row r="181" ht="12.75" customHeight="1">
      <c r="A181" s="18"/>
      <c r="B181" s="58"/>
      <c r="C181" s="53" t="s">
        <v>134</v>
      </c>
      <c r="D181" s="61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1.0</v>
      </c>
      <c r="N181" s="79">
        <v>0.0</v>
      </c>
      <c r="O181" s="79">
        <v>0.0</v>
      </c>
      <c r="P181" s="79">
        <v>0.0</v>
      </c>
      <c r="Q181" s="79">
        <v>0.0</v>
      </c>
      <c r="R181" s="79">
        <v>0.0</v>
      </c>
      <c r="S181" s="79">
        <v>0.0</v>
      </c>
      <c r="T181" s="79">
        <v>0.0</v>
      </c>
      <c r="U181" s="79">
        <v>0.0</v>
      </c>
      <c r="V181" s="79">
        <v>0.0</v>
      </c>
      <c r="W181" s="79">
        <v>2.0</v>
      </c>
      <c r="X181" s="79">
        <v>0.0</v>
      </c>
      <c r="Y181" s="79">
        <v>0.0</v>
      </c>
      <c r="Z181" s="79">
        <v>0.0</v>
      </c>
      <c r="AA181" s="79">
        <v>0.0</v>
      </c>
      <c r="AB181" s="79">
        <v>0.0</v>
      </c>
      <c r="AC181" s="79">
        <v>0.0</v>
      </c>
      <c r="AD181" s="79">
        <v>0.0</v>
      </c>
      <c r="AE181" s="79">
        <v>0.0</v>
      </c>
      <c r="AF181" s="79">
        <v>0.0</v>
      </c>
      <c r="AG181" s="13">
        <f t="shared" si="37"/>
        <v>3</v>
      </c>
      <c r="AH181" s="5"/>
      <c r="AI181" s="5"/>
    </row>
    <row r="182" ht="12.75" customHeight="1">
      <c r="A182" s="18"/>
      <c r="B182" s="58"/>
      <c r="C182" s="53" t="s">
        <v>135</v>
      </c>
      <c r="D182" s="61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1.0</v>
      </c>
      <c r="L182" s="79">
        <v>0.0</v>
      </c>
      <c r="M182" s="79">
        <v>0.0</v>
      </c>
      <c r="N182" s="79">
        <v>0.0</v>
      </c>
      <c r="O182" s="79">
        <v>0.0</v>
      </c>
      <c r="P182" s="79">
        <v>0.0</v>
      </c>
      <c r="Q182" s="79">
        <v>0.0</v>
      </c>
      <c r="R182" s="79">
        <v>0.0</v>
      </c>
      <c r="S182" s="79">
        <v>0.0</v>
      </c>
      <c r="T182" s="79">
        <v>0.0</v>
      </c>
      <c r="U182" s="79">
        <v>0.0</v>
      </c>
      <c r="V182" s="79">
        <v>0.0</v>
      </c>
      <c r="W182" s="79">
        <v>0.0</v>
      </c>
      <c r="X182" s="79">
        <v>0.0</v>
      </c>
      <c r="Y182" s="79">
        <v>0.0</v>
      </c>
      <c r="Z182" s="79">
        <v>0.0</v>
      </c>
      <c r="AA182" s="79">
        <v>1.0</v>
      </c>
      <c r="AB182" s="79">
        <v>0.0</v>
      </c>
      <c r="AC182" s="79">
        <v>0.0</v>
      </c>
      <c r="AD182" s="79">
        <v>0.0</v>
      </c>
      <c r="AE182" s="79">
        <v>0.0</v>
      </c>
      <c r="AF182" s="79">
        <v>0.0</v>
      </c>
      <c r="AG182" s="13">
        <f t="shared" si="37"/>
        <v>2</v>
      </c>
      <c r="AH182" s="5"/>
      <c r="AI182" s="5"/>
    </row>
    <row r="183" ht="12.75" customHeight="1">
      <c r="A183" s="18"/>
      <c r="B183" s="58"/>
      <c r="C183" s="53" t="s">
        <v>136</v>
      </c>
      <c r="D183" s="61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>
        <v>0.0</v>
      </c>
      <c r="R183" s="79">
        <v>0.0</v>
      </c>
      <c r="S183" s="79">
        <v>0.0</v>
      </c>
      <c r="T183" s="79">
        <v>0.0</v>
      </c>
      <c r="U183" s="79">
        <v>0.0</v>
      </c>
      <c r="V183" s="79">
        <v>0.0</v>
      </c>
      <c r="W183" s="79">
        <v>0.0</v>
      </c>
      <c r="X183" s="79">
        <v>0.0</v>
      </c>
      <c r="Y183" s="79">
        <v>0.0</v>
      </c>
      <c r="Z183" s="79">
        <v>0.0</v>
      </c>
      <c r="AA183" s="79">
        <v>0.0</v>
      </c>
      <c r="AB183" s="79">
        <v>0.0</v>
      </c>
      <c r="AC183" s="79">
        <v>0.0</v>
      </c>
      <c r="AD183" s="79">
        <v>0.0</v>
      </c>
      <c r="AE183" s="79">
        <v>0.0</v>
      </c>
      <c r="AF183" s="79">
        <v>0.0</v>
      </c>
      <c r="AG183" s="13">
        <f t="shared" si="37"/>
        <v>0</v>
      </c>
      <c r="AH183" s="5"/>
      <c r="AI183" s="5"/>
    </row>
    <row r="184" ht="12.75" customHeight="1">
      <c r="A184" s="18"/>
      <c r="B184" s="58"/>
      <c r="C184" s="53" t="s">
        <v>137</v>
      </c>
      <c r="D184" s="61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79">
        <v>0.0</v>
      </c>
      <c r="U184" s="79">
        <v>0.0</v>
      </c>
      <c r="V184" s="79">
        <v>0.0</v>
      </c>
      <c r="W184" s="79">
        <v>0.0</v>
      </c>
      <c r="X184" s="79">
        <v>0.0</v>
      </c>
      <c r="Y184" s="79">
        <v>0.0</v>
      </c>
      <c r="Z184" s="79">
        <v>0.0</v>
      </c>
      <c r="AA184" s="79">
        <v>0.0</v>
      </c>
      <c r="AB184" s="79">
        <v>0.0</v>
      </c>
      <c r="AC184" s="79">
        <v>0.0</v>
      </c>
      <c r="AD184" s="79">
        <v>0.0</v>
      </c>
      <c r="AE184" s="79">
        <v>0.0</v>
      </c>
      <c r="AF184" s="79">
        <v>0.0</v>
      </c>
      <c r="AG184" s="13">
        <f t="shared" si="37"/>
        <v>0</v>
      </c>
      <c r="AH184" s="5"/>
      <c r="AI184" s="5"/>
    </row>
    <row r="185" ht="12.75" customHeight="1">
      <c r="A185" s="18"/>
      <c r="B185" s="58"/>
      <c r="C185" s="53" t="s">
        <v>138</v>
      </c>
      <c r="D185" s="61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79">
        <v>0.0</v>
      </c>
      <c r="U185" s="79">
        <v>0.0</v>
      </c>
      <c r="V185" s="79">
        <v>1.0</v>
      </c>
      <c r="W185" s="79">
        <v>0.0</v>
      </c>
      <c r="X185" s="79">
        <v>0.0</v>
      </c>
      <c r="Y185" s="79">
        <v>0.0</v>
      </c>
      <c r="Z185" s="79">
        <v>0.0</v>
      </c>
      <c r="AA185" s="79">
        <v>0.0</v>
      </c>
      <c r="AB185" s="79">
        <v>0.0</v>
      </c>
      <c r="AC185" s="79">
        <v>0.0</v>
      </c>
      <c r="AD185" s="79">
        <v>0.0</v>
      </c>
      <c r="AE185" s="79">
        <v>0.0</v>
      </c>
      <c r="AF185" s="79">
        <v>0.0</v>
      </c>
      <c r="AG185" s="13">
        <f t="shared" si="37"/>
        <v>1</v>
      </c>
      <c r="AH185" s="5"/>
      <c r="AI185" s="5"/>
    </row>
    <row r="186" ht="12.75" customHeight="1">
      <c r="A186" s="18"/>
      <c r="B186" s="58"/>
      <c r="C186" s="53" t="s">
        <v>139</v>
      </c>
      <c r="D186" s="61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0.0</v>
      </c>
      <c r="T186" s="79">
        <v>0.0</v>
      </c>
      <c r="U186" s="79">
        <v>0.0</v>
      </c>
      <c r="V186" s="79">
        <v>0.0</v>
      </c>
      <c r="W186" s="79">
        <v>0.0</v>
      </c>
      <c r="X186" s="79">
        <v>0.0</v>
      </c>
      <c r="Y186" s="79">
        <v>0.0</v>
      </c>
      <c r="Z186" s="79">
        <v>0.0</v>
      </c>
      <c r="AA186" s="79">
        <v>0.0</v>
      </c>
      <c r="AB186" s="79">
        <v>0.0</v>
      </c>
      <c r="AC186" s="79">
        <v>1.0</v>
      </c>
      <c r="AD186" s="79">
        <v>0.0</v>
      </c>
      <c r="AE186" s="79">
        <v>0.0</v>
      </c>
      <c r="AF186" s="79">
        <v>0.0</v>
      </c>
      <c r="AG186" s="13">
        <f t="shared" si="37"/>
        <v>1</v>
      </c>
      <c r="AH186" s="5"/>
      <c r="AI186" s="5"/>
    </row>
    <row r="187" ht="12.75" customHeight="1">
      <c r="A187" s="19" t="s">
        <v>14</v>
      </c>
      <c r="B187" s="50" t="s">
        <v>48</v>
      </c>
      <c r="C187" s="15"/>
      <c r="D187" s="16"/>
      <c r="E187" s="13">
        <f t="shared" ref="E187:AF187" si="38">SUM(E177:E186)</f>
        <v>3</v>
      </c>
      <c r="F187" s="13">
        <f t="shared" si="38"/>
        <v>1</v>
      </c>
      <c r="G187" s="13">
        <f t="shared" si="38"/>
        <v>2</v>
      </c>
      <c r="H187" s="13">
        <f t="shared" si="38"/>
        <v>2</v>
      </c>
      <c r="I187" s="13">
        <f t="shared" si="38"/>
        <v>0</v>
      </c>
      <c r="J187" s="13">
        <f t="shared" si="38"/>
        <v>0</v>
      </c>
      <c r="K187" s="13">
        <f t="shared" si="38"/>
        <v>2</v>
      </c>
      <c r="L187" s="13">
        <f t="shared" si="38"/>
        <v>1</v>
      </c>
      <c r="M187" s="13">
        <f t="shared" si="38"/>
        <v>2</v>
      </c>
      <c r="N187" s="13">
        <f t="shared" si="38"/>
        <v>1</v>
      </c>
      <c r="O187" s="13">
        <f t="shared" si="38"/>
        <v>0</v>
      </c>
      <c r="P187" s="13">
        <f t="shared" si="38"/>
        <v>2</v>
      </c>
      <c r="Q187" s="13">
        <f t="shared" si="38"/>
        <v>1</v>
      </c>
      <c r="R187" s="13">
        <f t="shared" si="38"/>
        <v>1</v>
      </c>
      <c r="S187" s="13">
        <f t="shared" si="38"/>
        <v>0</v>
      </c>
      <c r="T187" s="13">
        <f t="shared" si="38"/>
        <v>1</v>
      </c>
      <c r="U187" s="13">
        <f t="shared" si="38"/>
        <v>0</v>
      </c>
      <c r="V187" s="13">
        <f t="shared" si="38"/>
        <v>4</v>
      </c>
      <c r="W187" s="13">
        <f t="shared" si="38"/>
        <v>7</v>
      </c>
      <c r="X187" s="13">
        <f t="shared" si="38"/>
        <v>0</v>
      </c>
      <c r="Y187" s="13">
        <f t="shared" si="38"/>
        <v>2</v>
      </c>
      <c r="Z187" s="13">
        <f t="shared" si="38"/>
        <v>2</v>
      </c>
      <c r="AA187" s="13">
        <f t="shared" si="38"/>
        <v>1</v>
      </c>
      <c r="AB187" s="13">
        <f t="shared" si="38"/>
        <v>0</v>
      </c>
      <c r="AC187" s="13">
        <f t="shared" si="38"/>
        <v>1</v>
      </c>
      <c r="AD187" s="13">
        <f t="shared" si="38"/>
        <v>1</v>
      </c>
      <c r="AE187" s="13">
        <f t="shared" si="38"/>
        <v>0</v>
      </c>
      <c r="AF187" s="13">
        <f t="shared" si="38"/>
        <v>0</v>
      </c>
      <c r="AG187" s="13">
        <f t="shared" si="37"/>
        <v>37</v>
      </c>
      <c r="AH187" s="1"/>
      <c r="AI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13"/>
    </row>
    <row r="189" ht="12.75" customHeight="1">
      <c r="A189" s="31" t="s">
        <v>36</v>
      </c>
      <c r="B189" s="50" t="s">
        <v>140</v>
      </c>
      <c r="C189" s="51" t="s">
        <v>141</v>
      </c>
      <c r="D189" s="16"/>
      <c r="E189" s="79">
        <v>0.0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1.0</v>
      </c>
      <c r="N189" s="79">
        <v>1.0</v>
      </c>
      <c r="O189" s="79">
        <v>0.0</v>
      </c>
      <c r="P189" s="79">
        <v>0.0</v>
      </c>
      <c r="Q189" s="79">
        <v>0.0</v>
      </c>
      <c r="R189" s="79">
        <v>0.0</v>
      </c>
      <c r="S189" s="79">
        <v>2.0</v>
      </c>
      <c r="T189" s="79">
        <v>0.0</v>
      </c>
      <c r="U189" s="79">
        <v>0.0</v>
      </c>
      <c r="V189" s="79">
        <v>0.0</v>
      </c>
      <c r="W189" s="79">
        <v>0.0</v>
      </c>
      <c r="X189" s="79">
        <v>0.0</v>
      </c>
      <c r="Y189" s="79">
        <v>0.0</v>
      </c>
      <c r="Z189" s="79">
        <v>0.0</v>
      </c>
      <c r="AA189" s="79">
        <v>0.0</v>
      </c>
      <c r="AB189" s="79">
        <v>0.0</v>
      </c>
      <c r="AC189" s="79">
        <v>0.0</v>
      </c>
      <c r="AD189" s="79">
        <v>0.0</v>
      </c>
      <c r="AE189" s="79">
        <v>0.0</v>
      </c>
      <c r="AF189" s="79">
        <v>0.0</v>
      </c>
      <c r="AG189" s="13">
        <f t="shared" ref="AG189:AG199" si="39">SUM(E189:AF189)</f>
        <v>4</v>
      </c>
      <c r="AH189" s="5"/>
      <c r="AI189" s="5"/>
    </row>
    <row r="190" ht="12.75" customHeight="1">
      <c r="A190" s="31" t="s">
        <v>38</v>
      </c>
      <c r="B190" s="58"/>
      <c r="C190" s="53" t="s">
        <v>142</v>
      </c>
      <c r="D190" s="61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>
        <v>0.0</v>
      </c>
      <c r="R190" s="79">
        <v>1.0</v>
      </c>
      <c r="S190" s="79">
        <v>0.0</v>
      </c>
      <c r="T190" s="79">
        <v>0.0</v>
      </c>
      <c r="U190" s="79">
        <v>0.0</v>
      </c>
      <c r="V190" s="79">
        <v>0.0</v>
      </c>
      <c r="W190" s="79">
        <v>0.0</v>
      </c>
      <c r="X190" s="79">
        <v>0.0</v>
      </c>
      <c r="Y190" s="79">
        <v>0.0</v>
      </c>
      <c r="Z190" s="79">
        <v>0.0</v>
      </c>
      <c r="AA190" s="79">
        <v>0.0</v>
      </c>
      <c r="AB190" s="79">
        <v>0.0</v>
      </c>
      <c r="AC190" s="79">
        <v>1.0</v>
      </c>
      <c r="AD190" s="79">
        <v>0.0</v>
      </c>
      <c r="AE190" s="79">
        <v>0.0</v>
      </c>
      <c r="AF190" s="79">
        <v>0.0</v>
      </c>
      <c r="AG190" s="13">
        <f t="shared" si="39"/>
        <v>2</v>
      </c>
      <c r="AH190" s="5"/>
      <c r="AI190" s="5"/>
    </row>
    <row r="191" ht="12.75" customHeight="1">
      <c r="A191" s="18"/>
      <c r="B191" s="58"/>
      <c r="C191" s="53" t="s">
        <v>143</v>
      </c>
      <c r="D191" s="61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79">
        <v>0.0</v>
      </c>
      <c r="T191" s="79">
        <v>0.0</v>
      </c>
      <c r="U191" s="79">
        <v>0.0</v>
      </c>
      <c r="V191" s="79">
        <v>0.0</v>
      </c>
      <c r="W191" s="79">
        <v>0.0</v>
      </c>
      <c r="X191" s="79">
        <v>0.0</v>
      </c>
      <c r="Y191" s="79">
        <v>0.0</v>
      </c>
      <c r="Z191" s="79">
        <v>0.0</v>
      </c>
      <c r="AA191" s="79">
        <v>0.0</v>
      </c>
      <c r="AB191" s="79">
        <v>0.0</v>
      </c>
      <c r="AC191" s="79">
        <v>0.0</v>
      </c>
      <c r="AD191" s="79">
        <v>0.0</v>
      </c>
      <c r="AE191" s="79">
        <v>0.0</v>
      </c>
      <c r="AF191" s="79">
        <v>0.0</v>
      </c>
      <c r="AG191" s="13">
        <f t="shared" si="39"/>
        <v>0</v>
      </c>
      <c r="AH191" s="5"/>
      <c r="AI191" s="5"/>
    </row>
    <row r="192" ht="12.75" customHeight="1">
      <c r="A192" s="18"/>
      <c r="B192" s="58"/>
      <c r="C192" s="53" t="s">
        <v>144</v>
      </c>
      <c r="D192" s="61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79">
        <v>0.0</v>
      </c>
      <c r="S192" s="79">
        <v>0.0</v>
      </c>
      <c r="T192" s="79">
        <v>0.0</v>
      </c>
      <c r="U192" s="79">
        <v>0.0</v>
      </c>
      <c r="V192" s="79">
        <v>0.0</v>
      </c>
      <c r="W192" s="79">
        <v>0.0</v>
      </c>
      <c r="X192" s="79">
        <v>0.0</v>
      </c>
      <c r="Y192" s="79">
        <v>0.0</v>
      </c>
      <c r="Z192" s="79">
        <v>0.0</v>
      </c>
      <c r="AA192" s="79">
        <v>0.0</v>
      </c>
      <c r="AB192" s="79">
        <v>0.0</v>
      </c>
      <c r="AC192" s="79">
        <v>0.0</v>
      </c>
      <c r="AD192" s="79">
        <v>0.0</v>
      </c>
      <c r="AE192" s="79">
        <v>0.0</v>
      </c>
      <c r="AF192" s="79">
        <v>0.0</v>
      </c>
      <c r="AG192" s="13">
        <f t="shared" si="39"/>
        <v>0</v>
      </c>
      <c r="AH192" s="5"/>
      <c r="AI192" s="5"/>
    </row>
    <row r="193" ht="12.75" customHeight="1">
      <c r="A193" s="18"/>
      <c r="B193" s="58"/>
      <c r="C193" s="53" t="s">
        <v>145</v>
      </c>
      <c r="D193" s="61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79">
        <v>0.0</v>
      </c>
      <c r="R193" s="79">
        <v>0.0</v>
      </c>
      <c r="S193" s="79">
        <v>0.0</v>
      </c>
      <c r="T193" s="79">
        <v>0.0</v>
      </c>
      <c r="U193" s="79">
        <v>0.0</v>
      </c>
      <c r="V193" s="79">
        <v>0.0</v>
      </c>
      <c r="W193" s="79">
        <v>0.0</v>
      </c>
      <c r="X193" s="79">
        <v>0.0</v>
      </c>
      <c r="Y193" s="79">
        <v>0.0</v>
      </c>
      <c r="Z193" s="79">
        <v>0.0</v>
      </c>
      <c r="AA193" s="79">
        <v>0.0</v>
      </c>
      <c r="AB193" s="79">
        <v>0.0</v>
      </c>
      <c r="AC193" s="79">
        <v>0.0</v>
      </c>
      <c r="AD193" s="79">
        <v>0.0</v>
      </c>
      <c r="AE193" s="79">
        <v>0.0</v>
      </c>
      <c r="AF193" s="79">
        <v>0.0</v>
      </c>
      <c r="AG193" s="13">
        <f t="shared" si="39"/>
        <v>0</v>
      </c>
      <c r="AH193" s="5"/>
      <c r="AI193" s="5"/>
    </row>
    <row r="194" ht="12.75" customHeight="1">
      <c r="A194" s="18"/>
      <c r="B194" s="58"/>
      <c r="C194" s="53" t="s">
        <v>146</v>
      </c>
      <c r="D194" s="61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>
        <v>0.0</v>
      </c>
      <c r="R194" s="79">
        <v>0.0</v>
      </c>
      <c r="S194" s="79">
        <v>0.0</v>
      </c>
      <c r="T194" s="79">
        <v>0.0</v>
      </c>
      <c r="U194" s="79">
        <v>0.0</v>
      </c>
      <c r="V194" s="79">
        <v>0.0</v>
      </c>
      <c r="W194" s="79">
        <v>0.0</v>
      </c>
      <c r="X194" s="79">
        <v>0.0</v>
      </c>
      <c r="Y194" s="79">
        <v>0.0</v>
      </c>
      <c r="Z194" s="79">
        <v>0.0</v>
      </c>
      <c r="AA194" s="79">
        <v>0.0</v>
      </c>
      <c r="AB194" s="79">
        <v>0.0</v>
      </c>
      <c r="AC194" s="79">
        <v>0.0</v>
      </c>
      <c r="AD194" s="79">
        <v>0.0</v>
      </c>
      <c r="AE194" s="79">
        <v>0.0</v>
      </c>
      <c r="AF194" s="79">
        <v>0.0</v>
      </c>
      <c r="AG194" s="13">
        <f t="shared" si="39"/>
        <v>0</v>
      </c>
      <c r="AH194" s="5"/>
      <c r="AI194" s="5"/>
    </row>
    <row r="195" ht="12.75" customHeight="1">
      <c r="A195" s="18"/>
      <c r="B195" s="58"/>
      <c r="C195" s="53" t="s">
        <v>147</v>
      </c>
      <c r="D195" s="61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79">
        <v>0.0</v>
      </c>
      <c r="T195" s="79">
        <v>0.0</v>
      </c>
      <c r="U195" s="79">
        <v>0.0</v>
      </c>
      <c r="V195" s="79">
        <v>0.0</v>
      </c>
      <c r="W195" s="79">
        <v>0.0</v>
      </c>
      <c r="X195" s="79">
        <v>0.0</v>
      </c>
      <c r="Y195" s="79">
        <v>0.0</v>
      </c>
      <c r="Z195" s="79">
        <v>0.0</v>
      </c>
      <c r="AA195" s="79">
        <v>0.0</v>
      </c>
      <c r="AB195" s="79">
        <v>0.0</v>
      </c>
      <c r="AC195" s="79">
        <v>0.0</v>
      </c>
      <c r="AD195" s="79">
        <v>0.0</v>
      </c>
      <c r="AE195" s="79">
        <v>0.0</v>
      </c>
      <c r="AF195" s="79">
        <v>0.0</v>
      </c>
      <c r="AG195" s="13">
        <f t="shared" si="39"/>
        <v>0</v>
      </c>
      <c r="AH195" s="5"/>
      <c r="AI195" s="5"/>
    </row>
    <row r="196" ht="12.75" customHeight="1">
      <c r="A196" s="18"/>
      <c r="B196" s="58"/>
      <c r="C196" s="53" t="s">
        <v>148</v>
      </c>
      <c r="D196" s="61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>
        <v>0.0</v>
      </c>
      <c r="R196" s="79">
        <v>0.0</v>
      </c>
      <c r="S196" s="79">
        <v>0.0</v>
      </c>
      <c r="T196" s="79">
        <v>0.0</v>
      </c>
      <c r="U196" s="79">
        <v>0.0</v>
      </c>
      <c r="V196" s="79">
        <v>0.0</v>
      </c>
      <c r="W196" s="79">
        <v>0.0</v>
      </c>
      <c r="X196" s="79">
        <v>0.0</v>
      </c>
      <c r="Y196" s="79">
        <v>0.0</v>
      </c>
      <c r="Z196" s="79">
        <v>0.0</v>
      </c>
      <c r="AA196" s="79">
        <v>0.0</v>
      </c>
      <c r="AB196" s="79">
        <v>0.0</v>
      </c>
      <c r="AC196" s="79">
        <v>0.0</v>
      </c>
      <c r="AD196" s="79">
        <v>0.0</v>
      </c>
      <c r="AE196" s="79">
        <v>0.0</v>
      </c>
      <c r="AF196" s="79">
        <v>0.0</v>
      </c>
      <c r="AG196" s="13">
        <f t="shared" si="39"/>
        <v>0</v>
      </c>
      <c r="AH196" s="1"/>
      <c r="AI196" s="1"/>
    </row>
    <row r="197" ht="12.75" customHeight="1">
      <c r="A197" s="18"/>
      <c r="B197" s="58"/>
      <c r="C197" s="53" t="s">
        <v>149</v>
      </c>
      <c r="D197" s="61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0.0</v>
      </c>
      <c r="T197" s="79">
        <v>0.0</v>
      </c>
      <c r="U197" s="79">
        <v>0.0</v>
      </c>
      <c r="V197" s="79">
        <v>0.0</v>
      </c>
      <c r="W197" s="79">
        <v>0.0</v>
      </c>
      <c r="X197" s="79">
        <v>0.0</v>
      </c>
      <c r="Y197" s="79">
        <v>0.0</v>
      </c>
      <c r="Z197" s="79">
        <v>0.0</v>
      </c>
      <c r="AA197" s="79">
        <v>0.0</v>
      </c>
      <c r="AB197" s="79">
        <v>0.0</v>
      </c>
      <c r="AC197" s="79">
        <v>0.0</v>
      </c>
      <c r="AD197" s="79">
        <v>0.0</v>
      </c>
      <c r="AE197" s="79">
        <v>0.0</v>
      </c>
      <c r="AF197" s="79">
        <v>0.0</v>
      </c>
      <c r="AG197" s="13">
        <f t="shared" si="39"/>
        <v>0</v>
      </c>
      <c r="AH197" s="1"/>
      <c r="AI197" s="1"/>
    </row>
    <row r="198" ht="12.75" customHeight="1">
      <c r="A198" s="18"/>
      <c r="B198" s="58"/>
      <c r="C198" s="53" t="s">
        <v>150</v>
      </c>
      <c r="D198" s="61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0.0</v>
      </c>
      <c r="T198" s="79">
        <v>0.0</v>
      </c>
      <c r="U198" s="79">
        <v>0.0</v>
      </c>
      <c r="V198" s="79">
        <v>0.0</v>
      </c>
      <c r="W198" s="79">
        <v>0.0</v>
      </c>
      <c r="X198" s="79">
        <v>0.0</v>
      </c>
      <c r="Y198" s="79">
        <v>0.0</v>
      </c>
      <c r="Z198" s="79">
        <v>0.0</v>
      </c>
      <c r="AA198" s="79">
        <v>0.0</v>
      </c>
      <c r="AB198" s="79">
        <v>0.0</v>
      </c>
      <c r="AC198" s="79">
        <v>0.0</v>
      </c>
      <c r="AD198" s="79">
        <v>0.0</v>
      </c>
      <c r="AE198" s="79">
        <v>0.0</v>
      </c>
      <c r="AF198" s="79">
        <v>0.0</v>
      </c>
      <c r="AG198" s="13">
        <f t="shared" si="39"/>
        <v>0</v>
      </c>
      <c r="AH198" s="1"/>
      <c r="AI198" s="1"/>
    </row>
    <row r="199" ht="12.75" customHeight="1">
      <c r="A199" s="19" t="s">
        <v>14</v>
      </c>
      <c r="B199" s="50" t="s">
        <v>48</v>
      </c>
      <c r="C199" s="15"/>
      <c r="D199" s="16"/>
      <c r="E199" s="13">
        <f t="shared" ref="E199:AF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1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1</v>
      </c>
      <c r="S199" s="13">
        <f t="shared" si="40"/>
        <v>2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1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39"/>
        <v>6</v>
      </c>
      <c r="AH199" s="55"/>
      <c r="AI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5"/>
      <c r="AI200" s="5"/>
    </row>
    <row r="201" ht="12.75" customHeight="1">
      <c r="A201" s="31" t="s">
        <v>36</v>
      </c>
      <c r="B201" s="50" t="s">
        <v>151</v>
      </c>
      <c r="C201" s="51" t="s">
        <v>152</v>
      </c>
      <c r="D201" s="16"/>
      <c r="E201" s="79">
        <v>6.0</v>
      </c>
      <c r="F201" s="79">
        <v>2.0</v>
      </c>
      <c r="G201" s="79">
        <v>5.0</v>
      </c>
      <c r="H201" s="79">
        <v>3.0</v>
      </c>
      <c r="I201" s="79">
        <v>6.0</v>
      </c>
      <c r="J201" s="79">
        <v>1.0</v>
      </c>
      <c r="K201" s="79">
        <v>3.0</v>
      </c>
      <c r="L201" s="79">
        <v>7.0</v>
      </c>
      <c r="M201" s="79">
        <v>2.0</v>
      </c>
      <c r="N201" s="79">
        <v>0.0</v>
      </c>
      <c r="O201" s="79">
        <v>1.0</v>
      </c>
      <c r="P201" s="79">
        <v>0.0</v>
      </c>
      <c r="Q201" s="79">
        <v>0.0</v>
      </c>
      <c r="R201" s="79">
        <v>3.0</v>
      </c>
      <c r="S201" s="79">
        <v>4.0</v>
      </c>
      <c r="T201" s="79">
        <v>2.0</v>
      </c>
      <c r="U201" s="79">
        <v>4.0</v>
      </c>
      <c r="V201" s="79">
        <v>3.0</v>
      </c>
      <c r="W201" s="79">
        <v>1.0</v>
      </c>
      <c r="X201" s="79">
        <v>0.0</v>
      </c>
      <c r="Y201" s="79">
        <v>0.0</v>
      </c>
      <c r="Z201" s="79">
        <v>5.0</v>
      </c>
      <c r="AA201" s="79">
        <v>2.0</v>
      </c>
      <c r="AB201" s="79">
        <v>4.0</v>
      </c>
      <c r="AC201" s="79">
        <v>3.0</v>
      </c>
      <c r="AD201" s="79">
        <v>2.0</v>
      </c>
      <c r="AE201" s="79">
        <v>2.0</v>
      </c>
      <c r="AF201" s="79">
        <v>1.0</v>
      </c>
      <c r="AG201" s="13">
        <f t="shared" ref="AG201:AG211" si="41">SUM(E201:AF201)</f>
        <v>72</v>
      </c>
      <c r="AH201" s="5"/>
      <c r="AI201" s="5"/>
    </row>
    <row r="202" ht="12.75" customHeight="1">
      <c r="A202" s="31" t="s">
        <v>38</v>
      </c>
      <c r="B202" s="58"/>
      <c r="C202" s="53" t="s">
        <v>153</v>
      </c>
      <c r="D202" s="61"/>
      <c r="E202" s="79">
        <v>6.0</v>
      </c>
      <c r="F202" s="79">
        <v>3.0</v>
      </c>
      <c r="G202" s="79">
        <v>8.0</v>
      </c>
      <c r="H202" s="79">
        <v>3.0</v>
      </c>
      <c r="I202" s="79">
        <v>17.0</v>
      </c>
      <c r="J202" s="79">
        <v>3.0</v>
      </c>
      <c r="K202" s="79">
        <v>7.0</v>
      </c>
      <c r="L202" s="79">
        <v>5.0</v>
      </c>
      <c r="M202" s="79">
        <v>1.0</v>
      </c>
      <c r="N202" s="79">
        <v>2.0</v>
      </c>
      <c r="O202" s="79">
        <v>2.0</v>
      </c>
      <c r="P202" s="79">
        <v>2.0</v>
      </c>
      <c r="Q202" s="79">
        <v>1.0</v>
      </c>
      <c r="R202" s="79">
        <v>1.0</v>
      </c>
      <c r="S202" s="79">
        <v>1.0</v>
      </c>
      <c r="T202" s="79">
        <v>2.0</v>
      </c>
      <c r="U202" s="79">
        <v>6.0</v>
      </c>
      <c r="V202" s="79">
        <v>3.0</v>
      </c>
      <c r="W202" s="79">
        <v>2.0</v>
      </c>
      <c r="X202" s="79">
        <v>1.0</v>
      </c>
      <c r="Y202" s="79">
        <v>3.0</v>
      </c>
      <c r="Z202" s="79">
        <v>3.0</v>
      </c>
      <c r="AA202" s="79">
        <v>7.0</v>
      </c>
      <c r="AB202" s="79">
        <v>1.0</v>
      </c>
      <c r="AC202" s="79">
        <v>2.0</v>
      </c>
      <c r="AD202" s="79">
        <v>6.0</v>
      </c>
      <c r="AE202" s="79">
        <v>0.0</v>
      </c>
      <c r="AF202" s="79">
        <v>0.0</v>
      </c>
      <c r="AG202" s="13">
        <f t="shared" si="41"/>
        <v>98</v>
      </c>
      <c r="AH202" s="5"/>
      <c r="AI202" s="5"/>
    </row>
    <row r="203" ht="12.75" customHeight="1">
      <c r="A203" s="18"/>
      <c r="B203" s="58"/>
      <c r="C203" s="53" t="s">
        <v>154</v>
      </c>
      <c r="D203" s="61"/>
      <c r="E203" s="79">
        <v>4.0</v>
      </c>
      <c r="F203" s="79">
        <v>4.0</v>
      </c>
      <c r="G203" s="79">
        <v>6.0</v>
      </c>
      <c r="H203" s="79">
        <v>7.0</v>
      </c>
      <c r="I203" s="79">
        <v>36.0</v>
      </c>
      <c r="J203" s="79">
        <v>0.0</v>
      </c>
      <c r="K203" s="79">
        <v>8.0</v>
      </c>
      <c r="L203" s="79">
        <v>8.0</v>
      </c>
      <c r="M203" s="79">
        <v>0.0</v>
      </c>
      <c r="N203" s="79">
        <v>5.0</v>
      </c>
      <c r="O203" s="79">
        <v>3.0</v>
      </c>
      <c r="P203" s="79">
        <v>1.0</v>
      </c>
      <c r="Q203" s="79">
        <v>2.0</v>
      </c>
      <c r="R203" s="79">
        <v>1.0</v>
      </c>
      <c r="S203" s="79">
        <v>2.0</v>
      </c>
      <c r="T203" s="79">
        <v>7.0</v>
      </c>
      <c r="U203" s="79">
        <v>3.0</v>
      </c>
      <c r="V203" s="79">
        <v>1.0</v>
      </c>
      <c r="W203" s="79">
        <v>0.0</v>
      </c>
      <c r="X203" s="79">
        <v>4.0</v>
      </c>
      <c r="Y203" s="79">
        <v>3.0</v>
      </c>
      <c r="Z203" s="79">
        <v>2.0</v>
      </c>
      <c r="AA203" s="79">
        <v>4.0</v>
      </c>
      <c r="AB203" s="79">
        <v>2.0</v>
      </c>
      <c r="AC203" s="79">
        <v>1.0</v>
      </c>
      <c r="AD203" s="79">
        <v>2.0</v>
      </c>
      <c r="AE203" s="79">
        <v>1.0</v>
      </c>
      <c r="AF203" s="79">
        <v>0.0</v>
      </c>
      <c r="AG203" s="13">
        <f t="shared" si="41"/>
        <v>117</v>
      </c>
      <c r="AH203" s="5"/>
      <c r="AI203" s="5"/>
    </row>
    <row r="204" ht="12.75" customHeight="1">
      <c r="A204" s="18"/>
      <c r="B204" s="58"/>
      <c r="C204" s="53" t="s">
        <v>155</v>
      </c>
      <c r="D204" s="61"/>
      <c r="E204" s="79">
        <v>1.0</v>
      </c>
      <c r="F204" s="79">
        <v>1.0</v>
      </c>
      <c r="G204" s="79">
        <v>2.0</v>
      </c>
      <c r="H204" s="79">
        <v>0.0</v>
      </c>
      <c r="I204" s="79">
        <v>3.0</v>
      </c>
      <c r="J204" s="79">
        <v>0.0</v>
      </c>
      <c r="K204" s="79">
        <v>1.0</v>
      </c>
      <c r="L204" s="79">
        <v>0.0</v>
      </c>
      <c r="M204" s="79">
        <v>0.0</v>
      </c>
      <c r="N204" s="79">
        <v>1.0</v>
      </c>
      <c r="O204" s="79">
        <v>0.0</v>
      </c>
      <c r="P204" s="79">
        <v>0.0</v>
      </c>
      <c r="Q204" s="79">
        <v>0.0</v>
      </c>
      <c r="R204" s="79">
        <v>0.0</v>
      </c>
      <c r="S204" s="79">
        <v>0.0</v>
      </c>
      <c r="T204" s="79">
        <v>0.0</v>
      </c>
      <c r="U204" s="79">
        <v>0.0</v>
      </c>
      <c r="V204" s="79">
        <v>0.0</v>
      </c>
      <c r="W204" s="79">
        <v>0.0</v>
      </c>
      <c r="X204" s="79">
        <v>0.0</v>
      </c>
      <c r="Y204" s="79">
        <v>0.0</v>
      </c>
      <c r="Z204" s="79">
        <v>0.0</v>
      </c>
      <c r="AA204" s="79">
        <v>0.0</v>
      </c>
      <c r="AB204" s="79">
        <v>0.0</v>
      </c>
      <c r="AC204" s="79">
        <v>0.0</v>
      </c>
      <c r="AD204" s="79">
        <v>0.0</v>
      </c>
      <c r="AE204" s="79">
        <v>0.0</v>
      </c>
      <c r="AF204" s="79">
        <v>0.0</v>
      </c>
      <c r="AG204" s="13">
        <f t="shared" si="41"/>
        <v>9</v>
      </c>
      <c r="AH204" s="5"/>
      <c r="AI204" s="5"/>
    </row>
    <row r="205" ht="12.75" customHeight="1">
      <c r="A205" s="18"/>
      <c r="B205" s="58"/>
      <c r="C205" s="53" t="s">
        <v>156</v>
      </c>
      <c r="D205" s="61"/>
      <c r="E205" s="79">
        <v>0.0</v>
      </c>
      <c r="F205" s="79">
        <v>0.0</v>
      </c>
      <c r="G205" s="79">
        <v>1.0</v>
      </c>
      <c r="H205" s="79">
        <v>0.0</v>
      </c>
      <c r="I205" s="79">
        <v>0.0</v>
      </c>
      <c r="J205" s="79">
        <v>1.0</v>
      </c>
      <c r="K205" s="79">
        <v>1.0</v>
      </c>
      <c r="L205" s="79">
        <v>0.0</v>
      </c>
      <c r="M205" s="79">
        <v>0.0</v>
      </c>
      <c r="N205" s="79">
        <v>0.0</v>
      </c>
      <c r="O205" s="79">
        <v>0.0</v>
      </c>
      <c r="P205" s="79">
        <v>0.0</v>
      </c>
      <c r="Q205" s="79">
        <v>0.0</v>
      </c>
      <c r="R205" s="79">
        <v>0.0</v>
      </c>
      <c r="S205" s="79">
        <v>1.0</v>
      </c>
      <c r="T205" s="79">
        <v>0.0</v>
      </c>
      <c r="U205" s="79">
        <v>0.0</v>
      </c>
      <c r="V205" s="79">
        <v>1.0</v>
      </c>
      <c r="W205" s="79">
        <v>0.0</v>
      </c>
      <c r="X205" s="79">
        <v>0.0</v>
      </c>
      <c r="Y205" s="79">
        <v>0.0</v>
      </c>
      <c r="Z205" s="79">
        <v>2.0</v>
      </c>
      <c r="AA205" s="79">
        <v>0.0</v>
      </c>
      <c r="AB205" s="79">
        <v>0.0</v>
      </c>
      <c r="AC205" s="79">
        <v>0.0</v>
      </c>
      <c r="AD205" s="79">
        <v>1.0</v>
      </c>
      <c r="AE205" s="79">
        <v>0.0</v>
      </c>
      <c r="AF205" s="79">
        <v>0.0</v>
      </c>
      <c r="AG205" s="13">
        <f t="shared" si="41"/>
        <v>8</v>
      </c>
      <c r="AH205" s="5"/>
      <c r="AI205" s="5"/>
    </row>
    <row r="206" ht="12.75" customHeight="1">
      <c r="A206" s="18"/>
      <c r="B206" s="58"/>
      <c r="C206" s="53" t="s">
        <v>157</v>
      </c>
      <c r="D206" s="61"/>
      <c r="E206" s="79">
        <v>0.0</v>
      </c>
      <c r="F206" s="79">
        <v>0.0</v>
      </c>
      <c r="G206" s="79">
        <v>0.0</v>
      </c>
      <c r="H206" s="79">
        <v>0.0</v>
      </c>
      <c r="I206" s="79">
        <v>1.0</v>
      </c>
      <c r="J206" s="79">
        <v>0.0</v>
      </c>
      <c r="K206" s="79">
        <v>0.0</v>
      </c>
      <c r="L206" s="79">
        <v>1.0</v>
      </c>
      <c r="M206" s="79">
        <v>0.0</v>
      </c>
      <c r="N206" s="79">
        <v>0.0</v>
      </c>
      <c r="O206" s="79">
        <v>0.0</v>
      </c>
      <c r="P206" s="79">
        <v>0.0</v>
      </c>
      <c r="Q206" s="79">
        <v>0.0</v>
      </c>
      <c r="R206" s="79">
        <v>0.0</v>
      </c>
      <c r="S206" s="79">
        <v>0.0</v>
      </c>
      <c r="T206" s="79">
        <v>0.0</v>
      </c>
      <c r="U206" s="79">
        <v>0.0</v>
      </c>
      <c r="V206" s="79">
        <v>0.0</v>
      </c>
      <c r="W206" s="79">
        <v>0.0</v>
      </c>
      <c r="X206" s="79">
        <v>1.0</v>
      </c>
      <c r="Y206" s="79">
        <v>0.0</v>
      </c>
      <c r="Z206" s="79">
        <v>1.0</v>
      </c>
      <c r="AA206" s="79">
        <v>1.0</v>
      </c>
      <c r="AB206" s="79">
        <v>0.0</v>
      </c>
      <c r="AC206" s="79">
        <v>0.0</v>
      </c>
      <c r="AD206" s="79">
        <v>0.0</v>
      </c>
      <c r="AE206" s="79">
        <v>0.0</v>
      </c>
      <c r="AF206" s="79">
        <v>0.0</v>
      </c>
      <c r="AG206" s="13">
        <f t="shared" si="41"/>
        <v>5</v>
      </c>
      <c r="AH206" s="5"/>
      <c r="AI206" s="5"/>
    </row>
    <row r="207" ht="12.75" customHeight="1">
      <c r="A207" s="18"/>
      <c r="B207" s="58"/>
      <c r="C207" s="53" t="s">
        <v>158</v>
      </c>
      <c r="D207" s="61"/>
      <c r="E207" s="79">
        <v>1.0</v>
      </c>
      <c r="F207" s="79">
        <v>0.0</v>
      </c>
      <c r="G207" s="79">
        <v>0.0</v>
      </c>
      <c r="H207" s="79">
        <v>0.0</v>
      </c>
      <c r="I207" s="79">
        <v>0.0</v>
      </c>
      <c r="J207" s="79">
        <v>0.0</v>
      </c>
      <c r="K207" s="79">
        <v>1.0</v>
      </c>
      <c r="L207" s="79">
        <v>0.0</v>
      </c>
      <c r="M207" s="79">
        <v>0.0</v>
      </c>
      <c r="N207" s="79">
        <v>0.0</v>
      </c>
      <c r="O207" s="79">
        <v>0.0</v>
      </c>
      <c r="P207" s="79">
        <v>0.0</v>
      </c>
      <c r="Q207" s="79">
        <v>0.0</v>
      </c>
      <c r="R207" s="79">
        <v>0.0</v>
      </c>
      <c r="S207" s="79">
        <v>1.0</v>
      </c>
      <c r="T207" s="79">
        <v>0.0</v>
      </c>
      <c r="U207" s="79">
        <v>0.0</v>
      </c>
      <c r="V207" s="79">
        <v>0.0</v>
      </c>
      <c r="W207" s="79">
        <v>0.0</v>
      </c>
      <c r="X207" s="79">
        <v>0.0</v>
      </c>
      <c r="Y207" s="79">
        <v>0.0</v>
      </c>
      <c r="Z207" s="79">
        <v>0.0</v>
      </c>
      <c r="AA207" s="79">
        <v>0.0</v>
      </c>
      <c r="AB207" s="79">
        <v>0.0</v>
      </c>
      <c r="AC207" s="79">
        <v>0.0</v>
      </c>
      <c r="AD207" s="79">
        <v>0.0</v>
      </c>
      <c r="AE207" s="79">
        <v>0.0</v>
      </c>
      <c r="AF207" s="79">
        <v>0.0</v>
      </c>
      <c r="AG207" s="13">
        <f t="shared" si="41"/>
        <v>3</v>
      </c>
      <c r="AH207" s="1"/>
      <c r="AI207" s="1"/>
    </row>
    <row r="208" ht="12.75" customHeight="1">
      <c r="A208" s="18"/>
      <c r="B208" s="58"/>
      <c r="C208" s="53" t="s">
        <v>159</v>
      </c>
      <c r="D208" s="61"/>
      <c r="E208" s="79">
        <v>0.0</v>
      </c>
      <c r="F208" s="79">
        <v>0.0</v>
      </c>
      <c r="G208" s="79">
        <v>0.0</v>
      </c>
      <c r="H208" s="79">
        <v>0.0</v>
      </c>
      <c r="I208" s="79">
        <v>2.0</v>
      </c>
      <c r="J208" s="79">
        <v>1.0</v>
      </c>
      <c r="K208" s="79">
        <v>2.0</v>
      </c>
      <c r="L208" s="79">
        <v>0.0</v>
      </c>
      <c r="M208" s="79">
        <v>0.0</v>
      </c>
      <c r="N208" s="79">
        <v>0.0</v>
      </c>
      <c r="O208" s="79">
        <v>0.0</v>
      </c>
      <c r="P208" s="79">
        <v>0.0</v>
      </c>
      <c r="Q208" s="79">
        <v>0.0</v>
      </c>
      <c r="R208" s="79">
        <v>1.0</v>
      </c>
      <c r="S208" s="79">
        <v>0.0</v>
      </c>
      <c r="T208" s="79">
        <v>0.0</v>
      </c>
      <c r="U208" s="79">
        <v>0.0</v>
      </c>
      <c r="V208" s="79">
        <v>0.0</v>
      </c>
      <c r="W208" s="79">
        <v>0.0</v>
      </c>
      <c r="X208" s="79">
        <v>0.0</v>
      </c>
      <c r="Y208" s="79">
        <v>1.0</v>
      </c>
      <c r="Z208" s="79">
        <v>0.0</v>
      </c>
      <c r="AA208" s="79">
        <v>1.0</v>
      </c>
      <c r="AB208" s="79">
        <v>0.0</v>
      </c>
      <c r="AC208" s="79">
        <v>0.0</v>
      </c>
      <c r="AD208" s="79">
        <v>0.0</v>
      </c>
      <c r="AE208" s="79">
        <v>0.0</v>
      </c>
      <c r="AF208" s="79">
        <v>0.0</v>
      </c>
      <c r="AG208" s="13">
        <f t="shared" si="41"/>
        <v>8</v>
      </c>
      <c r="AH208" s="55"/>
      <c r="AI208" s="55"/>
    </row>
    <row r="209" ht="12.75" customHeight="1">
      <c r="A209" s="18"/>
      <c r="B209" s="58"/>
      <c r="C209" s="53" t="s">
        <v>160</v>
      </c>
      <c r="D209" s="61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79">
        <v>0.0</v>
      </c>
      <c r="T209" s="79">
        <v>0.0</v>
      </c>
      <c r="U209" s="79">
        <v>0.0</v>
      </c>
      <c r="V209" s="79">
        <v>1.0</v>
      </c>
      <c r="W209" s="79">
        <v>0.0</v>
      </c>
      <c r="X209" s="79">
        <v>0.0</v>
      </c>
      <c r="Y209" s="79">
        <v>0.0</v>
      </c>
      <c r="Z209" s="79">
        <v>0.0</v>
      </c>
      <c r="AA209" s="79">
        <v>1.0</v>
      </c>
      <c r="AB209" s="79">
        <v>0.0</v>
      </c>
      <c r="AC209" s="79">
        <v>0.0</v>
      </c>
      <c r="AD209" s="79">
        <v>0.0</v>
      </c>
      <c r="AE209" s="79">
        <v>0.0</v>
      </c>
      <c r="AF209" s="79">
        <v>0.0</v>
      </c>
      <c r="AG209" s="13">
        <f t="shared" si="41"/>
        <v>2</v>
      </c>
      <c r="AH209" s="55"/>
      <c r="AI209" s="55"/>
    </row>
    <row r="210" ht="12.75" customHeight="1">
      <c r="A210" s="18"/>
      <c r="B210" s="58"/>
      <c r="C210" s="53" t="s">
        <v>161</v>
      </c>
      <c r="D210" s="61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1.0</v>
      </c>
      <c r="K210" s="79">
        <v>2.0</v>
      </c>
      <c r="L210" s="79">
        <v>1.0</v>
      </c>
      <c r="M210" s="79">
        <v>0.0</v>
      </c>
      <c r="N210" s="79">
        <v>0.0</v>
      </c>
      <c r="O210" s="79">
        <v>0.0</v>
      </c>
      <c r="P210" s="79">
        <v>0.0</v>
      </c>
      <c r="Q210" s="79">
        <v>0.0</v>
      </c>
      <c r="R210" s="79">
        <v>0.0</v>
      </c>
      <c r="S210" s="79">
        <v>0.0</v>
      </c>
      <c r="T210" s="79">
        <v>0.0</v>
      </c>
      <c r="U210" s="79">
        <v>0.0</v>
      </c>
      <c r="V210" s="79">
        <v>0.0</v>
      </c>
      <c r="W210" s="79">
        <v>0.0</v>
      </c>
      <c r="X210" s="79">
        <v>0.0</v>
      </c>
      <c r="Y210" s="79">
        <v>0.0</v>
      </c>
      <c r="Z210" s="79">
        <v>0.0</v>
      </c>
      <c r="AA210" s="79">
        <v>0.0</v>
      </c>
      <c r="AB210" s="79">
        <v>1.0</v>
      </c>
      <c r="AC210" s="79">
        <v>1.0</v>
      </c>
      <c r="AD210" s="79">
        <v>0.0</v>
      </c>
      <c r="AE210" s="79">
        <v>0.0</v>
      </c>
      <c r="AF210" s="79">
        <v>0.0</v>
      </c>
      <c r="AG210" s="13">
        <f t="shared" si="41"/>
        <v>6</v>
      </c>
      <c r="AH210" s="55"/>
      <c r="AI210" s="55"/>
    </row>
    <row r="211" ht="12.75" customHeight="1">
      <c r="A211" s="19" t="s">
        <v>14</v>
      </c>
      <c r="B211" s="50" t="s">
        <v>48</v>
      </c>
      <c r="C211" s="15"/>
      <c r="D211" s="16"/>
      <c r="E211" s="13">
        <f t="shared" ref="E211:AF211" si="42">SUM(E201:E210)</f>
        <v>18</v>
      </c>
      <c r="F211" s="13">
        <f t="shared" si="42"/>
        <v>10</v>
      </c>
      <c r="G211" s="13">
        <f t="shared" si="42"/>
        <v>22</v>
      </c>
      <c r="H211" s="13">
        <f t="shared" si="42"/>
        <v>13</v>
      </c>
      <c r="I211" s="13">
        <f t="shared" si="42"/>
        <v>65</v>
      </c>
      <c r="J211" s="13">
        <f t="shared" si="42"/>
        <v>7</v>
      </c>
      <c r="K211" s="13">
        <f t="shared" si="42"/>
        <v>25</v>
      </c>
      <c r="L211" s="13">
        <f t="shared" si="42"/>
        <v>22</v>
      </c>
      <c r="M211" s="13">
        <f t="shared" si="42"/>
        <v>3</v>
      </c>
      <c r="N211" s="13">
        <f t="shared" si="42"/>
        <v>8</v>
      </c>
      <c r="O211" s="13">
        <f t="shared" si="42"/>
        <v>6</v>
      </c>
      <c r="P211" s="13">
        <f t="shared" si="42"/>
        <v>3</v>
      </c>
      <c r="Q211" s="13">
        <f t="shared" si="42"/>
        <v>3</v>
      </c>
      <c r="R211" s="13">
        <f t="shared" si="42"/>
        <v>6</v>
      </c>
      <c r="S211" s="13">
        <f t="shared" si="42"/>
        <v>9</v>
      </c>
      <c r="T211" s="13">
        <f t="shared" si="42"/>
        <v>11</v>
      </c>
      <c r="U211" s="13">
        <f t="shared" si="42"/>
        <v>13</v>
      </c>
      <c r="V211" s="13">
        <f t="shared" si="42"/>
        <v>9</v>
      </c>
      <c r="W211" s="13">
        <f t="shared" si="42"/>
        <v>3</v>
      </c>
      <c r="X211" s="13">
        <f t="shared" si="42"/>
        <v>6</v>
      </c>
      <c r="Y211" s="13">
        <f t="shared" si="42"/>
        <v>7</v>
      </c>
      <c r="Z211" s="13">
        <f t="shared" si="42"/>
        <v>13</v>
      </c>
      <c r="AA211" s="13">
        <f t="shared" si="42"/>
        <v>16</v>
      </c>
      <c r="AB211" s="13">
        <f t="shared" si="42"/>
        <v>8</v>
      </c>
      <c r="AC211" s="13">
        <f t="shared" si="42"/>
        <v>7</v>
      </c>
      <c r="AD211" s="13">
        <f t="shared" si="42"/>
        <v>11</v>
      </c>
      <c r="AE211" s="13">
        <f t="shared" si="42"/>
        <v>3</v>
      </c>
      <c r="AF211" s="13">
        <f t="shared" si="42"/>
        <v>1</v>
      </c>
      <c r="AG211" s="13">
        <f t="shared" si="41"/>
        <v>328</v>
      </c>
      <c r="AH211" s="5"/>
      <c r="AI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5"/>
      <c r="AI212" s="5"/>
    </row>
    <row r="213" ht="12.75" customHeight="1">
      <c r="A213" s="31" t="s">
        <v>36</v>
      </c>
      <c r="B213" s="50" t="s">
        <v>162</v>
      </c>
      <c r="C213" s="51" t="s">
        <v>163</v>
      </c>
      <c r="D213" s="16"/>
      <c r="E213" s="79">
        <v>1.0</v>
      </c>
      <c r="F213" s="79">
        <v>2.0</v>
      </c>
      <c r="G213" s="79">
        <v>1.0</v>
      </c>
      <c r="H213" s="79">
        <v>1.0</v>
      </c>
      <c r="I213" s="79">
        <v>2.0</v>
      </c>
      <c r="J213" s="79">
        <v>2.0</v>
      </c>
      <c r="K213" s="79">
        <v>6.0</v>
      </c>
      <c r="L213" s="79">
        <v>2.0</v>
      </c>
      <c r="M213" s="79">
        <v>0.0</v>
      </c>
      <c r="N213" s="79">
        <v>0.0</v>
      </c>
      <c r="O213" s="79">
        <v>1.0</v>
      </c>
      <c r="P213" s="79">
        <v>0.0</v>
      </c>
      <c r="Q213" s="79">
        <v>0.0</v>
      </c>
      <c r="R213" s="79">
        <v>2.0</v>
      </c>
      <c r="S213" s="79">
        <v>0.0</v>
      </c>
      <c r="T213" s="79">
        <v>0.0</v>
      </c>
      <c r="U213" s="79">
        <v>5.0</v>
      </c>
      <c r="V213" s="79">
        <v>0.0</v>
      </c>
      <c r="W213" s="79">
        <v>0.0</v>
      </c>
      <c r="X213" s="79">
        <v>0.0</v>
      </c>
      <c r="Y213" s="79">
        <v>0.0</v>
      </c>
      <c r="Z213" s="79">
        <v>0.0</v>
      </c>
      <c r="AA213" s="79">
        <v>3.0</v>
      </c>
      <c r="AB213" s="79">
        <v>0.0</v>
      </c>
      <c r="AC213" s="79">
        <v>2.0</v>
      </c>
      <c r="AD213" s="79">
        <v>4.0</v>
      </c>
      <c r="AE213" s="79">
        <v>2.0</v>
      </c>
      <c r="AF213" s="79">
        <v>1.0</v>
      </c>
      <c r="AG213" s="13">
        <f t="shared" ref="AG213:AG216" si="43">SUM(E213:AF213)</f>
        <v>37</v>
      </c>
      <c r="AH213" s="5"/>
      <c r="AI213" s="5"/>
    </row>
    <row r="214" ht="12.75" customHeight="1">
      <c r="A214" s="31" t="s">
        <v>38</v>
      </c>
      <c r="B214" s="58"/>
      <c r="C214" s="53" t="s">
        <v>164</v>
      </c>
      <c r="D214" s="60"/>
      <c r="E214" s="79">
        <v>3.0</v>
      </c>
      <c r="F214" s="79">
        <v>3.0</v>
      </c>
      <c r="G214" s="79">
        <v>0.0</v>
      </c>
      <c r="H214" s="79">
        <v>0.0</v>
      </c>
      <c r="I214" s="79">
        <v>1.0</v>
      </c>
      <c r="J214" s="79">
        <v>0.0</v>
      </c>
      <c r="K214" s="79">
        <v>1.0</v>
      </c>
      <c r="L214" s="79">
        <v>0.0</v>
      </c>
      <c r="M214" s="79">
        <v>0.0</v>
      </c>
      <c r="N214" s="79">
        <v>0.0</v>
      </c>
      <c r="O214" s="79">
        <v>0.0</v>
      </c>
      <c r="P214" s="79">
        <v>0.0</v>
      </c>
      <c r="Q214" s="79">
        <v>0.0</v>
      </c>
      <c r="R214" s="79">
        <v>1.0</v>
      </c>
      <c r="S214" s="79">
        <v>3.0</v>
      </c>
      <c r="T214" s="79">
        <v>0.0</v>
      </c>
      <c r="U214" s="79">
        <v>0.0</v>
      </c>
      <c r="V214" s="79">
        <v>0.0</v>
      </c>
      <c r="W214" s="79">
        <v>2.0</v>
      </c>
      <c r="X214" s="79">
        <v>1.0</v>
      </c>
      <c r="Y214" s="79">
        <v>1.0</v>
      </c>
      <c r="Z214" s="79">
        <v>0.0</v>
      </c>
      <c r="AA214" s="79">
        <v>0.0</v>
      </c>
      <c r="AB214" s="79">
        <v>0.0</v>
      </c>
      <c r="AC214" s="79">
        <v>1.0</v>
      </c>
      <c r="AD214" s="79">
        <v>0.0</v>
      </c>
      <c r="AE214" s="79">
        <v>0.0</v>
      </c>
      <c r="AF214" s="79">
        <v>1.0</v>
      </c>
      <c r="AG214" s="13">
        <f t="shared" si="43"/>
        <v>18</v>
      </c>
      <c r="AH214" s="5"/>
      <c r="AI214" s="5"/>
    </row>
    <row r="215" ht="12.75" customHeight="1">
      <c r="A215" s="18"/>
      <c r="B215" s="58"/>
      <c r="C215" s="53" t="s">
        <v>165</v>
      </c>
      <c r="D215" s="60"/>
      <c r="E215" s="79">
        <v>1.0</v>
      </c>
      <c r="F215" s="79">
        <v>1.0</v>
      </c>
      <c r="G215" s="79">
        <v>0.0</v>
      </c>
      <c r="H215" s="79">
        <v>2.0</v>
      </c>
      <c r="I215" s="79">
        <v>1.0</v>
      </c>
      <c r="J215" s="79">
        <v>0.0</v>
      </c>
      <c r="K215" s="79">
        <v>0.0</v>
      </c>
      <c r="L215" s="79">
        <v>1.0</v>
      </c>
      <c r="M215" s="79">
        <v>2.0</v>
      </c>
      <c r="N215" s="79">
        <v>0.0</v>
      </c>
      <c r="O215" s="79">
        <v>0.0</v>
      </c>
      <c r="P215" s="79">
        <v>0.0</v>
      </c>
      <c r="Q215" s="79">
        <v>0.0</v>
      </c>
      <c r="R215" s="79">
        <v>0.0</v>
      </c>
      <c r="S215" s="79">
        <v>2.0</v>
      </c>
      <c r="T215" s="79">
        <v>0.0</v>
      </c>
      <c r="U215" s="79">
        <v>1.0</v>
      </c>
      <c r="V215" s="79">
        <v>2.0</v>
      </c>
      <c r="W215" s="79">
        <v>1.0</v>
      </c>
      <c r="X215" s="79">
        <v>1.0</v>
      </c>
      <c r="Y215" s="79">
        <v>0.0</v>
      </c>
      <c r="Z215" s="79">
        <v>2.0</v>
      </c>
      <c r="AA215" s="79">
        <v>0.0</v>
      </c>
      <c r="AB215" s="79">
        <v>0.0</v>
      </c>
      <c r="AC215" s="79">
        <v>1.0</v>
      </c>
      <c r="AD215" s="79">
        <v>0.0</v>
      </c>
      <c r="AE215" s="79">
        <v>1.0</v>
      </c>
      <c r="AF215" s="79">
        <v>2.0</v>
      </c>
      <c r="AG215" s="13">
        <f t="shared" si="43"/>
        <v>21</v>
      </c>
      <c r="AH215" s="5"/>
      <c r="AI215" s="5"/>
    </row>
    <row r="216" ht="12.75" customHeight="1">
      <c r="A216" s="18"/>
      <c r="B216" s="58"/>
      <c r="C216" s="53" t="s">
        <v>166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3.0</v>
      </c>
      <c r="L216" s="79">
        <v>0.0</v>
      </c>
      <c r="M216" s="79">
        <v>0.0</v>
      </c>
      <c r="N216" s="79">
        <v>0.0</v>
      </c>
      <c r="O216" s="79">
        <v>0.0</v>
      </c>
      <c r="P216" s="79">
        <v>0.0</v>
      </c>
      <c r="Q216" s="79">
        <v>0.0</v>
      </c>
      <c r="R216" s="79">
        <v>0.0</v>
      </c>
      <c r="S216" s="79">
        <v>0.0</v>
      </c>
      <c r="T216" s="79">
        <v>0.0</v>
      </c>
      <c r="U216" s="79">
        <v>0.0</v>
      </c>
      <c r="V216" s="79">
        <v>2.0</v>
      </c>
      <c r="W216" s="79">
        <v>1.0</v>
      </c>
      <c r="X216" s="79">
        <v>0.0</v>
      </c>
      <c r="Y216" s="79">
        <v>1.0</v>
      </c>
      <c r="Z216" s="79">
        <v>0.0</v>
      </c>
      <c r="AA216" s="79">
        <v>0.0</v>
      </c>
      <c r="AB216" s="79">
        <v>1.0</v>
      </c>
      <c r="AC216" s="79">
        <v>1.0</v>
      </c>
      <c r="AD216" s="79">
        <v>0.0</v>
      </c>
      <c r="AE216" s="79">
        <v>0.0</v>
      </c>
      <c r="AF216" s="79">
        <v>0.0</v>
      </c>
      <c r="AG216" s="13">
        <f t="shared" si="43"/>
        <v>9</v>
      </c>
      <c r="AH216" s="5"/>
      <c r="AI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85"/>
      <c r="AH217" s="5"/>
      <c r="AI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85"/>
      <c r="AH218" s="1"/>
      <c r="AI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85"/>
      <c r="AH219" s="55"/>
      <c r="AI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85"/>
      <c r="AH220" s="5"/>
      <c r="AI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85"/>
      <c r="AH221" s="5"/>
      <c r="AI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85"/>
      <c r="AH222" s="5"/>
      <c r="AI222" s="5"/>
    </row>
    <row r="223" ht="12.75" customHeight="1">
      <c r="A223" s="19" t="s">
        <v>14</v>
      </c>
      <c r="B223" s="50" t="s">
        <v>48</v>
      </c>
      <c r="C223" s="15"/>
      <c r="D223" s="16"/>
      <c r="E223" s="13">
        <f t="shared" ref="E223:AF223" si="44">SUM(E213:E222)</f>
        <v>5</v>
      </c>
      <c r="F223" s="13">
        <f t="shared" si="44"/>
        <v>6</v>
      </c>
      <c r="G223" s="13">
        <f t="shared" si="44"/>
        <v>1</v>
      </c>
      <c r="H223" s="13">
        <f t="shared" si="44"/>
        <v>3</v>
      </c>
      <c r="I223" s="13">
        <f t="shared" si="44"/>
        <v>4</v>
      </c>
      <c r="J223" s="13">
        <f t="shared" si="44"/>
        <v>2</v>
      </c>
      <c r="K223" s="13">
        <f t="shared" si="44"/>
        <v>10</v>
      </c>
      <c r="L223" s="13">
        <f t="shared" si="44"/>
        <v>3</v>
      </c>
      <c r="M223" s="13">
        <f t="shared" si="44"/>
        <v>2</v>
      </c>
      <c r="N223" s="13">
        <f t="shared" si="44"/>
        <v>0</v>
      </c>
      <c r="O223" s="13">
        <f t="shared" si="44"/>
        <v>1</v>
      </c>
      <c r="P223" s="13">
        <f t="shared" si="44"/>
        <v>0</v>
      </c>
      <c r="Q223" s="13">
        <f t="shared" si="44"/>
        <v>0</v>
      </c>
      <c r="R223" s="13">
        <f t="shared" si="44"/>
        <v>3</v>
      </c>
      <c r="S223" s="13">
        <f t="shared" si="44"/>
        <v>5</v>
      </c>
      <c r="T223" s="13">
        <f t="shared" si="44"/>
        <v>0</v>
      </c>
      <c r="U223" s="13">
        <f t="shared" si="44"/>
        <v>6</v>
      </c>
      <c r="V223" s="13">
        <f t="shared" si="44"/>
        <v>4</v>
      </c>
      <c r="W223" s="13">
        <f t="shared" si="44"/>
        <v>4</v>
      </c>
      <c r="X223" s="13">
        <f t="shared" si="44"/>
        <v>2</v>
      </c>
      <c r="Y223" s="13">
        <f t="shared" si="44"/>
        <v>2</v>
      </c>
      <c r="Z223" s="13">
        <f t="shared" si="44"/>
        <v>2</v>
      </c>
      <c r="AA223" s="13">
        <f t="shared" si="44"/>
        <v>3</v>
      </c>
      <c r="AB223" s="13">
        <f t="shared" si="44"/>
        <v>1</v>
      </c>
      <c r="AC223" s="13">
        <f t="shared" si="44"/>
        <v>5</v>
      </c>
      <c r="AD223" s="13">
        <f t="shared" si="44"/>
        <v>4</v>
      </c>
      <c r="AE223" s="13">
        <f t="shared" si="44"/>
        <v>3</v>
      </c>
      <c r="AF223" s="13">
        <f t="shared" si="44"/>
        <v>4</v>
      </c>
      <c r="AG223" s="13">
        <f>SUM(E223:AF223)</f>
        <v>85</v>
      </c>
      <c r="AH223" s="5"/>
      <c r="AI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5"/>
      <c r="AI224" s="5"/>
    </row>
    <row r="225" ht="12.75" customHeight="1">
      <c r="A225" s="31" t="s">
        <v>36</v>
      </c>
      <c r="B225" s="50" t="s">
        <v>167</v>
      </c>
      <c r="C225" s="51" t="s">
        <v>168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0.0</v>
      </c>
      <c r="O225" s="79">
        <v>0.0</v>
      </c>
      <c r="P225" s="79">
        <v>0.0</v>
      </c>
      <c r="Q225" s="79">
        <v>0.0</v>
      </c>
      <c r="R225" s="79">
        <v>1.0</v>
      </c>
      <c r="S225" s="79">
        <v>0.0</v>
      </c>
      <c r="T225" s="79">
        <v>1.0</v>
      </c>
      <c r="U225" s="79">
        <v>0.0</v>
      </c>
      <c r="V225" s="79">
        <v>0.0</v>
      </c>
      <c r="W225" s="79">
        <v>0.0</v>
      </c>
      <c r="X225" s="79">
        <v>0.0</v>
      </c>
      <c r="Y225" s="79">
        <v>0.0</v>
      </c>
      <c r="Z225" s="79">
        <v>0.0</v>
      </c>
      <c r="AA225" s="79">
        <v>0.0</v>
      </c>
      <c r="AB225" s="79">
        <v>0.0</v>
      </c>
      <c r="AC225" s="79">
        <v>1.0</v>
      </c>
      <c r="AD225" s="79">
        <v>1.0</v>
      </c>
      <c r="AE225" s="79">
        <v>0.0</v>
      </c>
      <c r="AF225" s="79">
        <v>0.0</v>
      </c>
      <c r="AG225" s="13">
        <f t="shared" ref="AG225:AG229" si="45">SUM(E225:AF225)</f>
        <v>4</v>
      </c>
      <c r="AH225" s="5"/>
      <c r="AI225" s="5"/>
    </row>
    <row r="226" ht="12.75" customHeight="1">
      <c r="A226" s="31" t="s">
        <v>38</v>
      </c>
      <c r="B226" s="58"/>
      <c r="C226" s="53" t="s">
        <v>169</v>
      </c>
      <c r="D226" s="61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79">
        <v>0.0</v>
      </c>
      <c r="O226" s="79">
        <v>0.0</v>
      </c>
      <c r="P226" s="79">
        <v>0.0</v>
      </c>
      <c r="Q226" s="79">
        <v>0.0</v>
      </c>
      <c r="R226" s="79">
        <v>0.0</v>
      </c>
      <c r="S226" s="79">
        <v>0.0</v>
      </c>
      <c r="T226" s="79">
        <v>1.0</v>
      </c>
      <c r="U226" s="79">
        <v>0.0</v>
      </c>
      <c r="V226" s="79">
        <v>0.0</v>
      </c>
      <c r="W226" s="79">
        <v>0.0</v>
      </c>
      <c r="X226" s="79">
        <v>0.0</v>
      </c>
      <c r="Y226" s="79">
        <v>1.0</v>
      </c>
      <c r="Z226" s="79">
        <v>0.0</v>
      </c>
      <c r="AA226" s="79">
        <v>1.0</v>
      </c>
      <c r="AB226" s="79">
        <v>0.0</v>
      </c>
      <c r="AC226" s="79">
        <v>0.0</v>
      </c>
      <c r="AD226" s="79">
        <v>0.0</v>
      </c>
      <c r="AE226" s="79">
        <v>0.0</v>
      </c>
      <c r="AF226" s="79">
        <v>0.0</v>
      </c>
      <c r="AG226" s="13">
        <f t="shared" si="45"/>
        <v>3</v>
      </c>
      <c r="AH226" s="5"/>
      <c r="AI226" s="5"/>
    </row>
    <row r="227" ht="12.75" customHeight="1">
      <c r="A227" s="18"/>
      <c r="B227" s="58"/>
      <c r="C227" s="53" t="s">
        <v>170</v>
      </c>
      <c r="D227" s="61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79">
        <v>0.0</v>
      </c>
      <c r="Q227" s="79">
        <v>0.0</v>
      </c>
      <c r="R227" s="79">
        <v>0.0</v>
      </c>
      <c r="S227" s="79">
        <v>0.0</v>
      </c>
      <c r="T227" s="79">
        <v>0.0</v>
      </c>
      <c r="U227" s="79">
        <v>1.0</v>
      </c>
      <c r="V227" s="79">
        <v>0.0</v>
      </c>
      <c r="W227" s="79">
        <v>0.0</v>
      </c>
      <c r="X227" s="79">
        <v>0.0</v>
      </c>
      <c r="Y227" s="79">
        <v>0.0</v>
      </c>
      <c r="Z227" s="79">
        <v>0.0</v>
      </c>
      <c r="AA227" s="79">
        <v>0.0</v>
      </c>
      <c r="AB227" s="79">
        <v>0.0</v>
      </c>
      <c r="AC227" s="79">
        <v>0.0</v>
      </c>
      <c r="AD227" s="79">
        <v>0.0</v>
      </c>
      <c r="AE227" s="79">
        <v>0.0</v>
      </c>
      <c r="AF227" s="79">
        <v>0.0</v>
      </c>
      <c r="AG227" s="13">
        <f t="shared" si="45"/>
        <v>1</v>
      </c>
      <c r="AH227" s="5"/>
      <c r="AI227" s="5"/>
    </row>
    <row r="228" ht="12.75" customHeight="1">
      <c r="A228" s="18"/>
      <c r="B228" s="58"/>
      <c r="C228" s="53" t="s">
        <v>171</v>
      </c>
      <c r="D228" s="61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>
        <v>0.0</v>
      </c>
      <c r="R228" s="79">
        <v>0.0</v>
      </c>
      <c r="S228" s="79">
        <v>0.0</v>
      </c>
      <c r="T228" s="79">
        <v>0.0</v>
      </c>
      <c r="U228" s="79">
        <v>0.0</v>
      </c>
      <c r="V228" s="79">
        <v>0.0</v>
      </c>
      <c r="W228" s="79">
        <v>0.0</v>
      </c>
      <c r="X228" s="79">
        <v>0.0</v>
      </c>
      <c r="Y228" s="79">
        <v>0.0</v>
      </c>
      <c r="Z228" s="79">
        <v>0.0</v>
      </c>
      <c r="AA228" s="79">
        <v>1.0</v>
      </c>
      <c r="AB228" s="79">
        <v>0.0</v>
      </c>
      <c r="AC228" s="79">
        <v>0.0</v>
      </c>
      <c r="AD228" s="79">
        <v>0.0</v>
      </c>
      <c r="AE228" s="79">
        <v>0.0</v>
      </c>
      <c r="AF228" s="79">
        <v>0.0</v>
      </c>
      <c r="AG228" s="13">
        <f t="shared" si="45"/>
        <v>1</v>
      </c>
      <c r="AH228" s="5"/>
      <c r="AI228" s="5"/>
    </row>
    <row r="229" ht="12.75" customHeight="1">
      <c r="A229" s="18"/>
      <c r="B229" s="58"/>
      <c r="C229" s="53" t="s">
        <v>172</v>
      </c>
      <c r="D229" s="61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79">
        <v>0.0</v>
      </c>
      <c r="S229" s="79">
        <v>0.0</v>
      </c>
      <c r="T229" s="79">
        <v>0.0</v>
      </c>
      <c r="U229" s="79">
        <v>0.0</v>
      </c>
      <c r="V229" s="79">
        <v>0.0</v>
      </c>
      <c r="W229" s="79">
        <v>0.0</v>
      </c>
      <c r="X229" s="79">
        <v>0.0</v>
      </c>
      <c r="Y229" s="79">
        <v>0.0</v>
      </c>
      <c r="Z229" s="79">
        <v>0.0</v>
      </c>
      <c r="AA229" s="79">
        <v>0.0</v>
      </c>
      <c r="AB229" s="79">
        <v>0.0</v>
      </c>
      <c r="AC229" s="79">
        <v>1.0</v>
      </c>
      <c r="AD229" s="79">
        <v>0.0</v>
      </c>
      <c r="AE229" s="79">
        <v>0.0</v>
      </c>
      <c r="AF229" s="79">
        <v>0.0</v>
      </c>
      <c r="AG229" s="13">
        <f t="shared" si="45"/>
        <v>1</v>
      </c>
      <c r="AH229" s="1"/>
      <c r="AI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85"/>
      <c r="AH230" s="55"/>
      <c r="AI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85"/>
      <c r="AH231" s="5"/>
      <c r="AI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85"/>
      <c r="AH232" s="5"/>
      <c r="AI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85"/>
      <c r="AH233" s="5"/>
      <c r="AI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85"/>
      <c r="AH234" s="5"/>
      <c r="AI234" s="5"/>
    </row>
    <row r="235" ht="12.75" customHeight="1">
      <c r="A235" s="19" t="s">
        <v>14</v>
      </c>
      <c r="B235" s="50" t="s">
        <v>48</v>
      </c>
      <c r="C235" s="15"/>
      <c r="D235" s="16"/>
      <c r="E235" s="13">
        <f t="shared" ref="E235:AF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1</v>
      </c>
      <c r="S235" s="13">
        <f t="shared" si="46"/>
        <v>0</v>
      </c>
      <c r="T235" s="13">
        <f t="shared" si="46"/>
        <v>2</v>
      </c>
      <c r="U235" s="13">
        <f t="shared" si="46"/>
        <v>1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1</v>
      </c>
      <c r="Z235" s="13">
        <f t="shared" si="46"/>
        <v>0</v>
      </c>
      <c r="AA235" s="13">
        <f t="shared" si="46"/>
        <v>2</v>
      </c>
      <c r="AB235" s="13">
        <f t="shared" si="46"/>
        <v>0</v>
      </c>
      <c r="AC235" s="13">
        <f t="shared" si="46"/>
        <v>2</v>
      </c>
      <c r="AD235" s="13">
        <f t="shared" si="46"/>
        <v>1</v>
      </c>
      <c r="AE235" s="13">
        <f t="shared" si="46"/>
        <v>0</v>
      </c>
      <c r="AF235" s="13">
        <f t="shared" si="46"/>
        <v>0</v>
      </c>
      <c r="AG235" s="13">
        <f>SUM(E235:AF235)</f>
        <v>10</v>
      </c>
      <c r="AH235" s="5"/>
      <c r="AI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5"/>
      <c r="AI236" s="5"/>
    </row>
    <row r="237" ht="12.75" customHeight="1">
      <c r="A237" s="31" t="s">
        <v>36</v>
      </c>
      <c r="B237" s="50" t="s">
        <v>173</v>
      </c>
      <c r="C237" s="51" t="s">
        <v>174</v>
      </c>
      <c r="D237" s="16"/>
      <c r="E237" s="79">
        <v>3.0</v>
      </c>
      <c r="F237" s="79">
        <v>0.0</v>
      </c>
      <c r="G237" s="79">
        <v>3.0</v>
      </c>
      <c r="H237" s="79">
        <v>1.0</v>
      </c>
      <c r="I237" s="79">
        <v>1.0</v>
      </c>
      <c r="J237" s="79">
        <v>0.0</v>
      </c>
      <c r="K237" s="79">
        <v>0.0</v>
      </c>
      <c r="L237" s="79">
        <v>1.0</v>
      </c>
      <c r="M237" s="79">
        <v>0.0</v>
      </c>
      <c r="N237" s="79">
        <v>0.0</v>
      </c>
      <c r="O237" s="79">
        <v>1.0</v>
      </c>
      <c r="P237" s="79">
        <v>2.0</v>
      </c>
      <c r="Q237" s="79">
        <v>0.0</v>
      </c>
      <c r="R237" s="79">
        <v>3.0</v>
      </c>
      <c r="S237" s="79">
        <v>0.0</v>
      </c>
      <c r="T237" s="79">
        <v>0.0</v>
      </c>
      <c r="U237" s="79">
        <v>0.0</v>
      </c>
      <c r="V237" s="79">
        <v>0.0</v>
      </c>
      <c r="W237" s="79">
        <v>1.0</v>
      </c>
      <c r="X237" s="79">
        <v>0.0</v>
      </c>
      <c r="Y237" s="79">
        <v>2.0</v>
      </c>
      <c r="Z237" s="79">
        <v>0.0</v>
      </c>
      <c r="AA237" s="79">
        <v>1.0</v>
      </c>
      <c r="AB237" s="79">
        <v>0.0</v>
      </c>
      <c r="AC237" s="79">
        <v>0.0</v>
      </c>
      <c r="AD237" s="79">
        <v>0.0</v>
      </c>
      <c r="AE237" s="79">
        <v>1.0</v>
      </c>
      <c r="AF237" s="79">
        <v>0.0</v>
      </c>
      <c r="AG237" s="13">
        <f t="shared" ref="AG237:AG247" si="47">SUM(E237:AF237)</f>
        <v>20</v>
      </c>
      <c r="AH237" s="5"/>
      <c r="AI237" s="5"/>
    </row>
    <row r="238" ht="12.75" customHeight="1">
      <c r="A238" s="31" t="s">
        <v>38</v>
      </c>
      <c r="B238" s="58"/>
      <c r="C238" s="53" t="s">
        <v>175</v>
      </c>
      <c r="D238" s="61"/>
      <c r="E238" s="79">
        <v>0.0</v>
      </c>
      <c r="F238" s="79">
        <v>1.0</v>
      </c>
      <c r="G238" s="79">
        <v>2.0</v>
      </c>
      <c r="H238" s="79">
        <v>0.0</v>
      </c>
      <c r="I238" s="79">
        <v>0.0</v>
      </c>
      <c r="J238" s="79">
        <v>0.0</v>
      </c>
      <c r="K238" s="79">
        <v>0.0</v>
      </c>
      <c r="L238" s="79">
        <v>0.0</v>
      </c>
      <c r="M238" s="79">
        <v>0.0</v>
      </c>
      <c r="N238" s="79">
        <v>1.0</v>
      </c>
      <c r="O238" s="79">
        <v>0.0</v>
      </c>
      <c r="P238" s="79">
        <v>0.0</v>
      </c>
      <c r="Q238" s="79">
        <v>0.0</v>
      </c>
      <c r="R238" s="79">
        <v>2.0</v>
      </c>
      <c r="S238" s="79">
        <v>0.0</v>
      </c>
      <c r="T238" s="79">
        <v>0.0</v>
      </c>
      <c r="U238" s="79">
        <v>0.0</v>
      </c>
      <c r="V238" s="79">
        <v>0.0</v>
      </c>
      <c r="W238" s="79">
        <v>0.0</v>
      </c>
      <c r="X238" s="79">
        <v>0.0</v>
      </c>
      <c r="Y238" s="79">
        <v>2.0</v>
      </c>
      <c r="Z238" s="79">
        <v>1.0</v>
      </c>
      <c r="AA238" s="79">
        <v>0.0</v>
      </c>
      <c r="AB238" s="79">
        <v>0.0</v>
      </c>
      <c r="AC238" s="79">
        <v>0.0</v>
      </c>
      <c r="AD238" s="79">
        <v>0.0</v>
      </c>
      <c r="AE238" s="79">
        <v>0.0</v>
      </c>
      <c r="AF238" s="79">
        <v>1.0</v>
      </c>
      <c r="AG238" s="13">
        <f t="shared" si="47"/>
        <v>10</v>
      </c>
      <c r="AH238" s="5"/>
      <c r="AI238" s="5"/>
    </row>
    <row r="239" ht="12.75" customHeight="1">
      <c r="A239" s="18"/>
      <c r="B239" s="58"/>
      <c r="C239" s="53" t="s">
        <v>176</v>
      </c>
      <c r="D239" s="61"/>
      <c r="E239" s="79">
        <v>4.0</v>
      </c>
      <c r="F239" s="79">
        <v>2.0</v>
      </c>
      <c r="G239" s="79">
        <v>0.0</v>
      </c>
      <c r="H239" s="79">
        <v>1.0</v>
      </c>
      <c r="I239" s="79">
        <v>1.0</v>
      </c>
      <c r="J239" s="79">
        <v>0.0</v>
      </c>
      <c r="K239" s="79">
        <v>2.0</v>
      </c>
      <c r="L239" s="79">
        <v>0.0</v>
      </c>
      <c r="M239" s="79">
        <v>0.0</v>
      </c>
      <c r="N239" s="79">
        <v>0.0</v>
      </c>
      <c r="O239" s="79">
        <v>1.0</v>
      </c>
      <c r="P239" s="79">
        <v>2.0</v>
      </c>
      <c r="Q239" s="79">
        <v>1.0</v>
      </c>
      <c r="R239" s="79">
        <v>19.0</v>
      </c>
      <c r="S239" s="79">
        <v>4.0</v>
      </c>
      <c r="T239" s="79">
        <v>0.0</v>
      </c>
      <c r="U239" s="79">
        <v>1.0</v>
      </c>
      <c r="V239" s="79">
        <v>4.0</v>
      </c>
      <c r="W239" s="79">
        <v>2.0</v>
      </c>
      <c r="X239" s="79">
        <v>0.0</v>
      </c>
      <c r="Y239" s="79">
        <v>0.0</v>
      </c>
      <c r="Z239" s="79">
        <v>0.0</v>
      </c>
      <c r="AA239" s="79">
        <v>0.0</v>
      </c>
      <c r="AB239" s="79">
        <v>1.0</v>
      </c>
      <c r="AC239" s="79">
        <v>0.0</v>
      </c>
      <c r="AD239" s="79">
        <v>0.0</v>
      </c>
      <c r="AE239" s="79">
        <v>1.0</v>
      </c>
      <c r="AF239" s="79">
        <v>1.0</v>
      </c>
      <c r="AG239" s="13">
        <f t="shared" si="47"/>
        <v>47</v>
      </c>
      <c r="AH239" s="5"/>
      <c r="AI239" s="5"/>
    </row>
    <row r="240" ht="12.75" customHeight="1">
      <c r="A240" s="18"/>
      <c r="B240" s="58"/>
      <c r="C240" s="53" t="s">
        <v>177</v>
      </c>
      <c r="D240" s="61"/>
      <c r="E240" s="79">
        <v>0.0</v>
      </c>
      <c r="F240" s="79">
        <v>0.0</v>
      </c>
      <c r="G240" s="79">
        <v>0.0</v>
      </c>
      <c r="H240" s="79">
        <v>0.0</v>
      </c>
      <c r="I240" s="79">
        <v>0.0</v>
      </c>
      <c r="J240" s="79">
        <v>0.0</v>
      </c>
      <c r="K240" s="79">
        <v>0.0</v>
      </c>
      <c r="L240" s="79">
        <v>0.0</v>
      </c>
      <c r="M240" s="79">
        <v>0.0</v>
      </c>
      <c r="N240" s="79">
        <v>0.0</v>
      </c>
      <c r="O240" s="79">
        <v>0.0</v>
      </c>
      <c r="P240" s="79">
        <v>0.0</v>
      </c>
      <c r="Q240" s="79">
        <v>0.0</v>
      </c>
      <c r="R240" s="79">
        <v>0.0</v>
      </c>
      <c r="S240" s="79">
        <v>0.0</v>
      </c>
      <c r="T240" s="79">
        <v>0.0</v>
      </c>
      <c r="U240" s="79">
        <v>0.0</v>
      </c>
      <c r="V240" s="79">
        <v>0.0</v>
      </c>
      <c r="W240" s="79">
        <v>0.0</v>
      </c>
      <c r="X240" s="79">
        <v>0.0</v>
      </c>
      <c r="Y240" s="79">
        <v>0.0</v>
      </c>
      <c r="Z240" s="79">
        <v>0.0</v>
      </c>
      <c r="AA240" s="79">
        <v>0.0</v>
      </c>
      <c r="AB240" s="79">
        <v>0.0</v>
      </c>
      <c r="AC240" s="79">
        <v>0.0</v>
      </c>
      <c r="AD240" s="79">
        <v>0.0</v>
      </c>
      <c r="AE240" s="79">
        <v>0.0</v>
      </c>
      <c r="AF240" s="79">
        <v>0.0</v>
      </c>
      <c r="AG240" s="13">
        <f t="shared" si="47"/>
        <v>0</v>
      </c>
      <c r="AH240" s="1"/>
      <c r="AI240" s="1"/>
    </row>
    <row r="241" ht="12.75" customHeight="1">
      <c r="A241" s="18"/>
      <c r="B241" s="58"/>
      <c r="C241" s="53" t="s">
        <v>178</v>
      </c>
      <c r="D241" s="61"/>
      <c r="E241" s="79">
        <v>0.0</v>
      </c>
      <c r="F241" s="79">
        <v>0.0</v>
      </c>
      <c r="G241" s="79">
        <v>0.0</v>
      </c>
      <c r="H241" s="79">
        <v>1.0</v>
      </c>
      <c r="I241" s="79">
        <v>0.0</v>
      </c>
      <c r="J241" s="79">
        <v>1.0</v>
      </c>
      <c r="K241" s="79">
        <v>0.0</v>
      </c>
      <c r="L241" s="79">
        <v>0.0</v>
      </c>
      <c r="M241" s="79">
        <v>0.0</v>
      </c>
      <c r="N241" s="79">
        <v>0.0</v>
      </c>
      <c r="O241" s="79">
        <v>0.0</v>
      </c>
      <c r="P241" s="79">
        <v>0.0</v>
      </c>
      <c r="Q241" s="79">
        <v>0.0</v>
      </c>
      <c r="R241" s="79">
        <v>0.0</v>
      </c>
      <c r="S241" s="79">
        <v>0.0</v>
      </c>
      <c r="T241" s="79">
        <v>1.0</v>
      </c>
      <c r="U241" s="79">
        <v>0.0</v>
      </c>
      <c r="V241" s="79">
        <v>0.0</v>
      </c>
      <c r="W241" s="79">
        <v>0.0</v>
      </c>
      <c r="X241" s="79">
        <v>0.0</v>
      </c>
      <c r="Y241" s="79">
        <v>0.0</v>
      </c>
      <c r="Z241" s="79">
        <v>1.0</v>
      </c>
      <c r="AA241" s="79">
        <v>0.0</v>
      </c>
      <c r="AB241" s="79">
        <v>0.0</v>
      </c>
      <c r="AC241" s="79">
        <v>1.0</v>
      </c>
      <c r="AD241" s="79">
        <v>0.0</v>
      </c>
      <c r="AE241" s="79">
        <v>0.0</v>
      </c>
      <c r="AF241" s="79">
        <v>0.0</v>
      </c>
      <c r="AG241" s="13">
        <f t="shared" si="47"/>
        <v>5</v>
      </c>
    </row>
    <row r="242" ht="12.75" customHeight="1">
      <c r="A242" s="18"/>
      <c r="B242" s="58"/>
      <c r="C242" s="53" t="s">
        <v>179</v>
      </c>
      <c r="D242" s="61"/>
      <c r="E242" s="79">
        <v>1.0</v>
      </c>
      <c r="F242" s="79">
        <v>0.0</v>
      </c>
      <c r="G242" s="79">
        <v>0.0</v>
      </c>
      <c r="H242" s="79">
        <v>0.0</v>
      </c>
      <c r="I242" s="79">
        <v>0.0</v>
      </c>
      <c r="J242" s="79">
        <v>0.0</v>
      </c>
      <c r="K242" s="79">
        <v>0.0</v>
      </c>
      <c r="L242" s="79">
        <v>0.0</v>
      </c>
      <c r="M242" s="79">
        <v>0.0</v>
      </c>
      <c r="N242" s="79">
        <v>1.0</v>
      </c>
      <c r="O242" s="79">
        <v>0.0</v>
      </c>
      <c r="P242" s="79">
        <v>0.0</v>
      </c>
      <c r="Q242" s="79">
        <v>0.0</v>
      </c>
      <c r="R242" s="79">
        <v>1.0</v>
      </c>
      <c r="S242" s="79">
        <v>0.0</v>
      </c>
      <c r="T242" s="79">
        <v>2.0</v>
      </c>
      <c r="U242" s="79">
        <v>0.0</v>
      </c>
      <c r="V242" s="79">
        <v>0.0</v>
      </c>
      <c r="W242" s="79">
        <v>1.0</v>
      </c>
      <c r="X242" s="79">
        <v>0.0</v>
      </c>
      <c r="Y242" s="79">
        <v>2.0</v>
      </c>
      <c r="Z242" s="79">
        <v>2.0</v>
      </c>
      <c r="AA242" s="79">
        <v>1.0</v>
      </c>
      <c r="AB242" s="79">
        <v>0.0</v>
      </c>
      <c r="AC242" s="79">
        <v>0.0</v>
      </c>
      <c r="AD242" s="79">
        <v>2.0</v>
      </c>
      <c r="AE242" s="79">
        <v>1.0</v>
      </c>
      <c r="AF242" s="79">
        <v>0.0</v>
      </c>
      <c r="AG242" s="13">
        <f t="shared" si="47"/>
        <v>14</v>
      </c>
    </row>
    <row r="243" ht="12.75" customHeight="1">
      <c r="A243" s="18"/>
      <c r="B243" s="58"/>
      <c r="C243" s="53" t="s">
        <v>180</v>
      </c>
      <c r="D243" s="61"/>
      <c r="E243" s="79">
        <v>1.0</v>
      </c>
      <c r="F243" s="79">
        <v>0.0</v>
      </c>
      <c r="G243" s="79">
        <v>1.0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79">
        <v>0.0</v>
      </c>
      <c r="P243" s="79">
        <v>0.0</v>
      </c>
      <c r="Q243" s="79">
        <v>0.0</v>
      </c>
      <c r="R243" s="79">
        <v>0.0</v>
      </c>
      <c r="S243" s="79">
        <v>0.0</v>
      </c>
      <c r="T243" s="79">
        <v>0.0</v>
      </c>
      <c r="U243" s="79">
        <v>0.0</v>
      </c>
      <c r="V243" s="79">
        <v>0.0</v>
      </c>
      <c r="W243" s="79">
        <v>0.0</v>
      </c>
      <c r="X243" s="79">
        <v>0.0</v>
      </c>
      <c r="Y243" s="79">
        <v>0.0</v>
      </c>
      <c r="Z243" s="79">
        <v>0.0</v>
      </c>
      <c r="AA243" s="79">
        <v>0.0</v>
      </c>
      <c r="AB243" s="79">
        <v>0.0</v>
      </c>
      <c r="AC243" s="79">
        <v>0.0</v>
      </c>
      <c r="AD243" s="79">
        <v>0.0</v>
      </c>
      <c r="AE243" s="79">
        <v>0.0</v>
      </c>
      <c r="AF243" s="79">
        <v>0.0</v>
      </c>
      <c r="AG243" s="13">
        <f t="shared" si="47"/>
        <v>2</v>
      </c>
    </row>
    <row r="244" ht="12.75" customHeight="1">
      <c r="A244" s="18"/>
      <c r="B244" s="58"/>
      <c r="C244" s="53" t="s">
        <v>181</v>
      </c>
      <c r="D244" s="61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79">
        <v>0.0</v>
      </c>
      <c r="P244" s="79">
        <v>0.0</v>
      </c>
      <c r="Q244" s="79">
        <v>0.0</v>
      </c>
      <c r="R244" s="79">
        <v>0.0</v>
      </c>
      <c r="S244" s="79">
        <v>0.0</v>
      </c>
      <c r="T244" s="79">
        <v>0.0</v>
      </c>
      <c r="U244" s="79">
        <v>2.0</v>
      </c>
      <c r="V244" s="79">
        <v>0.0</v>
      </c>
      <c r="W244" s="79">
        <v>0.0</v>
      </c>
      <c r="X244" s="79">
        <v>0.0</v>
      </c>
      <c r="Y244" s="79">
        <v>0.0</v>
      </c>
      <c r="Z244" s="79">
        <v>0.0</v>
      </c>
      <c r="AA244" s="79">
        <v>0.0</v>
      </c>
      <c r="AB244" s="79">
        <v>0.0</v>
      </c>
      <c r="AC244" s="79">
        <v>0.0</v>
      </c>
      <c r="AD244" s="79">
        <v>0.0</v>
      </c>
      <c r="AE244" s="79">
        <v>0.0</v>
      </c>
      <c r="AF244" s="79">
        <v>0.0</v>
      </c>
      <c r="AG244" s="13">
        <f t="shared" si="47"/>
        <v>2</v>
      </c>
    </row>
    <row r="245" ht="12.75" customHeight="1">
      <c r="A245" s="18"/>
      <c r="B245" s="58"/>
      <c r="C245" s="53" t="s">
        <v>182</v>
      </c>
      <c r="D245" s="61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1.0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79">
        <v>0.0</v>
      </c>
      <c r="R245" s="79">
        <v>0.0</v>
      </c>
      <c r="S245" s="79">
        <v>0.0</v>
      </c>
      <c r="T245" s="79">
        <v>0.0</v>
      </c>
      <c r="U245" s="79">
        <v>0.0</v>
      </c>
      <c r="V245" s="79">
        <v>0.0</v>
      </c>
      <c r="W245" s="79">
        <v>0.0</v>
      </c>
      <c r="X245" s="79">
        <v>0.0</v>
      </c>
      <c r="Y245" s="79">
        <v>0.0</v>
      </c>
      <c r="Z245" s="79">
        <v>0.0</v>
      </c>
      <c r="AA245" s="79">
        <v>0.0</v>
      </c>
      <c r="AB245" s="79">
        <v>0.0</v>
      </c>
      <c r="AC245" s="79">
        <v>0.0</v>
      </c>
      <c r="AD245" s="79">
        <v>0.0</v>
      </c>
      <c r="AE245" s="79">
        <v>0.0</v>
      </c>
      <c r="AF245" s="79">
        <v>0.0</v>
      </c>
      <c r="AG245" s="13">
        <f t="shared" si="47"/>
        <v>1</v>
      </c>
    </row>
    <row r="246" ht="12.75" customHeight="1">
      <c r="A246" s="18"/>
      <c r="B246" s="58"/>
      <c r="C246" s="53" t="s">
        <v>183</v>
      </c>
      <c r="D246" s="61"/>
      <c r="E246" s="79">
        <v>0.0</v>
      </c>
      <c r="F246" s="79">
        <v>1.0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0.0</v>
      </c>
      <c r="M246" s="79">
        <v>0.0</v>
      </c>
      <c r="N246" s="79">
        <v>0.0</v>
      </c>
      <c r="O246" s="79">
        <v>0.0</v>
      </c>
      <c r="P246" s="79">
        <v>0.0</v>
      </c>
      <c r="Q246" s="79">
        <v>0.0</v>
      </c>
      <c r="R246" s="79">
        <v>0.0</v>
      </c>
      <c r="S246" s="79">
        <v>0.0</v>
      </c>
      <c r="T246" s="79">
        <v>0.0</v>
      </c>
      <c r="U246" s="79">
        <v>0.0</v>
      </c>
      <c r="V246" s="79">
        <v>0.0</v>
      </c>
      <c r="W246" s="79">
        <v>0.0</v>
      </c>
      <c r="X246" s="79">
        <v>0.0</v>
      </c>
      <c r="Y246" s="79">
        <v>0.0</v>
      </c>
      <c r="Z246" s="79">
        <v>0.0</v>
      </c>
      <c r="AA246" s="79">
        <v>0.0</v>
      </c>
      <c r="AB246" s="79">
        <v>0.0</v>
      </c>
      <c r="AC246" s="79">
        <v>0.0</v>
      </c>
      <c r="AD246" s="79">
        <v>0.0</v>
      </c>
      <c r="AE246" s="79">
        <v>0.0</v>
      </c>
      <c r="AF246" s="79">
        <v>0.0</v>
      </c>
      <c r="AG246" s="13">
        <f t="shared" si="47"/>
        <v>1</v>
      </c>
    </row>
    <row r="247" ht="12.75" customHeight="1">
      <c r="A247" s="19" t="s">
        <v>14</v>
      </c>
      <c r="B247" s="50" t="s">
        <v>48</v>
      </c>
      <c r="C247" s="15"/>
      <c r="D247" s="16"/>
      <c r="E247" s="13">
        <f t="shared" ref="E247:AF247" si="48">SUM(E237:E246)</f>
        <v>9</v>
      </c>
      <c r="F247" s="13">
        <f t="shared" si="48"/>
        <v>4</v>
      </c>
      <c r="G247" s="13">
        <f t="shared" si="48"/>
        <v>6</v>
      </c>
      <c r="H247" s="13">
        <f t="shared" si="48"/>
        <v>3</v>
      </c>
      <c r="I247" s="13">
        <f t="shared" si="48"/>
        <v>2</v>
      </c>
      <c r="J247" s="13">
        <f t="shared" si="48"/>
        <v>2</v>
      </c>
      <c r="K247" s="13">
        <f t="shared" si="48"/>
        <v>2</v>
      </c>
      <c r="L247" s="13">
        <f t="shared" si="48"/>
        <v>1</v>
      </c>
      <c r="M247" s="13">
        <f t="shared" si="48"/>
        <v>0</v>
      </c>
      <c r="N247" s="13">
        <f t="shared" si="48"/>
        <v>2</v>
      </c>
      <c r="O247" s="13">
        <f t="shared" si="48"/>
        <v>2</v>
      </c>
      <c r="P247" s="13">
        <f t="shared" si="48"/>
        <v>4</v>
      </c>
      <c r="Q247" s="13">
        <f t="shared" si="48"/>
        <v>1</v>
      </c>
      <c r="R247" s="13">
        <f t="shared" si="48"/>
        <v>25</v>
      </c>
      <c r="S247" s="13">
        <f t="shared" si="48"/>
        <v>4</v>
      </c>
      <c r="T247" s="13">
        <f t="shared" si="48"/>
        <v>3</v>
      </c>
      <c r="U247" s="13">
        <f t="shared" si="48"/>
        <v>3</v>
      </c>
      <c r="V247" s="13">
        <f t="shared" si="48"/>
        <v>4</v>
      </c>
      <c r="W247" s="13">
        <f t="shared" si="48"/>
        <v>4</v>
      </c>
      <c r="X247" s="13">
        <f t="shared" si="48"/>
        <v>0</v>
      </c>
      <c r="Y247" s="13">
        <f t="shared" si="48"/>
        <v>6</v>
      </c>
      <c r="Z247" s="13">
        <f t="shared" si="48"/>
        <v>4</v>
      </c>
      <c r="AA247" s="13">
        <f t="shared" si="48"/>
        <v>2</v>
      </c>
      <c r="AB247" s="13">
        <f t="shared" si="48"/>
        <v>1</v>
      </c>
      <c r="AC247" s="13">
        <f t="shared" si="48"/>
        <v>1</v>
      </c>
      <c r="AD247" s="13">
        <f t="shared" si="48"/>
        <v>2</v>
      </c>
      <c r="AE247" s="13">
        <f t="shared" si="48"/>
        <v>3</v>
      </c>
      <c r="AF247" s="13">
        <f t="shared" si="48"/>
        <v>2</v>
      </c>
      <c r="AG247" s="13">
        <f t="shared" si="47"/>
        <v>102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36</v>
      </c>
      <c r="B249" s="50" t="s">
        <v>184</v>
      </c>
      <c r="C249" s="51" t="s">
        <v>185</v>
      </c>
      <c r="D249" s="16"/>
      <c r="E249" s="79">
        <v>1.0</v>
      </c>
      <c r="F249" s="79">
        <v>1.0</v>
      </c>
      <c r="G249" s="79">
        <v>0.0</v>
      </c>
      <c r="H249" s="79">
        <v>0.0</v>
      </c>
      <c r="I249" s="79">
        <v>0.0</v>
      </c>
      <c r="J249" s="79">
        <v>0.0</v>
      </c>
      <c r="K249" s="79">
        <v>0.0</v>
      </c>
      <c r="L249" s="79">
        <v>0.0</v>
      </c>
      <c r="M249" s="79">
        <v>0.0</v>
      </c>
      <c r="N249" s="79">
        <v>0.0</v>
      </c>
      <c r="O249" s="79">
        <v>0.0</v>
      </c>
      <c r="P249" s="79">
        <v>0.0</v>
      </c>
      <c r="Q249" s="79">
        <v>0.0</v>
      </c>
      <c r="R249" s="79">
        <v>0.0</v>
      </c>
      <c r="S249" s="79">
        <v>0.0</v>
      </c>
      <c r="T249" s="79">
        <v>0.0</v>
      </c>
      <c r="U249" s="79">
        <v>0.0</v>
      </c>
      <c r="V249" s="79">
        <v>0.0</v>
      </c>
      <c r="W249" s="79">
        <v>0.0</v>
      </c>
      <c r="X249" s="79">
        <v>0.0</v>
      </c>
      <c r="Y249" s="79">
        <v>0.0</v>
      </c>
      <c r="Z249" s="79">
        <v>0.0</v>
      </c>
      <c r="AA249" s="79">
        <v>0.0</v>
      </c>
      <c r="AB249" s="79">
        <v>0.0</v>
      </c>
      <c r="AC249" s="79">
        <v>1.0</v>
      </c>
      <c r="AD249" s="79">
        <v>0.0</v>
      </c>
      <c r="AE249" s="79">
        <v>0.0</v>
      </c>
      <c r="AF249" s="79">
        <v>0.0</v>
      </c>
      <c r="AG249" s="13">
        <f t="shared" ref="AG249:AG252" si="49">SUM(E249:AF249)</f>
        <v>3</v>
      </c>
    </row>
    <row r="250" ht="12.75" customHeight="1">
      <c r="A250" s="31" t="s">
        <v>38</v>
      </c>
      <c r="B250" s="58"/>
      <c r="C250" s="53" t="s">
        <v>186</v>
      </c>
      <c r="D250" s="61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0.0</v>
      </c>
      <c r="N250" s="79">
        <v>0.0</v>
      </c>
      <c r="O250" s="79">
        <v>0.0</v>
      </c>
      <c r="P250" s="79">
        <v>0.0</v>
      </c>
      <c r="Q250" s="79">
        <v>0.0</v>
      </c>
      <c r="R250" s="79">
        <v>0.0</v>
      </c>
      <c r="S250" s="79">
        <v>0.0</v>
      </c>
      <c r="T250" s="79">
        <v>0.0</v>
      </c>
      <c r="U250" s="79">
        <v>0.0</v>
      </c>
      <c r="V250" s="79">
        <v>1.0</v>
      </c>
      <c r="W250" s="79">
        <v>0.0</v>
      </c>
      <c r="X250" s="79">
        <v>0.0</v>
      </c>
      <c r="Y250" s="79">
        <v>0.0</v>
      </c>
      <c r="Z250" s="79">
        <v>0.0</v>
      </c>
      <c r="AA250" s="79">
        <v>0.0</v>
      </c>
      <c r="AB250" s="79">
        <v>0.0</v>
      </c>
      <c r="AC250" s="79">
        <v>3.0</v>
      </c>
      <c r="AD250" s="79">
        <v>0.0</v>
      </c>
      <c r="AE250" s="79">
        <v>1.0</v>
      </c>
      <c r="AF250" s="79">
        <v>3.0</v>
      </c>
      <c r="AG250" s="13">
        <f t="shared" si="49"/>
        <v>8</v>
      </c>
    </row>
    <row r="251" ht="12.75" customHeight="1">
      <c r="A251" s="18"/>
      <c r="B251" s="58"/>
      <c r="C251" s="53" t="s">
        <v>187</v>
      </c>
      <c r="D251" s="61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79">
        <v>0.0</v>
      </c>
      <c r="T251" s="79">
        <v>0.0</v>
      </c>
      <c r="U251" s="79">
        <v>0.0</v>
      </c>
      <c r="V251" s="79">
        <v>0.0</v>
      </c>
      <c r="W251" s="79">
        <v>0.0</v>
      </c>
      <c r="X251" s="79">
        <v>0.0</v>
      </c>
      <c r="Y251" s="79">
        <v>0.0</v>
      </c>
      <c r="Z251" s="79">
        <v>0.0</v>
      </c>
      <c r="AA251" s="79">
        <v>0.0</v>
      </c>
      <c r="AB251" s="79">
        <v>0.0</v>
      </c>
      <c r="AC251" s="79">
        <v>0.0</v>
      </c>
      <c r="AD251" s="79">
        <v>0.0</v>
      </c>
      <c r="AE251" s="79">
        <v>0.0</v>
      </c>
      <c r="AF251" s="79">
        <v>0.0</v>
      </c>
      <c r="AG251" s="13">
        <f t="shared" si="49"/>
        <v>0</v>
      </c>
    </row>
    <row r="252" ht="12.75" customHeight="1">
      <c r="A252" s="18"/>
      <c r="B252" s="58"/>
      <c r="C252" s="53" t="s">
        <v>188</v>
      </c>
      <c r="D252" s="61"/>
      <c r="E252" s="79">
        <v>1.0</v>
      </c>
      <c r="F252" s="79">
        <v>1.0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1.0</v>
      </c>
      <c r="R252" s="79">
        <v>0.0</v>
      </c>
      <c r="S252" s="79">
        <v>0.0</v>
      </c>
      <c r="T252" s="79">
        <v>0.0</v>
      </c>
      <c r="U252" s="79">
        <v>0.0</v>
      </c>
      <c r="V252" s="79">
        <v>0.0</v>
      </c>
      <c r="W252" s="79">
        <v>0.0</v>
      </c>
      <c r="X252" s="79">
        <v>0.0</v>
      </c>
      <c r="Y252" s="79">
        <v>0.0</v>
      </c>
      <c r="Z252" s="79">
        <v>0.0</v>
      </c>
      <c r="AA252" s="79">
        <v>0.0</v>
      </c>
      <c r="AB252" s="79">
        <v>1.0</v>
      </c>
      <c r="AC252" s="79">
        <v>0.0</v>
      </c>
      <c r="AD252" s="79">
        <v>0.0</v>
      </c>
      <c r="AE252" s="79">
        <v>0.0</v>
      </c>
      <c r="AF252" s="79">
        <v>0.0</v>
      </c>
      <c r="AG252" s="13">
        <f t="shared" si="49"/>
        <v>4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85"/>
    </row>
    <row r="259" ht="12.75" customHeight="1">
      <c r="A259" s="19" t="s">
        <v>14</v>
      </c>
      <c r="B259" s="50" t="s">
        <v>48</v>
      </c>
      <c r="C259" s="15"/>
      <c r="D259" s="16"/>
      <c r="E259" s="13">
        <f t="shared" ref="E259:AF259" si="50">SUM(E249:E258)</f>
        <v>2</v>
      </c>
      <c r="F259" s="13">
        <f t="shared" si="50"/>
        <v>2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1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1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1</v>
      </c>
      <c r="AC259" s="13">
        <f t="shared" si="50"/>
        <v>4</v>
      </c>
      <c r="AD259" s="13">
        <f t="shared" si="50"/>
        <v>0</v>
      </c>
      <c r="AE259" s="13">
        <f t="shared" si="50"/>
        <v>1</v>
      </c>
      <c r="AF259" s="13">
        <f t="shared" si="50"/>
        <v>3</v>
      </c>
      <c r="AG259" s="13">
        <f>SUM(E259:AF259)</f>
        <v>15</v>
      </c>
    </row>
    <row r="260" ht="12.75" customHeight="1"/>
    <row r="261" ht="12.75" customHeight="1">
      <c r="A261" s="45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2"/>
      <c r="O261" s="13"/>
      <c r="P261" s="13"/>
      <c r="Q261" s="13"/>
      <c r="R261" s="13"/>
      <c r="S261" s="82"/>
      <c r="T261" s="13"/>
      <c r="U261" s="13"/>
      <c r="V261" s="13"/>
      <c r="W261" s="13"/>
      <c r="X261" s="82"/>
      <c r="Y261" s="13"/>
      <c r="Z261" s="13"/>
      <c r="AA261" s="13"/>
      <c r="AB261" s="13"/>
      <c r="AC261" s="82"/>
      <c r="AD261" s="13"/>
      <c r="AE261" s="13"/>
      <c r="AF261" s="13"/>
      <c r="AG261" s="13"/>
    </row>
    <row r="262" ht="12.75" customHeight="1">
      <c r="A262" s="45"/>
      <c r="B262" s="74" t="s">
        <v>191</v>
      </c>
      <c r="C262" s="75" t="s">
        <v>192</v>
      </c>
      <c r="D262" s="16"/>
      <c r="E262" s="19">
        <f t="shared" ref="E262:AF262" si="51">E55+E67+E79+E91+E103+E115+E127+E139+E151+E163+E175+E187+E199+E211+E223+E235+E247+E259</f>
        <v>182</v>
      </c>
      <c r="F262" s="19">
        <f t="shared" si="51"/>
        <v>180</v>
      </c>
      <c r="G262" s="19">
        <f t="shared" si="51"/>
        <v>158</v>
      </c>
      <c r="H262" s="19">
        <f t="shared" si="51"/>
        <v>129</v>
      </c>
      <c r="I262" s="19">
        <f t="shared" si="51"/>
        <v>159</v>
      </c>
      <c r="J262" s="19">
        <f t="shared" si="51"/>
        <v>158</v>
      </c>
      <c r="K262" s="19">
        <f t="shared" si="51"/>
        <v>190</v>
      </c>
      <c r="L262" s="19">
        <f t="shared" si="51"/>
        <v>170</v>
      </c>
      <c r="M262" s="19">
        <f t="shared" si="51"/>
        <v>216</v>
      </c>
      <c r="N262" s="19">
        <f t="shared" si="51"/>
        <v>208</v>
      </c>
      <c r="O262" s="19">
        <f t="shared" si="51"/>
        <v>183</v>
      </c>
      <c r="P262" s="19">
        <f t="shared" si="51"/>
        <v>175</v>
      </c>
      <c r="Q262" s="19">
        <f t="shared" si="51"/>
        <v>160</v>
      </c>
      <c r="R262" s="19">
        <f t="shared" si="51"/>
        <v>200</v>
      </c>
      <c r="S262" s="19">
        <f t="shared" si="51"/>
        <v>186</v>
      </c>
      <c r="T262" s="19">
        <f t="shared" si="51"/>
        <v>197</v>
      </c>
      <c r="U262" s="19">
        <f t="shared" si="51"/>
        <v>165</v>
      </c>
      <c r="V262" s="19">
        <f t="shared" si="51"/>
        <v>198</v>
      </c>
      <c r="W262" s="19">
        <f t="shared" si="51"/>
        <v>185</v>
      </c>
      <c r="X262" s="19">
        <f t="shared" si="51"/>
        <v>216</v>
      </c>
      <c r="Y262" s="19">
        <f t="shared" si="51"/>
        <v>205</v>
      </c>
      <c r="Z262" s="19">
        <f t="shared" si="51"/>
        <v>187</v>
      </c>
      <c r="AA262" s="19">
        <f t="shared" si="51"/>
        <v>197</v>
      </c>
      <c r="AB262" s="19">
        <f t="shared" si="51"/>
        <v>169</v>
      </c>
      <c r="AC262" s="19">
        <f t="shared" si="51"/>
        <v>185</v>
      </c>
      <c r="AD262" s="19">
        <f t="shared" si="51"/>
        <v>178</v>
      </c>
      <c r="AE262" s="19">
        <f t="shared" si="51"/>
        <v>222</v>
      </c>
      <c r="AF262" s="19">
        <f t="shared" si="51"/>
        <v>198</v>
      </c>
      <c r="AG262" s="13">
        <f t="shared" ref="AG262:AG264" si="52">SUM(E262:AF262)</f>
        <v>5156</v>
      </c>
    </row>
    <row r="263" ht="12.75" customHeight="1">
      <c r="A263" s="36"/>
      <c r="B263" s="74" t="s">
        <v>193</v>
      </c>
      <c r="C263" s="75" t="s">
        <v>194</v>
      </c>
      <c r="D263" s="16"/>
      <c r="E263" s="79">
        <v>23.0</v>
      </c>
      <c r="F263" s="79">
        <v>17.0</v>
      </c>
      <c r="G263" s="79">
        <v>39.0</v>
      </c>
      <c r="H263" s="79">
        <v>26.0</v>
      </c>
      <c r="I263" s="79">
        <v>43.0</v>
      </c>
      <c r="J263" s="79">
        <v>7.0</v>
      </c>
      <c r="K263" s="79">
        <v>24.0</v>
      </c>
      <c r="L263" s="79">
        <v>51.0</v>
      </c>
      <c r="M263" s="79">
        <v>28.0</v>
      </c>
      <c r="N263" s="79">
        <v>36.0</v>
      </c>
      <c r="O263" s="79">
        <v>15.0</v>
      </c>
      <c r="P263" s="79">
        <v>2.0</v>
      </c>
      <c r="Q263" s="79">
        <v>20.0</v>
      </c>
      <c r="R263" s="79">
        <v>30.0</v>
      </c>
      <c r="S263" s="79">
        <v>30.0</v>
      </c>
      <c r="T263" s="79">
        <v>27.0</v>
      </c>
      <c r="U263" s="79">
        <v>39.0</v>
      </c>
      <c r="V263" s="79">
        <v>43.0</v>
      </c>
      <c r="W263" s="79">
        <v>31.0</v>
      </c>
      <c r="X263" s="79">
        <v>16.0</v>
      </c>
      <c r="Y263" s="79">
        <v>42.0</v>
      </c>
      <c r="Z263" s="79">
        <v>36.0</v>
      </c>
      <c r="AA263" s="79">
        <v>26.0</v>
      </c>
      <c r="AB263" s="79">
        <v>29.0</v>
      </c>
      <c r="AC263" s="79">
        <v>22.0</v>
      </c>
      <c r="AD263" s="79">
        <v>41.0</v>
      </c>
      <c r="AE263" s="79">
        <v>11.0</v>
      </c>
      <c r="AF263" s="79">
        <v>28.0</v>
      </c>
      <c r="AG263" s="13">
        <f t="shared" si="52"/>
        <v>782</v>
      </c>
    </row>
    <row r="264" ht="12.75" customHeight="1">
      <c r="A264" s="44"/>
      <c r="B264" s="74" t="s">
        <v>195</v>
      </c>
      <c r="C264" s="75" t="s">
        <v>196</v>
      </c>
      <c r="D264" s="16"/>
      <c r="E264" s="13">
        <f t="shared" ref="E264:AF264" si="53">SUM(E262:E263)</f>
        <v>205</v>
      </c>
      <c r="F264" s="13">
        <f t="shared" si="53"/>
        <v>197</v>
      </c>
      <c r="G264" s="13">
        <f t="shared" si="53"/>
        <v>197</v>
      </c>
      <c r="H264" s="13">
        <f t="shared" si="53"/>
        <v>155</v>
      </c>
      <c r="I264" s="13">
        <f t="shared" si="53"/>
        <v>202</v>
      </c>
      <c r="J264" s="13">
        <f t="shared" si="53"/>
        <v>165</v>
      </c>
      <c r="K264" s="13">
        <f t="shared" si="53"/>
        <v>214</v>
      </c>
      <c r="L264" s="13">
        <f t="shared" si="53"/>
        <v>221</v>
      </c>
      <c r="M264" s="13">
        <f t="shared" si="53"/>
        <v>244</v>
      </c>
      <c r="N264" s="13">
        <f t="shared" si="53"/>
        <v>244</v>
      </c>
      <c r="O264" s="13">
        <f t="shared" si="53"/>
        <v>198</v>
      </c>
      <c r="P264" s="13">
        <f t="shared" si="53"/>
        <v>177</v>
      </c>
      <c r="Q264" s="13">
        <f t="shared" si="53"/>
        <v>180</v>
      </c>
      <c r="R264" s="13">
        <f t="shared" si="53"/>
        <v>230</v>
      </c>
      <c r="S264" s="13">
        <f t="shared" si="53"/>
        <v>216</v>
      </c>
      <c r="T264" s="13">
        <f t="shared" si="53"/>
        <v>224</v>
      </c>
      <c r="U264" s="13">
        <f t="shared" si="53"/>
        <v>204</v>
      </c>
      <c r="V264" s="13">
        <f t="shared" si="53"/>
        <v>241</v>
      </c>
      <c r="W264" s="13">
        <f t="shared" si="53"/>
        <v>216</v>
      </c>
      <c r="X264" s="13">
        <f t="shared" si="53"/>
        <v>232</v>
      </c>
      <c r="Y264" s="13">
        <f t="shared" si="53"/>
        <v>247</v>
      </c>
      <c r="Z264" s="13">
        <f t="shared" si="53"/>
        <v>223</v>
      </c>
      <c r="AA264" s="13">
        <f t="shared" si="53"/>
        <v>223</v>
      </c>
      <c r="AB264" s="13">
        <f t="shared" si="53"/>
        <v>198</v>
      </c>
      <c r="AC264" s="13">
        <f t="shared" si="53"/>
        <v>207</v>
      </c>
      <c r="AD264" s="13">
        <f t="shared" si="53"/>
        <v>219</v>
      </c>
      <c r="AE264" s="13">
        <f t="shared" si="53"/>
        <v>233</v>
      </c>
      <c r="AF264" s="13">
        <f t="shared" si="53"/>
        <v>226</v>
      </c>
      <c r="AG264" s="13">
        <f t="shared" si="52"/>
        <v>5938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F12"/>
    <mergeCell ref="AG12:AG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F34">
    <cfRule type="expression" dxfId="0" priority="1">
      <formula>E34&lt;&gt;E64</formula>
    </cfRule>
  </conditionalFormatting>
  <conditionalFormatting sqref="E14:AF15">
    <cfRule type="containsBlanks" dxfId="1" priority="2">
      <formula>LEN(TRIM(E14))=0</formula>
    </cfRule>
  </conditionalFormatting>
  <conditionalFormatting sqref="E19:AF20">
    <cfRule type="containsBlanks" dxfId="1" priority="3">
      <formula>LEN(TRIM(E19))=0</formula>
    </cfRule>
  </conditionalFormatting>
  <conditionalFormatting sqref="E22:AF23 E25:AF26 E33:AF33 E35:AF35 E39:AF40">
    <cfRule type="containsBlanks" dxfId="1" priority="4">
      <formula>LEN(TRIM(E22))=0</formula>
    </cfRule>
  </conditionalFormatting>
  <conditionalFormatting sqref="E30:AF30">
    <cfRule type="expression" dxfId="0" priority="5">
      <formula>E30&lt;&gt;E47</formula>
    </cfRule>
  </conditionalFormatting>
  <conditionalFormatting sqref="E30:AF30">
    <cfRule type="expression" dxfId="0" priority="6">
      <formula>E30&lt;&gt;E34</formula>
    </cfRule>
  </conditionalFormatting>
  <conditionalFormatting sqref="E34:AF34">
    <cfRule type="expression" dxfId="2" priority="7">
      <formula>E30&lt;&gt;E34</formula>
    </cfRule>
  </conditionalFormatting>
  <conditionalFormatting sqref="E34:AF34">
    <cfRule type="expression" dxfId="3" priority="8">
      <formula>E30=E34</formula>
    </cfRule>
  </conditionalFormatting>
  <conditionalFormatting sqref="E34:AF34">
    <cfRule type="expression" dxfId="0" priority="9">
      <formula>E34&lt;&gt;E30</formula>
    </cfRule>
  </conditionalFormatting>
  <conditionalFormatting sqref="E45:AF54">
    <cfRule type="containsBlanks" dxfId="1" priority="10">
      <formula>LEN(TRIM(E45))=0</formula>
    </cfRule>
  </conditionalFormatting>
  <conditionalFormatting sqref="E57:AF66">
    <cfRule type="containsBlanks" dxfId="1" priority="11">
      <formula>LEN(TRIM(E57))=0</formula>
    </cfRule>
  </conditionalFormatting>
  <conditionalFormatting sqref="E69:AF78">
    <cfRule type="containsBlanks" dxfId="1" priority="12">
      <formula>LEN(TRIM(E69))=0</formula>
    </cfRule>
  </conditionalFormatting>
  <conditionalFormatting sqref="E81:AF90">
    <cfRule type="containsBlanks" dxfId="1" priority="13">
      <formula>LEN(TRIM(E81))=0</formula>
    </cfRule>
  </conditionalFormatting>
  <conditionalFormatting sqref="E93:AF102">
    <cfRule type="containsBlanks" dxfId="1" priority="14">
      <formula>LEN(TRIM(E93))=0</formula>
    </cfRule>
  </conditionalFormatting>
  <conditionalFormatting sqref="E105:AF114">
    <cfRule type="containsBlanks" dxfId="1" priority="15">
      <formula>LEN(TRIM(E105))=0</formula>
    </cfRule>
  </conditionalFormatting>
  <conditionalFormatting sqref="E117:AF126">
    <cfRule type="containsBlanks" dxfId="1" priority="16">
      <formula>LEN(TRIM(E117))=0</formula>
    </cfRule>
  </conditionalFormatting>
  <conditionalFormatting sqref="E129:AF138">
    <cfRule type="containsBlanks" dxfId="1" priority="17">
      <formula>LEN(TRIM(E129))=0</formula>
    </cfRule>
  </conditionalFormatting>
  <conditionalFormatting sqref="E141:AF150">
    <cfRule type="containsBlanks" dxfId="1" priority="18">
      <formula>LEN(TRIM(E141))=0</formula>
    </cfRule>
  </conditionalFormatting>
  <conditionalFormatting sqref="E153:AF162">
    <cfRule type="containsBlanks" dxfId="1" priority="19">
      <formula>LEN(TRIM(E153))=0</formula>
    </cfRule>
  </conditionalFormatting>
  <conditionalFormatting sqref="E165:AF174">
    <cfRule type="containsBlanks" dxfId="1" priority="20">
      <formula>LEN(TRIM(E165))=0</formula>
    </cfRule>
  </conditionalFormatting>
  <conditionalFormatting sqref="E177:AF186">
    <cfRule type="containsBlanks" dxfId="1" priority="21">
      <formula>LEN(TRIM(E177))=0</formula>
    </cfRule>
  </conditionalFormatting>
  <conditionalFormatting sqref="E189:AF198">
    <cfRule type="containsBlanks" dxfId="1" priority="22">
      <formula>LEN(TRIM(E189))=0</formula>
    </cfRule>
  </conditionalFormatting>
  <conditionalFormatting sqref="E201:AF210">
    <cfRule type="containsBlanks" dxfId="1" priority="23">
      <formula>LEN(TRIM(E201))=0</formula>
    </cfRule>
  </conditionalFormatting>
  <conditionalFormatting sqref="E213:AF222">
    <cfRule type="containsBlanks" dxfId="1" priority="24">
      <formula>LEN(TRIM(E213))=0</formula>
    </cfRule>
  </conditionalFormatting>
  <conditionalFormatting sqref="E225:AF234">
    <cfRule type="containsBlanks" dxfId="1" priority="25">
      <formula>LEN(TRIM(E225))=0</formula>
    </cfRule>
  </conditionalFormatting>
  <conditionalFormatting sqref="E237:AF246">
    <cfRule type="containsBlanks" dxfId="1" priority="26">
      <formula>LEN(TRIM(E237))=0</formula>
    </cfRule>
  </conditionalFormatting>
  <conditionalFormatting sqref="E249:AF259">
    <cfRule type="containsBlanks" dxfId="1" priority="27">
      <formula>LEN(TRIM(E249))=0</formula>
    </cfRule>
  </conditionalFormatting>
  <conditionalFormatting sqref="E262:AF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1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5</v>
      </c>
      <c r="B12" s="14" t="s">
        <v>6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37"/>
    </row>
    <row r="14" ht="12.75" customHeight="1">
      <c r="A14" s="18"/>
      <c r="B14" s="22" t="s">
        <v>10</v>
      </c>
      <c r="C14" s="23"/>
      <c r="D14" s="19" t="s">
        <v>11</v>
      </c>
      <c r="E14" s="79">
        <v>142.0</v>
      </c>
      <c r="F14" s="79">
        <v>126.0</v>
      </c>
      <c r="G14" s="79">
        <v>141.0</v>
      </c>
      <c r="H14" s="79">
        <v>137.0</v>
      </c>
      <c r="I14" s="79">
        <v>124.0</v>
      </c>
      <c r="J14" s="79">
        <v>138.0</v>
      </c>
      <c r="K14" s="79">
        <v>148.0</v>
      </c>
      <c r="L14" s="79">
        <v>124.0</v>
      </c>
      <c r="M14" s="79">
        <v>140.0</v>
      </c>
      <c r="N14" s="79">
        <v>140.0</v>
      </c>
      <c r="O14" s="79">
        <v>112.0</v>
      </c>
      <c r="P14" s="79">
        <v>97.0</v>
      </c>
      <c r="Q14" s="79">
        <v>113.0</v>
      </c>
      <c r="R14" s="79">
        <v>122.0</v>
      </c>
      <c r="S14" s="13">
        <f t="shared" ref="S14:S16" si="1">SUM(E14:R14)</f>
        <v>1804</v>
      </c>
    </row>
    <row r="15" ht="12.75" customHeight="1">
      <c r="A15" s="18"/>
      <c r="B15" s="26"/>
      <c r="C15" s="27"/>
      <c r="D15" s="19" t="s">
        <v>12</v>
      </c>
      <c r="E15" s="79">
        <v>147.0</v>
      </c>
      <c r="F15" s="79">
        <v>137.0</v>
      </c>
      <c r="G15" s="79">
        <v>137.0</v>
      </c>
      <c r="H15" s="79">
        <v>156.0</v>
      </c>
      <c r="I15" s="79">
        <v>130.0</v>
      </c>
      <c r="J15" s="79">
        <v>126.0</v>
      </c>
      <c r="K15" s="79">
        <v>134.0</v>
      </c>
      <c r="L15" s="79">
        <v>107.0</v>
      </c>
      <c r="M15" s="79">
        <v>129.0</v>
      </c>
      <c r="N15" s="79">
        <v>129.0</v>
      </c>
      <c r="O15" s="79">
        <v>121.0</v>
      </c>
      <c r="P15" s="79">
        <v>103.0</v>
      </c>
      <c r="Q15" s="79">
        <v>107.0</v>
      </c>
      <c r="R15" s="79">
        <v>113.0</v>
      </c>
      <c r="S15" s="13">
        <f t="shared" si="1"/>
        <v>1776</v>
      </c>
    </row>
    <row r="16" ht="12.75" customHeight="1">
      <c r="A16" s="25"/>
      <c r="B16" s="21"/>
      <c r="C16" s="28"/>
      <c r="D16" s="13" t="s">
        <v>13</v>
      </c>
      <c r="E16" s="13">
        <f t="shared" ref="E16:R16" si="2">SUM(E14:E15)</f>
        <v>289</v>
      </c>
      <c r="F16" s="13">
        <f t="shared" si="2"/>
        <v>263</v>
      </c>
      <c r="G16" s="13">
        <f t="shared" si="2"/>
        <v>278</v>
      </c>
      <c r="H16" s="13">
        <f t="shared" si="2"/>
        <v>293</v>
      </c>
      <c r="I16" s="13">
        <f t="shared" si="2"/>
        <v>254</v>
      </c>
      <c r="J16" s="13">
        <f t="shared" si="2"/>
        <v>264</v>
      </c>
      <c r="K16" s="13">
        <f t="shared" si="2"/>
        <v>282</v>
      </c>
      <c r="L16" s="13">
        <f t="shared" si="2"/>
        <v>231</v>
      </c>
      <c r="M16" s="13">
        <f t="shared" si="2"/>
        <v>269</v>
      </c>
      <c r="N16" s="13">
        <f t="shared" si="2"/>
        <v>269</v>
      </c>
      <c r="O16" s="13">
        <f t="shared" si="2"/>
        <v>233</v>
      </c>
      <c r="P16" s="13">
        <f t="shared" si="2"/>
        <v>200</v>
      </c>
      <c r="Q16" s="13">
        <f t="shared" si="2"/>
        <v>220</v>
      </c>
      <c r="R16" s="13">
        <f t="shared" si="2"/>
        <v>235</v>
      </c>
      <c r="S16" s="13">
        <f t="shared" si="1"/>
        <v>3580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  <c r="O17" s="19"/>
      <c r="P17" s="19"/>
      <c r="Q17" s="19"/>
      <c r="R17" s="19"/>
      <c r="S17" s="81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0"/>
      <c r="O18" s="19"/>
      <c r="P18" s="19"/>
      <c r="Q18" s="19"/>
      <c r="R18" s="19"/>
      <c r="S18" s="81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79">
        <v>114.0</v>
      </c>
      <c r="F19" s="79">
        <v>88.0</v>
      </c>
      <c r="G19" s="79">
        <v>96.0</v>
      </c>
      <c r="H19" s="79">
        <v>92.0</v>
      </c>
      <c r="I19" s="79">
        <v>83.0</v>
      </c>
      <c r="J19" s="79">
        <v>95.0</v>
      </c>
      <c r="K19" s="79">
        <v>107.0</v>
      </c>
      <c r="L19" s="79">
        <v>86.0</v>
      </c>
      <c r="M19" s="79">
        <v>110.0</v>
      </c>
      <c r="N19" s="79">
        <v>95.0</v>
      </c>
      <c r="O19" s="79">
        <v>82.0</v>
      </c>
      <c r="P19" s="79">
        <v>60.0</v>
      </c>
      <c r="Q19" s="79">
        <v>77.0</v>
      </c>
      <c r="R19" s="79">
        <v>91.0</v>
      </c>
      <c r="S19" s="13">
        <f t="shared" ref="S19:S30" si="3">SUM(E19:R19)</f>
        <v>1276</v>
      </c>
    </row>
    <row r="20" ht="12.75" customHeight="1">
      <c r="A20" s="34"/>
      <c r="B20" s="27"/>
      <c r="C20" s="35"/>
      <c r="D20" s="19" t="s">
        <v>12</v>
      </c>
      <c r="E20" s="79">
        <v>121.0</v>
      </c>
      <c r="F20" s="79">
        <v>104.0</v>
      </c>
      <c r="G20" s="79">
        <v>115.0</v>
      </c>
      <c r="H20" s="79">
        <v>115.0</v>
      </c>
      <c r="I20" s="79">
        <v>96.0</v>
      </c>
      <c r="J20" s="79">
        <v>105.0</v>
      </c>
      <c r="K20" s="79">
        <v>104.0</v>
      </c>
      <c r="L20" s="79">
        <v>83.0</v>
      </c>
      <c r="M20" s="79">
        <v>109.0</v>
      </c>
      <c r="N20" s="79">
        <v>113.0</v>
      </c>
      <c r="O20" s="79">
        <v>89.0</v>
      </c>
      <c r="P20" s="79">
        <v>73.0</v>
      </c>
      <c r="Q20" s="79">
        <v>74.0</v>
      </c>
      <c r="R20" s="79">
        <v>104.0</v>
      </c>
      <c r="S20" s="13">
        <f t="shared" si="3"/>
        <v>1405</v>
      </c>
    </row>
    <row r="21" ht="12.75" customHeight="1">
      <c r="A21" s="36"/>
      <c r="B21" s="28"/>
      <c r="C21" s="37"/>
      <c r="D21" s="13" t="s">
        <v>13</v>
      </c>
      <c r="E21" s="13">
        <f t="shared" ref="E21:R21" si="4">SUM(E19:E20)</f>
        <v>235</v>
      </c>
      <c r="F21" s="13">
        <f t="shared" si="4"/>
        <v>192</v>
      </c>
      <c r="G21" s="13">
        <f t="shared" si="4"/>
        <v>211</v>
      </c>
      <c r="H21" s="13">
        <f t="shared" si="4"/>
        <v>207</v>
      </c>
      <c r="I21" s="13">
        <f t="shared" si="4"/>
        <v>179</v>
      </c>
      <c r="J21" s="13">
        <f t="shared" si="4"/>
        <v>200</v>
      </c>
      <c r="K21" s="13">
        <f t="shared" si="4"/>
        <v>211</v>
      </c>
      <c r="L21" s="13">
        <f t="shared" si="4"/>
        <v>169</v>
      </c>
      <c r="M21" s="13">
        <f t="shared" si="4"/>
        <v>219</v>
      </c>
      <c r="N21" s="13">
        <f t="shared" si="4"/>
        <v>208</v>
      </c>
      <c r="O21" s="13">
        <f t="shared" si="4"/>
        <v>171</v>
      </c>
      <c r="P21" s="13">
        <f t="shared" si="4"/>
        <v>133</v>
      </c>
      <c r="Q21" s="13">
        <f t="shared" si="4"/>
        <v>151</v>
      </c>
      <c r="R21" s="13">
        <f t="shared" si="4"/>
        <v>195</v>
      </c>
      <c r="S21" s="13">
        <f t="shared" si="3"/>
        <v>2681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1.0</v>
      </c>
      <c r="Q22" s="79">
        <v>0.0</v>
      </c>
      <c r="R22" s="79">
        <v>0.0</v>
      </c>
      <c r="S22" s="13">
        <f t="shared" si="3"/>
        <v>1</v>
      </c>
    </row>
    <row r="23" ht="12.75" customHeight="1">
      <c r="A23" s="34"/>
      <c r="B23" s="27"/>
      <c r="C23" s="35"/>
      <c r="D23" s="19" t="s">
        <v>12</v>
      </c>
      <c r="E23" s="79">
        <v>14.0</v>
      </c>
      <c r="F23" s="79">
        <v>15.0</v>
      </c>
      <c r="G23" s="79">
        <v>3.0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1.0</v>
      </c>
      <c r="Q23" s="79">
        <v>0.0</v>
      </c>
      <c r="R23" s="79">
        <v>0.0</v>
      </c>
      <c r="S23" s="13">
        <f t="shared" si="3"/>
        <v>33</v>
      </c>
    </row>
    <row r="24" ht="12.75" customHeight="1">
      <c r="A24" s="36"/>
      <c r="B24" s="28"/>
      <c r="C24" s="37"/>
      <c r="D24" s="13" t="s">
        <v>13</v>
      </c>
      <c r="E24" s="13">
        <f t="shared" ref="E24:R24" si="5">SUM(E22:E23)</f>
        <v>14</v>
      </c>
      <c r="F24" s="13">
        <f t="shared" si="5"/>
        <v>15</v>
      </c>
      <c r="G24" s="13">
        <f t="shared" si="5"/>
        <v>3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3"/>
        <v>34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79">
        <v>0.0</v>
      </c>
      <c r="F25" s="79">
        <v>0.0</v>
      </c>
      <c r="G25" s="79">
        <v>0.0</v>
      </c>
      <c r="H25" s="79">
        <v>0.0</v>
      </c>
      <c r="I25" s="79">
        <v>2.0</v>
      </c>
      <c r="J25" s="79">
        <v>2.0</v>
      </c>
      <c r="K25" s="79">
        <v>0.0</v>
      </c>
      <c r="L25" s="79">
        <v>1.0</v>
      </c>
      <c r="M25" s="79">
        <v>1.0</v>
      </c>
      <c r="N25" s="79">
        <v>0.0</v>
      </c>
      <c r="O25" s="79">
        <v>0.0</v>
      </c>
      <c r="P25" s="79">
        <v>1.0</v>
      </c>
      <c r="Q25" s="79">
        <v>1.0</v>
      </c>
      <c r="R25" s="79">
        <v>2.0</v>
      </c>
      <c r="S25" s="13">
        <f t="shared" si="3"/>
        <v>10</v>
      </c>
    </row>
    <row r="26" ht="12.75" customHeight="1">
      <c r="A26" s="34"/>
      <c r="B26" s="27"/>
      <c r="C26" s="35"/>
      <c r="D26" s="19" t="s">
        <v>12</v>
      </c>
      <c r="E26" s="79">
        <v>3.0</v>
      </c>
      <c r="F26" s="79">
        <v>0.0</v>
      </c>
      <c r="G26" s="79">
        <v>1.0</v>
      </c>
      <c r="H26" s="79">
        <v>0.0</v>
      </c>
      <c r="I26" s="79">
        <v>3.0</v>
      </c>
      <c r="J26" s="79">
        <v>2.0</v>
      </c>
      <c r="K26" s="79">
        <v>0.0</v>
      </c>
      <c r="L26" s="79">
        <v>1.0</v>
      </c>
      <c r="M26" s="79">
        <v>2.0</v>
      </c>
      <c r="N26" s="79">
        <v>0.0</v>
      </c>
      <c r="O26" s="79">
        <v>0.0</v>
      </c>
      <c r="P26" s="79">
        <v>6.0</v>
      </c>
      <c r="Q26" s="79">
        <v>1.0</v>
      </c>
      <c r="R26" s="79">
        <v>2.0</v>
      </c>
      <c r="S26" s="13">
        <f t="shared" si="3"/>
        <v>21</v>
      </c>
    </row>
    <row r="27" ht="12.75" customHeight="1">
      <c r="A27" s="36"/>
      <c r="B27" s="28"/>
      <c r="C27" s="37"/>
      <c r="D27" s="13" t="s">
        <v>13</v>
      </c>
      <c r="E27" s="13">
        <f t="shared" ref="E27:R27" si="6">SUM(E25:E26)</f>
        <v>3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5</v>
      </c>
      <c r="J27" s="13">
        <f t="shared" si="6"/>
        <v>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7</v>
      </c>
      <c r="Q27" s="13">
        <f t="shared" si="6"/>
        <v>2</v>
      </c>
      <c r="R27" s="13">
        <f t="shared" si="6"/>
        <v>4</v>
      </c>
      <c r="S27" s="13">
        <f t="shared" si="3"/>
        <v>31</v>
      </c>
    </row>
    <row r="28" ht="12.75" customHeight="1">
      <c r="A28" s="36"/>
      <c r="B28" s="40" t="s">
        <v>22</v>
      </c>
      <c r="C28" s="41" t="s">
        <v>23</v>
      </c>
      <c r="D28" s="13" t="s">
        <v>11</v>
      </c>
      <c r="E28" s="13">
        <f t="shared" ref="E28:R28" si="7">SUM(E19,E22,E25)</f>
        <v>114</v>
      </c>
      <c r="F28" s="13">
        <f t="shared" si="7"/>
        <v>88</v>
      </c>
      <c r="G28" s="13">
        <f t="shared" si="7"/>
        <v>96</v>
      </c>
      <c r="H28" s="13">
        <f t="shared" si="7"/>
        <v>92</v>
      </c>
      <c r="I28" s="13">
        <f t="shared" si="7"/>
        <v>85</v>
      </c>
      <c r="J28" s="13">
        <f t="shared" si="7"/>
        <v>97</v>
      </c>
      <c r="K28" s="13">
        <f t="shared" si="7"/>
        <v>107</v>
      </c>
      <c r="L28" s="13">
        <f t="shared" si="7"/>
        <v>87</v>
      </c>
      <c r="M28" s="13">
        <f t="shared" si="7"/>
        <v>111</v>
      </c>
      <c r="N28" s="13">
        <f t="shared" si="7"/>
        <v>95</v>
      </c>
      <c r="O28" s="13">
        <f t="shared" si="7"/>
        <v>82</v>
      </c>
      <c r="P28" s="13">
        <f t="shared" si="7"/>
        <v>62</v>
      </c>
      <c r="Q28" s="13">
        <f t="shared" si="7"/>
        <v>78</v>
      </c>
      <c r="R28" s="13">
        <f t="shared" si="7"/>
        <v>93</v>
      </c>
      <c r="S28" s="13">
        <f t="shared" si="3"/>
        <v>1287</v>
      </c>
    </row>
    <row r="29" ht="12.75" customHeight="1">
      <c r="A29" s="36"/>
      <c r="B29" s="27"/>
      <c r="C29" s="35"/>
      <c r="D29" s="13" t="s">
        <v>12</v>
      </c>
      <c r="E29" s="13">
        <f t="shared" ref="E29:R29" si="8">SUM(E20,E23,E26)</f>
        <v>138</v>
      </c>
      <c r="F29" s="13">
        <f t="shared" si="8"/>
        <v>119</v>
      </c>
      <c r="G29" s="13">
        <f t="shared" si="8"/>
        <v>119</v>
      </c>
      <c r="H29" s="13">
        <f t="shared" si="8"/>
        <v>115</v>
      </c>
      <c r="I29" s="13">
        <f t="shared" si="8"/>
        <v>99</v>
      </c>
      <c r="J29" s="13">
        <f t="shared" si="8"/>
        <v>107</v>
      </c>
      <c r="K29" s="13">
        <f t="shared" si="8"/>
        <v>104</v>
      </c>
      <c r="L29" s="13">
        <f t="shared" si="8"/>
        <v>84</v>
      </c>
      <c r="M29" s="13">
        <f t="shared" si="8"/>
        <v>111</v>
      </c>
      <c r="N29" s="13">
        <f t="shared" si="8"/>
        <v>113</v>
      </c>
      <c r="O29" s="13">
        <f t="shared" si="8"/>
        <v>89</v>
      </c>
      <c r="P29" s="13">
        <f t="shared" si="8"/>
        <v>80</v>
      </c>
      <c r="Q29" s="13">
        <f t="shared" si="8"/>
        <v>75</v>
      </c>
      <c r="R29" s="13">
        <f t="shared" si="8"/>
        <v>106</v>
      </c>
      <c r="S29" s="13">
        <f t="shared" si="3"/>
        <v>1459</v>
      </c>
    </row>
    <row r="30" ht="12.75" customHeight="1">
      <c r="A30" s="36"/>
      <c r="B30" s="28"/>
      <c r="C30" s="37"/>
      <c r="D30" s="13" t="s">
        <v>13</v>
      </c>
      <c r="E30" s="13">
        <f t="shared" ref="E30:R30" si="9">SUM(E28:E29)</f>
        <v>252</v>
      </c>
      <c r="F30" s="13">
        <f t="shared" si="9"/>
        <v>207</v>
      </c>
      <c r="G30" s="13">
        <f t="shared" si="9"/>
        <v>215</v>
      </c>
      <c r="H30" s="13">
        <f t="shared" si="9"/>
        <v>207</v>
      </c>
      <c r="I30" s="13">
        <f t="shared" si="9"/>
        <v>184</v>
      </c>
      <c r="J30" s="13">
        <f t="shared" si="9"/>
        <v>204</v>
      </c>
      <c r="K30" s="13">
        <f t="shared" si="9"/>
        <v>211</v>
      </c>
      <c r="L30" s="13">
        <f t="shared" si="9"/>
        <v>171</v>
      </c>
      <c r="M30" s="13">
        <f t="shared" si="9"/>
        <v>222</v>
      </c>
      <c r="N30" s="13">
        <f t="shared" si="9"/>
        <v>208</v>
      </c>
      <c r="O30" s="13">
        <f t="shared" si="9"/>
        <v>171</v>
      </c>
      <c r="P30" s="13">
        <f t="shared" si="9"/>
        <v>142</v>
      </c>
      <c r="Q30" s="13">
        <f t="shared" si="9"/>
        <v>153</v>
      </c>
      <c r="R30" s="13">
        <f t="shared" si="9"/>
        <v>199</v>
      </c>
      <c r="S30" s="13">
        <f t="shared" si="3"/>
        <v>2746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  <c r="O31" s="19"/>
      <c r="P31" s="19"/>
      <c r="Q31" s="19"/>
      <c r="R31" s="19"/>
      <c r="S31" s="81"/>
    </row>
    <row r="32" ht="12.75" customHeight="1">
      <c r="A32" s="44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2"/>
      <c r="O32" s="13"/>
      <c r="P32" s="13"/>
      <c r="Q32" s="13"/>
      <c r="R32" s="13"/>
      <c r="S32" s="81"/>
    </row>
    <row r="33" ht="12.75" customHeight="1">
      <c r="A33" s="19">
        <v>1.0</v>
      </c>
      <c r="B33" s="20" t="s">
        <v>26</v>
      </c>
      <c r="C33" s="15"/>
      <c r="D33" s="16"/>
      <c r="E33" s="79">
        <v>295.0</v>
      </c>
      <c r="F33" s="79">
        <v>269.0</v>
      </c>
      <c r="G33" s="79">
        <v>281.0</v>
      </c>
      <c r="H33" s="79">
        <v>296.0</v>
      </c>
      <c r="I33" s="79">
        <v>257.0</v>
      </c>
      <c r="J33" s="79">
        <v>270.0</v>
      </c>
      <c r="K33" s="79">
        <v>285.0</v>
      </c>
      <c r="L33" s="79">
        <v>234.0</v>
      </c>
      <c r="M33" s="79">
        <v>273.0</v>
      </c>
      <c r="N33" s="79">
        <v>275.0</v>
      </c>
      <c r="O33" s="79">
        <v>235.0</v>
      </c>
      <c r="P33" s="79">
        <v>201.0</v>
      </c>
      <c r="Q33" s="79">
        <v>225.0</v>
      </c>
      <c r="R33" s="79">
        <v>237.0</v>
      </c>
      <c r="S33" s="13">
        <f t="shared" ref="S33:S36" si="10">SUM(E33:R33)</f>
        <v>3633</v>
      </c>
    </row>
    <row r="34" ht="12.75" customHeight="1">
      <c r="A34" s="19">
        <v>2.0</v>
      </c>
      <c r="B34" s="20" t="s">
        <v>27</v>
      </c>
      <c r="C34" s="15"/>
      <c r="D34" s="16"/>
      <c r="E34" s="73">
        <v>252.0</v>
      </c>
      <c r="F34" s="73">
        <v>207.0</v>
      </c>
      <c r="G34" s="73">
        <v>215.0</v>
      </c>
      <c r="H34" s="73">
        <v>207.0</v>
      </c>
      <c r="I34" s="73">
        <v>184.0</v>
      </c>
      <c r="J34" s="73">
        <v>204.0</v>
      </c>
      <c r="K34" s="73">
        <v>211.0</v>
      </c>
      <c r="L34" s="73">
        <v>171.0</v>
      </c>
      <c r="M34" s="73">
        <v>222.0</v>
      </c>
      <c r="N34" s="73">
        <v>208.0</v>
      </c>
      <c r="O34" s="73">
        <v>171.0</v>
      </c>
      <c r="P34" s="73">
        <v>142.0</v>
      </c>
      <c r="Q34" s="73">
        <v>153.0</v>
      </c>
      <c r="R34" s="73">
        <v>199.0</v>
      </c>
      <c r="S34" s="13">
        <f t="shared" si="10"/>
        <v>2746</v>
      </c>
    </row>
    <row r="35" ht="12.75" customHeight="1">
      <c r="A35" s="19">
        <v>3.0</v>
      </c>
      <c r="B35" s="20" t="s">
        <v>28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1.0</v>
      </c>
      <c r="R35" s="79">
        <v>0.0</v>
      </c>
      <c r="S35" s="13">
        <f t="shared" si="10"/>
        <v>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R36" si="11">E33-(E34+E35)</f>
        <v>43</v>
      </c>
      <c r="F36" s="13">
        <f t="shared" si="11"/>
        <v>62</v>
      </c>
      <c r="G36" s="13">
        <f t="shared" si="11"/>
        <v>66</v>
      </c>
      <c r="H36" s="13">
        <f t="shared" si="11"/>
        <v>89</v>
      </c>
      <c r="I36" s="13">
        <f t="shared" si="11"/>
        <v>73</v>
      </c>
      <c r="J36" s="13">
        <f t="shared" si="11"/>
        <v>66</v>
      </c>
      <c r="K36" s="13">
        <f t="shared" si="11"/>
        <v>74</v>
      </c>
      <c r="L36" s="13">
        <f t="shared" si="11"/>
        <v>63</v>
      </c>
      <c r="M36" s="13">
        <f t="shared" si="11"/>
        <v>51</v>
      </c>
      <c r="N36" s="13">
        <f t="shared" si="11"/>
        <v>67</v>
      </c>
      <c r="O36" s="13">
        <f t="shared" si="11"/>
        <v>64</v>
      </c>
      <c r="P36" s="13">
        <f t="shared" si="11"/>
        <v>59</v>
      </c>
      <c r="Q36" s="13">
        <f t="shared" si="11"/>
        <v>71</v>
      </c>
      <c r="R36" s="13">
        <f t="shared" si="11"/>
        <v>38</v>
      </c>
      <c r="S36" s="13">
        <f t="shared" si="10"/>
        <v>886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  <c r="O37" s="19"/>
      <c r="P37" s="19"/>
      <c r="Q37" s="19"/>
      <c r="R37" s="19"/>
      <c r="S37" s="81"/>
    </row>
    <row r="38" ht="12.75" customHeight="1">
      <c r="A38" s="45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2"/>
      <c r="O38" s="13"/>
      <c r="P38" s="13"/>
      <c r="Q38" s="13"/>
      <c r="R38" s="13"/>
      <c r="S38" s="81"/>
    </row>
    <row r="39" ht="12.75" customHeight="1">
      <c r="A39" s="31"/>
      <c r="B39" s="46" t="s">
        <v>32</v>
      </c>
      <c r="C39" s="23"/>
      <c r="D39" s="19" t="s">
        <v>11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13">
        <f t="shared" ref="S39:S41" si="12">SUM(E39:R39)</f>
        <v>0</v>
      </c>
    </row>
    <row r="40" ht="12.75" customHeight="1">
      <c r="A40" s="34"/>
      <c r="C40" s="27"/>
      <c r="D40" s="19" t="s">
        <v>12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2.0</v>
      </c>
      <c r="S40" s="13">
        <f t="shared" si="12"/>
        <v>2</v>
      </c>
    </row>
    <row r="41" ht="12.75" customHeight="1">
      <c r="A41" s="44"/>
      <c r="B41" s="47"/>
      <c r="C41" s="28"/>
      <c r="D41" s="13" t="s">
        <v>13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2"/>
        <v>2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0"/>
      <c r="O42" s="19"/>
      <c r="P42" s="19"/>
      <c r="Q42" s="19"/>
      <c r="R42" s="19"/>
      <c r="S42" s="13"/>
    </row>
    <row r="43" ht="12.75" customHeight="1">
      <c r="A43" s="45" t="s">
        <v>33</v>
      </c>
      <c r="B43" s="14" t="s">
        <v>34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82"/>
      <c r="O43" s="13"/>
      <c r="P43" s="13"/>
      <c r="Q43" s="13"/>
      <c r="R43" s="13"/>
      <c r="S43" s="13"/>
    </row>
    <row r="44" ht="12.75" customHeight="1">
      <c r="A44" s="46" t="s">
        <v>35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0"/>
      <c r="O44" s="19"/>
      <c r="P44" s="19"/>
      <c r="Q44" s="19"/>
      <c r="R44" s="19"/>
      <c r="S44" s="13"/>
    </row>
    <row r="45" ht="12.75" customHeight="1">
      <c r="A45" s="31" t="s">
        <v>36</v>
      </c>
      <c r="B45" s="50" t="s">
        <v>16</v>
      </c>
      <c r="C45" s="51" t="s">
        <v>37</v>
      </c>
      <c r="D45" s="16"/>
      <c r="E45" s="79">
        <v>2.0</v>
      </c>
      <c r="F45" s="79">
        <v>1.0</v>
      </c>
      <c r="G45" s="79">
        <v>4.0</v>
      </c>
      <c r="H45" s="79">
        <v>9.0</v>
      </c>
      <c r="I45" s="79">
        <v>7.0</v>
      </c>
      <c r="J45" s="79">
        <v>6.0</v>
      </c>
      <c r="K45" s="79">
        <v>13.0</v>
      </c>
      <c r="L45" s="79">
        <v>8.0</v>
      </c>
      <c r="M45" s="79">
        <v>14.0</v>
      </c>
      <c r="N45" s="79">
        <v>3.0</v>
      </c>
      <c r="O45" s="79">
        <v>10.0</v>
      </c>
      <c r="P45" s="79">
        <v>4.0</v>
      </c>
      <c r="Q45" s="79">
        <v>9.0</v>
      </c>
      <c r="R45" s="79">
        <v>12.0</v>
      </c>
      <c r="S45" s="13">
        <f t="shared" ref="S45:S55" si="14">SUM(E45:R45)</f>
        <v>102</v>
      </c>
    </row>
    <row r="46" ht="12.75" customHeight="1">
      <c r="A46" s="31" t="s">
        <v>38</v>
      </c>
      <c r="B46" s="52"/>
      <c r="C46" s="53" t="s">
        <v>39</v>
      </c>
      <c r="D46" s="53"/>
      <c r="E46" s="79">
        <v>6.0</v>
      </c>
      <c r="F46" s="79">
        <v>5.0</v>
      </c>
      <c r="G46" s="79">
        <v>8.0</v>
      </c>
      <c r="H46" s="79">
        <v>7.0</v>
      </c>
      <c r="I46" s="79">
        <v>10.0</v>
      </c>
      <c r="J46" s="79">
        <v>14.0</v>
      </c>
      <c r="K46" s="79">
        <v>12.0</v>
      </c>
      <c r="L46" s="79">
        <v>19.0</v>
      </c>
      <c r="M46" s="79">
        <v>24.0</v>
      </c>
      <c r="N46" s="79">
        <v>5.0</v>
      </c>
      <c r="O46" s="79">
        <v>21.0</v>
      </c>
      <c r="P46" s="79">
        <v>4.0</v>
      </c>
      <c r="Q46" s="79">
        <v>17.0</v>
      </c>
      <c r="R46" s="79">
        <v>19.0</v>
      </c>
      <c r="S46" s="13">
        <f t="shared" si="14"/>
        <v>171</v>
      </c>
    </row>
    <row r="47" ht="12.75" customHeight="1">
      <c r="A47" s="18"/>
      <c r="B47" s="58"/>
      <c r="C47" s="53" t="s">
        <v>40</v>
      </c>
      <c r="D47" s="53"/>
      <c r="E47" s="79">
        <v>1.0</v>
      </c>
      <c r="F47" s="79">
        <v>1.0</v>
      </c>
      <c r="G47" s="79">
        <v>1.0</v>
      </c>
      <c r="H47" s="79">
        <v>5.0</v>
      </c>
      <c r="I47" s="79">
        <v>5.0</v>
      </c>
      <c r="J47" s="79">
        <v>2.0</v>
      </c>
      <c r="K47" s="79">
        <v>1.0</v>
      </c>
      <c r="L47" s="79">
        <v>0.0</v>
      </c>
      <c r="M47" s="79">
        <v>3.0</v>
      </c>
      <c r="N47" s="79">
        <v>0.0</v>
      </c>
      <c r="O47" s="79">
        <v>0.0</v>
      </c>
      <c r="P47" s="79">
        <v>2.0</v>
      </c>
      <c r="Q47" s="79">
        <v>0.0</v>
      </c>
      <c r="R47" s="79">
        <v>0.0</v>
      </c>
      <c r="S47" s="13">
        <f t="shared" si="14"/>
        <v>21</v>
      </c>
    </row>
    <row r="48" ht="12.75" customHeight="1">
      <c r="A48" s="18"/>
      <c r="B48" s="58"/>
      <c r="C48" s="53" t="s">
        <v>41</v>
      </c>
      <c r="D48" s="53"/>
      <c r="E48" s="79">
        <v>1.0</v>
      </c>
      <c r="F48" s="79">
        <v>1.0</v>
      </c>
      <c r="G48" s="79">
        <v>4.0</v>
      </c>
      <c r="H48" s="79">
        <v>0.0</v>
      </c>
      <c r="I48" s="79">
        <v>1.0</v>
      </c>
      <c r="J48" s="79">
        <v>3.0</v>
      </c>
      <c r="K48" s="79">
        <v>0.0</v>
      </c>
      <c r="L48" s="79">
        <v>0.0</v>
      </c>
      <c r="M48" s="79">
        <v>0.0</v>
      </c>
      <c r="N48" s="79">
        <v>1.0</v>
      </c>
      <c r="O48" s="79">
        <v>0.0</v>
      </c>
      <c r="P48" s="79">
        <v>1.0</v>
      </c>
      <c r="Q48" s="79">
        <v>0.0</v>
      </c>
      <c r="R48" s="79">
        <v>1.0</v>
      </c>
      <c r="S48" s="13">
        <f t="shared" si="14"/>
        <v>13</v>
      </c>
    </row>
    <row r="49" ht="12.75" customHeight="1">
      <c r="A49" s="18"/>
      <c r="B49" s="58"/>
      <c r="C49" s="53" t="s">
        <v>42</v>
      </c>
      <c r="D49" s="53"/>
      <c r="E49" s="79">
        <v>0.0</v>
      </c>
      <c r="F49" s="79">
        <v>3.0</v>
      </c>
      <c r="G49" s="79">
        <v>1.0</v>
      </c>
      <c r="H49" s="79">
        <v>3.0</v>
      </c>
      <c r="I49" s="79">
        <v>2.0</v>
      </c>
      <c r="J49" s="79">
        <v>2.0</v>
      </c>
      <c r="K49" s="79">
        <v>0.0</v>
      </c>
      <c r="L49" s="79">
        <v>0.0</v>
      </c>
      <c r="M49" s="79">
        <v>4.0</v>
      </c>
      <c r="N49" s="79">
        <v>0.0</v>
      </c>
      <c r="O49" s="79">
        <v>2.0</v>
      </c>
      <c r="P49" s="79">
        <v>0.0</v>
      </c>
      <c r="Q49" s="79">
        <v>0.0</v>
      </c>
      <c r="R49" s="79">
        <v>1.0</v>
      </c>
      <c r="S49" s="13">
        <f t="shared" si="14"/>
        <v>18</v>
      </c>
    </row>
    <row r="50" ht="12.75" customHeight="1">
      <c r="A50" s="18"/>
      <c r="B50" s="58"/>
      <c r="C50" s="53" t="s">
        <v>43</v>
      </c>
      <c r="D50" s="53"/>
      <c r="E50" s="79">
        <v>0.0</v>
      </c>
      <c r="F50" s="79">
        <v>1.0</v>
      </c>
      <c r="G50" s="79">
        <v>0.0</v>
      </c>
      <c r="H50" s="79">
        <v>2.0</v>
      </c>
      <c r="I50" s="79">
        <v>0.0</v>
      </c>
      <c r="J50" s="79">
        <v>0.0</v>
      </c>
      <c r="K50" s="79">
        <v>0.0</v>
      </c>
      <c r="L50" s="79">
        <v>0.0</v>
      </c>
      <c r="M50" s="79">
        <v>0.0</v>
      </c>
      <c r="N50" s="79">
        <v>1.0</v>
      </c>
      <c r="O50" s="79">
        <v>0.0</v>
      </c>
      <c r="P50" s="79">
        <v>0.0</v>
      </c>
      <c r="Q50" s="79">
        <v>0.0</v>
      </c>
      <c r="R50" s="79">
        <v>0.0</v>
      </c>
      <c r="S50" s="13">
        <f t="shared" si="14"/>
        <v>4</v>
      </c>
    </row>
    <row r="51" ht="12.75" customHeight="1">
      <c r="A51" s="18"/>
      <c r="B51" s="58"/>
      <c r="C51" s="53" t="s">
        <v>44</v>
      </c>
      <c r="D51" s="53"/>
      <c r="E51" s="79">
        <v>0.0</v>
      </c>
      <c r="F51" s="79">
        <v>0.0</v>
      </c>
      <c r="G51" s="79">
        <v>0.0</v>
      </c>
      <c r="H51" s="79">
        <v>1.0</v>
      </c>
      <c r="I51" s="79">
        <v>1.0</v>
      </c>
      <c r="J51" s="79">
        <v>1.0</v>
      </c>
      <c r="K51" s="79">
        <v>0.0</v>
      </c>
      <c r="L51" s="79">
        <v>1.0</v>
      </c>
      <c r="M51" s="79">
        <v>0.0</v>
      </c>
      <c r="N51" s="79">
        <v>4.0</v>
      </c>
      <c r="O51" s="79">
        <v>1.0</v>
      </c>
      <c r="P51" s="79">
        <v>0.0</v>
      </c>
      <c r="Q51" s="79">
        <v>0.0</v>
      </c>
      <c r="R51" s="79">
        <v>0.0</v>
      </c>
      <c r="S51" s="13">
        <f t="shared" si="14"/>
        <v>9</v>
      </c>
    </row>
    <row r="52" ht="12.75" customHeight="1">
      <c r="A52" s="18"/>
      <c r="B52" s="58"/>
      <c r="C52" s="53" t="s">
        <v>45</v>
      </c>
      <c r="D52" s="53"/>
      <c r="E52" s="79">
        <v>1.0</v>
      </c>
      <c r="F52" s="79">
        <v>0.0</v>
      </c>
      <c r="G52" s="79">
        <v>1.0</v>
      </c>
      <c r="H52" s="79">
        <v>1.0</v>
      </c>
      <c r="I52" s="79">
        <v>1.0</v>
      </c>
      <c r="J52" s="79">
        <v>0.0</v>
      </c>
      <c r="K52" s="79">
        <v>0.0</v>
      </c>
      <c r="L52" s="79">
        <v>1.0</v>
      </c>
      <c r="M52" s="79">
        <v>1.0</v>
      </c>
      <c r="N52" s="79">
        <v>0.0</v>
      </c>
      <c r="O52" s="79">
        <v>0.0</v>
      </c>
      <c r="P52" s="79">
        <v>0.0</v>
      </c>
      <c r="Q52" s="79">
        <v>0.0</v>
      </c>
      <c r="R52" s="79">
        <v>0.0</v>
      </c>
      <c r="S52" s="13">
        <f t="shared" si="14"/>
        <v>6</v>
      </c>
    </row>
    <row r="53" ht="12.75" customHeight="1">
      <c r="A53" s="18"/>
      <c r="B53" s="58"/>
      <c r="C53" s="53" t="s">
        <v>46</v>
      </c>
      <c r="D53" s="53"/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1.0</v>
      </c>
      <c r="N53" s="79">
        <v>1.0</v>
      </c>
      <c r="O53" s="79">
        <v>0.0</v>
      </c>
      <c r="P53" s="79">
        <v>0.0</v>
      </c>
      <c r="Q53" s="79">
        <v>0.0</v>
      </c>
      <c r="R53" s="79">
        <v>0.0</v>
      </c>
      <c r="S53" s="13">
        <f t="shared" si="14"/>
        <v>2</v>
      </c>
    </row>
    <row r="54" ht="12.75" customHeight="1">
      <c r="A54" s="18"/>
      <c r="B54" s="58"/>
      <c r="C54" s="53" t="s">
        <v>47</v>
      </c>
      <c r="D54" s="53"/>
      <c r="E54" s="79">
        <v>0.0</v>
      </c>
      <c r="F54" s="79">
        <v>0.0</v>
      </c>
      <c r="G54" s="79">
        <v>0.0</v>
      </c>
      <c r="H54" s="79">
        <v>0.0</v>
      </c>
      <c r="I54" s="79">
        <v>1.0</v>
      </c>
      <c r="J54" s="79">
        <v>0.0</v>
      </c>
      <c r="K54" s="79">
        <v>0.0</v>
      </c>
      <c r="L54" s="79">
        <v>0.0</v>
      </c>
      <c r="M54" s="79">
        <v>0.0</v>
      </c>
      <c r="N54" s="79">
        <v>1.0</v>
      </c>
      <c r="O54" s="79">
        <v>0.0</v>
      </c>
      <c r="P54" s="79">
        <v>0.0</v>
      </c>
      <c r="Q54" s="79">
        <v>1.0</v>
      </c>
      <c r="R54" s="79">
        <v>0.0</v>
      </c>
      <c r="S54" s="13">
        <f t="shared" si="14"/>
        <v>3</v>
      </c>
    </row>
    <row r="55" ht="12.75" customHeight="1">
      <c r="A55" s="19" t="s">
        <v>14</v>
      </c>
      <c r="B55" s="50" t="s">
        <v>48</v>
      </c>
      <c r="C55" s="15"/>
      <c r="D55" s="16"/>
      <c r="E55" s="13">
        <f t="shared" ref="E55:R55" si="15">SUM(E45:E54)</f>
        <v>11</v>
      </c>
      <c r="F55" s="13">
        <f t="shared" si="15"/>
        <v>12</v>
      </c>
      <c r="G55" s="13">
        <f t="shared" si="15"/>
        <v>19</v>
      </c>
      <c r="H55" s="13">
        <f t="shared" si="15"/>
        <v>28</v>
      </c>
      <c r="I55" s="13">
        <f t="shared" si="15"/>
        <v>28</v>
      </c>
      <c r="J55" s="13">
        <f t="shared" si="15"/>
        <v>28</v>
      </c>
      <c r="K55" s="13">
        <f t="shared" si="15"/>
        <v>26</v>
      </c>
      <c r="L55" s="13">
        <f t="shared" si="15"/>
        <v>29</v>
      </c>
      <c r="M55" s="13">
        <f t="shared" si="15"/>
        <v>47</v>
      </c>
      <c r="N55" s="13">
        <f t="shared" si="15"/>
        <v>16</v>
      </c>
      <c r="O55" s="13">
        <f t="shared" si="15"/>
        <v>34</v>
      </c>
      <c r="P55" s="13">
        <f t="shared" si="15"/>
        <v>11</v>
      </c>
      <c r="Q55" s="13">
        <f t="shared" si="15"/>
        <v>27</v>
      </c>
      <c r="R55" s="13">
        <f t="shared" si="15"/>
        <v>33</v>
      </c>
      <c r="S55" s="13">
        <f t="shared" si="14"/>
        <v>349</v>
      </c>
    </row>
    <row r="56" ht="12.75" customHeight="1">
      <c r="A56" s="48"/>
      <c r="B56" s="47"/>
      <c r="C56" s="47"/>
      <c r="D56" s="47"/>
      <c r="E56" s="47"/>
      <c r="S56" s="13"/>
    </row>
    <row r="57" ht="12.75" customHeight="1">
      <c r="A57" s="31" t="s">
        <v>36</v>
      </c>
      <c r="B57" s="50" t="s">
        <v>18</v>
      </c>
      <c r="C57" s="51" t="s">
        <v>49</v>
      </c>
      <c r="D57" s="16"/>
      <c r="E57" s="79">
        <v>11.0</v>
      </c>
      <c r="F57" s="79">
        <v>18.0</v>
      </c>
      <c r="G57" s="79">
        <v>24.0</v>
      </c>
      <c r="H57" s="79">
        <v>16.0</v>
      </c>
      <c r="I57" s="79">
        <v>11.0</v>
      </c>
      <c r="J57" s="79">
        <v>14.0</v>
      </c>
      <c r="K57" s="79">
        <v>3.0</v>
      </c>
      <c r="L57" s="79">
        <v>11.0</v>
      </c>
      <c r="M57" s="79">
        <v>8.0</v>
      </c>
      <c r="N57" s="79">
        <v>13.0</v>
      </c>
      <c r="O57" s="79">
        <v>5.0</v>
      </c>
      <c r="P57" s="79">
        <v>7.0</v>
      </c>
      <c r="Q57" s="79">
        <v>2.0</v>
      </c>
      <c r="R57" s="79">
        <v>11.0</v>
      </c>
      <c r="S57" s="13">
        <f t="shared" ref="S57:S67" si="16">SUM(E57:R57)</f>
        <v>154</v>
      </c>
    </row>
    <row r="58" ht="12.75" customHeight="1">
      <c r="A58" s="31" t="s">
        <v>38</v>
      </c>
      <c r="B58" s="58"/>
      <c r="C58" s="53" t="s">
        <v>50</v>
      </c>
      <c r="D58" s="60"/>
      <c r="E58" s="79">
        <v>8.0</v>
      </c>
      <c r="F58" s="79">
        <v>11.0</v>
      </c>
      <c r="G58" s="79">
        <v>3.0</v>
      </c>
      <c r="H58" s="79">
        <v>6.0</v>
      </c>
      <c r="I58" s="79">
        <v>5.0</v>
      </c>
      <c r="J58" s="79">
        <v>3.0</v>
      </c>
      <c r="K58" s="79">
        <v>4.0</v>
      </c>
      <c r="L58" s="79">
        <v>8.0</v>
      </c>
      <c r="M58" s="79">
        <v>7.0</v>
      </c>
      <c r="N58" s="79">
        <v>8.0</v>
      </c>
      <c r="O58" s="79">
        <v>8.0</v>
      </c>
      <c r="P58" s="79">
        <v>3.0</v>
      </c>
      <c r="Q58" s="79">
        <v>6.0</v>
      </c>
      <c r="R58" s="79">
        <v>8.0</v>
      </c>
      <c r="S58" s="13">
        <f t="shared" si="16"/>
        <v>88</v>
      </c>
    </row>
    <row r="59" ht="12.75" customHeight="1">
      <c r="A59" s="18"/>
      <c r="B59" s="58"/>
      <c r="C59" s="53" t="s">
        <v>51</v>
      </c>
      <c r="D59" s="60"/>
      <c r="E59" s="79">
        <v>26.0</v>
      </c>
      <c r="F59" s="79">
        <v>26.0</v>
      </c>
      <c r="G59" s="79">
        <v>21.0</v>
      </c>
      <c r="H59" s="79">
        <v>13.0</v>
      </c>
      <c r="I59" s="79">
        <v>8.0</v>
      </c>
      <c r="J59" s="79">
        <v>14.0</v>
      </c>
      <c r="K59" s="79">
        <v>2.0</v>
      </c>
      <c r="L59" s="79">
        <v>5.0</v>
      </c>
      <c r="M59" s="79">
        <v>3.0</v>
      </c>
      <c r="N59" s="79">
        <v>1.0</v>
      </c>
      <c r="O59" s="79">
        <v>4.0</v>
      </c>
      <c r="P59" s="79">
        <v>5.0</v>
      </c>
      <c r="Q59" s="79">
        <v>2.0</v>
      </c>
      <c r="R59" s="79">
        <v>4.0</v>
      </c>
      <c r="S59" s="13">
        <f t="shared" si="16"/>
        <v>134</v>
      </c>
    </row>
    <row r="60" ht="12.75" customHeight="1">
      <c r="A60" s="18"/>
      <c r="B60" s="58"/>
      <c r="C60" s="53" t="s">
        <v>52</v>
      </c>
      <c r="D60" s="60"/>
      <c r="E60" s="79">
        <v>2.0</v>
      </c>
      <c r="F60" s="79">
        <v>4.0</v>
      </c>
      <c r="G60" s="79">
        <v>6.0</v>
      </c>
      <c r="H60" s="79">
        <v>8.0</v>
      </c>
      <c r="I60" s="79">
        <v>3.0</v>
      </c>
      <c r="J60" s="79">
        <v>3.0</v>
      </c>
      <c r="K60" s="79">
        <v>1.0</v>
      </c>
      <c r="L60" s="79">
        <v>0.0</v>
      </c>
      <c r="M60" s="79">
        <v>0.0</v>
      </c>
      <c r="N60" s="79">
        <v>1.0</v>
      </c>
      <c r="O60" s="79">
        <v>1.0</v>
      </c>
      <c r="P60" s="79">
        <v>1.0</v>
      </c>
      <c r="Q60" s="79">
        <v>1.0</v>
      </c>
      <c r="R60" s="79">
        <v>0.0</v>
      </c>
      <c r="S60" s="13">
        <f t="shared" si="16"/>
        <v>31</v>
      </c>
    </row>
    <row r="61" ht="12.75" customHeight="1">
      <c r="A61" s="18"/>
      <c r="B61" s="58"/>
      <c r="C61" s="53" t="s">
        <v>53</v>
      </c>
      <c r="D61" s="60"/>
      <c r="E61" s="79">
        <v>4.0</v>
      </c>
      <c r="F61" s="79">
        <v>10.0</v>
      </c>
      <c r="G61" s="79">
        <v>17.0</v>
      </c>
      <c r="H61" s="79">
        <v>2.0</v>
      </c>
      <c r="I61" s="79">
        <v>2.0</v>
      </c>
      <c r="J61" s="79">
        <v>7.0</v>
      </c>
      <c r="K61" s="79">
        <v>1.0</v>
      </c>
      <c r="L61" s="79">
        <v>3.0</v>
      </c>
      <c r="M61" s="79">
        <v>1.0</v>
      </c>
      <c r="N61" s="79">
        <v>0.0</v>
      </c>
      <c r="O61" s="79">
        <v>0.0</v>
      </c>
      <c r="P61" s="79">
        <v>1.0</v>
      </c>
      <c r="Q61" s="79">
        <v>1.0</v>
      </c>
      <c r="R61" s="79">
        <v>1.0</v>
      </c>
      <c r="S61" s="13">
        <f t="shared" si="16"/>
        <v>50</v>
      </c>
    </row>
    <row r="62" ht="12.75" customHeight="1">
      <c r="A62" s="18"/>
      <c r="B62" s="58"/>
      <c r="C62" s="53" t="s">
        <v>54</v>
      </c>
      <c r="D62" s="60"/>
      <c r="E62" s="79">
        <v>3.0</v>
      </c>
      <c r="F62" s="79">
        <v>1.0</v>
      </c>
      <c r="G62" s="79">
        <v>1.0</v>
      </c>
      <c r="H62" s="79">
        <v>0.0</v>
      </c>
      <c r="I62" s="79">
        <v>2.0</v>
      </c>
      <c r="J62" s="79">
        <v>0.0</v>
      </c>
      <c r="K62" s="79">
        <v>0.0</v>
      </c>
      <c r="L62" s="79">
        <v>0.0</v>
      </c>
      <c r="M62" s="79">
        <v>2.0</v>
      </c>
      <c r="N62" s="79">
        <v>1.0</v>
      </c>
      <c r="O62" s="79">
        <v>0.0</v>
      </c>
      <c r="P62" s="79"/>
      <c r="Q62" s="79">
        <v>2.0</v>
      </c>
      <c r="R62" s="79">
        <v>0.0</v>
      </c>
      <c r="S62" s="13">
        <f t="shared" si="16"/>
        <v>12</v>
      </c>
    </row>
    <row r="63" ht="12.75" customHeight="1">
      <c r="A63" s="18"/>
      <c r="B63" s="58"/>
      <c r="C63" s="53" t="s">
        <v>55</v>
      </c>
      <c r="D63" s="61"/>
      <c r="E63" s="79">
        <v>2.0</v>
      </c>
      <c r="F63" s="79">
        <v>0.0</v>
      </c>
      <c r="G63" s="79">
        <v>1.0</v>
      </c>
      <c r="H63" s="79">
        <v>0.0</v>
      </c>
      <c r="I63" s="79">
        <v>0.0</v>
      </c>
      <c r="J63" s="79">
        <v>0.0</v>
      </c>
      <c r="K63" s="79">
        <v>0.0</v>
      </c>
      <c r="L63" s="79">
        <v>0.0</v>
      </c>
      <c r="M63" s="79">
        <v>2.0</v>
      </c>
      <c r="N63" s="79">
        <v>0.0</v>
      </c>
      <c r="O63" s="79">
        <v>0.0</v>
      </c>
      <c r="P63" s="79">
        <v>1.0</v>
      </c>
      <c r="Q63" s="79">
        <v>0.0</v>
      </c>
      <c r="R63" s="79">
        <v>2.0</v>
      </c>
      <c r="S63" s="13">
        <f t="shared" si="16"/>
        <v>8</v>
      </c>
    </row>
    <row r="64" ht="12.75" customHeight="1">
      <c r="A64" s="18"/>
      <c r="B64" s="58"/>
      <c r="C64" s="53" t="s">
        <v>56</v>
      </c>
      <c r="D64" s="60"/>
      <c r="E64" s="79">
        <v>0.0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1.0</v>
      </c>
      <c r="Q64" s="79">
        <v>0.0</v>
      </c>
      <c r="R64" s="79">
        <v>0.0</v>
      </c>
      <c r="S64" s="13">
        <f t="shared" si="16"/>
        <v>1</v>
      </c>
    </row>
    <row r="65" ht="12.75" customHeight="1">
      <c r="A65" s="18"/>
      <c r="B65" s="58"/>
      <c r="C65" s="53" t="s">
        <v>57</v>
      </c>
      <c r="D65" s="60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1.0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13">
        <f t="shared" si="16"/>
        <v>1</v>
      </c>
    </row>
    <row r="66" ht="12.75" customHeight="1">
      <c r="A66" s="18"/>
      <c r="B66" s="58"/>
      <c r="C66" s="53" t="s">
        <v>58</v>
      </c>
      <c r="D66" s="60"/>
      <c r="E66" s="79">
        <v>1.0</v>
      </c>
      <c r="F66" s="79">
        <v>0.0</v>
      </c>
      <c r="G66" s="79">
        <v>0.0</v>
      </c>
      <c r="H66" s="79">
        <v>0.0</v>
      </c>
      <c r="I66" s="79">
        <v>0.0</v>
      </c>
      <c r="J66" s="79">
        <v>1.0</v>
      </c>
      <c r="K66" s="79">
        <v>0.0</v>
      </c>
      <c r="L66" s="79">
        <v>1.0</v>
      </c>
      <c r="M66" s="79">
        <v>1.0</v>
      </c>
      <c r="N66" s="79">
        <v>0.0</v>
      </c>
      <c r="O66" s="79">
        <v>0.0</v>
      </c>
      <c r="P66" s="79">
        <v>0.0</v>
      </c>
      <c r="Q66" s="79">
        <v>0.0</v>
      </c>
      <c r="R66" s="79">
        <v>0.0</v>
      </c>
      <c r="S66" s="13">
        <f t="shared" si="16"/>
        <v>4</v>
      </c>
    </row>
    <row r="67" ht="12.75" customHeight="1">
      <c r="A67" s="19" t="s">
        <v>14</v>
      </c>
      <c r="B67" s="50" t="s">
        <v>48</v>
      </c>
      <c r="C67" s="15"/>
      <c r="D67" s="16"/>
      <c r="E67" s="13">
        <f t="shared" ref="E67:R67" si="17">SUM(E57:E66)</f>
        <v>57</v>
      </c>
      <c r="F67" s="13">
        <f t="shared" si="17"/>
        <v>70</v>
      </c>
      <c r="G67" s="13">
        <f t="shared" si="17"/>
        <v>73</v>
      </c>
      <c r="H67" s="13">
        <f t="shared" si="17"/>
        <v>45</v>
      </c>
      <c r="I67" s="13">
        <f t="shared" si="17"/>
        <v>31</v>
      </c>
      <c r="J67" s="13">
        <f t="shared" si="17"/>
        <v>42</v>
      </c>
      <c r="K67" s="13">
        <f t="shared" si="17"/>
        <v>11</v>
      </c>
      <c r="L67" s="13">
        <f t="shared" si="17"/>
        <v>28</v>
      </c>
      <c r="M67" s="13">
        <f t="shared" si="17"/>
        <v>25</v>
      </c>
      <c r="N67" s="13">
        <f t="shared" si="17"/>
        <v>24</v>
      </c>
      <c r="O67" s="13">
        <f t="shared" si="17"/>
        <v>18</v>
      </c>
      <c r="P67" s="13">
        <f t="shared" si="17"/>
        <v>19</v>
      </c>
      <c r="Q67" s="13">
        <f t="shared" si="17"/>
        <v>14</v>
      </c>
      <c r="R67" s="13">
        <f t="shared" si="17"/>
        <v>26</v>
      </c>
      <c r="S67" s="13">
        <f t="shared" si="16"/>
        <v>483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36</v>
      </c>
      <c r="B69" s="50" t="s">
        <v>20</v>
      </c>
      <c r="C69" s="51" t="s">
        <v>59</v>
      </c>
      <c r="D69" s="16"/>
      <c r="E69" s="79">
        <v>1.0</v>
      </c>
      <c r="F69" s="79">
        <v>10.0</v>
      </c>
      <c r="G69" s="79">
        <v>11.0</v>
      </c>
      <c r="H69" s="79">
        <v>14.0</v>
      </c>
      <c r="I69" s="79">
        <v>17.0</v>
      </c>
      <c r="J69" s="79">
        <v>15.0</v>
      </c>
      <c r="K69" s="79">
        <v>8.0</v>
      </c>
      <c r="L69" s="79">
        <v>7.0</v>
      </c>
      <c r="M69" s="79">
        <v>12.0</v>
      </c>
      <c r="N69" s="79">
        <v>7.0</v>
      </c>
      <c r="O69" s="79">
        <v>9.0</v>
      </c>
      <c r="P69" s="79">
        <v>9.0</v>
      </c>
      <c r="Q69" s="79">
        <v>6.0</v>
      </c>
      <c r="R69" s="79">
        <v>19.0</v>
      </c>
      <c r="S69" s="13">
        <f t="shared" ref="S69:S79" si="18">SUM(E69:R69)</f>
        <v>145</v>
      </c>
    </row>
    <row r="70" ht="12.75" customHeight="1">
      <c r="A70" s="31" t="s">
        <v>38</v>
      </c>
      <c r="B70" s="58"/>
      <c r="C70" s="53" t="s">
        <v>60</v>
      </c>
      <c r="D70" s="61"/>
      <c r="E70" s="79">
        <v>5.0</v>
      </c>
      <c r="F70" s="79">
        <v>2.0</v>
      </c>
      <c r="G70" s="79">
        <v>4.0</v>
      </c>
      <c r="H70" s="79">
        <v>6.0</v>
      </c>
      <c r="I70" s="79">
        <v>0.0</v>
      </c>
      <c r="J70" s="79">
        <v>1.0</v>
      </c>
      <c r="K70" s="79">
        <v>7.0</v>
      </c>
      <c r="L70" s="79">
        <v>7.0</v>
      </c>
      <c r="M70" s="79">
        <v>5.0</v>
      </c>
      <c r="N70" s="79">
        <v>5.0</v>
      </c>
      <c r="O70" s="79">
        <v>4.0</v>
      </c>
      <c r="P70" s="79">
        <v>2.0</v>
      </c>
      <c r="Q70" s="79">
        <v>1.0</v>
      </c>
      <c r="R70" s="79">
        <v>7.0</v>
      </c>
      <c r="S70" s="13">
        <f t="shared" si="18"/>
        <v>56</v>
      </c>
    </row>
    <row r="71" ht="12.75" customHeight="1">
      <c r="A71" s="18"/>
      <c r="B71" s="58"/>
      <c r="C71" s="53" t="s">
        <v>61</v>
      </c>
      <c r="D71" s="61"/>
      <c r="E71" s="79">
        <v>2.0</v>
      </c>
      <c r="F71" s="79">
        <v>4.0</v>
      </c>
      <c r="G71" s="79">
        <v>8.0</v>
      </c>
      <c r="H71" s="79">
        <v>1.0</v>
      </c>
      <c r="I71" s="79">
        <v>1.0</v>
      </c>
      <c r="J71" s="79">
        <v>3.0</v>
      </c>
      <c r="K71" s="79">
        <v>123.0</v>
      </c>
      <c r="L71" s="79">
        <v>38.0</v>
      </c>
      <c r="M71" s="79">
        <v>10.0</v>
      </c>
      <c r="N71" s="79">
        <v>3.0</v>
      </c>
      <c r="O71" s="79">
        <v>16.0</v>
      </c>
      <c r="P71" s="79">
        <v>8.0</v>
      </c>
      <c r="Q71" s="79">
        <v>15.0</v>
      </c>
      <c r="R71" s="79">
        <v>5.0</v>
      </c>
      <c r="S71" s="13">
        <f t="shared" si="18"/>
        <v>237</v>
      </c>
    </row>
    <row r="72" ht="12.75" customHeight="1">
      <c r="A72" s="18"/>
      <c r="B72" s="58"/>
      <c r="C72" s="53" t="s">
        <v>62</v>
      </c>
      <c r="D72" s="61"/>
      <c r="E72" s="79">
        <v>2.0</v>
      </c>
      <c r="F72" s="79">
        <v>6.0</v>
      </c>
      <c r="G72" s="79">
        <v>2.0</v>
      </c>
      <c r="H72" s="79">
        <v>2.0</v>
      </c>
      <c r="I72" s="79">
        <v>5.0</v>
      </c>
      <c r="J72" s="79">
        <v>6.0</v>
      </c>
      <c r="K72" s="79">
        <v>2.0</v>
      </c>
      <c r="L72" s="79">
        <v>1.0</v>
      </c>
      <c r="M72" s="79">
        <v>0.0</v>
      </c>
      <c r="N72" s="79">
        <v>1.0</v>
      </c>
      <c r="O72" s="79">
        <v>2.0</v>
      </c>
      <c r="P72" s="79">
        <v>3.0</v>
      </c>
      <c r="Q72" s="79">
        <v>2.0</v>
      </c>
      <c r="R72" s="79">
        <v>3.0</v>
      </c>
      <c r="S72" s="13">
        <f t="shared" si="18"/>
        <v>37</v>
      </c>
    </row>
    <row r="73" ht="12.75" customHeight="1">
      <c r="A73" s="18"/>
      <c r="B73" s="58"/>
      <c r="C73" s="53" t="s">
        <v>63</v>
      </c>
      <c r="D73" s="61"/>
      <c r="E73" s="79">
        <v>8.0</v>
      </c>
      <c r="F73" s="79">
        <v>14.0</v>
      </c>
      <c r="G73" s="79">
        <v>12.0</v>
      </c>
      <c r="H73" s="79">
        <v>5.0</v>
      </c>
      <c r="I73" s="79">
        <v>4.0</v>
      </c>
      <c r="J73" s="79">
        <v>12.0</v>
      </c>
      <c r="K73" s="79">
        <v>0.0</v>
      </c>
      <c r="L73" s="79">
        <v>1.0</v>
      </c>
      <c r="M73" s="79">
        <v>6.0</v>
      </c>
      <c r="N73" s="79">
        <v>4.0</v>
      </c>
      <c r="O73" s="79">
        <v>0.0</v>
      </c>
      <c r="P73" s="79">
        <v>0.0</v>
      </c>
      <c r="Q73" s="79">
        <v>0.0</v>
      </c>
      <c r="R73" s="79">
        <v>22.0</v>
      </c>
      <c r="S73" s="13">
        <f t="shared" si="18"/>
        <v>88</v>
      </c>
    </row>
    <row r="74" ht="12.75" customHeight="1">
      <c r="A74" s="18"/>
      <c r="B74" s="58"/>
      <c r="C74" s="53" t="s">
        <v>64</v>
      </c>
      <c r="D74" s="61"/>
      <c r="E74" s="79">
        <v>4.0</v>
      </c>
      <c r="F74" s="79">
        <v>3.0</v>
      </c>
      <c r="G74" s="79">
        <v>3.0</v>
      </c>
      <c r="H74" s="79">
        <v>1.0</v>
      </c>
      <c r="I74" s="79">
        <v>1.0</v>
      </c>
      <c r="J74" s="79">
        <v>2.0</v>
      </c>
      <c r="K74" s="79">
        <v>0.0</v>
      </c>
      <c r="L74" s="79">
        <v>4.0</v>
      </c>
      <c r="M74" s="79">
        <v>3.0</v>
      </c>
      <c r="N74" s="79">
        <v>4.0</v>
      </c>
      <c r="O74" s="79">
        <v>0.0</v>
      </c>
      <c r="P74" s="79">
        <v>2.0</v>
      </c>
      <c r="Q74" s="79">
        <v>0.0</v>
      </c>
      <c r="R74" s="79">
        <v>3.0</v>
      </c>
      <c r="S74" s="13">
        <f t="shared" si="18"/>
        <v>30</v>
      </c>
    </row>
    <row r="75" ht="12.75" customHeight="1">
      <c r="A75" s="18"/>
      <c r="B75" s="58"/>
      <c r="C75" s="53" t="s">
        <v>65</v>
      </c>
      <c r="D75" s="61"/>
      <c r="E75" s="79">
        <v>2.0</v>
      </c>
      <c r="F75" s="79">
        <v>1.0</v>
      </c>
      <c r="G75" s="79">
        <v>1.0</v>
      </c>
      <c r="H75" s="79">
        <v>2.0</v>
      </c>
      <c r="I75" s="79">
        <v>1.0</v>
      </c>
      <c r="J75" s="79">
        <v>3.0</v>
      </c>
      <c r="K75" s="79">
        <v>0.0</v>
      </c>
      <c r="L75" s="79">
        <v>0.0</v>
      </c>
      <c r="M75" s="79">
        <v>6.0</v>
      </c>
      <c r="N75" s="79">
        <v>2.0</v>
      </c>
      <c r="O75" s="79">
        <v>1.0</v>
      </c>
      <c r="P75" s="79">
        <v>3.0</v>
      </c>
      <c r="Q75" s="79">
        <v>0.0</v>
      </c>
      <c r="R75" s="79">
        <v>1.0</v>
      </c>
      <c r="S75" s="13">
        <f t="shared" si="18"/>
        <v>23</v>
      </c>
    </row>
    <row r="76" ht="12.75" customHeight="1">
      <c r="A76" s="18"/>
      <c r="B76" s="58"/>
      <c r="C76" s="53" t="s">
        <v>66</v>
      </c>
      <c r="D76" s="61"/>
      <c r="E76" s="79">
        <v>0.0</v>
      </c>
      <c r="F76" s="79">
        <v>0.0</v>
      </c>
      <c r="G76" s="79">
        <v>0.0</v>
      </c>
      <c r="H76" s="79">
        <v>3.0</v>
      </c>
      <c r="I76" s="79">
        <v>3.0</v>
      </c>
      <c r="J76" s="79">
        <v>0.0</v>
      </c>
      <c r="K76" s="79">
        <v>1.0</v>
      </c>
      <c r="L76" s="79">
        <v>2.0</v>
      </c>
      <c r="M76" s="79">
        <v>1.0</v>
      </c>
      <c r="N76" s="79">
        <v>0.0</v>
      </c>
      <c r="O76" s="79">
        <v>0.0</v>
      </c>
      <c r="P76" s="79">
        <v>0.0</v>
      </c>
      <c r="Q76" s="79">
        <v>0.0</v>
      </c>
      <c r="R76" s="79">
        <v>0.0</v>
      </c>
      <c r="S76" s="13">
        <f t="shared" si="18"/>
        <v>10</v>
      </c>
    </row>
    <row r="77" ht="12.75" customHeight="1">
      <c r="A77" s="18"/>
      <c r="B77" s="58"/>
      <c r="C77" s="53" t="s">
        <v>67</v>
      </c>
      <c r="D77" s="61"/>
      <c r="E77" s="79">
        <v>1.0</v>
      </c>
      <c r="F77" s="79">
        <v>0.0</v>
      </c>
      <c r="G77" s="79">
        <v>1.0</v>
      </c>
      <c r="H77" s="79">
        <v>3.0</v>
      </c>
      <c r="I77" s="79">
        <v>1.0</v>
      </c>
      <c r="J77" s="79">
        <v>0.0</v>
      </c>
      <c r="K77" s="79">
        <v>0.0</v>
      </c>
      <c r="L77" s="79">
        <v>0.0</v>
      </c>
      <c r="M77" s="79">
        <v>3.0</v>
      </c>
      <c r="N77" s="79">
        <v>1.0</v>
      </c>
      <c r="O77" s="79">
        <v>1.0</v>
      </c>
      <c r="P77" s="79">
        <v>1.0</v>
      </c>
      <c r="Q77" s="79">
        <v>0.0</v>
      </c>
      <c r="R77" s="79">
        <v>1.0</v>
      </c>
      <c r="S77" s="13">
        <f t="shared" si="18"/>
        <v>13</v>
      </c>
    </row>
    <row r="78" ht="12.75" customHeight="1">
      <c r="A78" s="18"/>
      <c r="B78" s="58"/>
      <c r="C78" s="53" t="s">
        <v>68</v>
      </c>
      <c r="D78" s="61"/>
      <c r="E78" s="79">
        <v>1.0</v>
      </c>
      <c r="F78" s="79">
        <v>0.0</v>
      </c>
      <c r="G78" s="79">
        <v>0.0</v>
      </c>
      <c r="H78" s="79">
        <v>1.0</v>
      </c>
      <c r="I78" s="79">
        <v>0.0</v>
      </c>
      <c r="J78" s="79">
        <v>1.0</v>
      </c>
      <c r="K78" s="79">
        <v>0.0</v>
      </c>
      <c r="L78" s="79">
        <v>0.0</v>
      </c>
      <c r="M78" s="79">
        <v>2.0</v>
      </c>
      <c r="N78" s="79">
        <v>0.0</v>
      </c>
      <c r="O78" s="79">
        <v>0.0</v>
      </c>
      <c r="P78" s="79">
        <v>0.0</v>
      </c>
      <c r="Q78" s="79">
        <v>0.0</v>
      </c>
      <c r="R78" s="79">
        <v>2.0</v>
      </c>
      <c r="S78" s="13">
        <f t="shared" si="18"/>
        <v>7</v>
      </c>
    </row>
    <row r="79" ht="12.75" customHeight="1">
      <c r="A79" s="19" t="s">
        <v>14</v>
      </c>
      <c r="B79" s="50" t="s">
        <v>48</v>
      </c>
      <c r="C79" s="15"/>
      <c r="D79" s="16"/>
      <c r="E79" s="13">
        <f t="shared" ref="E79:R79" si="19">SUM(E69:E78)</f>
        <v>26</v>
      </c>
      <c r="F79" s="13">
        <f t="shared" si="19"/>
        <v>40</v>
      </c>
      <c r="G79" s="13">
        <f t="shared" si="19"/>
        <v>42</v>
      </c>
      <c r="H79" s="13">
        <f t="shared" si="19"/>
        <v>38</v>
      </c>
      <c r="I79" s="13">
        <f t="shared" si="19"/>
        <v>33</v>
      </c>
      <c r="J79" s="13">
        <f t="shared" si="19"/>
        <v>43</v>
      </c>
      <c r="K79" s="13">
        <f t="shared" si="19"/>
        <v>141</v>
      </c>
      <c r="L79" s="13">
        <f t="shared" si="19"/>
        <v>60</v>
      </c>
      <c r="M79" s="13">
        <f t="shared" si="19"/>
        <v>48</v>
      </c>
      <c r="N79" s="13">
        <f t="shared" si="19"/>
        <v>27</v>
      </c>
      <c r="O79" s="13">
        <f t="shared" si="19"/>
        <v>33</v>
      </c>
      <c r="P79" s="13">
        <f t="shared" si="19"/>
        <v>28</v>
      </c>
      <c r="Q79" s="13">
        <f t="shared" si="19"/>
        <v>24</v>
      </c>
      <c r="R79" s="13">
        <f t="shared" si="19"/>
        <v>63</v>
      </c>
      <c r="S79" s="13">
        <f t="shared" si="18"/>
        <v>646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36</v>
      </c>
      <c r="B81" s="50" t="s">
        <v>22</v>
      </c>
      <c r="C81" s="51" t="s">
        <v>69</v>
      </c>
      <c r="D81" s="16"/>
      <c r="E81" s="79">
        <v>2.0</v>
      </c>
      <c r="F81" s="79">
        <v>3.0</v>
      </c>
      <c r="G81" s="79">
        <v>8.0</v>
      </c>
      <c r="H81" s="79">
        <v>3.0</v>
      </c>
      <c r="I81" s="79">
        <v>6.0</v>
      </c>
      <c r="J81" s="79">
        <v>3.0</v>
      </c>
      <c r="K81" s="79">
        <v>0.0</v>
      </c>
      <c r="L81" s="79">
        <v>2.0</v>
      </c>
      <c r="M81" s="79">
        <v>4.0</v>
      </c>
      <c r="N81" s="79">
        <v>2.0</v>
      </c>
      <c r="O81" s="79">
        <v>1.0</v>
      </c>
      <c r="P81" s="79">
        <v>5.0</v>
      </c>
      <c r="Q81" s="79">
        <v>3.0</v>
      </c>
      <c r="R81" s="79">
        <v>1.0</v>
      </c>
      <c r="S81" s="13">
        <f t="shared" ref="S81:S91" si="20">SUM(E81:R81)</f>
        <v>43</v>
      </c>
    </row>
    <row r="82" ht="12.75" customHeight="1">
      <c r="A82" s="31" t="s">
        <v>38</v>
      </c>
      <c r="B82" s="58"/>
      <c r="C82" s="53" t="s">
        <v>70</v>
      </c>
      <c r="D82" s="61"/>
      <c r="E82" s="79">
        <v>3.0</v>
      </c>
      <c r="F82" s="79">
        <v>4.0</v>
      </c>
      <c r="G82" s="79">
        <v>2.0</v>
      </c>
      <c r="H82" s="79">
        <v>0.0</v>
      </c>
      <c r="I82" s="79">
        <v>6.0</v>
      </c>
      <c r="J82" s="79">
        <v>1.0</v>
      </c>
      <c r="K82" s="79">
        <v>0.0</v>
      </c>
      <c r="L82" s="79">
        <v>3.0</v>
      </c>
      <c r="M82" s="79">
        <v>8.0</v>
      </c>
      <c r="N82" s="79">
        <v>11.0</v>
      </c>
      <c r="O82" s="79">
        <v>7.0</v>
      </c>
      <c r="P82" s="79">
        <v>5.0</v>
      </c>
      <c r="Q82" s="79">
        <v>5.0</v>
      </c>
      <c r="R82" s="79">
        <v>1.0</v>
      </c>
      <c r="S82" s="13">
        <f t="shared" si="20"/>
        <v>56</v>
      </c>
    </row>
    <row r="83" ht="12.75" customHeight="1">
      <c r="A83" s="18"/>
      <c r="B83" s="58"/>
      <c r="C83" s="53" t="s">
        <v>71</v>
      </c>
      <c r="D83" s="61"/>
      <c r="E83" s="79">
        <v>1.0</v>
      </c>
      <c r="F83" s="79">
        <v>0.0</v>
      </c>
      <c r="G83" s="79">
        <v>1.0</v>
      </c>
      <c r="H83" s="79">
        <v>1.0</v>
      </c>
      <c r="I83" s="79">
        <v>2.0</v>
      </c>
      <c r="J83" s="79">
        <v>1.0</v>
      </c>
      <c r="K83" s="79">
        <v>0.0</v>
      </c>
      <c r="L83" s="79">
        <v>0.0</v>
      </c>
      <c r="M83" s="79">
        <v>3.0</v>
      </c>
      <c r="N83" s="79">
        <v>0.0</v>
      </c>
      <c r="O83" s="79">
        <v>0.0</v>
      </c>
      <c r="P83" s="79">
        <v>1.0</v>
      </c>
      <c r="Q83" s="79">
        <v>0.0</v>
      </c>
      <c r="R83" s="79">
        <v>0.0</v>
      </c>
      <c r="S83" s="13">
        <f t="shared" si="20"/>
        <v>10</v>
      </c>
    </row>
    <row r="84" ht="12.75" customHeight="1">
      <c r="A84" s="18"/>
      <c r="B84" s="58"/>
      <c r="C84" s="53" t="s">
        <v>72</v>
      </c>
      <c r="D84" s="61"/>
      <c r="E84" s="79">
        <v>1.0</v>
      </c>
      <c r="F84" s="79">
        <v>2.0</v>
      </c>
      <c r="G84" s="79">
        <v>1.0</v>
      </c>
      <c r="H84" s="79">
        <v>1.0</v>
      </c>
      <c r="I84" s="79">
        <v>2.0</v>
      </c>
      <c r="J84" s="79">
        <v>2.0</v>
      </c>
      <c r="K84" s="79">
        <v>1.0</v>
      </c>
      <c r="L84" s="79">
        <v>0.0</v>
      </c>
      <c r="M84" s="79">
        <v>0.0</v>
      </c>
      <c r="N84" s="79">
        <v>2.0</v>
      </c>
      <c r="O84" s="79">
        <v>1.0</v>
      </c>
      <c r="P84" s="79">
        <v>0.0</v>
      </c>
      <c r="Q84" s="79">
        <v>1.0</v>
      </c>
      <c r="R84" s="79">
        <v>0.0</v>
      </c>
      <c r="S84" s="13">
        <f t="shared" si="20"/>
        <v>14</v>
      </c>
    </row>
    <row r="85" ht="12.75" customHeight="1">
      <c r="A85" s="18"/>
      <c r="B85" s="58"/>
      <c r="C85" s="53" t="s">
        <v>73</v>
      </c>
      <c r="D85" s="61"/>
      <c r="E85" s="79">
        <v>1.0</v>
      </c>
      <c r="F85" s="79">
        <v>1.0</v>
      </c>
      <c r="G85" s="79">
        <v>2.0</v>
      </c>
      <c r="H85" s="79">
        <v>4.0</v>
      </c>
      <c r="I85" s="79">
        <v>1.0</v>
      </c>
      <c r="J85" s="79">
        <v>0.0</v>
      </c>
      <c r="K85" s="79">
        <v>1.0</v>
      </c>
      <c r="L85" s="79">
        <v>6.0</v>
      </c>
      <c r="M85" s="79">
        <v>5.0</v>
      </c>
      <c r="N85" s="79">
        <v>1.0</v>
      </c>
      <c r="O85" s="79">
        <v>0.0</v>
      </c>
      <c r="P85" s="79">
        <v>0.0</v>
      </c>
      <c r="Q85" s="79">
        <v>1.0</v>
      </c>
      <c r="R85" s="79">
        <v>0.0</v>
      </c>
      <c r="S85" s="13">
        <f t="shared" si="20"/>
        <v>23</v>
      </c>
    </row>
    <row r="86" ht="12.75" customHeight="1">
      <c r="A86" s="18"/>
      <c r="B86" s="58"/>
      <c r="C86" s="53" t="s">
        <v>74</v>
      </c>
      <c r="D86" s="61"/>
      <c r="E86" s="79">
        <v>9.0</v>
      </c>
      <c r="F86" s="79">
        <v>7.0</v>
      </c>
      <c r="G86" s="79">
        <v>2.0</v>
      </c>
      <c r="H86" s="79">
        <v>2.0</v>
      </c>
      <c r="I86" s="79">
        <v>3.0</v>
      </c>
      <c r="J86" s="79">
        <v>1.0</v>
      </c>
      <c r="K86" s="79">
        <v>0.0</v>
      </c>
      <c r="L86" s="79">
        <v>0.0</v>
      </c>
      <c r="M86" s="79">
        <v>3.0</v>
      </c>
      <c r="N86" s="79">
        <v>5.0</v>
      </c>
      <c r="O86" s="79">
        <v>3.0</v>
      </c>
      <c r="P86" s="79">
        <v>39.0</v>
      </c>
      <c r="Q86" s="79">
        <v>33.0</v>
      </c>
      <c r="R86" s="79">
        <v>2.0</v>
      </c>
      <c r="S86" s="13">
        <f t="shared" si="20"/>
        <v>109</v>
      </c>
    </row>
    <row r="87" ht="12.75" customHeight="1">
      <c r="A87" s="18"/>
      <c r="B87" s="58"/>
      <c r="C87" s="53" t="s">
        <v>75</v>
      </c>
      <c r="D87" s="61"/>
      <c r="E87" s="79">
        <v>1.0</v>
      </c>
      <c r="F87" s="79">
        <v>1.0</v>
      </c>
      <c r="G87" s="79">
        <v>0.0</v>
      </c>
      <c r="H87" s="79">
        <v>0.0</v>
      </c>
      <c r="I87" s="79">
        <v>0.0</v>
      </c>
      <c r="J87" s="79">
        <v>0.0</v>
      </c>
      <c r="K87" s="79">
        <v>0.0</v>
      </c>
      <c r="L87" s="79">
        <v>0.0</v>
      </c>
      <c r="M87" s="79">
        <v>0.0</v>
      </c>
      <c r="N87" s="79">
        <v>0.0</v>
      </c>
      <c r="O87" s="79">
        <v>1.0</v>
      </c>
      <c r="P87" s="79">
        <v>0.0</v>
      </c>
      <c r="Q87" s="79">
        <v>1.0</v>
      </c>
      <c r="R87" s="79">
        <v>0.0</v>
      </c>
      <c r="S87" s="13">
        <f t="shared" si="20"/>
        <v>4</v>
      </c>
    </row>
    <row r="88" ht="12.75" customHeight="1">
      <c r="A88" s="18"/>
      <c r="B88" s="58"/>
      <c r="C88" s="53" t="s">
        <v>76</v>
      </c>
      <c r="D88" s="61"/>
      <c r="E88" s="79">
        <v>0.0</v>
      </c>
      <c r="F88" s="79">
        <v>1.0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</v>
      </c>
      <c r="P88" s="79">
        <v>0.0</v>
      </c>
      <c r="Q88" s="79">
        <v>1.0</v>
      </c>
      <c r="R88" s="79">
        <v>0.0</v>
      </c>
      <c r="S88" s="13">
        <f t="shared" si="20"/>
        <v>2</v>
      </c>
    </row>
    <row r="89" ht="12.75" customHeight="1">
      <c r="A89" s="18"/>
      <c r="B89" s="58"/>
      <c r="C89" s="53" t="s">
        <v>77</v>
      </c>
      <c r="D89" s="61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1.0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13">
        <f t="shared" si="20"/>
        <v>1</v>
      </c>
    </row>
    <row r="90" ht="12.75" customHeight="1">
      <c r="A90" s="18"/>
      <c r="B90" s="58"/>
      <c r="C90" s="53" t="s">
        <v>78</v>
      </c>
      <c r="D90" s="61"/>
      <c r="E90" s="79">
        <v>0.0</v>
      </c>
      <c r="F90" s="79">
        <v>1.0</v>
      </c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1.0</v>
      </c>
      <c r="O90" s="79">
        <v>0.0</v>
      </c>
      <c r="P90" s="79">
        <v>0.0</v>
      </c>
      <c r="Q90" s="79">
        <v>0.0</v>
      </c>
      <c r="R90" s="79">
        <v>0.0</v>
      </c>
      <c r="S90" s="13">
        <f t="shared" si="20"/>
        <v>2</v>
      </c>
    </row>
    <row r="91" ht="12.75" customHeight="1">
      <c r="A91" s="19" t="s">
        <v>14</v>
      </c>
      <c r="B91" s="50" t="s">
        <v>48</v>
      </c>
      <c r="C91" s="15"/>
      <c r="D91" s="16"/>
      <c r="E91" s="13">
        <f t="shared" ref="E91:R91" si="21">SUM(E81:E90)</f>
        <v>18</v>
      </c>
      <c r="F91" s="13">
        <f t="shared" si="21"/>
        <v>20</v>
      </c>
      <c r="G91" s="13">
        <f t="shared" si="21"/>
        <v>16</v>
      </c>
      <c r="H91" s="13">
        <f t="shared" si="21"/>
        <v>11</v>
      </c>
      <c r="I91" s="13">
        <f t="shared" si="21"/>
        <v>20</v>
      </c>
      <c r="J91" s="13">
        <f t="shared" si="21"/>
        <v>9</v>
      </c>
      <c r="K91" s="13">
        <f t="shared" si="21"/>
        <v>2</v>
      </c>
      <c r="L91" s="13">
        <f t="shared" si="21"/>
        <v>11</v>
      </c>
      <c r="M91" s="13">
        <f t="shared" si="21"/>
        <v>23</v>
      </c>
      <c r="N91" s="13">
        <f t="shared" si="21"/>
        <v>22</v>
      </c>
      <c r="O91" s="13">
        <f t="shared" si="21"/>
        <v>13</v>
      </c>
      <c r="P91" s="13">
        <f t="shared" si="21"/>
        <v>50</v>
      </c>
      <c r="Q91" s="13">
        <f t="shared" si="21"/>
        <v>45</v>
      </c>
      <c r="R91" s="13">
        <f t="shared" si="21"/>
        <v>4</v>
      </c>
      <c r="S91" s="13">
        <f t="shared" si="20"/>
        <v>264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36</v>
      </c>
      <c r="B93" s="50" t="s">
        <v>79</v>
      </c>
      <c r="C93" s="51" t="s">
        <v>80</v>
      </c>
      <c r="D93" s="16"/>
      <c r="E93" s="79">
        <v>2.0</v>
      </c>
      <c r="F93" s="79">
        <v>2.0</v>
      </c>
      <c r="G93" s="79">
        <v>1.0</v>
      </c>
      <c r="H93" s="79">
        <v>1.0</v>
      </c>
      <c r="I93" s="79">
        <v>1.0</v>
      </c>
      <c r="J93" s="79">
        <v>0.0</v>
      </c>
      <c r="K93" s="79">
        <v>0.0</v>
      </c>
      <c r="L93" s="79">
        <v>0.0</v>
      </c>
      <c r="M93" s="79">
        <v>3.0</v>
      </c>
      <c r="N93" s="79">
        <v>2.0</v>
      </c>
      <c r="O93" s="79">
        <v>1.0</v>
      </c>
      <c r="P93" s="79">
        <v>1.0</v>
      </c>
      <c r="Q93" s="79">
        <v>2.0</v>
      </c>
      <c r="R93" s="79">
        <v>0.0</v>
      </c>
      <c r="S93" s="13">
        <f t="shared" ref="S93:S103" si="22">SUM(E93:R93)</f>
        <v>16</v>
      </c>
    </row>
    <row r="94" ht="12.75" customHeight="1">
      <c r="A94" s="31" t="s">
        <v>38</v>
      </c>
      <c r="B94" s="58"/>
      <c r="C94" s="53" t="s">
        <v>81</v>
      </c>
      <c r="D94" s="61"/>
      <c r="E94" s="79">
        <v>0.0</v>
      </c>
      <c r="F94" s="79">
        <v>1.0</v>
      </c>
      <c r="G94" s="79">
        <v>1.0</v>
      </c>
      <c r="H94" s="79">
        <v>1.0</v>
      </c>
      <c r="I94" s="79">
        <v>0.0</v>
      </c>
      <c r="J94" s="79">
        <v>0.0</v>
      </c>
      <c r="K94" s="79">
        <v>0.0</v>
      </c>
      <c r="L94" s="79">
        <v>0.0</v>
      </c>
      <c r="M94" s="79">
        <v>1.0</v>
      </c>
      <c r="N94" s="79">
        <v>1.0</v>
      </c>
      <c r="O94" s="79">
        <v>0.0</v>
      </c>
      <c r="P94" s="79">
        <v>0.0</v>
      </c>
      <c r="Q94" s="79">
        <v>0.0</v>
      </c>
      <c r="R94" s="79">
        <v>0.0</v>
      </c>
      <c r="S94" s="13">
        <f t="shared" si="22"/>
        <v>5</v>
      </c>
    </row>
    <row r="95" ht="12.75" customHeight="1">
      <c r="A95" s="18"/>
      <c r="B95" s="58"/>
      <c r="C95" s="53" t="s">
        <v>82</v>
      </c>
      <c r="D95" s="61"/>
      <c r="E95" s="79">
        <v>0.0</v>
      </c>
      <c r="F95" s="79">
        <v>0.0</v>
      </c>
      <c r="G95" s="79">
        <v>0.0</v>
      </c>
      <c r="H95" s="79">
        <v>0.0</v>
      </c>
      <c r="I95" s="79">
        <v>0.0</v>
      </c>
      <c r="J95" s="79">
        <v>0.0</v>
      </c>
      <c r="K95" s="79">
        <v>0.0</v>
      </c>
      <c r="L95" s="79">
        <v>0.0</v>
      </c>
      <c r="M95" s="79">
        <v>0.0</v>
      </c>
      <c r="N95" s="79">
        <v>0.0</v>
      </c>
      <c r="O95" s="79">
        <v>0.0</v>
      </c>
      <c r="P95" s="79">
        <v>0.0</v>
      </c>
      <c r="Q95" s="79">
        <v>0.0</v>
      </c>
      <c r="R95" s="79">
        <v>0.0</v>
      </c>
      <c r="S95" s="13">
        <f t="shared" si="22"/>
        <v>0</v>
      </c>
    </row>
    <row r="96" ht="12.75" customHeight="1">
      <c r="A96" s="18"/>
      <c r="B96" s="58"/>
      <c r="C96" s="53" t="s">
        <v>83</v>
      </c>
      <c r="D96" s="61"/>
      <c r="E96" s="79">
        <v>0.0</v>
      </c>
      <c r="F96" s="79">
        <v>0.0</v>
      </c>
      <c r="G96" s="79">
        <v>0.0</v>
      </c>
      <c r="H96" s="79">
        <v>0.0</v>
      </c>
      <c r="I96" s="79">
        <v>0.0</v>
      </c>
      <c r="J96" s="79">
        <v>0.0</v>
      </c>
      <c r="K96" s="79">
        <v>0.0</v>
      </c>
      <c r="L96" s="79">
        <v>0.0</v>
      </c>
      <c r="M96" s="79">
        <v>1.0</v>
      </c>
      <c r="N96" s="79">
        <v>0.0</v>
      </c>
      <c r="O96" s="79">
        <v>0.0</v>
      </c>
      <c r="P96" s="79">
        <v>0.0</v>
      </c>
      <c r="Q96" s="79">
        <v>0.0</v>
      </c>
      <c r="R96" s="79">
        <v>0.0</v>
      </c>
      <c r="S96" s="13">
        <f t="shared" si="22"/>
        <v>1</v>
      </c>
    </row>
    <row r="97" ht="12.75" customHeight="1">
      <c r="A97" s="18"/>
      <c r="B97" s="58"/>
      <c r="C97" s="53" t="s">
        <v>84</v>
      </c>
      <c r="D97" s="61"/>
      <c r="E97" s="79">
        <v>0.0</v>
      </c>
      <c r="F97" s="79">
        <v>0.0</v>
      </c>
      <c r="G97" s="79">
        <v>0.0</v>
      </c>
      <c r="H97" s="79">
        <v>0.0</v>
      </c>
      <c r="I97" s="79">
        <v>0.0</v>
      </c>
      <c r="J97" s="79">
        <v>0.0</v>
      </c>
      <c r="K97" s="79">
        <v>0.0</v>
      </c>
      <c r="L97" s="79">
        <v>0.0</v>
      </c>
      <c r="M97" s="79">
        <v>1.0</v>
      </c>
      <c r="N97" s="79">
        <v>0.0</v>
      </c>
      <c r="O97" s="79">
        <v>0.0</v>
      </c>
      <c r="P97" s="79">
        <v>0.0</v>
      </c>
      <c r="Q97" s="79">
        <v>0.0</v>
      </c>
      <c r="R97" s="79">
        <v>0.0</v>
      </c>
      <c r="S97" s="13">
        <f t="shared" si="22"/>
        <v>1</v>
      </c>
    </row>
    <row r="98" ht="12.75" customHeight="1">
      <c r="A98" s="18"/>
      <c r="B98" s="58"/>
      <c r="C98" s="53" t="s">
        <v>85</v>
      </c>
      <c r="D98" s="61"/>
      <c r="E98" s="79">
        <v>1.0</v>
      </c>
      <c r="F98" s="79">
        <v>0.0</v>
      </c>
      <c r="G98" s="79">
        <v>0.0</v>
      </c>
      <c r="H98" s="79">
        <v>0.0</v>
      </c>
      <c r="I98" s="79">
        <v>0.0</v>
      </c>
      <c r="J98" s="79">
        <v>0.0</v>
      </c>
      <c r="K98" s="79">
        <v>0.0</v>
      </c>
      <c r="L98" s="79">
        <v>0.0</v>
      </c>
      <c r="M98" s="79">
        <v>1.0</v>
      </c>
      <c r="N98" s="79">
        <v>2.0</v>
      </c>
      <c r="O98" s="79">
        <v>1.0</v>
      </c>
      <c r="P98" s="79">
        <v>0.0</v>
      </c>
      <c r="Q98" s="79">
        <v>0.0</v>
      </c>
      <c r="R98" s="79">
        <v>0.0</v>
      </c>
      <c r="S98" s="13">
        <f t="shared" si="22"/>
        <v>5</v>
      </c>
    </row>
    <row r="99" ht="12.75" customHeight="1">
      <c r="A99" s="18"/>
      <c r="B99" s="58"/>
      <c r="C99" s="53" t="s">
        <v>86</v>
      </c>
      <c r="D99" s="61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1.0</v>
      </c>
      <c r="M99" s="79">
        <v>0.0</v>
      </c>
      <c r="N99" s="79">
        <v>0.0</v>
      </c>
      <c r="O99" s="79">
        <v>0.0</v>
      </c>
      <c r="P99" s="79">
        <v>0.0</v>
      </c>
      <c r="Q99" s="79">
        <v>0.0</v>
      </c>
      <c r="R99" s="79">
        <v>0.0</v>
      </c>
      <c r="S99" s="13">
        <f t="shared" si="22"/>
        <v>1</v>
      </c>
    </row>
    <row r="100" ht="12.75" customHeight="1">
      <c r="A100" s="18"/>
      <c r="B100" s="58"/>
      <c r="C100" s="53" t="s">
        <v>87</v>
      </c>
      <c r="D100" s="61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13">
        <f t="shared" si="22"/>
        <v>0</v>
      </c>
    </row>
    <row r="101" ht="12.75" customHeight="1">
      <c r="A101" s="18"/>
      <c r="B101" s="58"/>
      <c r="C101" s="53" t="s">
        <v>88</v>
      </c>
      <c r="D101" s="61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>
        <v>0.0</v>
      </c>
      <c r="R101" s="79">
        <v>0.0</v>
      </c>
      <c r="S101" s="13">
        <f t="shared" si="22"/>
        <v>0</v>
      </c>
    </row>
    <row r="102" ht="12.75" customHeight="1">
      <c r="A102" s="18"/>
      <c r="B102" s="58"/>
      <c r="C102" s="53" t="s">
        <v>89</v>
      </c>
      <c r="D102" s="61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13">
        <f t="shared" si="22"/>
        <v>0</v>
      </c>
    </row>
    <row r="103" ht="12.75" customHeight="1">
      <c r="A103" s="19" t="s">
        <v>14</v>
      </c>
      <c r="B103" s="50" t="s">
        <v>48</v>
      </c>
      <c r="C103" s="15"/>
      <c r="D103" s="16"/>
      <c r="E103" s="13">
        <f t="shared" ref="E103:R103" si="23">SUM(E93:E102)</f>
        <v>3</v>
      </c>
      <c r="F103" s="13">
        <f t="shared" si="23"/>
        <v>3</v>
      </c>
      <c r="G103" s="13">
        <f t="shared" si="23"/>
        <v>2</v>
      </c>
      <c r="H103" s="13">
        <f t="shared" si="23"/>
        <v>2</v>
      </c>
      <c r="I103" s="13">
        <f t="shared" si="23"/>
        <v>1</v>
      </c>
      <c r="J103" s="13">
        <f t="shared" si="23"/>
        <v>0</v>
      </c>
      <c r="K103" s="13">
        <f t="shared" si="23"/>
        <v>0</v>
      </c>
      <c r="L103" s="13">
        <f t="shared" si="23"/>
        <v>1</v>
      </c>
      <c r="M103" s="13">
        <f t="shared" si="23"/>
        <v>7</v>
      </c>
      <c r="N103" s="13">
        <f t="shared" si="23"/>
        <v>5</v>
      </c>
      <c r="O103" s="13">
        <f t="shared" si="23"/>
        <v>2</v>
      </c>
      <c r="P103" s="13">
        <f t="shared" si="23"/>
        <v>1</v>
      </c>
      <c r="Q103" s="13">
        <f t="shared" si="23"/>
        <v>2</v>
      </c>
      <c r="R103" s="13">
        <f t="shared" si="23"/>
        <v>0</v>
      </c>
      <c r="S103" s="13">
        <f t="shared" si="22"/>
        <v>29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</row>
    <row r="105" ht="12.75" customHeight="1">
      <c r="A105" s="31" t="s">
        <v>36</v>
      </c>
      <c r="B105" s="50" t="s">
        <v>90</v>
      </c>
      <c r="C105" s="51" t="s">
        <v>91</v>
      </c>
      <c r="D105" s="16"/>
      <c r="E105" s="79">
        <v>3.0</v>
      </c>
      <c r="F105" s="79">
        <v>1.0</v>
      </c>
      <c r="G105" s="79">
        <v>2.0</v>
      </c>
      <c r="H105" s="79">
        <v>0.0</v>
      </c>
      <c r="I105" s="79">
        <v>7.0</v>
      </c>
      <c r="J105" s="79">
        <v>2.0</v>
      </c>
      <c r="K105" s="79">
        <v>0.0</v>
      </c>
      <c r="L105" s="79">
        <v>0.0</v>
      </c>
      <c r="M105" s="79">
        <v>0.0</v>
      </c>
      <c r="N105" s="79">
        <v>4.0</v>
      </c>
      <c r="O105" s="79">
        <v>2.0</v>
      </c>
      <c r="P105" s="79">
        <v>1.0</v>
      </c>
      <c r="Q105" s="79">
        <v>0.0</v>
      </c>
      <c r="R105" s="79">
        <v>3.0</v>
      </c>
      <c r="S105" s="13">
        <f t="shared" ref="S105:S107" si="24">SUM(E105:R105)</f>
        <v>25</v>
      </c>
    </row>
    <row r="106" ht="12.75" customHeight="1">
      <c r="A106" s="31" t="s">
        <v>38</v>
      </c>
      <c r="B106" s="58"/>
      <c r="C106" s="53" t="s">
        <v>92</v>
      </c>
      <c r="D106" s="61"/>
      <c r="E106" s="79">
        <v>0.0</v>
      </c>
      <c r="F106" s="79">
        <v>3.0</v>
      </c>
      <c r="G106" s="79">
        <v>2.0</v>
      </c>
      <c r="H106" s="79">
        <v>1.0</v>
      </c>
      <c r="I106" s="79">
        <v>0.0</v>
      </c>
      <c r="J106" s="79">
        <v>0.0</v>
      </c>
      <c r="K106" s="79">
        <v>0.0</v>
      </c>
      <c r="L106" s="79">
        <v>0.0</v>
      </c>
      <c r="M106" s="79">
        <v>0.0</v>
      </c>
      <c r="N106" s="79">
        <v>0.0</v>
      </c>
      <c r="O106" s="79">
        <v>1.0</v>
      </c>
      <c r="P106" s="79">
        <v>0.0</v>
      </c>
      <c r="Q106" s="79">
        <v>0.0</v>
      </c>
      <c r="R106" s="79">
        <v>0.0</v>
      </c>
      <c r="S106" s="13">
        <f t="shared" si="24"/>
        <v>7</v>
      </c>
    </row>
    <row r="107" ht="12.75" customHeight="1">
      <c r="A107" s="18"/>
      <c r="B107" s="58"/>
      <c r="C107" s="53" t="s">
        <v>93</v>
      </c>
      <c r="D107" s="61"/>
      <c r="E107" s="79">
        <v>0.0</v>
      </c>
      <c r="F107" s="79">
        <v>1.0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0.0</v>
      </c>
      <c r="O107" s="79">
        <v>0.0</v>
      </c>
      <c r="P107" s="79">
        <v>0.0</v>
      </c>
      <c r="Q107" s="79">
        <v>0.0</v>
      </c>
      <c r="R107" s="79">
        <v>0.0</v>
      </c>
      <c r="S107" s="13">
        <f t="shared" si="24"/>
        <v>1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85"/>
    </row>
    <row r="115" ht="12.75" customHeight="1">
      <c r="A115" s="19" t="s">
        <v>14</v>
      </c>
      <c r="B115" s="50" t="s">
        <v>48</v>
      </c>
      <c r="C115" s="15"/>
      <c r="D115" s="16"/>
      <c r="E115" s="13">
        <f t="shared" ref="E115:R115" si="25">SUM(E105:E114)</f>
        <v>3</v>
      </c>
      <c r="F115" s="13">
        <f t="shared" si="25"/>
        <v>5</v>
      </c>
      <c r="G115" s="13">
        <f t="shared" si="25"/>
        <v>4</v>
      </c>
      <c r="H115" s="13">
        <f t="shared" si="25"/>
        <v>1</v>
      </c>
      <c r="I115" s="13">
        <f t="shared" si="25"/>
        <v>7</v>
      </c>
      <c r="J115" s="13">
        <f t="shared" si="25"/>
        <v>2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4</v>
      </c>
      <c r="O115" s="13">
        <f t="shared" si="25"/>
        <v>3</v>
      </c>
      <c r="P115" s="13">
        <f t="shared" si="25"/>
        <v>1</v>
      </c>
      <c r="Q115" s="13">
        <f t="shared" si="25"/>
        <v>0</v>
      </c>
      <c r="R115" s="13">
        <f t="shared" si="25"/>
        <v>3</v>
      </c>
      <c r="S115" s="13">
        <f>SUM(E115:R115)</f>
        <v>33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13"/>
    </row>
    <row r="117" ht="12.75" customHeight="1">
      <c r="A117" s="31" t="s">
        <v>36</v>
      </c>
      <c r="B117" s="50" t="s">
        <v>94</v>
      </c>
      <c r="C117" s="51" t="s">
        <v>95</v>
      </c>
      <c r="D117" s="16"/>
      <c r="E117" s="79">
        <v>0.0</v>
      </c>
      <c r="F117" s="79">
        <v>1.0</v>
      </c>
      <c r="G117" s="79">
        <v>1.0</v>
      </c>
      <c r="H117" s="79">
        <v>1.0</v>
      </c>
      <c r="I117" s="79">
        <v>0.0</v>
      </c>
      <c r="J117" s="79">
        <v>0.0</v>
      </c>
      <c r="K117" s="79">
        <v>0.0</v>
      </c>
      <c r="L117" s="79">
        <v>0.0</v>
      </c>
      <c r="M117" s="79">
        <v>0.0</v>
      </c>
      <c r="N117" s="79">
        <v>2.0</v>
      </c>
      <c r="O117" s="79">
        <v>0.0</v>
      </c>
      <c r="P117" s="79">
        <v>0.0</v>
      </c>
      <c r="Q117" s="79">
        <v>1.0</v>
      </c>
      <c r="R117" s="79">
        <v>0.0</v>
      </c>
      <c r="S117" s="13">
        <f t="shared" ref="S117:S122" si="26">SUM(E117:R117)</f>
        <v>6</v>
      </c>
      <c r="T117" s="5"/>
      <c r="U117" s="5"/>
    </row>
    <row r="118" ht="12.75" customHeight="1">
      <c r="A118" s="31" t="s">
        <v>38</v>
      </c>
      <c r="B118" s="58"/>
      <c r="C118" s="53" t="s">
        <v>96</v>
      </c>
      <c r="D118" s="61"/>
      <c r="E118" s="79">
        <v>0.0</v>
      </c>
      <c r="F118" s="79">
        <v>1.0</v>
      </c>
      <c r="G118" s="79">
        <v>0.0</v>
      </c>
      <c r="H118" s="79">
        <v>1.0</v>
      </c>
      <c r="I118" s="79">
        <v>1.0</v>
      </c>
      <c r="J118" s="79">
        <v>0.0</v>
      </c>
      <c r="K118" s="79">
        <v>0.0</v>
      </c>
      <c r="L118" s="79">
        <v>0.0</v>
      </c>
      <c r="M118" s="79">
        <v>3.0</v>
      </c>
      <c r="N118" s="79">
        <v>4.0</v>
      </c>
      <c r="O118" s="79">
        <v>0.0</v>
      </c>
      <c r="P118" s="79">
        <v>1.0</v>
      </c>
      <c r="Q118" s="79">
        <v>1.0</v>
      </c>
      <c r="R118" s="79">
        <v>1.0</v>
      </c>
      <c r="S118" s="13">
        <f t="shared" si="26"/>
        <v>13</v>
      </c>
      <c r="T118" s="5"/>
      <c r="U118" s="5"/>
    </row>
    <row r="119" ht="12.75" customHeight="1">
      <c r="A119" s="18"/>
      <c r="B119" s="58"/>
      <c r="C119" s="53" t="s">
        <v>97</v>
      </c>
      <c r="D119" s="61"/>
      <c r="E119" s="79">
        <v>0.0</v>
      </c>
      <c r="F119" s="79">
        <v>0.0</v>
      </c>
      <c r="G119" s="79">
        <v>0.0</v>
      </c>
      <c r="H119" s="79">
        <v>2.0</v>
      </c>
      <c r="I119" s="79">
        <v>0.0</v>
      </c>
      <c r="J119" s="79">
        <v>0.0</v>
      </c>
      <c r="K119" s="79">
        <v>0.0</v>
      </c>
      <c r="L119" s="79">
        <v>0.0</v>
      </c>
      <c r="M119" s="79">
        <v>0.0</v>
      </c>
      <c r="N119" s="79">
        <v>0.0</v>
      </c>
      <c r="O119" s="79">
        <v>1.0</v>
      </c>
      <c r="P119" s="79">
        <v>0.0</v>
      </c>
      <c r="Q119" s="79">
        <v>0.0</v>
      </c>
      <c r="R119" s="79">
        <v>0.0</v>
      </c>
      <c r="S119" s="13">
        <f t="shared" si="26"/>
        <v>3</v>
      </c>
      <c r="T119" s="5"/>
      <c r="U119" s="5"/>
    </row>
    <row r="120" ht="12.75" customHeight="1">
      <c r="A120" s="18"/>
      <c r="B120" s="58"/>
      <c r="C120" s="53" t="s">
        <v>98</v>
      </c>
      <c r="D120" s="61"/>
      <c r="E120" s="79">
        <v>0.0</v>
      </c>
      <c r="F120" s="79">
        <v>0.0</v>
      </c>
      <c r="G120" s="79">
        <v>0.0</v>
      </c>
      <c r="H120" s="79">
        <v>1.0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79">
        <v>0.0</v>
      </c>
      <c r="O120" s="79">
        <v>0.0</v>
      </c>
      <c r="P120" s="79">
        <v>0.0</v>
      </c>
      <c r="Q120" s="79">
        <v>0.0</v>
      </c>
      <c r="R120" s="79">
        <v>0.0</v>
      </c>
      <c r="S120" s="13">
        <f t="shared" si="26"/>
        <v>1</v>
      </c>
      <c r="T120" s="5"/>
      <c r="U120" s="5"/>
    </row>
    <row r="121" ht="12.75" customHeight="1">
      <c r="A121" s="18"/>
      <c r="B121" s="58"/>
      <c r="C121" s="53" t="s">
        <v>99</v>
      </c>
      <c r="D121" s="61"/>
      <c r="E121" s="79">
        <v>0.0</v>
      </c>
      <c r="F121" s="79">
        <v>0.0</v>
      </c>
      <c r="G121" s="79">
        <v>0.0</v>
      </c>
      <c r="H121" s="79">
        <v>1.0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79">
        <v>0.0</v>
      </c>
      <c r="Q121" s="79">
        <v>0.0</v>
      </c>
      <c r="R121" s="79">
        <v>0.0</v>
      </c>
      <c r="S121" s="13">
        <f t="shared" si="26"/>
        <v>1</v>
      </c>
      <c r="T121" s="5"/>
      <c r="U121" s="5"/>
    </row>
    <row r="122" ht="12.75" customHeight="1">
      <c r="A122" s="18"/>
      <c r="B122" s="58"/>
      <c r="C122" s="53" t="s">
        <v>100</v>
      </c>
      <c r="D122" s="61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0.0</v>
      </c>
      <c r="O122" s="79">
        <v>0.0</v>
      </c>
      <c r="P122" s="79">
        <v>0.0</v>
      </c>
      <c r="Q122" s="79">
        <v>0.0</v>
      </c>
      <c r="R122" s="79">
        <v>0.0</v>
      </c>
      <c r="S122" s="13">
        <f t="shared" si="26"/>
        <v>0</v>
      </c>
      <c r="T122" s="5"/>
      <c r="U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85"/>
      <c r="T123" s="5"/>
      <c r="U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85"/>
      <c r="T124" s="5"/>
      <c r="U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85"/>
      <c r="T125" s="5"/>
      <c r="U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85"/>
      <c r="T126" s="5"/>
      <c r="U126" s="5"/>
    </row>
    <row r="127" ht="12.75" customHeight="1">
      <c r="A127" s="19" t="s">
        <v>14</v>
      </c>
      <c r="B127" s="50" t="s">
        <v>48</v>
      </c>
      <c r="C127" s="15"/>
      <c r="D127" s="16"/>
      <c r="E127" s="67">
        <f t="shared" ref="E127:R127" si="27">SUM(E117:E126)</f>
        <v>0</v>
      </c>
      <c r="F127" s="67">
        <f t="shared" si="27"/>
        <v>2</v>
      </c>
      <c r="G127" s="67">
        <f t="shared" si="27"/>
        <v>1</v>
      </c>
      <c r="H127" s="67">
        <f t="shared" si="27"/>
        <v>6</v>
      </c>
      <c r="I127" s="67">
        <f t="shared" si="27"/>
        <v>1</v>
      </c>
      <c r="J127" s="67">
        <f t="shared" si="27"/>
        <v>0</v>
      </c>
      <c r="K127" s="67">
        <f t="shared" si="27"/>
        <v>0</v>
      </c>
      <c r="L127" s="67">
        <f t="shared" si="27"/>
        <v>0</v>
      </c>
      <c r="M127" s="67">
        <f t="shared" si="27"/>
        <v>3</v>
      </c>
      <c r="N127" s="67">
        <f t="shared" si="27"/>
        <v>6</v>
      </c>
      <c r="O127" s="67">
        <f t="shared" si="27"/>
        <v>1</v>
      </c>
      <c r="P127" s="67">
        <f t="shared" si="27"/>
        <v>1</v>
      </c>
      <c r="Q127" s="67">
        <f t="shared" si="27"/>
        <v>2</v>
      </c>
      <c r="R127" s="67">
        <f t="shared" si="27"/>
        <v>1</v>
      </c>
      <c r="S127" s="13">
        <f>SUM(E127:R127)</f>
        <v>24</v>
      </c>
      <c r="T127" s="5"/>
      <c r="U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5"/>
      <c r="U128" s="5"/>
    </row>
    <row r="129" ht="12.75" customHeight="1">
      <c r="A129" s="31" t="s">
        <v>36</v>
      </c>
      <c r="B129" s="50" t="s">
        <v>101</v>
      </c>
      <c r="C129" s="51" t="s">
        <v>102</v>
      </c>
      <c r="D129" s="16"/>
      <c r="E129" s="79">
        <v>0.0</v>
      </c>
      <c r="F129" s="79">
        <v>3.0</v>
      </c>
      <c r="G129" s="79">
        <v>1.0</v>
      </c>
      <c r="H129" s="79">
        <v>3.0</v>
      </c>
      <c r="I129" s="79">
        <v>0.0</v>
      </c>
      <c r="J129" s="79">
        <v>0.0</v>
      </c>
      <c r="K129" s="79">
        <v>0.0</v>
      </c>
      <c r="L129" s="79">
        <v>0.0</v>
      </c>
      <c r="M129" s="79">
        <v>0.0</v>
      </c>
      <c r="N129" s="79">
        <v>1.0</v>
      </c>
      <c r="O129" s="79">
        <v>2.0</v>
      </c>
      <c r="P129" s="79">
        <v>0.0</v>
      </c>
      <c r="Q129" s="79">
        <v>3.0</v>
      </c>
      <c r="R129" s="79">
        <v>2.0</v>
      </c>
      <c r="S129" s="13">
        <f t="shared" ref="S129:S139" si="28">SUM(E129:R129)</f>
        <v>15</v>
      </c>
      <c r="T129" s="5"/>
      <c r="U129" s="5"/>
    </row>
    <row r="130" ht="12.75" customHeight="1">
      <c r="A130" s="31" t="s">
        <v>38</v>
      </c>
      <c r="B130" s="58"/>
      <c r="C130" s="53" t="s">
        <v>103</v>
      </c>
      <c r="D130" s="60"/>
      <c r="E130" s="79">
        <v>6.0</v>
      </c>
      <c r="F130" s="79">
        <v>4.0</v>
      </c>
      <c r="G130" s="79">
        <v>2.0</v>
      </c>
      <c r="H130" s="79">
        <v>3.0</v>
      </c>
      <c r="I130" s="79">
        <v>0.0</v>
      </c>
      <c r="J130" s="79">
        <v>1.0</v>
      </c>
      <c r="K130" s="79">
        <v>0.0</v>
      </c>
      <c r="L130" s="79">
        <v>2.0</v>
      </c>
      <c r="M130" s="79">
        <v>6.0</v>
      </c>
      <c r="N130" s="79">
        <v>1.0</v>
      </c>
      <c r="O130" s="79">
        <v>6.0</v>
      </c>
      <c r="P130" s="79">
        <v>3.0</v>
      </c>
      <c r="Q130" s="79">
        <v>4.0</v>
      </c>
      <c r="R130" s="79">
        <v>0.0</v>
      </c>
      <c r="S130" s="13">
        <f t="shared" si="28"/>
        <v>38</v>
      </c>
      <c r="T130" s="1"/>
      <c r="U130" s="1"/>
    </row>
    <row r="131" ht="12.75" customHeight="1">
      <c r="A131" s="18"/>
      <c r="B131" s="58"/>
      <c r="C131" s="53" t="s">
        <v>104</v>
      </c>
      <c r="D131" s="60"/>
      <c r="E131" s="79">
        <v>1.0</v>
      </c>
      <c r="F131" s="79">
        <v>1.0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1.0</v>
      </c>
      <c r="N131" s="79">
        <v>1.0</v>
      </c>
      <c r="O131" s="79">
        <v>0.0</v>
      </c>
      <c r="P131" s="79">
        <v>0.0</v>
      </c>
      <c r="Q131" s="79">
        <v>0.0</v>
      </c>
      <c r="R131" s="79">
        <v>1.0</v>
      </c>
      <c r="S131" s="13">
        <f t="shared" si="28"/>
        <v>5</v>
      </c>
      <c r="T131" s="55"/>
      <c r="U131" s="55"/>
    </row>
    <row r="132" ht="12.75" customHeight="1">
      <c r="A132" s="18"/>
      <c r="B132" s="58"/>
      <c r="C132" s="53" t="s">
        <v>105</v>
      </c>
      <c r="D132" s="60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1.0</v>
      </c>
      <c r="K132" s="79">
        <v>0.0</v>
      </c>
      <c r="L132" s="79">
        <v>0.0</v>
      </c>
      <c r="M132" s="79">
        <v>0.0</v>
      </c>
      <c r="N132" s="79">
        <v>0.0</v>
      </c>
      <c r="O132" s="79">
        <v>0.0</v>
      </c>
      <c r="P132" s="79">
        <v>0.0</v>
      </c>
      <c r="Q132" s="79">
        <v>0.0</v>
      </c>
      <c r="R132" s="79">
        <v>0.0</v>
      </c>
      <c r="S132" s="13">
        <f t="shared" si="28"/>
        <v>1</v>
      </c>
      <c r="T132" s="5"/>
      <c r="U132" s="5"/>
    </row>
    <row r="133" ht="12.75" customHeight="1">
      <c r="A133" s="18"/>
      <c r="B133" s="58"/>
      <c r="C133" s="53" t="s">
        <v>106</v>
      </c>
      <c r="D133" s="60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2.0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79">
        <v>0.0</v>
      </c>
      <c r="S133" s="13">
        <f t="shared" si="28"/>
        <v>2</v>
      </c>
      <c r="T133" s="5"/>
      <c r="U133" s="5"/>
    </row>
    <row r="134" ht="12.75" customHeight="1">
      <c r="A134" s="18"/>
      <c r="B134" s="58"/>
      <c r="C134" s="53" t="s">
        <v>107</v>
      </c>
      <c r="D134" s="60"/>
      <c r="E134" s="79">
        <v>3.0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79">
        <v>0.0</v>
      </c>
      <c r="R134" s="79">
        <v>0.0</v>
      </c>
      <c r="S134" s="13">
        <f t="shared" si="28"/>
        <v>3</v>
      </c>
      <c r="T134" s="5"/>
      <c r="U134" s="5"/>
    </row>
    <row r="135" ht="12.75" customHeight="1">
      <c r="A135" s="18"/>
      <c r="B135" s="58"/>
      <c r="C135" s="53" t="s">
        <v>108</v>
      </c>
      <c r="D135" s="61"/>
      <c r="E135" s="79">
        <v>0.0</v>
      </c>
      <c r="F135" s="79">
        <v>0.0</v>
      </c>
      <c r="G135" s="79">
        <v>0.0</v>
      </c>
      <c r="H135" s="79">
        <v>1.0</v>
      </c>
      <c r="I135" s="79">
        <v>0.0</v>
      </c>
      <c r="J135" s="79">
        <v>0.0</v>
      </c>
      <c r="K135" s="79">
        <v>0.0</v>
      </c>
      <c r="L135" s="79">
        <v>0.0</v>
      </c>
      <c r="M135" s="79">
        <v>0.0</v>
      </c>
      <c r="N135" s="79">
        <v>0.0</v>
      </c>
      <c r="O135" s="79">
        <v>0.0</v>
      </c>
      <c r="P135" s="79">
        <v>0.0</v>
      </c>
      <c r="Q135" s="79">
        <v>0.0</v>
      </c>
      <c r="R135" s="79">
        <v>1.0</v>
      </c>
      <c r="S135" s="13">
        <f t="shared" si="28"/>
        <v>2</v>
      </c>
      <c r="T135" s="5"/>
      <c r="U135" s="5"/>
    </row>
    <row r="136" ht="12.75" customHeight="1">
      <c r="A136" s="18"/>
      <c r="B136" s="58"/>
      <c r="C136" s="53" t="s">
        <v>109</v>
      </c>
      <c r="D136" s="60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13">
        <f t="shared" si="28"/>
        <v>0</v>
      </c>
      <c r="T136" s="5"/>
      <c r="U136" s="5"/>
    </row>
    <row r="137" ht="12.75" customHeight="1">
      <c r="A137" s="18"/>
      <c r="B137" s="58"/>
      <c r="C137" s="53" t="s">
        <v>110</v>
      </c>
      <c r="D137" s="60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1.0</v>
      </c>
      <c r="K137" s="79">
        <v>0.0</v>
      </c>
      <c r="L137" s="79">
        <v>0.0</v>
      </c>
      <c r="M137" s="79">
        <v>0.0</v>
      </c>
      <c r="N137" s="79">
        <v>0.0</v>
      </c>
      <c r="O137" s="79">
        <v>0.0</v>
      </c>
      <c r="P137" s="79">
        <v>0.0</v>
      </c>
      <c r="Q137" s="79">
        <v>0.0</v>
      </c>
      <c r="R137" s="79">
        <v>0.0</v>
      </c>
      <c r="S137" s="13">
        <f t="shared" si="28"/>
        <v>1</v>
      </c>
      <c r="T137" s="5"/>
      <c r="U137" s="5"/>
    </row>
    <row r="138" ht="12.75" customHeight="1">
      <c r="A138" s="18"/>
      <c r="B138" s="58"/>
      <c r="C138" s="53" t="s">
        <v>111</v>
      </c>
      <c r="D138" s="60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13">
        <f t="shared" si="28"/>
        <v>0</v>
      </c>
      <c r="T138" s="5"/>
      <c r="U138" s="5"/>
    </row>
    <row r="139" ht="12.75" customHeight="1">
      <c r="A139" s="19" t="s">
        <v>14</v>
      </c>
      <c r="B139" s="50" t="s">
        <v>48</v>
      </c>
      <c r="C139" s="15"/>
      <c r="D139" s="16"/>
      <c r="E139" s="13">
        <f t="shared" ref="E139:R139" si="29">SUM(E129:E138)</f>
        <v>10</v>
      </c>
      <c r="F139" s="13">
        <f t="shared" si="29"/>
        <v>8</v>
      </c>
      <c r="G139" s="13">
        <f t="shared" si="29"/>
        <v>3</v>
      </c>
      <c r="H139" s="13">
        <f t="shared" si="29"/>
        <v>7</v>
      </c>
      <c r="I139" s="13">
        <f t="shared" si="29"/>
        <v>0</v>
      </c>
      <c r="J139" s="13">
        <f t="shared" si="29"/>
        <v>5</v>
      </c>
      <c r="K139" s="13">
        <f t="shared" si="29"/>
        <v>0</v>
      </c>
      <c r="L139" s="13">
        <f t="shared" si="29"/>
        <v>2</v>
      </c>
      <c r="M139" s="13">
        <f t="shared" si="29"/>
        <v>7</v>
      </c>
      <c r="N139" s="13">
        <f t="shared" si="29"/>
        <v>3</v>
      </c>
      <c r="O139" s="13">
        <f t="shared" si="29"/>
        <v>8</v>
      </c>
      <c r="P139" s="13">
        <f t="shared" si="29"/>
        <v>3</v>
      </c>
      <c r="Q139" s="13">
        <f t="shared" si="29"/>
        <v>7</v>
      </c>
      <c r="R139" s="13">
        <f t="shared" si="29"/>
        <v>4</v>
      </c>
      <c r="S139" s="13">
        <f t="shared" si="28"/>
        <v>67</v>
      </c>
      <c r="T139" s="5"/>
      <c r="U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5"/>
      <c r="U140" s="5"/>
    </row>
    <row r="141" ht="12.75" customHeight="1">
      <c r="A141" s="31" t="s">
        <v>36</v>
      </c>
      <c r="B141" s="50" t="s">
        <v>112</v>
      </c>
      <c r="C141" s="51" t="s">
        <v>113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79">
        <v>0.0</v>
      </c>
      <c r="S141" s="13">
        <f t="shared" ref="S141:S144" si="30">SUM(E141:R141)</f>
        <v>0</v>
      </c>
      <c r="T141" s="1"/>
      <c r="U141" s="1"/>
    </row>
    <row r="142" ht="12.75" customHeight="1">
      <c r="A142" s="31" t="s">
        <v>38</v>
      </c>
      <c r="B142" s="58"/>
      <c r="C142" s="53" t="s">
        <v>114</v>
      </c>
      <c r="D142" s="61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1.0</v>
      </c>
      <c r="O142" s="79">
        <v>0.0</v>
      </c>
      <c r="P142" s="79">
        <v>0.0</v>
      </c>
      <c r="Q142" s="79">
        <v>0.0</v>
      </c>
      <c r="R142" s="79">
        <v>0.0</v>
      </c>
      <c r="S142" s="13">
        <f t="shared" si="30"/>
        <v>1</v>
      </c>
      <c r="T142" s="55"/>
      <c r="U142" s="55"/>
    </row>
    <row r="143" ht="12.75" customHeight="1">
      <c r="A143" s="18"/>
      <c r="B143" s="58"/>
      <c r="C143" s="53" t="s">
        <v>115</v>
      </c>
      <c r="D143" s="61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1.0</v>
      </c>
      <c r="P143" s="79">
        <v>0.0</v>
      </c>
      <c r="Q143" s="79">
        <v>0.0</v>
      </c>
      <c r="R143" s="79">
        <v>0.0</v>
      </c>
      <c r="S143" s="13">
        <f t="shared" si="30"/>
        <v>1</v>
      </c>
      <c r="T143" s="5"/>
      <c r="U143" s="5"/>
    </row>
    <row r="144" ht="12.75" customHeight="1">
      <c r="A144" s="18"/>
      <c r="B144" s="58"/>
      <c r="C144" s="53" t="s">
        <v>116</v>
      </c>
      <c r="D144" s="61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13">
        <f t="shared" si="30"/>
        <v>0</v>
      </c>
      <c r="T144" s="5"/>
      <c r="U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85"/>
      <c r="T145" s="5"/>
      <c r="U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85"/>
      <c r="T146" s="5"/>
      <c r="U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85"/>
      <c r="T147" s="5"/>
      <c r="U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85"/>
      <c r="T148" s="5"/>
      <c r="U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85"/>
      <c r="T149" s="5"/>
      <c r="U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85"/>
      <c r="T150" s="5"/>
      <c r="U150" s="5"/>
    </row>
    <row r="151" ht="12.75" customHeight="1">
      <c r="A151" s="19" t="s">
        <v>14</v>
      </c>
      <c r="B151" s="50" t="s">
        <v>48</v>
      </c>
      <c r="C151" s="15"/>
      <c r="D151" s="16"/>
      <c r="E151" s="13">
        <f t="shared" ref="E151:R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1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>SUM(E151:R151)</f>
        <v>2</v>
      </c>
      <c r="T151" s="1"/>
      <c r="U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13"/>
      <c r="T152" s="55"/>
      <c r="U152" s="55"/>
    </row>
    <row r="153" ht="12.75" customHeight="1">
      <c r="A153" s="31" t="s">
        <v>36</v>
      </c>
      <c r="B153" s="17" t="s">
        <v>117</v>
      </c>
      <c r="C153" s="68" t="s">
        <v>118</v>
      </c>
      <c r="D153" s="23"/>
      <c r="E153" s="79">
        <v>0.0</v>
      </c>
      <c r="F153" s="79">
        <v>0.0</v>
      </c>
      <c r="G153" s="79">
        <v>1.0</v>
      </c>
      <c r="H153" s="79">
        <v>1.0</v>
      </c>
      <c r="I153" s="79">
        <v>0.0</v>
      </c>
      <c r="J153" s="79">
        <v>0.0</v>
      </c>
      <c r="K153" s="79">
        <v>0.0</v>
      </c>
      <c r="L153" s="79">
        <v>0.0</v>
      </c>
      <c r="M153" s="79">
        <v>0.0</v>
      </c>
      <c r="N153" s="79">
        <v>0.0</v>
      </c>
      <c r="O153" s="79">
        <v>0.0</v>
      </c>
      <c r="P153" s="79">
        <v>1.0</v>
      </c>
      <c r="Q153" s="79">
        <v>0.0</v>
      </c>
      <c r="R153" s="79">
        <v>0.0</v>
      </c>
      <c r="S153" s="13">
        <f t="shared" ref="S153:S156" si="32">SUM(E154:R154)</f>
        <v>4</v>
      </c>
      <c r="T153" s="5"/>
      <c r="U153" s="5"/>
    </row>
    <row r="154" ht="12.75" customHeight="1">
      <c r="A154" s="69" t="s">
        <v>38</v>
      </c>
      <c r="B154" s="58"/>
      <c r="C154" s="53" t="s">
        <v>119</v>
      </c>
      <c r="D154" s="61"/>
      <c r="E154" s="87">
        <v>1.0</v>
      </c>
      <c r="F154" s="79">
        <v>0.0</v>
      </c>
      <c r="G154" s="79">
        <v>0.0</v>
      </c>
      <c r="H154" s="79">
        <v>0.0</v>
      </c>
      <c r="I154" s="79">
        <v>0.0</v>
      </c>
      <c r="J154" s="79">
        <v>1.0</v>
      </c>
      <c r="K154" s="79">
        <v>0.0</v>
      </c>
      <c r="L154" s="79">
        <v>0.0</v>
      </c>
      <c r="M154" s="79">
        <v>1.0</v>
      </c>
      <c r="N154" s="79">
        <v>0.0</v>
      </c>
      <c r="O154" s="79">
        <v>0.0</v>
      </c>
      <c r="P154" s="79">
        <v>1.0</v>
      </c>
      <c r="Q154" s="79">
        <v>0.0</v>
      </c>
      <c r="R154" s="79">
        <v>0.0</v>
      </c>
      <c r="S154" s="13">
        <f t="shared" si="32"/>
        <v>1</v>
      </c>
      <c r="T154" s="5"/>
      <c r="U154" s="5"/>
    </row>
    <row r="155" ht="12.75" customHeight="1">
      <c r="A155" s="18"/>
      <c r="B155" s="58"/>
      <c r="C155" s="53" t="s">
        <v>120</v>
      </c>
      <c r="D155" s="61"/>
      <c r="E155" s="87">
        <v>0.0</v>
      </c>
      <c r="F155" s="79">
        <v>0.0</v>
      </c>
      <c r="G155" s="79">
        <v>0.0</v>
      </c>
      <c r="H155" s="79">
        <v>0.0</v>
      </c>
      <c r="I155" s="79">
        <v>1.0</v>
      </c>
      <c r="J155" s="79">
        <v>0.0</v>
      </c>
      <c r="K155" s="79">
        <v>0.0</v>
      </c>
      <c r="L155" s="79">
        <v>0.0</v>
      </c>
      <c r="M155" s="79">
        <v>0.0</v>
      </c>
      <c r="N155" s="79">
        <v>0.0</v>
      </c>
      <c r="O155" s="79">
        <v>0.0</v>
      </c>
      <c r="P155" s="79">
        <v>0.0</v>
      </c>
      <c r="Q155" s="79">
        <v>0.0</v>
      </c>
      <c r="R155" s="79">
        <v>0.0</v>
      </c>
      <c r="S155" s="13">
        <f t="shared" si="32"/>
        <v>9</v>
      </c>
      <c r="T155" s="5"/>
      <c r="U155" s="5"/>
    </row>
    <row r="156" ht="12.75" customHeight="1">
      <c r="A156" s="18"/>
      <c r="B156" s="58"/>
      <c r="C156" s="53" t="s">
        <v>121</v>
      </c>
      <c r="D156" s="61"/>
      <c r="E156" s="87">
        <v>0.0</v>
      </c>
      <c r="F156" s="79">
        <v>0.0</v>
      </c>
      <c r="G156" s="79">
        <v>3.0</v>
      </c>
      <c r="H156" s="79">
        <v>1.0</v>
      </c>
      <c r="I156" s="79">
        <v>1.0</v>
      </c>
      <c r="J156" s="79">
        <v>0.0</v>
      </c>
      <c r="K156" s="79">
        <v>0.0</v>
      </c>
      <c r="L156" s="79">
        <v>2.0</v>
      </c>
      <c r="M156" s="79">
        <v>0.0</v>
      </c>
      <c r="N156" s="79">
        <v>1.0</v>
      </c>
      <c r="O156" s="79">
        <v>0.0</v>
      </c>
      <c r="P156" s="79">
        <v>1.0</v>
      </c>
      <c r="Q156" s="79">
        <v>0.0</v>
      </c>
      <c r="R156" s="79">
        <v>0.0</v>
      </c>
      <c r="S156" s="13">
        <f t="shared" si="32"/>
        <v>0</v>
      </c>
      <c r="T156" s="5"/>
      <c r="U156" s="5"/>
    </row>
    <row r="157" ht="12.75" customHeight="1">
      <c r="A157" s="18"/>
      <c r="B157" s="58"/>
      <c r="C157" s="53" t="s">
        <v>122</v>
      </c>
      <c r="D157" s="61"/>
      <c r="E157" s="87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0.0</v>
      </c>
      <c r="R157" s="79">
        <v>0.0</v>
      </c>
      <c r="S157" s="13">
        <f t="shared" ref="S157:S160" si="33">SUM(E163:R163)</f>
        <v>17</v>
      </c>
      <c r="T157" s="5"/>
      <c r="U157" s="5"/>
    </row>
    <row r="158" ht="12.75" customHeight="1">
      <c r="A158" s="18"/>
      <c r="B158" s="58"/>
      <c r="C158" s="53" t="s">
        <v>123</v>
      </c>
      <c r="D158" s="61"/>
      <c r="E158" s="87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13">
        <f t="shared" si="33"/>
        <v>0</v>
      </c>
      <c r="T158" s="5"/>
      <c r="U158" s="5"/>
    </row>
    <row r="159" ht="12.75" customHeight="1">
      <c r="A159" s="18"/>
      <c r="B159" s="58"/>
      <c r="C159" s="53" t="s">
        <v>124</v>
      </c>
      <c r="D159" s="61"/>
      <c r="E159" s="87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79">
        <v>0.0</v>
      </c>
      <c r="S159" s="13">
        <f t="shared" si="33"/>
        <v>5</v>
      </c>
      <c r="T159" s="5"/>
      <c r="U159" s="5"/>
    </row>
    <row r="160" ht="12.75" customHeight="1">
      <c r="A160" s="18"/>
      <c r="B160" s="58"/>
      <c r="C160" s="53" t="s">
        <v>125</v>
      </c>
      <c r="D160" s="61"/>
      <c r="E160" s="87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13">
        <f t="shared" si="33"/>
        <v>1</v>
      </c>
      <c r="T160" s="5"/>
      <c r="U160" s="5"/>
    </row>
    <row r="161" ht="12.75" customHeight="1">
      <c r="A161" s="18"/>
      <c r="B161" s="62"/>
      <c r="C161" s="70"/>
      <c r="D161" s="64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85"/>
      <c r="T161" s="5"/>
      <c r="U161" s="5"/>
    </row>
    <row r="162" ht="12.75" customHeight="1">
      <c r="A162" s="18"/>
      <c r="B162" s="62"/>
      <c r="C162" s="70"/>
      <c r="D162" s="64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85"/>
      <c r="T162" s="5"/>
      <c r="U162" s="5"/>
    </row>
    <row r="163" ht="12.75" customHeight="1">
      <c r="A163" s="19" t="s">
        <v>14</v>
      </c>
      <c r="B163" s="71" t="s">
        <v>48</v>
      </c>
      <c r="C163" s="47"/>
      <c r="D163" s="28"/>
      <c r="E163" s="13">
        <f t="shared" ref="E163:R163" si="34">SUM(E153:E162)</f>
        <v>1</v>
      </c>
      <c r="F163" s="13">
        <f t="shared" si="34"/>
        <v>0</v>
      </c>
      <c r="G163" s="13">
        <f t="shared" si="34"/>
        <v>4</v>
      </c>
      <c r="H163" s="13">
        <f t="shared" si="34"/>
        <v>2</v>
      </c>
      <c r="I163" s="13">
        <f t="shared" si="34"/>
        <v>2</v>
      </c>
      <c r="J163" s="13">
        <f t="shared" si="34"/>
        <v>1</v>
      </c>
      <c r="K163" s="13">
        <f t="shared" si="34"/>
        <v>0</v>
      </c>
      <c r="L163" s="13">
        <f t="shared" si="34"/>
        <v>2</v>
      </c>
      <c r="M163" s="13">
        <f t="shared" si="34"/>
        <v>1</v>
      </c>
      <c r="N163" s="13">
        <f t="shared" si="34"/>
        <v>1</v>
      </c>
      <c r="O163" s="13">
        <f t="shared" si="34"/>
        <v>0</v>
      </c>
      <c r="P163" s="13">
        <f t="shared" si="34"/>
        <v>3</v>
      </c>
      <c r="Q163" s="13">
        <f t="shared" si="34"/>
        <v>0</v>
      </c>
      <c r="R163" s="13">
        <f t="shared" si="34"/>
        <v>0</v>
      </c>
      <c r="S163" s="13">
        <f>SUM(E163:R163)</f>
        <v>17</v>
      </c>
      <c r="T163" s="5"/>
      <c r="U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5"/>
      <c r="U164" s="5"/>
    </row>
    <row r="165" ht="12.75" customHeight="1">
      <c r="A165" s="31" t="s">
        <v>36</v>
      </c>
      <c r="B165" s="50" t="s">
        <v>126</v>
      </c>
      <c r="C165" s="51" t="s">
        <v>127</v>
      </c>
      <c r="D165" s="16"/>
      <c r="E165" s="79">
        <v>0.0</v>
      </c>
      <c r="F165" s="79">
        <v>1.0</v>
      </c>
      <c r="G165" s="79">
        <v>1.0</v>
      </c>
      <c r="H165" s="79">
        <v>0.0</v>
      </c>
      <c r="I165" s="79">
        <v>0.0</v>
      </c>
      <c r="J165" s="79">
        <v>0.0</v>
      </c>
      <c r="K165" s="79">
        <v>0.0</v>
      </c>
      <c r="L165" s="79">
        <v>1.0</v>
      </c>
      <c r="M165" s="79">
        <v>2.0</v>
      </c>
      <c r="N165" s="79">
        <v>0.0</v>
      </c>
      <c r="O165" s="79">
        <v>0.0</v>
      </c>
      <c r="P165" s="79">
        <v>0.0</v>
      </c>
      <c r="Q165" s="79">
        <v>0.0</v>
      </c>
      <c r="R165" s="79">
        <v>0.0</v>
      </c>
      <c r="S165" s="13">
        <f t="shared" ref="S165:S166" si="35">SUM(E165:R165)</f>
        <v>5</v>
      </c>
      <c r="T165" s="1"/>
      <c r="U165" s="1"/>
    </row>
    <row r="166" ht="12.75" customHeight="1">
      <c r="A166" s="31" t="s">
        <v>38</v>
      </c>
      <c r="B166" s="58"/>
      <c r="C166" s="53" t="s">
        <v>128</v>
      </c>
      <c r="D166" s="61"/>
      <c r="E166" s="79">
        <v>0.0</v>
      </c>
      <c r="F166" s="79">
        <v>0.0</v>
      </c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0.0</v>
      </c>
      <c r="M166" s="79">
        <v>0.0</v>
      </c>
      <c r="N166" s="79">
        <v>0.0</v>
      </c>
      <c r="O166" s="79">
        <v>0.0</v>
      </c>
      <c r="P166" s="79">
        <v>0.0</v>
      </c>
      <c r="Q166" s="79">
        <v>1.0</v>
      </c>
      <c r="R166" s="79">
        <v>0.0</v>
      </c>
      <c r="S166" s="13">
        <f t="shared" si="35"/>
        <v>1</v>
      </c>
      <c r="T166" s="55"/>
      <c r="U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85"/>
      <c r="T167" s="5"/>
      <c r="U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85"/>
      <c r="T168" s="5"/>
      <c r="U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85"/>
      <c r="T169" s="5"/>
      <c r="U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85"/>
      <c r="T170" s="5"/>
      <c r="U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85"/>
      <c r="T171" s="5"/>
      <c r="U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85"/>
      <c r="T172" s="5"/>
      <c r="U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85"/>
      <c r="T173" s="5"/>
      <c r="U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85"/>
      <c r="T174" s="5"/>
      <c r="U174" s="5"/>
    </row>
    <row r="175" ht="12.75" customHeight="1">
      <c r="A175" s="19" t="s">
        <v>14</v>
      </c>
      <c r="B175" s="50" t="s">
        <v>48</v>
      </c>
      <c r="C175" s="15"/>
      <c r="D175" s="16"/>
      <c r="E175" s="13">
        <f t="shared" ref="E175:R175" si="36">SUM(E165:E174)</f>
        <v>0</v>
      </c>
      <c r="F175" s="13">
        <f t="shared" si="36"/>
        <v>1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2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1</v>
      </c>
      <c r="R175" s="13">
        <f t="shared" si="36"/>
        <v>0</v>
      </c>
      <c r="S175" s="13">
        <f>SUM(E175:R175)</f>
        <v>6</v>
      </c>
      <c r="T175" s="5"/>
      <c r="U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1"/>
      <c r="U176" s="1"/>
    </row>
    <row r="177" ht="12.75" customHeight="1">
      <c r="A177" s="31" t="s">
        <v>36</v>
      </c>
      <c r="B177" s="50" t="s">
        <v>129</v>
      </c>
      <c r="C177" s="51" t="s">
        <v>130</v>
      </c>
      <c r="D177" s="16"/>
      <c r="E177" s="79">
        <v>0.0</v>
      </c>
      <c r="F177" s="79">
        <v>1.0</v>
      </c>
      <c r="G177" s="79">
        <v>0.0</v>
      </c>
      <c r="H177" s="79">
        <v>0.0</v>
      </c>
      <c r="I177" s="79">
        <v>2.0</v>
      </c>
      <c r="J177" s="79">
        <v>0.0</v>
      </c>
      <c r="K177" s="79">
        <v>0.0</v>
      </c>
      <c r="L177" s="79">
        <v>0.0</v>
      </c>
      <c r="M177" s="79">
        <v>0.0</v>
      </c>
      <c r="N177" s="79">
        <v>0.0</v>
      </c>
      <c r="O177" s="79">
        <v>0.0</v>
      </c>
      <c r="P177" s="79">
        <v>0.0</v>
      </c>
      <c r="Q177" s="79">
        <v>1.0</v>
      </c>
      <c r="R177" s="79">
        <v>1.0</v>
      </c>
      <c r="S177" s="13">
        <f t="shared" ref="S177:S187" si="37">SUM(E177:R177)</f>
        <v>5</v>
      </c>
    </row>
    <row r="178" ht="12.75" customHeight="1">
      <c r="A178" s="31" t="s">
        <v>38</v>
      </c>
      <c r="B178" s="58"/>
      <c r="C178" s="53" t="s">
        <v>131</v>
      </c>
      <c r="D178" s="61"/>
      <c r="E178" s="79">
        <v>0.0</v>
      </c>
      <c r="F178" s="79">
        <v>0.0</v>
      </c>
      <c r="G178" s="79">
        <v>0.0</v>
      </c>
      <c r="H178" s="79">
        <v>0.0</v>
      </c>
      <c r="I178" s="79">
        <v>0.0</v>
      </c>
      <c r="J178" s="79">
        <v>0.0</v>
      </c>
      <c r="K178" s="79">
        <v>0.0</v>
      </c>
      <c r="L178" s="79">
        <v>0.0</v>
      </c>
      <c r="M178" s="79">
        <v>0.0</v>
      </c>
      <c r="N178" s="79">
        <v>0.0</v>
      </c>
      <c r="O178" s="79">
        <v>2.0</v>
      </c>
      <c r="P178" s="79">
        <v>0.0</v>
      </c>
      <c r="Q178" s="79">
        <v>0.0</v>
      </c>
      <c r="R178" s="79">
        <v>0.0</v>
      </c>
      <c r="S178" s="13">
        <f t="shared" si="37"/>
        <v>2</v>
      </c>
      <c r="T178" s="5"/>
      <c r="U178" s="5"/>
    </row>
    <row r="179" ht="12.75" customHeight="1">
      <c r="A179" s="18"/>
      <c r="B179" s="58"/>
      <c r="C179" s="53" t="s">
        <v>132</v>
      </c>
      <c r="D179" s="61"/>
      <c r="E179" s="79">
        <v>1.0</v>
      </c>
      <c r="F179" s="79">
        <v>0.0</v>
      </c>
      <c r="G179" s="79">
        <v>0.0</v>
      </c>
      <c r="H179" s="79">
        <v>0.0</v>
      </c>
      <c r="I179" s="79">
        <v>0.0</v>
      </c>
      <c r="J179" s="79">
        <v>1.0</v>
      </c>
      <c r="K179" s="79">
        <v>0.0</v>
      </c>
      <c r="L179" s="79">
        <v>0.0</v>
      </c>
      <c r="M179" s="79">
        <v>0.0</v>
      </c>
      <c r="N179" s="79">
        <v>0.0</v>
      </c>
      <c r="O179" s="79">
        <v>0.0</v>
      </c>
      <c r="P179" s="79">
        <v>0.0</v>
      </c>
      <c r="Q179" s="79">
        <v>0.0</v>
      </c>
      <c r="R179" s="79">
        <v>0.0</v>
      </c>
      <c r="S179" s="13">
        <f t="shared" si="37"/>
        <v>2</v>
      </c>
      <c r="T179" s="5"/>
      <c r="U179" s="5"/>
    </row>
    <row r="180" ht="12.75" customHeight="1">
      <c r="A180" s="18"/>
      <c r="B180" s="58"/>
      <c r="C180" s="53" t="s">
        <v>133</v>
      </c>
      <c r="D180" s="61"/>
      <c r="E180" s="79">
        <v>0.0</v>
      </c>
      <c r="F180" s="79">
        <v>0.0</v>
      </c>
      <c r="G180" s="79">
        <v>0.0</v>
      </c>
      <c r="H180" s="79">
        <v>0.0</v>
      </c>
      <c r="I180" s="79">
        <v>0.0</v>
      </c>
      <c r="J180" s="79">
        <v>0.0</v>
      </c>
      <c r="K180" s="79">
        <v>0.0</v>
      </c>
      <c r="L180" s="79">
        <v>0.0</v>
      </c>
      <c r="M180" s="79">
        <v>0.0</v>
      </c>
      <c r="N180" s="79">
        <v>0.0</v>
      </c>
      <c r="O180" s="79">
        <v>1.0</v>
      </c>
      <c r="P180" s="79">
        <v>0.0</v>
      </c>
      <c r="Q180" s="79">
        <v>1.0</v>
      </c>
      <c r="R180" s="79">
        <v>0.0</v>
      </c>
      <c r="S180" s="13">
        <f t="shared" si="37"/>
        <v>2</v>
      </c>
      <c r="T180" s="5"/>
      <c r="U180" s="5"/>
    </row>
    <row r="181" ht="12.75" customHeight="1">
      <c r="A181" s="18"/>
      <c r="B181" s="58"/>
      <c r="C181" s="53" t="s">
        <v>134</v>
      </c>
      <c r="D181" s="61"/>
      <c r="E181" s="79">
        <v>0.0</v>
      </c>
      <c r="F181" s="79">
        <v>0.0</v>
      </c>
      <c r="G181" s="79">
        <v>1.0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0.0</v>
      </c>
      <c r="N181" s="79">
        <v>0.0</v>
      </c>
      <c r="O181" s="79">
        <v>1.0</v>
      </c>
      <c r="P181" s="79">
        <v>0.0</v>
      </c>
      <c r="Q181" s="79">
        <v>0.0</v>
      </c>
      <c r="R181" s="79">
        <v>0.0</v>
      </c>
      <c r="S181" s="13">
        <f t="shared" si="37"/>
        <v>2</v>
      </c>
      <c r="T181" s="5"/>
      <c r="U181" s="5"/>
    </row>
    <row r="182" ht="12.75" customHeight="1">
      <c r="A182" s="18"/>
      <c r="B182" s="58"/>
      <c r="C182" s="53" t="s">
        <v>135</v>
      </c>
      <c r="D182" s="61"/>
      <c r="E182" s="79">
        <v>1.0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79">
        <v>0.0</v>
      </c>
      <c r="O182" s="79">
        <v>0.0</v>
      </c>
      <c r="P182" s="79">
        <v>0.0</v>
      </c>
      <c r="Q182" s="79">
        <v>0.0</v>
      </c>
      <c r="R182" s="79">
        <v>0.0</v>
      </c>
      <c r="S182" s="13">
        <f t="shared" si="37"/>
        <v>1</v>
      </c>
      <c r="T182" s="5"/>
      <c r="U182" s="5"/>
    </row>
    <row r="183" ht="12.75" customHeight="1">
      <c r="A183" s="18"/>
      <c r="B183" s="58"/>
      <c r="C183" s="53" t="s">
        <v>136</v>
      </c>
      <c r="D183" s="61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>
        <v>0.0</v>
      </c>
      <c r="R183" s="79">
        <v>0.0</v>
      </c>
      <c r="S183" s="13">
        <f t="shared" si="37"/>
        <v>0</v>
      </c>
      <c r="T183" s="5"/>
      <c r="U183" s="5"/>
    </row>
    <row r="184" ht="12.75" customHeight="1">
      <c r="A184" s="18"/>
      <c r="B184" s="58"/>
      <c r="C184" s="53" t="s">
        <v>137</v>
      </c>
      <c r="D184" s="61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13">
        <f t="shared" si="37"/>
        <v>0</v>
      </c>
      <c r="T184" s="5"/>
      <c r="U184" s="5"/>
    </row>
    <row r="185" ht="12.75" customHeight="1">
      <c r="A185" s="18"/>
      <c r="B185" s="58"/>
      <c r="C185" s="53" t="s">
        <v>138</v>
      </c>
      <c r="D185" s="61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1.0</v>
      </c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13">
        <f t="shared" si="37"/>
        <v>1</v>
      </c>
      <c r="T185" s="5"/>
      <c r="U185" s="5"/>
    </row>
    <row r="186" ht="12.75" customHeight="1">
      <c r="A186" s="18"/>
      <c r="B186" s="58"/>
      <c r="C186" s="53" t="s">
        <v>139</v>
      </c>
      <c r="D186" s="61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13">
        <f t="shared" si="37"/>
        <v>0</v>
      </c>
      <c r="T186" s="5"/>
      <c r="U186" s="5"/>
    </row>
    <row r="187" ht="12.75" customHeight="1">
      <c r="A187" s="19" t="s">
        <v>14</v>
      </c>
      <c r="B187" s="50" t="s">
        <v>48</v>
      </c>
      <c r="C187" s="15"/>
      <c r="D187" s="16"/>
      <c r="E187" s="13">
        <f t="shared" ref="E187:R187" si="38">SUM(E177:E186)</f>
        <v>2</v>
      </c>
      <c r="F187" s="13">
        <f t="shared" si="38"/>
        <v>1</v>
      </c>
      <c r="G187" s="13">
        <f t="shared" si="38"/>
        <v>1</v>
      </c>
      <c r="H187" s="13">
        <f t="shared" si="38"/>
        <v>0</v>
      </c>
      <c r="I187" s="13">
        <f t="shared" si="38"/>
        <v>2</v>
      </c>
      <c r="J187" s="13">
        <f t="shared" si="38"/>
        <v>1</v>
      </c>
      <c r="K187" s="13">
        <f t="shared" si="38"/>
        <v>0</v>
      </c>
      <c r="L187" s="13">
        <f t="shared" si="38"/>
        <v>1</v>
      </c>
      <c r="M187" s="13">
        <f t="shared" si="38"/>
        <v>0</v>
      </c>
      <c r="N187" s="13">
        <f t="shared" si="38"/>
        <v>0</v>
      </c>
      <c r="O187" s="13">
        <f t="shared" si="38"/>
        <v>4</v>
      </c>
      <c r="P187" s="13">
        <f t="shared" si="38"/>
        <v>0</v>
      </c>
      <c r="Q187" s="13">
        <f t="shared" si="38"/>
        <v>2</v>
      </c>
      <c r="R187" s="13">
        <f t="shared" si="38"/>
        <v>1</v>
      </c>
      <c r="S187" s="13">
        <f t="shared" si="37"/>
        <v>15</v>
      </c>
      <c r="T187" s="1"/>
      <c r="U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13"/>
    </row>
    <row r="189" ht="12.75" customHeight="1">
      <c r="A189" s="31" t="s">
        <v>36</v>
      </c>
      <c r="B189" s="50" t="s">
        <v>140</v>
      </c>
      <c r="C189" s="51" t="s">
        <v>141</v>
      </c>
      <c r="D189" s="16"/>
      <c r="E189" s="79">
        <v>0.0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79">
        <v>1.0</v>
      </c>
      <c r="O189" s="79">
        <v>0.0</v>
      </c>
      <c r="P189" s="79">
        <v>0.0</v>
      </c>
      <c r="Q189" s="79">
        <v>0.0</v>
      </c>
      <c r="R189" s="79">
        <v>0.0</v>
      </c>
      <c r="S189" s="13">
        <f t="shared" ref="S189:S199" si="39">SUM(E189:R189)</f>
        <v>1</v>
      </c>
      <c r="T189" s="5"/>
      <c r="U189" s="5"/>
    </row>
    <row r="190" ht="12.75" customHeight="1">
      <c r="A190" s="31" t="s">
        <v>38</v>
      </c>
      <c r="B190" s="58"/>
      <c r="C190" s="53" t="s">
        <v>142</v>
      </c>
      <c r="D190" s="61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>
        <v>0.0</v>
      </c>
      <c r="R190" s="79">
        <v>0.0</v>
      </c>
      <c r="S190" s="13">
        <f t="shared" si="39"/>
        <v>0</v>
      </c>
      <c r="T190" s="5"/>
      <c r="U190" s="5"/>
    </row>
    <row r="191" ht="12.75" customHeight="1">
      <c r="A191" s="18"/>
      <c r="B191" s="58"/>
      <c r="C191" s="53" t="s">
        <v>143</v>
      </c>
      <c r="D191" s="61"/>
      <c r="E191" s="79">
        <v>1.0</v>
      </c>
      <c r="F191" s="79">
        <v>1.0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13">
        <f t="shared" si="39"/>
        <v>2</v>
      </c>
      <c r="T191" s="5"/>
      <c r="U191" s="5"/>
    </row>
    <row r="192" ht="12.75" customHeight="1">
      <c r="A192" s="18"/>
      <c r="B192" s="58"/>
      <c r="C192" s="53" t="s">
        <v>144</v>
      </c>
      <c r="D192" s="61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79">
        <v>0.0</v>
      </c>
      <c r="S192" s="13">
        <f t="shared" si="39"/>
        <v>0</v>
      </c>
      <c r="T192" s="5"/>
      <c r="U192" s="5"/>
    </row>
    <row r="193" ht="12.75" customHeight="1">
      <c r="A193" s="18"/>
      <c r="B193" s="58"/>
      <c r="C193" s="53" t="s">
        <v>145</v>
      </c>
      <c r="D193" s="61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79">
        <v>0.0</v>
      </c>
      <c r="R193" s="79">
        <v>0.0</v>
      </c>
      <c r="S193" s="13">
        <f t="shared" si="39"/>
        <v>0</v>
      </c>
      <c r="T193" s="5"/>
      <c r="U193" s="5"/>
    </row>
    <row r="194" ht="12.75" customHeight="1">
      <c r="A194" s="18"/>
      <c r="B194" s="58"/>
      <c r="C194" s="53" t="s">
        <v>146</v>
      </c>
      <c r="D194" s="61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>
        <v>0.0</v>
      </c>
      <c r="R194" s="79">
        <v>0.0</v>
      </c>
      <c r="S194" s="13">
        <f t="shared" si="39"/>
        <v>0</v>
      </c>
      <c r="T194" s="5"/>
      <c r="U194" s="5"/>
    </row>
    <row r="195" ht="12.75" customHeight="1">
      <c r="A195" s="18"/>
      <c r="B195" s="58"/>
      <c r="C195" s="53" t="s">
        <v>147</v>
      </c>
      <c r="D195" s="61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13">
        <f t="shared" si="39"/>
        <v>0</v>
      </c>
      <c r="T195" s="5"/>
      <c r="U195" s="5"/>
    </row>
    <row r="196" ht="12.75" customHeight="1">
      <c r="A196" s="18"/>
      <c r="B196" s="58"/>
      <c r="C196" s="53" t="s">
        <v>148</v>
      </c>
      <c r="D196" s="61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>
        <v>0.0</v>
      </c>
      <c r="R196" s="79">
        <v>0.0</v>
      </c>
      <c r="S196" s="13">
        <f t="shared" si="39"/>
        <v>0</v>
      </c>
      <c r="T196" s="1"/>
      <c r="U196" s="1"/>
    </row>
    <row r="197" ht="12.75" customHeight="1">
      <c r="A197" s="18"/>
      <c r="B197" s="58"/>
      <c r="C197" s="53" t="s">
        <v>149</v>
      </c>
      <c r="D197" s="61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13">
        <f t="shared" si="39"/>
        <v>0</v>
      </c>
      <c r="T197" s="1"/>
      <c r="U197" s="1"/>
    </row>
    <row r="198" ht="12.75" customHeight="1">
      <c r="A198" s="18"/>
      <c r="B198" s="58"/>
      <c r="C198" s="53" t="s">
        <v>150</v>
      </c>
      <c r="D198" s="61"/>
      <c r="E198" s="79">
        <v>0.0</v>
      </c>
      <c r="F198" s="79">
        <v>0.0</v>
      </c>
      <c r="G198" s="79">
        <v>0.0</v>
      </c>
      <c r="H198" s="79">
        <v>1.0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13">
        <f t="shared" si="39"/>
        <v>1</v>
      </c>
      <c r="T198" s="1"/>
      <c r="U198" s="1"/>
    </row>
    <row r="199" ht="12.75" customHeight="1">
      <c r="A199" s="19" t="s">
        <v>14</v>
      </c>
      <c r="B199" s="50" t="s">
        <v>48</v>
      </c>
      <c r="C199" s="15"/>
      <c r="D199" s="16"/>
      <c r="E199" s="13">
        <f t="shared" ref="E199:R199" si="40">SUM(E189:E198)</f>
        <v>1</v>
      </c>
      <c r="F199" s="13">
        <f t="shared" si="40"/>
        <v>1</v>
      </c>
      <c r="G199" s="13">
        <f t="shared" si="40"/>
        <v>0</v>
      </c>
      <c r="H199" s="13">
        <f t="shared" si="40"/>
        <v>1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1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39"/>
        <v>4</v>
      </c>
      <c r="T199" s="55"/>
      <c r="U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5"/>
      <c r="U200" s="5"/>
    </row>
    <row r="201" ht="12.75" customHeight="1">
      <c r="A201" s="31" t="s">
        <v>36</v>
      </c>
      <c r="B201" s="50" t="s">
        <v>151</v>
      </c>
      <c r="C201" s="51" t="s">
        <v>152</v>
      </c>
      <c r="D201" s="16"/>
      <c r="E201" s="79">
        <v>2.0</v>
      </c>
      <c r="F201" s="79">
        <v>3.0</v>
      </c>
      <c r="G201" s="79">
        <v>2.0</v>
      </c>
      <c r="H201" s="79">
        <v>8.0</v>
      </c>
      <c r="I201" s="79">
        <v>4.0</v>
      </c>
      <c r="J201" s="79">
        <v>3.0</v>
      </c>
      <c r="K201" s="79">
        <v>2.0</v>
      </c>
      <c r="L201" s="79">
        <v>4.0</v>
      </c>
      <c r="M201" s="79">
        <v>0.0</v>
      </c>
      <c r="N201" s="79">
        <v>9.0</v>
      </c>
      <c r="O201" s="79">
        <v>2.0</v>
      </c>
      <c r="P201" s="79">
        <v>1.0</v>
      </c>
      <c r="Q201" s="79">
        <v>2.0</v>
      </c>
      <c r="R201" s="79">
        <v>17.0</v>
      </c>
      <c r="S201" s="13">
        <f t="shared" ref="S201:S211" si="41">SUM(E201:R201)</f>
        <v>59</v>
      </c>
      <c r="T201" s="5"/>
      <c r="U201" s="5"/>
    </row>
    <row r="202" ht="12.75" customHeight="1">
      <c r="A202" s="31" t="s">
        <v>38</v>
      </c>
      <c r="B202" s="58"/>
      <c r="C202" s="53" t="s">
        <v>153</v>
      </c>
      <c r="D202" s="61"/>
      <c r="E202" s="79">
        <v>4.0</v>
      </c>
      <c r="F202" s="79">
        <v>1.0</v>
      </c>
      <c r="G202" s="79">
        <v>1.0</v>
      </c>
      <c r="H202" s="79">
        <v>7.0</v>
      </c>
      <c r="I202" s="79">
        <v>7.0</v>
      </c>
      <c r="J202" s="79">
        <v>5.0</v>
      </c>
      <c r="K202" s="79">
        <v>5.0</v>
      </c>
      <c r="L202" s="79">
        <v>4.0</v>
      </c>
      <c r="M202" s="79">
        <v>5.0</v>
      </c>
      <c r="N202" s="79">
        <v>27.0</v>
      </c>
      <c r="O202" s="79">
        <v>18.0</v>
      </c>
      <c r="P202" s="79">
        <v>9.0</v>
      </c>
      <c r="Q202" s="79">
        <v>1.0</v>
      </c>
      <c r="R202" s="79">
        <v>11.0</v>
      </c>
      <c r="S202" s="13">
        <f t="shared" si="41"/>
        <v>105</v>
      </c>
      <c r="T202" s="5"/>
      <c r="U202" s="5"/>
    </row>
    <row r="203" ht="12.75" customHeight="1">
      <c r="A203" s="18"/>
      <c r="B203" s="58"/>
      <c r="C203" s="53" t="s">
        <v>154</v>
      </c>
      <c r="D203" s="61"/>
      <c r="E203" s="79">
        <v>1.0</v>
      </c>
      <c r="F203" s="79">
        <v>1.0</v>
      </c>
      <c r="G203" s="79">
        <v>1.0</v>
      </c>
      <c r="H203" s="79">
        <v>5.0</v>
      </c>
      <c r="I203" s="79">
        <v>1.0</v>
      </c>
      <c r="J203" s="79">
        <v>3.0</v>
      </c>
      <c r="K203" s="79">
        <v>0.0</v>
      </c>
      <c r="L203" s="79">
        <v>1.0</v>
      </c>
      <c r="M203" s="79">
        <v>0.0</v>
      </c>
      <c r="N203" s="79">
        <v>4.0</v>
      </c>
      <c r="O203" s="79">
        <v>0.0</v>
      </c>
      <c r="P203" s="79">
        <v>0.0</v>
      </c>
      <c r="Q203" s="79">
        <v>2.0</v>
      </c>
      <c r="R203" s="79">
        <v>4.0</v>
      </c>
      <c r="S203" s="13">
        <f t="shared" si="41"/>
        <v>23</v>
      </c>
      <c r="T203" s="5"/>
      <c r="U203" s="5"/>
    </row>
    <row r="204" ht="12.75" customHeight="1">
      <c r="A204" s="18"/>
      <c r="B204" s="58"/>
      <c r="C204" s="53" t="s">
        <v>155</v>
      </c>
      <c r="D204" s="61"/>
      <c r="E204" s="79">
        <v>0.0</v>
      </c>
      <c r="F204" s="79">
        <v>1.0</v>
      </c>
      <c r="G204" s="79">
        <v>0.0</v>
      </c>
      <c r="H204" s="79">
        <v>0.0</v>
      </c>
      <c r="I204" s="79">
        <v>1.0</v>
      </c>
      <c r="J204" s="79">
        <v>1.0</v>
      </c>
      <c r="K204" s="79">
        <v>0.0</v>
      </c>
      <c r="L204" s="79">
        <v>1.0</v>
      </c>
      <c r="M204" s="79">
        <v>0.0</v>
      </c>
      <c r="N204" s="79">
        <v>1.0</v>
      </c>
      <c r="O204" s="79">
        <v>0.0</v>
      </c>
      <c r="P204" s="79">
        <v>1.0</v>
      </c>
      <c r="Q204" s="79">
        <v>1.0</v>
      </c>
      <c r="R204" s="79">
        <v>2.0</v>
      </c>
      <c r="S204" s="13">
        <f t="shared" si="41"/>
        <v>9</v>
      </c>
      <c r="T204" s="5"/>
      <c r="U204" s="5"/>
    </row>
    <row r="205" ht="12.75" customHeight="1">
      <c r="A205" s="18"/>
      <c r="B205" s="58"/>
      <c r="C205" s="53" t="s">
        <v>156</v>
      </c>
      <c r="D205" s="61"/>
      <c r="E205" s="79">
        <v>0.0</v>
      </c>
      <c r="F205" s="79">
        <v>0.0</v>
      </c>
      <c r="G205" s="79">
        <v>0.0</v>
      </c>
      <c r="H205" s="79">
        <v>1.0</v>
      </c>
      <c r="I205" s="79">
        <v>1.0</v>
      </c>
      <c r="J205" s="79">
        <v>0.0</v>
      </c>
      <c r="K205" s="79">
        <v>0.0</v>
      </c>
      <c r="L205" s="79">
        <v>1.0</v>
      </c>
      <c r="M205" s="79">
        <v>0.0</v>
      </c>
      <c r="N205" s="79">
        <v>1.0</v>
      </c>
      <c r="O205" s="79">
        <v>1.0</v>
      </c>
      <c r="P205" s="79">
        <v>0.0</v>
      </c>
      <c r="Q205" s="79">
        <v>0.0</v>
      </c>
      <c r="R205" s="79">
        <v>0.0</v>
      </c>
      <c r="S205" s="13">
        <f t="shared" si="41"/>
        <v>5</v>
      </c>
      <c r="T205" s="5"/>
      <c r="U205" s="5"/>
    </row>
    <row r="206" ht="12.75" customHeight="1">
      <c r="A206" s="18"/>
      <c r="B206" s="58"/>
      <c r="C206" s="53" t="s">
        <v>157</v>
      </c>
      <c r="D206" s="61"/>
      <c r="E206" s="79">
        <v>0.0</v>
      </c>
      <c r="F206" s="79">
        <v>0.0</v>
      </c>
      <c r="G206" s="79">
        <v>0.0</v>
      </c>
      <c r="H206" s="79">
        <v>1.0</v>
      </c>
      <c r="I206" s="79">
        <v>0.0</v>
      </c>
      <c r="J206" s="79">
        <v>0.0</v>
      </c>
      <c r="K206" s="79">
        <v>0.0</v>
      </c>
      <c r="L206" s="79">
        <v>0.0</v>
      </c>
      <c r="M206" s="79">
        <v>0.0</v>
      </c>
      <c r="N206" s="79">
        <v>0.0</v>
      </c>
      <c r="O206" s="79">
        <v>0.0</v>
      </c>
      <c r="P206" s="79">
        <v>0.0</v>
      </c>
      <c r="Q206" s="79">
        <v>0.0</v>
      </c>
      <c r="R206" s="79">
        <v>1.0</v>
      </c>
      <c r="S206" s="13">
        <f t="shared" si="41"/>
        <v>2</v>
      </c>
      <c r="T206" s="5"/>
      <c r="U206" s="5"/>
    </row>
    <row r="207" ht="12.75" customHeight="1">
      <c r="A207" s="18"/>
      <c r="B207" s="58"/>
      <c r="C207" s="53" t="s">
        <v>158</v>
      </c>
      <c r="D207" s="61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1.0</v>
      </c>
      <c r="O207" s="79">
        <v>0.0</v>
      </c>
      <c r="P207" s="79">
        <v>0.0</v>
      </c>
      <c r="Q207" s="79">
        <v>0.0</v>
      </c>
      <c r="R207" s="79">
        <v>2.0</v>
      </c>
      <c r="S207" s="13">
        <f t="shared" si="41"/>
        <v>3</v>
      </c>
      <c r="T207" s="1"/>
      <c r="U207" s="1"/>
    </row>
    <row r="208" ht="12.75" customHeight="1">
      <c r="A208" s="18"/>
      <c r="B208" s="58"/>
      <c r="C208" s="53" t="s">
        <v>159</v>
      </c>
      <c r="D208" s="61"/>
      <c r="E208" s="79">
        <v>1.0</v>
      </c>
      <c r="F208" s="79">
        <v>0.0</v>
      </c>
      <c r="G208" s="79">
        <v>0.0</v>
      </c>
      <c r="H208" s="79">
        <v>0.0</v>
      </c>
      <c r="I208" s="79">
        <v>0.0</v>
      </c>
      <c r="J208" s="79">
        <v>0.0</v>
      </c>
      <c r="K208" s="79">
        <v>2.0</v>
      </c>
      <c r="L208" s="79">
        <v>0.0</v>
      </c>
      <c r="M208" s="79">
        <v>0.0</v>
      </c>
      <c r="N208" s="79">
        <v>0.0</v>
      </c>
      <c r="O208" s="79">
        <v>0.0</v>
      </c>
      <c r="P208" s="79">
        <v>0.0</v>
      </c>
      <c r="Q208" s="79">
        <v>0.0</v>
      </c>
      <c r="R208" s="79">
        <v>1.0</v>
      </c>
      <c r="S208" s="13">
        <f t="shared" si="41"/>
        <v>4</v>
      </c>
      <c r="T208" s="55"/>
      <c r="U208" s="55"/>
    </row>
    <row r="209" ht="12.75" customHeight="1">
      <c r="A209" s="18"/>
      <c r="B209" s="58"/>
      <c r="C209" s="53" t="s">
        <v>160</v>
      </c>
      <c r="D209" s="61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13">
        <f t="shared" si="41"/>
        <v>0</v>
      </c>
      <c r="T209" s="55"/>
      <c r="U209" s="55"/>
    </row>
    <row r="210" ht="12.75" customHeight="1">
      <c r="A210" s="18"/>
      <c r="B210" s="58"/>
      <c r="C210" s="53" t="s">
        <v>161</v>
      </c>
      <c r="D210" s="61"/>
      <c r="E210" s="79">
        <v>0.0</v>
      </c>
      <c r="F210" s="79">
        <v>1.0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79">
        <v>0.0</v>
      </c>
      <c r="R210" s="79">
        <v>1.0</v>
      </c>
      <c r="S210" s="13">
        <f t="shared" si="41"/>
        <v>2</v>
      </c>
      <c r="T210" s="55"/>
      <c r="U210" s="55"/>
    </row>
    <row r="211" ht="12.75" customHeight="1">
      <c r="A211" s="19" t="s">
        <v>14</v>
      </c>
      <c r="B211" s="50" t="s">
        <v>48</v>
      </c>
      <c r="C211" s="15"/>
      <c r="D211" s="16"/>
      <c r="E211" s="13">
        <f t="shared" ref="E211:R211" si="42">SUM(E201:E210)</f>
        <v>8</v>
      </c>
      <c r="F211" s="13">
        <f t="shared" si="42"/>
        <v>7</v>
      </c>
      <c r="G211" s="13">
        <f t="shared" si="42"/>
        <v>4</v>
      </c>
      <c r="H211" s="13">
        <f t="shared" si="42"/>
        <v>22</v>
      </c>
      <c r="I211" s="13">
        <f t="shared" si="42"/>
        <v>14</v>
      </c>
      <c r="J211" s="13">
        <f t="shared" si="42"/>
        <v>12</v>
      </c>
      <c r="K211" s="13">
        <f t="shared" si="42"/>
        <v>9</v>
      </c>
      <c r="L211" s="13">
        <f t="shared" si="42"/>
        <v>11</v>
      </c>
      <c r="M211" s="13">
        <f t="shared" si="42"/>
        <v>5</v>
      </c>
      <c r="N211" s="13">
        <f t="shared" si="42"/>
        <v>43</v>
      </c>
      <c r="O211" s="13">
        <f t="shared" si="42"/>
        <v>21</v>
      </c>
      <c r="P211" s="13">
        <f t="shared" si="42"/>
        <v>11</v>
      </c>
      <c r="Q211" s="13">
        <f t="shared" si="42"/>
        <v>6</v>
      </c>
      <c r="R211" s="13">
        <f t="shared" si="42"/>
        <v>39</v>
      </c>
      <c r="S211" s="13">
        <f t="shared" si="41"/>
        <v>212</v>
      </c>
      <c r="T211" s="5"/>
      <c r="U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5"/>
      <c r="U212" s="5"/>
    </row>
    <row r="213" ht="12.75" customHeight="1">
      <c r="A213" s="31" t="s">
        <v>36</v>
      </c>
      <c r="B213" s="50" t="s">
        <v>162</v>
      </c>
      <c r="C213" s="51" t="s">
        <v>163</v>
      </c>
      <c r="D213" s="16"/>
      <c r="E213" s="79">
        <v>0.0</v>
      </c>
      <c r="F213" s="79">
        <v>0.0</v>
      </c>
      <c r="G213" s="79">
        <v>0.0</v>
      </c>
      <c r="H213" s="79">
        <v>1.0</v>
      </c>
      <c r="I213" s="79">
        <v>0.0</v>
      </c>
      <c r="J213" s="79">
        <v>3.0</v>
      </c>
      <c r="K213" s="79">
        <v>0.0</v>
      </c>
      <c r="L213" s="79">
        <v>2.0</v>
      </c>
      <c r="M213" s="79">
        <v>1.0</v>
      </c>
      <c r="N213" s="79">
        <v>1.0</v>
      </c>
      <c r="O213" s="79">
        <v>0.0</v>
      </c>
      <c r="P213" s="79">
        <v>0.0</v>
      </c>
      <c r="Q213" s="79">
        <v>1.0</v>
      </c>
      <c r="R213" s="79">
        <v>0.0</v>
      </c>
      <c r="S213" s="13">
        <f t="shared" ref="S213:S216" si="43">SUM(E213:R213)</f>
        <v>9</v>
      </c>
      <c r="T213" s="5"/>
      <c r="U213" s="5"/>
    </row>
    <row r="214" ht="12.75" customHeight="1">
      <c r="A214" s="31" t="s">
        <v>38</v>
      </c>
      <c r="B214" s="58"/>
      <c r="C214" s="53" t="s">
        <v>164</v>
      </c>
      <c r="D214" s="60"/>
      <c r="E214" s="79">
        <v>2.0</v>
      </c>
      <c r="F214" s="79">
        <v>0.0</v>
      </c>
      <c r="G214" s="79">
        <v>0.0</v>
      </c>
      <c r="H214" s="79">
        <v>0.0</v>
      </c>
      <c r="I214" s="79">
        <v>1.0</v>
      </c>
      <c r="J214" s="79">
        <v>0.0</v>
      </c>
      <c r="K214" s="79">
        <v>1.0</v>
      </c>
      <c r="L214" s="79">
        <v>0.0</v>
      </c>
      <c r="M214" s="79">
        <v>0.0</v>
      </c>
      <c r="N214" s="79">
        <v>1.0</v>
      </c>
      <c r="O214" s="79">
        <v>0.0</v>
      </c>
      <c r="P214" s="79">
        <v>0.0</v>
      </c>
      <c r="Q214" s="79">
        <v>0.0</v>
      </c>
      <c r="R214" s="79">
        <v>1.0</v>
      </c>
      <c r="S214" s="13">
        <f t="shared" si="43"/>
        <v>6</v>
      </c>
      <c r="T214" s="5"/>
      <c r="U214" s="5"/>
    </row>
    <row r="215" ht="12.75" customHeight="1">
      <c r="A215" s="18"/>
      <c r="B215" s="58"/>
      <c r="C215" s="53" t="s">
        <v>165</v>
      </c>
      <c r="D215" s="60"/>
      <c r="E215" s="79">
        <v>0.0</v>
      </c>
      <c r="F215" s="79">
        <v>0.0</v>
      </c>
      <c r="G215" s="79">
        <v>0.0</v>
      </c>
      <c r="H215" s="79">
        <v>0.0</v>
      </c>
      <c r="I215" s="79">
        <v>0.0</v>
      </c>
      <c r="J215" s="79">
        <v>0.0</v>
      </c>
      <c r="K215" s="79">
        <v>0.0</v>
      </c>
      <c r="L215" s="79">
        <v>0.0</v>
      </c>
      <c r="M215" s="79">
        <v>0.0</v>
      </c>
      <c r="N215" s="79">
        <v>0.0</v>
      </c>
      <c r="O215" s="79">
        <v>0.0</v>
      </c>
      <c r="P215" s="79">
        <v>0.0</v>
      </c>
      <c r="Q215" s="79">
        <v>1.0</v>
      </c>
      <c r="R215" s="79">
        <v>1.0</v>
      </c>
      <c r="S215" s="13">
        <f t="shared" si="43"/>
        <v>2</v>
      </c>
      <c r="T215" s="5"/>
      <c r="U215" s="5"/>
    </row>
    <row r="216" ht="12.75" customHeight="1">
      <c r="A216" s="18"/>
      <c r="B216" s="58"/>
      <c r="C216" s="53" t="s">
        <v>166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79">
        <v>0.0</v>
      </c>
      <c r="M216" s="79">
        <v>0.0</v>
      </c>
      <c r="N216" s="79">
        <v>0.0</v>
      </c>
      <c r="O216" s="79">
        <v>0.0</v>
      </c>
      <c r="P216" s="79">
        <v>0.0</v>
      </c>
      <c r="Q216" s="79">
        <v>0.0</v>
      </c>
      <c r="R216" s="79">
        <v>0.0</v>
      </c>
      <c r="S216" s="13">
        <f t="shared" si="43"/>
        <v>0</v>
      </c>
      <c r="T216" s="5"/>
      <c r="U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85"/>
      <c r="T217" s="5"/>
      <c r="U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85"/>
      <c r="T218" s="1"/>
      <c r="U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85"/>
      <c r="T219" s="55"/>
      <c r="U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85"/>
      <c r="T220" s="5"/>
      <c r="U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85"/>
      <c r="T221" s="5"/>
      <c r="U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85"/>
      <c r="T222" s="5"/>
      <c r="U222" s="5"/>
    </row>
    <row r="223" ht="12.75" customHeight="1">
      <c r="A223" s="19" t="s">
        <v>14</v>
      </c>
      <c r="B223" s="50" t="s">
        <v>48</v>
      </c>
      <c r="C223" s="15"/>
      <c r="D223" s="16"/>
      <c r="E223" s="13">
        <f t="shared" ref="E223:R223" si="44">SUM(E213:E222)</f>
        <v>2</v>
      </c>
      <c r="F223" s="13">
        <f t="shared" si="44"/>
        <v>0</v>
      </c>
      <c r="G223" s="13">
        <f t="shared" si="44"/>
        <v>0</v>
      </c>
      <c r="H223" s="13">
        <f t="shared" si="44"/>
        <v>1</v>
      </c>
      <c r="I223" s="13">
        <f t="shared" si="44"/>
        <v>1</v>
      </c>
      <c r="J223" s="13">
        <f t="shared" si="44"/>
        <v>3</v>
      </c>
      <c r="K223" s="13">
        <f t="shared" si="44"/>
        <v>1</v>
      </c>
      <c r="L223" s="13">
        <f t="shared" si="44"/>
        <v>2</v>
      </c>
      <c r="M223" s="13">
        <f t="shared" si="44"/>
        <v>1</v>
      </c>
      <c r="N223" s="13">
        <f t="shared" si="44"/>
        <v>2</v>
      </c>
      <c r="O223" s="13">
        <f t="shared" si="44"/>
        <v>0</v>
      </c>
      <c r="P223" s="13">
        <f t="shared" si="44"/>
        <v>0</v>
      </c>
      <c r="Q223" s="13">
        <f t="shared" si="44"/>
        <v>2</v>
      </c>
      <c r="R223" s="13">
        <f t="shared" si="44"/>
        <v>2</v>
      </c>
      <c r="S223" s="13">
        <f>SUM(E223:R223)</f>
        <v>17</v>
      </c>
      <c r="T223" s="5"/>
      <c r="U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5"/>
      <c r="U224" s="5"/>
    </row>
    <row r="225" ht="12.75" customHeight="1">
      <c r="A225" s="31" t="s">
        <v>36</v>
      </c>
      <c r="B225" s="50" t="s">
        <v>167</v>
      </c>
      <c r="C225" s="51" t="s">
        <v>168</v>
      </c>
      <c r="D225" s="16"/>
      <c r="E225" s="79">
        <v>0.0</v>
      </c>
      <c r="F225" s="79">
        <v>0.0</v>
      </c>
      <c r="G225" s="79">
        <v>1.0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1.0</v>
      </c>
      <c r="N225" s="79">
        <v>1.0</v>
      </c>
      <c r="O225" s="79">
        <v>0.0</v>
      </c>
      <c r="P225" s="79">
        <v>0.0</v>
      </c>
      <c r="Q225" s="79">
        <v>0.0</v>
      </c>
      <c r="R225" s="79">
        <v>0.0</v>
      </c>
      <c r="S225" s="13">
        <f t="shared" ref="S225:S229" si="45">SUM(E225:R225)</f>
        <v>3</v>
      </c>
      <c r="T225" s="5"/>
      <c r="U225" s="5"/>
    </row>
    <row r="226" ht="12.75" customHeight="1">
      <c r="A226" s="31" t="s">
        <v>38</v>
      </c>
      <c r="B226" s="58"/>
      <c r="C226" s="53" t="s">
        <v>169</v>
      </c>
      <c r="D226" s="61"/>
      <c r="E226" s="79">
        <v>1.0</v>
      </c>
      <c r="F226" s="79">
        <v>1.0</v>
      </c>
      <c r="G226" s="79">
        <v>2.0</v>
      </c>
      <c r="H226" s="79">
        <v>1.0</v>
      </c>
      <c r="I226" s="79">
        <v>0.0</v>
      </c>
      <c r="J226" s="79">
        <v>0.0</v>
      </c>
      <c r="K226" s="79">
        <v>1.0</v>
      </c>
      <c r="L226" s="79">
        <v>0.0</v>
      </c>
      <c r="M226" s="79">
        <v>0.0</v>
      </c>
      <c r="N226" s="79">
        <v>0.0</v>
      </c>
      <c r="O226" s="79">
        <v>0.0</v>
      </c>
      <c r="P226" s="79">
        <v>0.0</v>
      </c>
      <c r="Q226" s="79">
        <v>0.0</v>
      </c>
      <c r="R226" s="79">
        <v>1.0</v>
      </c>
      <c r="S226" s="13">
        <f t="shared" si="45"/>
        <v>7</v>
      </c>
      <c r="T226" s="5"/>
      <c r="U226" s="5"/>
    </row>
    <row r="227" ht="12.75" customHeight="1">
      <c r="A227" s="18"/>
      <c r="B227" s="58"/>
      <c r="C227" s="53" t="s">
        <v>170</v>
      </c>
      <c r="D227" s="61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79">
        <v>0.0</v>
      </c>
      <c r="Q227" s="79">
        <v>0.0</v>
      </c>
      <c r="R227" s="79">
        <v>0.0</v>
      </c>
      <c r="S227" s="13">
        <f t="shared" si="45"/>
        <v>0</v>
      </c>
      <c r="T227" s="5"/>
      <c r="U227" s="5"/>
    </row>
    <row r="228" ht="12.75" customHeight="1">
      <c r="A228" s="18"/>
      <c r="B228" s="58"/>
      <c r="C228" s="53" t="s">
        <v>171</v>
      </c>
      <c r="D228" s="61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>
        <v>0.0</v>
      </c>
      <c r="R228" s="79">
        <v>0.0</v>
      </c>
      <c r="S228" s="13">
        <f t="shared" si="45"/>
        <v>0</v>
      </c>
      <c r="T228" s="5"/>
      <c r="U228" s="5"/>
    </row>
    <row r="229" ht="12.75" customHeight="1">
      <c r="A229" s="18"/>
      <c r="B229" s="58"/>
      <c r="C229" s="53" t="s">
        <v>172</v>
      </c>
      <c r="D229" s="61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1.0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79">
        <v>0.0</v>
      </c>
      <c r="S229" s="13">
        <f t="shared" si="45"/>
        <v>1</v>
      </c>
      <c r="T229" s="1"/>
      <c r="U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85"/>
      <c r="T230" s="55"/>
      <c r="U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85"/>
      <c r="T231" s="5"/>
      <c r="U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85"/>
      <c r="T232" s="5"/>
      <c r="U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85"/>
      <c r="T233" s="5"/>
      <c r="U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85"/>
      <c r="T234" s="5"/>
      <c r="U234" s="5"/>
    </row>
    <row r="235" ht="12.75" customHeight="1">
      <c r="A235" s="19" t="s">
        <v>14</v>
      </c>
      <c r="B235" s="50" t="s">
        <v>48</v>
      </c>
      <c r="C235" s="15"/>
      <c r="D235" s="16"/>
      <c r="E235" s="13">
        <f t="shared" ref="E235:R235" si="46">SUM(E225:E234)</f>
        <v>1</v>
      </c>
      <c r="F235" s="13">
        <f t="shared" si="46"/>
        <v>1</v>
      </c>
      <c r="G235" s="13">
        <f t="shared" si="46"/>
        <v>3</v>
      </c>
      <c r="H235" s="13">
        <f t="shared" si="46"/>
        <v>1</v>
      </c>
      <c r="I235" s="13">
        <f t="shared" si="46"/>
        <v>0</v>
      </c>
      <c r="J235" s="13">
        <f t="shared" si="46"/>
        <v>1</v>
      </c>
      <c r="K235" s="13">
        <f t="shared" si="46"/>
        <v>1</v>
      </c>
      <c r="L235" s="13">
        <f t="shared" si="46"/>
        <v>0</v>
      </c>
      <c r="M235" s="13">
        <f t="shared" si="46"/>
        <v>1</v>
      </c>
      <c r="N235" s="13">
        <f t="shared" si="46"/>
        <v>1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1</v>
      </c>
      <c r="S235" s="13">
        <f>SUM(E235:R235)</f>
        <v>11</v>
      </c>
      <c r="T235" s="5"/>
      <c r="U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5"/>
      <c r="U236" s="5"/>
    </row>
    <row r="237" ht="12.75" customHeight="1">
      <c r="A237" s="31" t="s">
        <v>36</v>
      </c>
      <c r="B237" s="50" t="s">
        <v>173</v>
      </c>
      <c r="C237" s="51" t="s">
        <v>174</v>
      </c>
      <c r="D237" s="16"/>
      <c r="E237" s="79">
        <v>2.0</v>
      </c>
      <c r="F237" s="79">
        <v>0.0</v>
      </c>
      <c r="G237" s="79">
        <v>2.0</v>
      </c>
      <c r="H237" s="79">
        <v>4.0</v>
      </c>
      <c r="I237" s="79">
        <v>0.0</v>
      </c>
      <c r="J237" s="79">
        <v>0.0</v>
      </c>
      <c r="K237" s="79">
        <v>0.0</v>
      </c>
      <c r="L237" s="79">
        <v>1.0</v>
      </c>
      <c r="M237" s="79">
        <v>0.0</v>
      </c>
      <c r="N237" s="79">
        <v>2.0</v>
      </c>
      <c r="O237" s="79">
        <v>0.0</v>
      </c>
      <c r="P237" s="79">
        <v>0.0</v>
      </c>
      <c r="Q237" s="79">
        <v>0.0</v>
      </c>
      <c r="R237" s="79">
        <v>2.0</v>
      </c>
      <c r="S237" s="13">
        <f t="shared" ref="S237:S247" si="47">SUM(E237:R237)</f>
        <v>13</v>
      </c>
      <c r="T237" s="5"/>
      <c r="U237" s="5"/>
    </row>
    <row r="238" ht="12.75" customHeight="1">
      <c r="A238" s="31" t="s">
        <v>38</v>
      </c>
      <c r="B238" s="58"/>
      <c r="C238" s="53" t="s">
        <v>175</v>
      </c>
      <c r="D238" s="61"/>
      <c r="E238" s="79">
        <v>4.0</v>
      </c>
      <c r="F238" s="79">
        <v>1.0</v>
      </c>
      <c r="G238" s="79">
        <v>0.0</v>
      </c>
      <c r="H238" s="79">
        <v>1.0</v>
      </c>
      <c r="I238" s="79">
        <v>0.0</v>
      </c>
      <c r="J238" s="79">
        <v>0.0</v>
      </c>
      <c r="K238" s="79">
        <v>0.0</v>
      </c>
      <c r="L238" s="79">
        <v>1.0</v>
      </c>
      <c r="M238" s="79">
        <v>0.0</v>
      </c>
      <c r="N238" s="79">
        <v>0.0</v>
      </c>
      <c r="O238" s="79">
        <v>1.0</v>
      </c>
      <c r="P238" s="79">
        <v>0.0</v>
      </c>
      <c r="Q238" s="79">
        <v>2.0</v>
      </c>
      <c r="R238" s="79">
        <v>1.0</v>
      </c>
      <c r="S238" s="13">
        <f t="shared" si="47"/>
        <v>11</v>
      </c>
      <c r="T238" s="5"/>
      <c r="U238" s="5"/>
    </row>
    <row r="239" ht="12.75" customHeight="1">
      <c r="A239" s="18"/>
      <c r="B239" s="58"/>
      <c r="C239" s="53" t="s">
        <v>176</v>
      </c>
      <c r="D239" s="61"/>
      <c r="E239" s="79">
        <v>26.0</v>
      </c>
      <c r="F239" s="79">
        <v>3.0</v>
      </c>
      <c r="G239" s="79">
        <v>1.0</v>
      </c>
      <c r="H239" s="79">
        <v>4.0</v>
      </c>
      <c r="I239" s="79">
        <v>1.0</v>
      </c>
      <c r="J239" s="79">
        <v>0.0</v>
      </c>
      <c r="K239" s="79">
        <v>0.0</v>
      </c>
      <c r="L239" s="79">
        <v>8.0</v>
      </c>
      <c r="M239" s="79">
        <v>15.0</v>
      </c>
      <c r="N239" s="79">
        <v>0.0</v>
      </c>
      <c r="O239" s="79">
        <v>0.0</v>
      </c>
      <c r="P239" s="79">
        <v>0.0</v>
      </c>
      <c r="Q239" s="79">
        <v>0.0</v>
      </c>
      <c r="R239" s="79">
        <v>4.0</v>
      </c>
      <c r="S239" s="13">
        <f t="shared" si="47"/>
        <v>62</v>
      </c>
      <c r="T239" s="5"/>
      <c r="U239" s="5"/>
    </row>
    <row r="240" ht="12.75" customHeight="1">
      <c r="A240" s="18"/>
      <c r="B240" s="58"/>
      <c r="C240" s="53" t="s">
        <v>177</v>
      </c>
      <c r="D240" s="61"/>
      <c r="E240" s="79">
        <v>1.0</v>
      </c>
      <c r="F240" s="79">
        <v>0.0</v>
      </c>
      <c r="G240" s="79">
        <v>0.0</v>
      </c>
      <c r="H240" s="79">
        <v>1.0</v>
      </c>
      <c r="I240" s="79">
        <v>0.0</v>
      </c>
      <c r="J240" s="79">
        <v>0.0</v>
      </c>
      <c r="K240" s="79">
        <v>0.0</v>
      </c>
      <c r="L240" s="79">
        <v>0.0</v>
      </c>
      <c r="M240" s="79">
        <v>0.0</v>
      </c>
      <c r="N240" s="79">
        <v>0.0</v>
      </c>
      <c r="O240" s="79">
        <v>0.0</v>
      </c>
      <c r="P240" s="79">
        <v>0.0</v>
      </c>
      <c r="Q240" s="79">
        <v>0.0</v>
      </c>
      <c r="R240" s="79">
        <v>0.0</v>
      </c>
      <c r="S240" s="13">
        <f t="shared" si="47"/>
        <v>2</v>
      </c>
      <c r="T240" s="1"/>
      <c r="U240" s="1"/>
    </row>
    <row r="241" ht="12.75" customHeight="1">
      <c r="A241" s="18"/>
      <c r="B241" s="58"/>
      <c r="C241" s="53" t="s">
        <v>178</v>
      </c>
      <c r="D241" s="61"/>
      <c r="E241" s="79">
        <v>1.0</v>
      </c>
      <c r="F241" s="79">
        <v>0.0</v>
      </c>
      <c r="G241" s="79">
        <v>0.0</v>
      </c>
      <c r="H241" s="79">
        <v>1.0</v>
      </c>
      <c r="I241" s="79">
        <v>0.0</v>
      </c>
      <c r="J241" s="79">
        <v>0.0</v>
      </c>
      <c r="K241" s="79">
        <v>0.0</v>
      </c>
      <c r="L241" s="79">
        <v>0.0</v>
      </c>
      <c r="M241" s="79">
        <v>0.0</v>
      </c>
      <c r="N241" s="79">
        <v>0.0</v>
      </c>
      <c r="O241" s="79">
        <v>0.0</v>
      </c>
      <c r="P241" s="79">
        <v>0.0</v>
      </c>
      <c r="Q241" s="79">
        <v>0.0</v>
      </c>
      <c r="R241" s="79">
        <v>0.0</v>
      </c>
      <c r="S241" s="13">
        <f t="shared" si="47"/>
        <v>2</v>
      </c>
    </row>
    <row r="242" ht="12.75" customHeight="1">
      <c r="A242" s="18"/>
      <c r="B242" s="58"/>
      <c r="C242" s="53" t="s">
        <v>179</v>
      </c>
      <c r="D242" s="61"/>
      <c r="E242" s="79">
        <v>41.0</v>
      </c>
      <c r="F242" s="79">
        <v>13.0</v>
      </c>
      <c r="G242" s="79">
        <v>3.0</v>
      </c>
      <c r="H242" s="79">
        <v>2.0</v>
      </c>
      <c r="I242" s="79">
        <v>0.0</v>
      </c>
      <c r="J242" s="79">
        <v>0.0</v>
      </c>
      <c r="K242" s="79">
        <v>0.0</v>
      </c>
      <c r="L242" s="79">
        <v>1.0</v>
      </c>
      <c r="M242" s="79">
        <v>0.0</v>
      </c>
      <c r="N242" s="79">
        <v>0.0</v>
      </c>
      <c r="O242" s="79">
        <v>0.0</v>
      </c>
      <c r="P242" s="79">
        <v>1.0</v>
      </c>
      <c r="Q242" s="79">
        <v>3.0</v>
      </c>
      <c r="R242" s="79">
        <v>0.0</v>
      </c>
      <c r="S242" s="13">
        <f t="shared" si="47"/>
        <v>64</v>
      </c>
    </row>
    <row r="243" ht="12.75" customHeight="1">
      <c r="A243" s="18"/>
      <c r="B243" s="58"/>
      <c r="C243" s="53" t="s">
        <v>180</v>
      </c>
      <c r="D243" s="61"/>
      <c r="E243" s="79">
        <v>0.0</v>
      </c>
      <c r="F243" s="79">
        <v>1.0</v>
      </c>
      <c r="G243" s="79">
        <v>0.0</v>
      </c>
      <c r="H243" s="79">
        <v>1.0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79">
        <v>0.0</v>
      </c>
      <c r="P243" s="79">
        <v>1.0</v>
      </c>
      <c r="Q243" s="79">
        <v>0.0</v>
      </c>
      <c r="R243" s="79">
        <v>0.0</v>
      </c>
      <c r="S243" s="13">
        <f t="shared" si="47"/>
        <v>3</v>
      </c>
    </row>
    <row r="244" ht="12.75" customHeight="1">
      <c r="A244" s="18"/>
      <c r="B244" s="58"/>
      <c r="C244" s="53" t="s">
        <v>181</v>
      </c>
      <c r="D244" s="61"/>
      <c r="E244" s="79">
        <v>1.0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79">
        <v>0.0</v>
      </c>
      <c r="P244" s="79">
        <v>1.0</v>
      </c>
      <c r="Q244" s="79">
        <v>0.0</v>
      </c>
      <c r="R244" s="79">
        <v>0.0</v>
      </c>
      <c r="S244" s="13">
        <f t="shared" si="47"/>
        <v>2</v>
      </c>
    </row>
    <row r="245" ht="12.75" customHeight="1">
      <c r="A245" s="18"/>
      <c r="B245" s="58"/>
      <c r="C245" s="53" t="s">
        <v>182</v>
      </c>
      <c r="D245" s="61"/>
      <c r="E245" s="79">
        <v>1.0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79">
        <v>0.0</v>
      </c>
      <c r="R245" s="79">
        <v>0.0</v>
      </c>
      <c r="S245" s="13">
        <f t="shared" si="47"/>
        <v>1</v>
      </c>
    </row>
    <row r="246" ht="12.75" customHeight="1">
      <c r="A246" s="18"/>
      <c r="B246" s="58"/>
      <c r="C246" s="53" t="s">
        <v>183</v>
      </c>
      <c r="D246" s="61"/>
      <c r="E246" s="79">
        <v>2.0</v>
      </c>
      <c r="F246" s="79">
        <v>1.0</v>
      </c>
      <c r="G246" s="79">
        <v>0.0</v>
      </c>
      <c r="H246" s="79">
        <v>1.0</v>
      </c>
      <c r="I246" s="79">
        <v>0.0</v>
      </c>
      <c r="J246" s="79">
        <v>0.0</v>
      </c>
      <c r="K246" s="79">
        <v>0.0</v>
      </c>
      <c r="L246" s="79">
        <v>0.0</v>
      </c>
      <c r="M246" s="79">
        <v>1.0</v>
      </c>
      <c r="N246" s="79">
        <v>0.0</v>
      </c>
      <c r="O246" s="79">
        <v>0.0</v>
      </c>
      <c r="P246" s="79">
        <v>0.0</v>
      </c>
      <c r="Q246" s="79">
        <v>0.0</v>
      </c>
      <c r="R246" s="79">
        <v>0.0</v>
      </c>
      <c r="S246" s="13">
        <f t="shared" si="47"/>
        <v>5</v>
      </c>
    </row>
    <row r="247" ht="12.75" customHeight="1">
      <c r="A247" s="19" t="s">
        <v>14</v>
      </c>
      <c r="B247" s="50" t="s">
        <v>48</v>
      </c>
      <c r="C247" s="15"/>
      <c r="D247" s="16"/>
      <c r="E247" s="13">
        <f t="shared" ref="E247:R247" si="48">SUM(E237:E246)</f>
        <v>79</v>
      </c>
      <c r="F247" s="13">
        <f t="shared" si="48"/>
        <v>19</v>
      </c>
      <c r="G247" s="13">
        <f t="shared" si="48"/>
        <v>6</v>
      </c>
      <c r="H247" s="13">
        <f t="shared" si="48"/>
        <v>15</v>
      </c>
      <c r="I247" s="13">
        <f t="shared" si="48"/>
        <v>1</v>
      </c>
      <c r="J247" s="13">
        <f t="shared" si="48"/>
        <v>0</v>
      </c>
      <c r="K247" s="13">
        <f t="shared" si="48"/>
        <v>0</v>
      </c>
      <c r="L247" s="13">
        <f t="shared" si="48"/>
        <v>11</v>
      </c>
      <c r="M247" s="13">
        <f t="shared" si="48"/>
        <v>16</v>
      </c>
      <c r="N247" s="13">
        <f t="shared" si="48"/>
        <v>2</v>
      </c>
      <c r="O247" s="13">
        <f t="shared" si="48"/>
        <v>1</v>
      </c>
      <c r="P247" s="13">
        <f t="shared" si="48"/>
        <v>3</v>
      </c>
      <c r="Q247" s="13">
        <f t="shared" si="48"/>
        <v>5</v>
      </c>
      <c r="R247" s="13">
        <f t="shared" si="48"/>
        <v>7</v>
      </c>
      <c r="S247" s="13">
        <f t="shared" si="47"/>
        <v>165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36</v>
      </c>
      <c r="B249" s="50" t="s">
        <v>184</v>
      </c>
      <c r="C249" s="51" t="s">
        <v>185</v>
      </c>
      <c r="D249" s="16"/>
      <c r="E249" s="79">
        <v>0.0</v>
      </c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79">
        <v>0.0</v>
      </c>
      <c r="L249" s="79">
        <v>0.0</v>
      </c>
      <c r="M249" s="79">
        <v>0.0</v>
      </c>
      <c r="N249" s="79">
        <v>0.0</v>
      </c>
      <c r="O249" s="79">
        <v>0.0</v>
      </c>
      <c r="P249" s="79">
        <v>0.0</v>
      </c>
      <c r="Q249" s="79">
        <v>0.0</v>
      </c>
      <c r="R249" s="79">
        <v>0.0</v>
      </c>
      <c r="S249" s="13">
        <f t="shared" ref="S249:S252" si="49">SUM(E249:R249)</f>
        <v>0</v>
      </c>
    </row>
    <row r="250" ht="12.75" customHeight="1">
      <c r="A250" s="31" t="s">
        <v>38</v>
      </c>
      <c r="B250" s="58"/>
      <c r="C250" s="53" t="s">
        <v>186</v>
      </c>
      <c r="D250" s="61"/>
      <c r="E250" s="79">
        <v>0.0</v>
      </c>
      <c r="F250" s="79">
        <v>0.0</v>
      </c>
      <c r="G250" s="79">
        <v>0.0</v>
      </c>
      <c r="H250" s="79">
        <v>0.0</v>
      </c>
      <c r="I250" s="79">
        <v>1.0</v>
      </c>
      <c r="J250" s="79">
        <v>0.0</v>
      </c>
      <c r="K250" s="79">
        <v>0.0</v>
      </c>
      <c r="L250" s="79">
        <v>0.0</v>
      </c>
      <c r="M250" s="79">
        <v>1.0</v>
      </c>
      <c r="N250" s="79">
        <v>0.0</v>
      </c>
      <c r="O250" s="79">
        <v>0.0</v>
      </c>
      <c r="P250" s="79">
        <v>0.0</v>
      </c>
      <c r="Q250" s="79">
        <v>0.0</v>
      </c>
      <c r="R250" s="79">
        <v>0.0</v>
      </c>
      <c r="S250" s="13">
        <f t="shared" si="49"/>
        <v>2</v>
      </c>
    </row>
    <row r="251" ht="12.75" customHeight="1">
      <c r="A251" s="18"/>
      <c r="B251" s="58"/>
      <c r="C251" s="53" t="s">
        <v>187</v>
      </c>
      <c r="D251" s="61"/>
      <c r="E251" s="79">
        <v>0.0</v>
      </c>
      <c r="F251" s="79">
        <v>0.0</v>
      </c>
      <c r="G251" s="79">
        <v>0.0</v>
      </c>
      <c r="H251" s="79">
        <v>0.0</v>
      </c>
      <c r="I251" s="79">
        <v>1.0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13">
        <f t="shared" si="49"/>
        <v>1</v>
      </c>
    </row>
    <row r="252" ht="12.75" customHeight="1">
      <c r="A252" s="18"/>
      <c r="B252" s="58"/>
      <c r="C252" s="53" t="s">
        <v>188</v>
      </c>
      <c r="D252" s="61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0.0</v>
      </c>
      <c r="R252" s="79">
        <v>0.0</v>
      </c>
      <c r="S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85"/>
    </row>
    <row r="259" ht="12.75" customHeight="1">
      <c r="A259" s="19" t="s">
        <v>14</v>
      </c>
      <c r="B259" s="50" t="s">
        <v>48</v>
      </c>
      <c r="C259" s="15"/>
      <c r="D259" s="16"/>
      <c r="E259" s="13">
        <f t="shared" ref="E259:R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2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>SUM(E259:R259)</f>
        <v>3</v>
      </c>
    </row>
    <row r="260" ht="12.75" customHeight="1"/>
    <row r="261" ht="12.75" customHeight="1">
      <c r="A261" s="45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2"/>
      <c r="O261" s="13"/>
      <c r="P261" s="13"/>
      <c r="Q261" s="13"/>
      <c r="R261" s="13"/>
      <c r="S261" s="13"/>
    </row>
    <row r="262" ht="12.75" customHeight="1">
      <c r="A262" s="45"/>
      <c r="B262" s="74" t="s">
        <v>191</v>
      </c>
      <c r="C262" s="75" t="s">
        <v>192</v>
      </c>
      <c r="D262" s="16"/>
      <c r="E262" s="19">
        <f t="shared" ref="E262:R262" si="51">E55+E67+E79+E91+E103+E115+E127+E139+E151+E163+E175+E187+E199+E211+E223+E235+E247+E259</f>
        <v>222</v>
      </c>
      <c r="F262" s="19">
        <f t="shared" si="51"/>
        <v>190</v>
      </c>
      <c r="G262" s="19">
        <f t="shared" si="51"/>
        <v>179</v>
      </c>
      <c r="H262" s="19">
        <f t="shared" si="51"/>
        <v>180</v>
      </c>
      <c r="I262" s="19">
        <f t="shared" si="51"/>
        <v>143</v>
      </c>
      <c r="J262" s="19">
        <f t="shared" si="51"/>
        <v>147</v>
      </c>
      <c r="K262" s="19">
        <f t="shared" si="51"/>
        <v>191</v>
      </c>
      <c r="L262" s="19">
        <f t="shared" si="51"/>
        <v>159</v>
      </c>
      <c r="M262" s="19">
        <f t="shared" si="51"/>
        <v>187</v>
      </c>
      <c r="N262" s="19">
        <f t="shared" si="51"/>
        <v>158</v>
      </c>
      <c r="O262" s="19">
        <f t="shared" si="51"/>
        <v>139</v>
      </c>
      <c r="P262" s="19">
        <f t="shared" si="51"/>
        <v>131</v>
      </c>
      <c r="Q262" s="19">
        <f t="shared" si="51"/>
        <v>137</v>
      </c>
      <c r="R262" s="19">
        <f t="shared" si="51"/>
        <v>184</v>
      </c>
      <c r="S262" s="13">
        <f t="shared" ref="S262:S264" si="52">SUM(E262:R262)</f>
        <v>2347</v>
      </c>
    </row>
    <row r="263" ht="12.75" customHeight="1">
      <c r="A263" s="36"/>
      <c r="B263" s="74" t="s">
        <v>193</v>
      </c>
      <c r="C263" s="75" t="s">
        <v>194</v>
      </c>
      <c r="D263" s="16"/>
      <c r="E263" s="79">
        <v>30.0</v>
      </c>
      <c r="F263" s="79">
        <v>17.0</v>
      </c>
      <c r="G263" s="79">
        <v>36.0</v>
      </c>
      <c r="H263" s="79">
        <v>27.0</v>
      </c>
      <c r="I263" s="79">
        <v>41.0</v>
      </c>
      <c r="J263" s="79">
        <v>57.0</v>
      </c>
      <c r="K263" s="79">
        <v>20.0</v>
      </c>
      <c r="L263" s="79">
        <v>12.0</v>
      </c>
      <c r="M263" s="79">
        <v>35.0</v>
      </c>
      <c r="N263" s="79">
        <v>50.0</v>
      </c>
      <c r="O263" s="79">
        <v>32.0</v>
      </c>
      <c r="P263" s="79">
        <v>11.0</v>
      </c>
      <c r="Q263" s="79">
        <v>16.0</v>
      </c>
      <c r="R263" s="79">
        <v>15.0</v>
      </c>
      <c r="S263" s="13">
        <f t="shared" si="52"/>
        <v>399</v>
      </c>
    </row>
    <row r="264" ht="12.75" customHeight="1">
      <c r="A264" s="44"/>
      <c r="B264" s="74" t="s">
        <v>195</v>
      </c>
      <c r="C264" s="75" t="s">
        <v>196</v>
      </c>
      <c r="D264" s="16"/>
      <c r="E264" s="13">
        <f t="shared" ref="E264:R264" si="53">SUM(E262:E263)</f>
        <v>252</v>
      </c>
      <c r="F264" s="13">
        <f t="shared" si="53"/>
        <v>207</v>
      </c>
      <c r="G264" s="13">
        <f t="shared" si="53"/>
        <v>215</v>
      </c>
      <c r="H264" s="13">
        <f t="shared" si="53"/>
        <v>207</v>
      </c>
      <c r="I264" s="13">
        <f t="shared" si="53"/>
        <v>184</v>
      </c>
      <c r="J264" s="13">
        <f t="shared" si="53"/>
        <v>204</v>
      </c>
      <c r="K264" s="13">
        <f t="shared" si="53"/>
        <v>211</v>
      </c>
      <c r="L264" s="13">
        <f t="shared" si="53"/>
        <v>171</v>
      </c>
      <c r="M264" s="13">
        <f t="shared" si="53"/>
        <v>222</v>
      </c>
      <c r="N264" s="13">
        <f t="shared" si="53"/>
        <v>208</v>
      </c>
      <c r="O264" s="13">
        <f t="shared" si="53"/>
        <v>171</v>
      </c>
      <c r="P264" s="13">
        <f t="shared" si="53"/>
        <v>142</v>
      </c>
      <c r="Q264" s="13">
        <f t="shared" si="53"/>
        <v>153</v>
      </c>
      <c r="R264" s="13">
        <f t="shared" si="53"/>
        <v>199</v>
      </c>
      <c r="S264" s="13">
        <f t="shared" si="52"/>
        <v>2746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R34">
    <cfRule type="expression" dxfId="0" priority="1">
      <formula>E34&lt;&gt;E64</formula>
    </cfRule>
  </conditionalFormatting>
  <conditionalFormatting sqref="E14:R15">
    <cfRule type="containsBlanks" dxfId="1" priority="2">
      <formula>LEN(TRIM(E14))=0</formula>
    </cfRule>
  </conditionalFormatting>
  <conditionalFormatting sqref="E19:R20">
    <cfRule type="containsBlanks" dxfId="1" priority="3">
      <formula>LEN(TRIM(E19))=0</formula>
    </cfRule>
  </conditionalFormatting>
  <conditionalFormatting sqref="E22:R23 E25:R26 E33:R33 E35:R35 E39:R40">
    <cfRule type="containsBlanks" dxfId="1" priority="4">
      <formula>LEN(TRIM(E22))=0</formula>
    </cfRule>
  </conditionalFormatting>
  <conditionalFormatting sqref="E30:R30">
    <cfRule type="expression" dxfId="0" priority="5">
      <formula>E30&lt;&gt;E47</formula>
    </cfRule>
  </conditionalFormatting>
  <conditionalFormatting sqref="E30:R30">
    <cfRule type="expression" dxfId="0" priority="6">
      <formula>E30&lt;&gt;E34</formula>
    </cfRule>
  </conditionalFormatting>
  <conditionalFormatting sqref="E34:R34">
    <cfRule type="expression" dxfId="2" priority="7">
      <formula>E30&lt;&gt;E34</formula>
    </cfRule>
  </conditionalFormatting>
  <conditionalFormatting sqref="E34:R34">
    <cfRule type="expression" dxfId="3" priority="8">
      <formula>E30=E34</formula>
    </cfRule>
  </conditionalFormatting>
  <conditionalFormatting sqref="E34:R34">
    <cfRule type="expression" dxfId="0" priority="9">
      <formula>E34&lt;&gt;E30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9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5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</row>
    <row r="12" ht="12.75" customHeight="1">
      <c r="A12" s="13" t="s">
        <v>5</v>
      </c>
      <c r="B12" s="14" t="s">
        <v>6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37"/>
    </row>
    <row r="14" ht="12.75" customHeight="1">
      <c r="A14" s="18"/>
      <c r="B14" s="22" t="s">
        <v>10</v>
      </c>
      <c r="C14" s="23"/>
      <c r="D14" s="19" t="s">
        <v>11</v>
      </c>
      <c r="E14" s="79">
        <v>143.0</v>
      </c>
      <c r="F14" s="79">
        <v>141.0</v>
      </c>
      <c r="G14" s="79">
        <v>147.0</v>
      </c>
      <c r="H14" s="79">
        <v>147.0</v>
      </c>
      <c r="I14" s="79">
        <v>123.0</v>
      </c>
      <c r="J14" s="79">
        <v>113.0</v>
      </c>
      <c r="K14" s="79">
        <v>136.0</v>
      </c>
      <c r="L14" s="79">
        <v>122.0</v>
      </c>
      <c r="M14" s="79">
        <v>123.0</v>
      </c>
      <c r="N14" s="79">
        <v>129.0</v>
      </c>
      <c r="O14" s="79">
        <v>137.0</v>
      </c>
      <c r="P14" s="79">
        <v>145.0</v>
      </c>
      <c r="Q14" s="79">
        <v>131.0</v>
      </c>
      <c r="R14" s="79">
        <v>148.0</v>
      </c>
      <c r="S14" s="79">
        <v>133.0</v>
      </c>
      <c r="T14" s="79">
        <v>153.0</v>
      </c>
      <c r="U14" s="79">
        <v>111.0</v>
      </c>
      <c r="V14" s="79">
        <v>87.0</v>
      </c>
      <c r="W14" s="13">
        <f t="shared" ref="W14:W16" si="1">SUM(E14:V14)</f>
        <v>2369</v>
      </c>
    </row>
    <row r="15" ht="12.75" customHeight="1">
      <c r="A15" s="18"/>
      <c r="B15" s="26"/>
      <c r="C15" s="27"/>
      <c r="D15" s="19" t="s">
        <v>12</v>
      </c>
      <c r="E15" s="79">
        <v>149.0</v>
      </c>
      <c r="F15" s="79">
        <v>157.0</v>
      </c>
      <c r="G15" s="79">
        <v>145.0</v>
      </c>
      <c r="H15" s="79">
        <v>141.0</v>
      </c>
      <c r="I15" s="79">
        <v>133.0</v>
      </c>
      <c r="J15" s="79">
        <v>118.0</v>
      </c>
      <c r="K15" s="79">
        <v>126.0</v>
      </c>
      <c r="L15" s="79">
        <v>132.0</v>
      </c>
      <c r="M15" s="79">
        <v>128.0</v>
      </c>
      <c r="N15" s="79">
        <v>131.0</v>
      </c>
      <c r="O15" s="79">
        <v>148.0</v>
      </c>
      <c r="P15" s="79">
        <v>148.0</v>
      </c>
      <c r="Q15" s="79">
        <v>149.0</v>
      </c>
      <c r="R15" s="79">
        <v>134.0</v>
      </c>
      <c r="S15" s="79">
        <v>143.0</v>
      </c>
      <c r="T15" s="79">
        <v>128.0</v>
      </c>
      <c r="U15" s="79">
        <v>107.0</v>
      </c>
      <c r="V15" s="79">
        <v>79.0</v>
      </c>
      <c r="W15" s="13">
        <f t="shared" si="1"/>
        <v>2396</v>
      </c>
    </row>
    <row r="16" ht="12.75" customHeight="1">
      <c r="A16" s="25"/>
      <c r="B16" s="21"/>
      <c r="C16" s="28"/>
      <c r="D16" s="13" t="s">
        <v>13</v>
      </c>
      <c r="E16" s="13">
        <f t="shared" ref="E16:V16" si="2">SUM(E14:E15)</f>
        <v>292</v>
      </c>
      <c r="F16" s="13">
        <f t="shared" si="2"/>
        <v>298</v>
      </c>
      <c r="G16" s="13">
        <f t="shared" si="2"/>
        <v>292</v>
      </c>
      <c r="H16" s="13">
        <f t="shared" si="2"/>
        <v>288</v>
      </c>
      <c r="I16" s="13">
        <f t="shared" si="2"/>
        <v>256</v>
      </c>
      <c r="J16" s="13">
        <f t="shared" si="2"/>
        <v>231</v>
      </c>
      <c r="K16" s="13">
        <f t="shared" si="2"/>
        <v>262</v>
      </c>
      <c r="L16" s="13">
        <f t="shared" si="2"/>
        <v>254</v>
      </c>
      <c r="M16" s="13">
        <f t="shared" si="2"/>
        <v>251</v>
      </c>
      <c r="N16" s="13">
        <f t="shared" si="2"/>
        <v>260</v>
      </c>
      <c r="O16" s="13">
        <f t="shared" si="2"/>
        <v>285</v>
      </c>
      <c r="P16" s="13">
        <f t="shared" si="2"/>
        <v>293</v>
      </c>
      <c r="Q16" s="13">
        <f t="shared" si="2"/>
        <v>280</v>
      </c>
      <c r="R16" s="13">
        <f t="shared" si="2"/>
        <v>282</v>
      </c>
      <c r="S16" s="13">
        <f t="shared" si="2"/>
        <v>276</v>
      </c>
      <c r="T16" s="13">
        <f t="shared" si="2"/>
        <v>281</v>
      </c>
      <c r="U16" s="13">
        <f t="shared" si="2"/>
        <v>218</v>
      </c>
      <c r="V16" s="13">
        <f t="shared" si="2"/>
        <v>166</v>
      </c>
      <c r="W16" s="13">
        <f t="shared" si="1"/>
        <v>4765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  <c r="O17" s="19"/>
      <c r="P17" s="19"/>
      <c r="Q17" s="19"/>
      <c r="R17" s="19"/>
      <c r="S17" s="80"/>
      <c r="T17" s="19"/>
      <c r="U17" s="19"/>
      <c r="V17" s="19"/>
      <c r="W17" s="81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0"/>
      <c r="O18" s="19"/>
      <c r="P18" s="19"/>
      <c r="Q18" s="19"/>
      <c r="R18" s="19"/>
      <c r="S18" s="80"/>
      <c r="T18" s="19"/>
      <c r="U18" s="19"/>
      <c r="V18" s="19"/>
      <c r="W18" s="81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79">
        <v>118.0</v>
      </c>
      <c r="F19" s="79">
        <v>102.0</v>
      </c>
      <c r="G19" s="79">
        <v>113.0</v>
      </c>
      <c r="H19" s="79">
        <v>114.0</v>
      </c>
      <c r="I19" s="79">
        <v>85.0</v>
      </c>
      <c r="J19" s="79">
        <v>88.0</v>
      </c>
      <c r="K19" s="79">
        <v>106.0</v>
      </c>
      <c r="L19" s="79">
        <v>86.0</v>
      </c>
      <c r="M19" s="79">
        <v>82.0</v>
      </c>
      <c r="N19" s="79">
        <v>95.0</v>
      </c>
      <c r="O19" s="79">
        <v>95.0</v>
      </c>
      <c r="P19" s="79">
        <v>107.0</v>
      </c>
      <c r="Q19" s="79">
        <v>100.0</v>
      </c>
      <c r="R19" s="79">
        <v>108.0</v>
      </c>
      <c r="S19" s="79">
        <v>96.0</v>
      </c>
      <c r="T19" s="79">
        <v>108.0</v>
      </c>
      <c r="U19" s="79">
        <v>76.0</v>
      </c>
      <c r="V19" s="79">
        <v>68.0</v>
      </c>
      <c r="W19" s="13">
        <f t="shared" ref="W19:W30" si="3">SUM(E19:V19)</f>
        <v>1747</v>
      </c>
    </row>
    <row r="20" ht="12.75" customHeight="1">
      <c r="A20" s="34"/>
      <c r="B20" s="27"/>
      <c r="C20" s="35"/>
      <c r="D20" s="19" t="s">
        <v>12</v>
      </c>
      <c r="E20" s="79">
        <v>121.0</v>
      </c>
      <c r="F20" s="79">
        <v>123.0</v>
      </c>
      <c r="G20" s="79">
        <v>110.0</v>
      </c>
      <c r="H20" s="79">
        <v>113.0</v>
      </c>
      <c r="I20" s="79">
        <v>101.0</v>
      </c>
      <c r="J20" s="79">
        <v>91.0</v>
      </c>
      <c r="K20" s="79">
        <v>102.0</v>
      </c>
      <c r="L20" s="79">
        <v>97.0</v>
      </c>
      <c r="M20" s="79">
        <v>100.0</v>
      </c>
      <c r="N20" s="79">
        <v>101.0</v>
      </c>
      <c r="O20" s="79">
        <v>115.0</v>
      </c>
      <c r="P20" s="79">
        <v>114.0</v>
      </c>
      <c r="Q20" s="79">
        <v>122.0</v>
      </c>
      <c r="R20" s="79">
        <v>102.0</v>
      </c>
      <c r="S20" s="79">
        <v>114.0</v>
      </c>
      <c r="T20" s="79">
        <v>118.0</v>
      </c>
      <c r="U20" s="79">
        <v>83.0</v>
      </c>
      <c r="V20" s="79">
        <v>66.0</v>
      </c>
      <c r="W20" s="13">
        <f t="shared" si="3"/>
        <v>1893</v>
      </c>
    </row>
    <row r="21" ht="12.75" customHeight="1">
      <c r="A21" s="36"/>
      <c r="B21" s="28"/>
      <c r="C21" s="37"/>
      <c r="D21" s="13" t="s">
        <v>13</v>
      </c>
      <c r="E21" s="13">
        <f t="shared" ref="E21:V21" si="4">SUM(E19:E20)</f>
        <v>239</v>
      </c>
      <c r="F21" s="13">
        <f t="shared" si="4"/>
        <v>225</v>
      </c>
      <c r="G21" s="13">
        <f t="shared" si="4"/>
        <v>223</v>
      </c>
      <c r="H21" s="13">
        <f t="shared" si="4"/>
        <v>227</v>
      </c>
      <c r="I21" s="13">
        <f t="shared" si="4"/>
        <v>186</v>
      </c>
      <c r="J21" s="13">
        <f t="shared" si="4"/>
        <v>179</v>
      </c>
      <c r="K21" s="13">
        <f t="shared" si="4"/>
        <v>208</v>
      </c>
      <c r="L21" s="13">
        <f t="shared" si="4"/>
        <v>183</v>
      </c>
      <c r="M21" s="13">
        <f t="shared" si="4"/>
        <v>182</v>
      </c>
      <c r="N21" s="13">
        <f t="shared" si="4"/>
        <v>196</v>
      </c>
      <c r="O21" s="13">
        <f t="shared" si="4"/>
        <v>210</v>
      </c>
      <c r="P21" s="13">
        <f t="shared" si="4"/>
        <v>221</v>
      </c>
      <c r="Q21" s="13">
        <f t="shared" si="4"/>
        <v>222</v>
      </c>
      <c r="R21" s="13">
        <f t="shared" si="4"/>
        <v>210</v>
      </c>
      <c r="S21" s="13">
        <f t="shared" si="4"/>
        <v>210</v>
      </c>
      <c r="T21" s="13">
        <f t="shared" si="4"/>
        <v>226</v>
      </c>
      <c r="U21" s="13">
        <f t="shared" si="4"/>
        <v>159</v>
      </c>
      <c r="V21" s="13">
        <f t="shared" si="4"/>
        <v>134</v>
      </c>
      <c r="W21" s="13">
        <f t="shared" si="3"/>
        <v>3640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13">
        <f t="shared" si="3"/>
        <v>0</v>
      </c>
    </row>
    <row r="23" ht="12.75" customHeight="1">
      <c r="A23" s="34"/>
      <c r="B23" s="27"/>
      <c r="C23" s="35"/>
      <c r="D23" s="19" t="s">
        <v>12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13">
        <f t="shared" si="3"/>
        <v>0</v>
      </c>
    </row>
    <row r="24" ht="12.75" customHeight="1">
      <c r="A24" s="36"/>
      <c r="B24" s="28"/>
      <c r="C24" s="37"/>
      <c r="D24" s="13" t="s">
        <v>13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0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79">
        <v>0.0</v>
      </c>
      <c r="F25" s="79">
        <v>0.0</v>
      </c>
      <c r="G25" s="79">
        <v>0.0</v>
      </c>
      <c r="H25" s="79">
        <v>1.0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0.0</v>
      </c>
      <c r="T25" s="79">
        <v>1.0</v>
      </c>
      <c r="U25" s="79">
        <v>0.0</v>
      </c>
      <c r="V25" s="79">
        <v>1.0</v>
      </c>
      <c r="W25" s="13">
        <f t="shared" si="3"/>
        <v>3</v>
      </c>
    </row>
    <row r="26" ht="12.75" customHeight="1">
      <c r="A26" s="34"/>
      <c r="B26" s="27"/>
      <c r="C26" s="35"/>
      <c r="D26" s="19" t="s">
        <v>12</v>
      </c>
      <c r="E26" s="79">
        <v>0.0</v>
      </c>
      <c r="F26" s="79">
        <v>0.0</v>
      </c>
      <c r="G26" s="79">
        <v>0.0</v>
      </c>
      <c r="H26" s="79">
        <v>0.0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0.0</v>
      </c>
      <c r="R26" s="79">
        <v>0.0</v>
      </c>
      <c r="S26" s="79">
        <v>0.0</v>
      </c>
      <c r="T26" s="79">
        <v>0.0</v>
      </c>
      <c r="U26" s="79">
        <v>0.0</v>
      </c>
      <c r="V26" s="79">
        <v>1.0</v>
      </c>
      <c r="W26" s="13">
        <f t="shared" si="3"/>
        <v>1</v>
      </c>
    </row>
    <row r="27" ht="12.75" customHeight="1">
      <c r="A27" s="36"/>
      <c r="B27" s="28"/>
      <c r="C27" s="37"/>
      <c r="D27" s="13" t="s">
        <v>13</v>
      </c>
      <c r="E27" s="13">
        <f t="shared" ref="E27:V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0</v>
      </c>
      <c r="V27" s="13">
        <f t="shared" si="6"/>
        <v>2</v>
      </c>
      <c r="W27" s="13">
        <f t="shared" si="3"/>
        <v>4</v>
      </c>
    </row>
    <row r="28" ht="12.75" customHeight="1">
      <c r="A28" s="36"/>
      <c r="B28" s="40" t="s">
        <v>22</v>
      </c>
      <c r="C28" s="41" t="s">
        <v>23</v>
      </c>
      <c r="D28" s="13" t="s">
        <v>11</v>
      </c>
      <c r="E28" s="13">
        <f t="shared" ref="E28:V28" si="7">SUM(E19,E22,E25)</f>
        <v>118</v>
      </c>
      <c r="F28" s="13">
        <f t="shared" si="7"/>
        <v>102</v>
      </c>
      <c r="G28" s="13">
        <f t="shared" si="7"/>
        <v>113</v>
      </c>
      <c r="H28" s="13">
        <f t="shared" si="7"/>
        <v>115</v>
      </c>
      <c r="I28" s="13">
        <f t="shared" si="7"/>
        <v>85</v>
      </c>
      <c r="J28" s="13">
        <f t="shared" si="7"/>
        <v>88</v>
      </c>
      <c r="K28" s="13">
        <f t="shared" si="7"/>
        <v>106</v>
      </c>
      <c r="L28" s="13">
        <f t="shared" si="7"/>
        <v>86</v>
      </c>
      <c r="M28" s="13">
        <f t="shared" si="7"/>
        <v>82</v>
      </c>
      <c r="N28" s="13">
        <f t="shared" si="7"/>
        <v>95</v>
      </c>
      <c r="O28" s="13">
        <f t="shared" si="7"/>
        <v>95</v>
      </c>
      <c r="P28" s="13">
        <f t="shared" si="7"/>
        <v>107</v>
      </c>
      <c r="Q28" s="13">
        <f t="shared" si="7"/>
        <v>100</v>
      </c>
      <c r="R28" s="13">
        <f t="shared" si="7"/>
        <v>108</v>
      </c>
      <c r="S28" s="13">
        <f t="shared" si="7"/>
        <v>96</v>
      </c>
      <c r="T28" s="13">
        <f t="shared" si="7"/>
        <v>109</v>
      </c>
      <c r="U28" s="13">
        <f t="shared" si="7"/>
        <v>76</v>
      </c>
      <c r="V28" s="13">
        <f t="shared" si="7"/>
        <v>69</v>
      </c>
      <c r="W28" s="13">
        <f t="shared" si="3"/>
        <v>1750</v>
      </c>
    </row>
    <row r="29" ht="12.75" customHeight="1">
      <c r="A29" s="36"/>
      <c r="B29" s="27"/>
      <c r="C29" s="35"/>
      <c r="D29" s="13" t="s">
        <v>12</v>
      </c>
      <c r="E29" s="13">
        <f t="shared" ref="E29:V29" si="8">SUM(E20,E23,E26)</f>
        <v>121</v>
      </c>
      <c r="F29" s="13">
        <f t="shared" si="8"/>
        <v>123</v>
      </c>
      <c r="G29" s="13">
        <f t="shared" si="8"/>
        <v>110</v>
      </c>
      <c r="H29" s="13">
        <f t="shared" si="8"/>
        <v>113</v>
      </c>
      <c r="I29" s="13">
        <f t="shared" si="8"/>
        <v>101</v>
      </c>
      <c r="J29" s="13">
        <f t="shared" si="8"/>
        <v>91</v>
      </c>
      <c r="K29" s="13">
        <f t="shared" si="8"/>
        <v>102</v>
      </c>
      <c r="L29" s="13">
        <f t="shared" si="8"/>
        <v>97</v>
      </c>
      <c r="M29" s="13">
        <f t="shared" si="8"/>
        <v>100</v>
      </c>
      <c r="N29" s="13">
        <f t="shared" si="8"/>
        <v>101</v>
      </c>
      <c r="O29" s="13">
        <f t="shared" si="8"/>
        <v>115</v>
      </c>
      <c r="P29" s="13">
        <f t="shared" si="8"/>
        <v>114</v>
      </c>
      <c r="Q29" s="13">
        <f t="shared" si="8"/>
        <v>122</v>
      </c>
      <c r="R29" s="13">
        <f t="shared" si="8"/>
        <v>102</v>
      </c>
      <c r="S29" s="13">
        <f t="shared" si="8"/>
        <v>114</v>
      </c>
      <c r="T29" s="13">
        <f t="shared" si="8"/>
        <v>118</v>
      </c>
      <c r="U29" s="13">
        <f t="shared" si="8"/>
        <v>83</v>
      </c>
      <c r="V29" s="13">
        <f t="shared" si="8"/>
        <v>67</v>
      </c>
      <c r="W29" s="13">
        <f t="shared" si="3"/>
        <v>1894</v>
      </c>
    </row>
    <row r="30" ht="12.75" customHeight="1">
      <c r="A30" s="36"/>
      <c r="B30" s="28"/>
      <c r="C30" s="37"/>
      <c r="D30" s="13" t="s">
        <v>13</v>
      </c>
      <c r="E30" s="13">
        <f t="shared" ref="E30:V30" si="9">SUM(E28:E29)</f>
        <v>239</v>
      </c>
      <c r="F30" s="13">
        <f t="shared" si="9"/>
        <v>225</v>
      </c>
      <c r="G30" s="13">
        <f t="shared" si="9"/>
        <v>223</v>
      </c>
      <c r="H30" s="13">
        <f t="shared" si="9"/>
        <v>228</v>
      </c>
      <c r="I30" s="13">
        <f t="shared" si="9"/>
        <v>186</v>
      </c>
      <c r="J30" s="13">
        <f t="shared" si="9"/>
        <v>179</v>
      </c>
      <c r="K30" s="13">
        <f t="shared" si="9"/>
        <v>208</v>
      </c>
      <c r="L30" s="13">
        <f t="shared" si="9"/>
        <v>183</v>
      </c>
      <c r="M30" s="13">
        <f t="shared" si="9"/>
        <v>182</v>
      </c>
      <c r="N30" s="13">
        <f t="shared" si="9"/>
        <v>196</v>
      </c>
      <c r="O30" s="13">
        <f t="shared" si="9"/>
        <v>210</v>
      </c>
      <c r="P30" s="13">
        <f t="shared" si="9"/>
        <v>221</v>
      </c>
      <c r="Q30" s="13">
        <f t="shared" si="9"/>
        <v>222</v>
      </c>
      <c r="R30" s="13">
        <f t="shared" si="9"/>
        <v>210</v>
      </c>
      <c r="S30" s="13">
        <f t="shared" si="9"/>
        <v>210</v>
      </c>
      <c r="T30" s="13">
        <f t="shared" si="9"/>
        <v>227</v>
      </c>
      <c r="U30" s="13">
        <f t="shared" si="9"/>
        <v>159</v>
      </c>
      <c r="V30" s="13">
        <f t="shared" si="9"/>
        <v>136</v>
      </c>
      <c r="W30" s="13">
        <f t="shared" si="3"/>
        <v>3644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  <c r="O31" s="19"/>
      <c r="P31" s="19"/>
      <c r="Q31" s="19"/>
      <c r="R31" s="19"/>
      <c r="S31" s="80"/>
      <c r="T31" s="19"/>
      <c r="U31" s="19"/>
      <c r="V31" s="19"/>
      <c r="W31" s="81"/>
    </row>
    <row r="32" ht="12.75" customHeight="1">
      <c r="A32" s="44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2"/>
      <c r="O32" s="13"/>
      <c r="P32" s="13"/>
      <c r="Q32" s="13"/>
      <c r="R32" s="13"/>
      <c r="S32" s="82"/>
      <c r="T32" s="13"/>
      <c r="U32" s="13"/>
      <c r="V32" s="13"/>
      <c r="W32" s="81"/>
    </row>
    <row r="33" ht="12.75" customHeight="1">
      <c r="A33" s="19">
        <v>1.0</v>
      </c>
      <c r="B33" s="20" t="s">
        <v>26</v>
      </c>
      <c r="C33" s="15"/>
      <c r="D33" s="16"/>
      <c r="E33" s="79">
        <v>298.0</v>
      </c>
      <c r="F33" s="79">
        <v>304.0</v>
      </c>
      <c r="G33" s="79">
        <v>298.0</v>
      </c>
      <c r="H33" s="79">
        <v>299.0</v>
      </c>
      <c r="I33" s="79">
        <v>264.0</v>
      </c>
      <c r="J33" s="79">
        <v>236.0</v>
      </c>
      <c r="K33" s="79">
        <v>268.0</v>
      </c>
      <c r="L33" s="79">
        <v>260.0</v>
      </c>
      <c r="M33" s="79">
        <v>257.0</v>
      </c>
      <c r="N33" s="79">
        <v>266.0</v>
      </c>
      <c r="O33" s="79">
        <v>291.0</v>
      </c>
      <c r="P33" s="79">
        <v>229.0</v>
      </c>
      <c r="Q33" s="79">
        <v>286.0</v>
      </c>
      <c r="R33" s="79">
        <v>288.0</v>
      </c>
      <c r="S33" s="79">
        <v>282.0</v>
      </c>
      <c r="T33" s="79">
        <v>286.0</v>
      </c>
      <c r="U33" s="79">
        <v>216.0</v>
      </c>
      <c r="V33" s="79">
        <v>170.0</v>
      </c>
      <c r="W33" s="13">
        <f t="shared" ref="W33:W36" si="10">SUM(E33:V33)</f>
        <v>4798</v>
      </c>
    </row>
    <row r="34" ht="12.75" customHeight="1">
      <c r="A34" s="19">
        <v>2.0</v>
      </c>
      <c r="B34" s="20" t="s">
        <v>27</v>
      </c>
      <c r="C34" s="15"/>
      <c r="D34" s="16"/>
      <c r="E34" s="73">
        <v>239.0</v>
      </c>
      <c r="F34" s="73">
        <v>225.0</v>
      </c>
      <c r="G34" s="73">
        <v>223.0</v>
      </c>
      <c r="H34" s="73">
        <v>228.0</v>
      </c>
      <c r="I34" s="73">
        <v>186.0</v>
      </c>
      <c r="J34" s="73">
        <v>179.0</v>
      </c>
      <c r="K34" s="73">
        <v>208.0</v>
      </c>
      <c r="L34" s="73">
        <v>183.0</v>
      </c>
      <c r="M34" s="73">
        <v>182.0</v>
      </c>
      <c r="N34" s="73">
        <v>196.0</v>
      </c>
      <c r="O34" s="73">
        <v>210.0</v>
      </c>
      <c r="P34" s="73">
        <v>221.0</v>
      </c>
      <c r="Q34" s="73">
        <v>222.0</v>
      </c>
      <c r="R34" s="73">
        <v>210.0</v>
      </c>
      <c r="S34" s="73">
        <v>210.0</v>
      </c>
      <c r="T34" s="73">
        <v>227.0</v>
      </c>
      <c r="U34" s="73">
        <v>159.0</v>
      </c>
      <c r="V34" s="73">
        <v>136.0</v>
      </c>
      <c r="W34" s="13">
        <f t="shared" si="10"/>
        <v>3644</v>
      </c>
    </row>
    <row r="35" ht="12.75" customHeight="1">
      <c r="A35" s="19">
        <v>3.0</v>
      </c>
      <c r="B35" s="20" t="s">
        <v>28</v>
      </c>
      <c r="C35" s="15"/>
      <c r="D35" s="16"/>
      <c r="E35" s="79">
        <v>0.0</v>
      </c>
      <c r="F35" s="79">
        <v>0.0</v>
      </c>
      <c r="G35" s="79">
        <v>0.0</v>
      </c>
      <c r="H35" s="79">
        <v>3.0</v>
      </c>
      <c r="I35" s="79">
        <v>0.0</v>
      </c>
      <c r="J35" s="79">
        <v>0.0</v>
      </c>
      <c r="K35" s="79">
        <v>0.0</v>
      </c>
      <c r="L35" s="79">
        <v>0.0</v>
      </c>
      <c r="M35" s="79">
        <v>3.0</v>
      </c>
      <c r="N35" s="79">
        <v>0.0</v>
      </c>
      <c r="O35" s="79">
        <v>0.0</v>
      </c>
      <c r="P35" s="79">
        <v>0.0</v>
      </c>
      <c r="Q35" s="79">
        <v>0.0</v>
      </c>
      <c r="R35" s="79">
        <v>1.0</v>
      </c>
      <c r="S35" s="79">
        <v>4.0</v>
      </c>
      <c r="T35" s="79">
        <v>0.0</v>
      </c>
      <c r="U35" s="79">
        <v>0.0</v>
      </c>
      <c r="V35" s="79">
        <v>0.0</v>
      </c>
      <c r="W35" s="13">
        <f t="shared" si="10"/>
        <v>11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V36" si="11">E33-(E34+E35)</f>
        <v>59</v>
      </c>
      <c r="F36" s="13">
        <f t="shared" si="11"/>
        <v>79</v>
      </c>
      <c r="G36" s="13">
        <f t="shared" si="11"/>
        <v>75</v>
      </c>
      <c r="H36" s="13">
        <f t="shared" si="11"/>
        <v>68</v>
      </c>
      <c r="I36" s="13">
        <f t="shared" si="11"/>
        <v>78</v>
      </c>
      <c r="J36" s="13">
        <f t="shared" si="11"/>
        <v>57</v>
      </c>
      <c r="K36" s="13">
        <f t="shared" si="11"/>
        <v>60</v>
      </c>
      <c r="L36" s="13">
        <f t="shared" si="11"/>
        <v>77</v>
      </c>
      <c r="M36" s="13">
        <f t="shared" si="11"/>
        <v>72</v>
      </c>
      <c r="N36" s="13">
        <f t="shared" si="11"/>
        <v>70</v>
      </c>
      <c r="O36" s="13">
        <f t="shared" si="11"/>
        <v>81</v>
      </c>
      <c r="P36" s="13">
        <f t="shared" si="11"/>
        <v>8</v>
      </c>
      <c r="Q36" s="13">
        <f t="shared" si="11"/>
        <v>64</v>
      </c>
      <c r="R36" s="13">
        <f t="shared" si="11"/>
        <v>77</v>
      </c>
      <c r="S36" s="13">
        <f t="shared" si="11"/>
        <v>68</v>
      </c>
      <c r="T36" s="13">
        <f t="shared" si="11"/>
        <v>59</v>
      </c>
      <c r="U36" s="13">
        <f t="shared" si="11"/>
        <v>57</v>
      </c>
      <c r="V36" s="13">
        <f t="shared" si="11"/>
        <v>34</v>
      </c>
      <c r="W36" s="13">
        <f t="shared" si="10"/>
        <v>1143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  <c r="O37" s="19"/>
      <c r="P37" s="19"/>
      <c r="Q37" s="19"/>
      <c r="R37" s="19"/>
      <c r="S37" s="80"/>
      <c r="T37" s="19"/>
      <c r="U37" s="19"/>
      <c r="V37" s="19"/>
      <c r="W37" s="81"/>
    </row>
    <row r="38" ht="12.75" customHeight="1">
      <c r="A38" s="45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2"/>
      <c r="O38" s="13"/>
      <c r="P38" s="13"/>
      <c r="Q38" s="13"/>
      <c r="R38" s="13"/>
      <c r="S38" s="82"/>
      <c r="T38" s="13"/>
      <c r="U38" s="13"/>
      <c r="V38" s="13"/>
      <c r="W38" s="81"/>
    </row>
    <row r="39" ht="12.75" customHeight="1">
      <c r="A39" s="31"/>
      <c r="B39" s="46" t="s">
        <v>32</v>
      </c>
      <c r="C39" s="23"/>
      <c r="D39" s="19" t="s">
        <v>11</v>
      </c>
      <c r="E39" s="79">
        <v>0.0</v>
      </c>
      <c r="F39" s="79">
        <v>0.0</v>
      </c>
      <c r="G39" s="79">
        <v>0.0</v>
      </c>
      <c r="H39" s="79">
        <v>2.0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1.0</v>
      </c>
      <c r="Q39" s="79">
        <v>0.0</v>
      </c>
      <c r="R39" s="79">
        <v>0.0</v>
      </c>
      <c r="S39" s="79">
        <v>0.0</v>
      </c>
      <c r="T39" s="79">
        <v>1.0</v>
      </c>
      <c r="U39" s="79">
        <v>0.0</v>
      </c>
      <c r="V39" s="79">
        <v>0.0</v>
      </c>
      <c r="W39" s="13">
        <f t="shared" ref="W39:W41" si="12">SUM(E39:V39)</f>
        <v>4</v>
      </c>
    </row>
    <row r="40" ht="12.75" customHeight="1">
      <c r="A40" s="34"/>
      <c r="C40" s="27"/>
      <c r="D40" s="19" t="s">
        <v>12</v>
      </c>
      <c r="E40" s="79">
        <v>0.0</v>
      </c>
      <c r="F40" s="79">
        <v>0.0</v>
      </c>
      <c r="G40" s="79">
        <v>0.0</v>
      </c>
      <c r="H40" s="79">
        <v>1.0</v>
      </c>
      <c r="I40" s="79">
        <v>1.0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1.0</v>
      </c>
      <c r="Q40" s="79">
        <v>0.0</v>
      </c>
      <c r="R40" s="79">
        <v>0.0</v>
      </c>
      <c r="S40" s="79">
        <v>0.0</v>
      </c>
      <c r="T40" s="79">
        <v>1.0</v>
      </c>
      <c r="U40" s="79">
        <v>0.0</v>
      </c>
      <c r="V40" s="79">
        <v>0.0</v>
      </c>
      <c r="W40" s="13">
        <f t="shared" si="12"/>
        <v>4</v>
      </c>
    </row>
    <row r="41" ht="12.75" customHeight="1">
      <c r="A41" s="44"/>
      <c r="B41" s="47"/>
      <c r="C41" s="28"/>
      <c r="D41" s="13" t="s">
        <v>13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2"/>
        <v>8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0"/>
      <c r="O42" s="19"/>
      <c r="P42" s="19"/>
      <c r="Q42" s="19"/>
      <c r="R42" s="19"/>
      <c r="S42" s="80"/>
      <c r="T42" s="19"/>
      <c r="U42" s="19"/>
      <c r="V42" s="19"/>
      <c r="W42" s="13"/>
    </row>
    <row r="43" ht="12.75" customHeight="1">
      <c r="A43" s="45" t="s">
        <v>33</v>
      </c>
      <c r="B43" s="14" t="s">
        <v>34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82"/>
      <c r="O43" s="13"/>
      <c r="P43" s="13"/>
      <c r="Q43" s="13"/>
      <c r="R43" s="13"/>
      <c r="S43" s="82"/>
      <c r="T43" s="13"/>
      <c r="U43" s="13"/>
      <c r="V43" s="13"/>
      <c r="W43" s="13"/>
    </row>
    <row r="44" ht="12.75" customHeight="1">
      <c r="A44" s="46" t="s">
        <v>35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0"/>
      <c r="O44" s="19"/>
      <c r="P44" s="19"/>
      <c r="Q44" s="19"/>
      <c r="R44" s="19"/>
      <c r="S44" s="80"/>
      <c r="T44" s="19"/>
      <c r="U44" s="19"/>
      <c r="V44" s="19"/>
      <c r="W44" s="13"/>
    </row>
    <row r="45" ht="12.75" customHeight="1">
      <c r="A45" s="31" t="s">
        <v>36</v>
      </c>
      <c r="B45" s="50" t="s">
        <v>16</v>
      </c>
      <c r="C45" s="51" t="s">
        <v>37</v>
      </c>
      <c r="D45" s="16"/>
      <c r="E45" s="79">
        <v>4.0</v>
      </c>
      <c r="F45" s="79">
        <v>7.0</v>
      </c>
      <c r="G45" s="79">
        <v>10.0</v>
      </c>
      <c r="H45" s="79">
        <v>3.0</v>
      </c>
      <c r="I45" s="79">
        <v>11.0</v>
      </c>
      <c r="J45" s="79">
        <v>19.0</v>
      </c>
      <c r="K45" s="79">
        <v>18.0</v>
      </c>
      <c r="L45" s="79">
        <v>5.0</v>
      </c>
      <c r="M45" s="79">
        <v>9.0</v>
      </c>
      <c r="N45" s="79">
        <v>9.0</v>
      </c>
      <c r="O45" s="79">
        <v>8.0</v>
      </c>
      <c r="P45" s="79">
        <v>12.0</v>
      </c>
      <c r="Q45" s="79">
        <v>8.0</v>
      </c>
      <c r="R45" s="79">
        <v>9.0</v>
      </c>
      <c r="S45" s="79">
        <v>7.0</v>
      </c>
      <c r="T45" s="79">
        <v>2.0</v>
      </c>
      <c r="U45" s="79">
        <v>5.0</v>
      </c>
      <c r="V45" s="79">
        <v>0.0</v>
      </c>
      <c r="W45" s="13">
        <f t="shared" ref="W45:W55" si="14">SUM(E45:V45)</f>
        <v>146</v>
      </c>
    </row>
    <row r="46" ht="12.75" customHeight="1">
      <c r="A46" s="31" t="s">
        <v>38</v>
      </c>
      <c r="B46" s="52"/>
      <c r="C46" s="53" t="s">
        <v>39</v>
      </c>
      <c r="D46" s="53"/>
      <c r="E46" s="79">
        <v>16.0</v>
      </c>
      <c r="F46" s="79">
        <v>24.0</v>
      </c>
      <c r="G46" s="79">
        <v>3.0</v>
      </c>
      <c r="H46" s="79">
        <v>25.0</v>
      </c>
      <c r="I46" s="79">
        <v>42.0</v>
      </c>
      <c r="J46" s="79">
        <v>32.0</v>
      </c>
      <c r="K46" s="79">
        <v>46.0</v>
      </c>
      <c r="L46" s="79">
        <v>25.0</v>
      </c>
      <c r="M46" s="79">
        <v>25.0</v>
      </c>
      <c r="N46" s="79">
        <v>21.0</v>
      </c>
      <c r="O46" s="79">
        <v>12.0</v>
      </c>
      <c r="P46" s="79">
        <v>9.0</v>
      </c>
      <c r="Q46" s="79">
        <v>8.0</v>
      </c>
      <c r="R46" s="79">
        <v>7.0</v>
      </c>
      <c r="S46" s="79">
        <v>13.0</v>
      </c>
      <c r="T46" s="79">
        <v>3.0</v>
      </c>
      <c r="U46" s="79">
        <v>5.0</v>
      </c>
      <c r="V46" s="79">
        <v>0.0</v>
      </c>
      <c r="W46" s="13">
        <f t="shared" si="14"/>
        <v>316</v>
      </c>
    </row>
    <row r="47" ht="12.75" customHeight="1">
      <c r="A47" s="18"/>
      <c r="B47" s="58"/>
      <c r="C47" s="53" t="s">
        <v>40</v>
      </c>
      <c r="D47" s="53"/>
      <c r="E47" s="79">
        <v>1.0</v>
      </c>
      <c r="F47" s="79">
        <v>2.0</v>
      </c>
      <c r="G47" s="79">
        <v>1.0</v>
      </c>
      <c r="H47" s="79">
        <v>0.0</v>
      </c>
      <c r="I47" s="79">
        <v>0.0</v>
      </c>
      <c r="J47" s="79">
        <v>0.0</v>
      </c>
      <c r="K47" s="79">
        <v>1.0</v>
      </c>
      <c r="L47" s="79">
        <v>1.0</v>
      </c>
      <c r="M47" s="79">
        <v>1.0</v>
      </c>
      <c r="N47" s="79">
        <v>2.0</v>
      </c>
      <c r="O47" s="79">
        <v>1.0</v>
      </c>
      <c r="P47" s="79">
        <v>1.0</v>
      </c>
      <c r="Q47" s="79">
        <v>1.0</v>
      </c>
      <c r="R47" s="79">
        <v>0.0</v>
      </c>
      <c r="S47" s="79">
        <v>3.0</v>
      </c>
      <c r="T47" s="79">
        <v>5.0</v>
      </c>
      <c r="U47" s="79">
        <v>1.0</v>
      </c>
      <c r="V47" s="79">
        <v>1.0</v>
      </c>
      <c r="W47" s="13">
        <f t="shared" si="14"/>
        <v>22</v>
      </c>
    </row>
    <row r="48" ht="12.75" customHeight="1">
      <c r="A48" s="18"/>
      <c r="B48" s="58"/>
      <c r="C48" s="53" t="s">
        <v>41</v>
      </c>
      <c r="D48" s="53"/>
      <c r="E48" s="79">
        <v>5.0</v>
      </c>
      <c r="F48" s="79">
        <v>0.0</v>
      </c>
      <c r="G48" s="79">
        <v>0.0</v>
      </c>
      <c r="H48" s="79">
        <v>1.0</v>
      </c>
      <c r="I48" s="79">
        <v>2.0</v>
      </c>
      <c r="J48" s="79">
        <v>0.0</v>
      </c>
      <c r="K48" s="79">
        <v>0.0</v>
      </c>
      <c r="L48" s="79">
        <v>1.0</v>
      </c>
      <c r="M48" s="79">
        <v>0.0</v>
      </c>
      <c r="N48" s="79">
        <v>1.0</v>
      </c>
      <c r="O48" s="79">
        <v>0.0</v>
      </c>
      <c r="P48" s="79">
        <v>1.0</v>
      </c>
      <c r="Q48" s="79">
        <v>0.0</v>
      </c>
      <c r="R48" s="79">
        <v>1.0</v>
      </c>
      <c r="S48" s="79">
        <v>0.0</v>
      </c>
      <c r="T48" s="79">
        <v>1.0</v>
      </c>
      <c r="U48" s="79">
        <v>0.0</v>
      </c>
      <c r="V48" s="79">
        <v>0.0</v>
      </c>
      <c r="W48" s="13">
        <f t="shared" si="14"/>
        <v>13</v>
      </c>
    </row>
    <row r="49" ht="12.75" customHeight="1">
      <c r="A49" s="18"/>
      <c r="B49" s="58"/>
      <c r="C49" s="53" t="s">
        <v>42</v>
      </c>
      <c r="D49" s="53"/>
      <c r="E49" s="79">
        <v>2.0</v>
      </c>
      <c r="F49" s="79">
        <v>2.0</v>
      </c>
      <c r="G49" s="79">
        <v>2.0</v>
      </c>
      <c r="H49" s="79">
        <v>0.0</v>
      </c>
      <c r="I49" s="79">
        <v>2.0</v>
      </c>
      <c r="J49" s="79">
        <v>1.0</v>
      </c>
      <c r="K49" s="79">
        <v>2.0</v>
      </c>
      <c r="L49" s="79">
        <v>0.0</v>
      </c>
      <c r="M49" s="79">
        <v>1.0</v>
      </c>
      <c r="N49" s="79">
        <v>0.0</v>
      </c>
      <c r="O49" s="79">
        <v>2.0</v>
      </c>
      <c r="P49" s="79">
        <v>0.0</v>
      </c>
      <c r="Q49" s="79">
        <v>0.0</v>
      </c>
      <c r="R49" s="79">
        <v>0.0</v>
      </c>
      <c r="S49" s="79">
        <v>0.0</v>
      </c>
      <c r="T49" s="79">
        <v>1.0</v>
      </c>
      <c r="U49" s="79">
        <v>0.0</v>
      </c>
      <c r="V49" s="79">
        <v>0.0</v>
      </c>
      <c r="W49" s="13">
        <f t="shared" si="14"/>
        <v>15</v>
      </c>
    </row>
    <row r="50" ht="12.75" customHeight="1">
      <c r="A50" s="18"/>
      <c r="B50" s="58"/>
      <c r="C50" s="53" t="s">
        <v>43</v>
      </c>
      <c r="D50" s="53"/>
      <c r="E50" s="79">
        <v>0.0</v>
      </c>
      <c r="F50" s="79">
        <v>0.0</v>
      </c>
      <c r="G50" s="79">
        <v>0.0</v>
      </c>
      <c r="H50" s="79">
        <v>0.0</v>
      </c>
      <c r="I50" s="79">
        <v>1.0</v>
      </c>
      <c r="J50" s="79">
        <v>0.0</v>
      </c>
      <c r="K50" s="79">
        <v>2.0</v>
      </c>
      <c r="L50" s="79">
        <v>2.0</v>
      </c>
      <c r="M50" s="79">
        <v>0.0</v>
      </c>
      <c r="N50" s="79">
        <v>1.0</v>
      </c>
      <c r="O50" s="79">
        <v>30.0</v>
      </c>
      <c r="P50" s="79">
        <v>3.0</v>
      </c>
      <c r="Q50" s="79">
        <v>0.0</v>
      </c>
      <c r="R50" s="79">
        <v>0.0</v>
      </c>
      <c r="S50" s="79">
        <v>0.0</v>
      </c>
      <c r="T50" s="79">
        <v>0.0</v>
      </c>
      <c r="U50" s="79">
        <v>0.0</v>
      </c>
      <c r="V50" s="79">
        <v>0.0</v>
      </c>
      <c r="W50" s="13">
        <f t="shared" si="14"/>
        <v>39</v>
      </c>
    </row>
    <row r="51" ht="12.75" customHeight="1">
      <c r="A51" s="18"/>
      <c r="B51" s="58"/>
      <c r="C51" s="53" t="s">
        <v>44</v>
      </c>
      <c r="D51" s="53"/>
      <c r="E51" s="79">
        <v>1.0</v>
      </c>
      <c r="F51" s="79">
        <v>0.0</v>
      </c>
      <c r="G51" s="79">
        <v>0.0</v>
      </c>
      <c r="H51" s="79">
        <v>0.0</v>
      </c>
      <c r="I51" s="79">
        <v>0.0</v>
      </c>
      <c r="J51" s="79">
        <v>0.0</v>
      </c>
      <c r="K51" s="79">
        <v>3.0</v>
      </c>
      <c r="L51" s="79">
        <v>0.0</v>
      </c>
      <c r="M51" s="79">
        <v>0.0</v>
      </c>
      <c r="N51" s="79">
        <v>0.0</v>
      </c>
      <c r="O51" s="79">
        <v>1.0</v>
      </c>
      <c r="P51" s="79">
        <v>0.0</v>
      </c>
      <c r="Q51" s="79">
        <v>0.0</v>
      </c>
      <c r="R51" s="79">
        <v>0.0</v>
      </c>
      <c r="S51" s="79">
        <v>0.0</v>
      </c>
      <c r="T51" s="79">
        <v>1.0</v>
      </c>
      <c r="U51" s="79">
        <v>0.0</v>
      </c>
      <c r="V51" s="79">
        <v>0.0</v>
      </c>
      <c r="W51" s="13">
        <f t="shared" si="14"/>
        <v>6</v>
      </c>
    </row>
    <row r="52" ht="12.75" customHeight="1">
      <c r="A52" s="18"/>
      <c r="B52" s="58"/>
      <c r="C52" s="53" t="s">
        <v>45</v>
      </c>
      <c r="D52" s="53"/>
      <c r="E52" s="79">
        <v>0.0</v>
      </c>
      <c r="F52" s="79">
        <v>0.0</v>
      </c>
      <c r="G52" s="79">
        <v>0.0</v>
      </c>
      <c r="H52" s="79">
        <v>1.0</v>
      </c>
      <c r="I52" s="79">
        <v>0.0</v>
      </c>
      <c r="J52" s="79">
        <v>0.0</v>
      </c>
      <c r="K52" s="79">
        <v>0.0</v>
      </c>
      <c r="L52" s="79">
        <v>0.0</v>
      </c>
      <c r="M52" s="79">
        <v>0.0</v>
      </c>
      <c r="N52" s="79">
        <v>1.0</v>
      </c>
      <c r="O52" s="79">
        <v>0.0</v>
      </c>
      <c r="P52" s="79">
        <v>1.0</v>
      </c>
      <c r="Q52" s="79">
        <v>0.0</v>
      </c>
      <c r="R52" s="79">
        <v>0.0</v>
      </c>
      <c r="S52" s="79">
        <v>0.0</v>
      </c>
      <c r="T52" s="79">
        <v>0.0</v>
      </c>
      <c r="U52" s="79">
        <v>0.0</v>
      </c>
      <c r="V52" s="79">
        <v>0.0</v>
      </c>
      <c r="W52" s="13">
        <f t="shared" si="14"/>
        <v>3</v>
      </c>
    </row>
    <row r="53" ht="12.75" customHeight="1">
      <c r="A53" s="18"/>
      <c r="B53" s="58"/>
      <c r="C53" s="53" t="s">
        <v>46</v>
      </c>
      <c r="D53" s="53"/>
      <c r="E53" s="79">
        <v>0.0</v>
      </c>
      <c r="F53" s="79">
        <v>0.0</v>
      </c>
      <c r="G53" s="79">
        <v>0.0</v>
      </c>
      <c r="H53" s="79">
        <v>0.0</v>
      </c>
      <c r="I53" s="79">
        <v>0.0</v>
      </c>
      <c r="J53" s="79">
        <v>1.0</v>
      </c>
      <c r="K53" s="79">
        <v>0.0</v>
      </c>
      <c r="L53" s="79">
        <v>0.0</v>
      </c>
      <c r="M53" s="79">
        <v>0.0</v>
      </c>
      <c r="N53" s="79">
        <v>0.0</v>
      </c>
      <c r="O53" s="79">
        <v>0.0</v>
      </c>
      <c r="P53" s="79">
        <v>1.0</v>
      </c>
      <c r="Q53" s="79">
        <v>0.0</v>
      </c>
      <c r="R53" s="79">
        <v>0.0</v>
      </c>
      <c r="S53" s="79">
        <v>0.0</v>
      </c>
      <c r="T53" s="79">
        <v>1.0</v>
      </c>
      <c r="U53" s="79">
        <v>0.0</v>
      </c>
      <c r="V53" s="79">
        <v>0.0</v>
      </c>
      <c r="W53" s="13">
        <f t="shared" si="14"/>
        <v>3</v>
      </c>
    </row>
    <row r="54" ht="12.75" customHeight="1">
      <c r="A54" s="18"/>
      <c r="B54" s="58"/>
      <c r="C54" s="53" t="s">
        <v>47</v>
      </c>
      <c r="D54" s="53"/>
      <c r="E54" s="79">
        <v>0.0</v>
      </c>
      <c r="F54" s="79">
        <v>0.0</v>
      </c>
      <c r="G54" s="79">
        <v>0.0</v>
      </c>
      <c r="H54" s="79">
        <v>1.0</v>
      </c>
      <c r="I54" s="79">
        <v>0.0</v>
      </c>
      <c r="J54" s="79">
        <v>0.0</v>
      </c>
      <c r="K54" s="79">
        <v>0.0</v>
      </c>
      <c r="L54" s="79">
        <v>0.0</v>
      </c>
      <c r="M54" s="79">
        <v>0.0</v>
      </c>
      <c r="N54" s="79">
        <v>0.0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0.0</v>
      </c>
      <c r="U54" s="79">
        <v>0.0</v>
      </c>
      <c r="V54" s="79">
        <v>0.0</v>
      </c>
      <c r="W54" s="13">
        <f t="shared" si="14"/>
        <v>1</v>
      </c>
    </row>
    <row r="55" ht="12.75" customHeight="1">
      <c r="A55" s="19" t="s">
        <v>14</v>
      </c>
      <c r="B55" s="50" t="s">
        <v>48</v>
      </c>
      <c r="C55" s="15"/>
      <c r="D55" s="16"/>
      <c r="E55" s="13">
        <f t="shared" ref="E55:V55" si="15">SUM(E45:E54)</f>
        <v>29</v>
      </c>
      <c r="F55" s="13">
        <f t="shared" si="15"/>
        <v>35</v>
      </c>
      <c r="G55" s="13">
        <f t="shared" si="15"/>
        <v>16</v>
      </c>
      <c r="H55" s="13">
        <f t="shared" si="15"/>
        <v>31</v>
      </c>
      <c r="I55" s="13">
        <f t="shared" si="15"/>
        <v>58</v>
      </c>
      <c r="J55" s="13">
        <f t="shared" si="15"/>
        <v>53</v>
      </c>
      <c r="K55" s="13">
        <f t="shared" si="15"/>
        <v>72</v>
      </c>
      <c r="L55" s="13">
        <f t="shared" si="15"/>
        <v>34</v>
      </c>
      <c r="M55" s="13">
        <f t="shared" si="15"/>
        <v>36</v>
      </c>
      <c r="N55" s="13">
        <f t="shared" si="15"/>
        <v>35</v>
      </c>
      <c r="O55" s="13">
        <f t="shared" si="15"/>
        <v>54</v>
      </c>
      <c r="P55" s="13">
        <f t="shared" si="15"/>
        <v>28</v>
      </c>
      <c r="Q55" s="13">
        <f t="shared" si="15"/>
        <v>17</v>
      </c>
      <c r="R55" s="13">
        <f t="shared" si="15"/>
        <v>17</v>
      </c>
      <c r="S55" s="13">
        <f t="shared" si="15"/>
        <v>23</v>
      </c>
      <c r="T55" s="13">
        <f t="shared" si="15"/>
        <v>14</v>
      </c>
      <c r="U55" s="13">
        <f t="shared" si="15"/>
        <v>11</v>
      </c>
      <c r="V55" s="13">
        <f t="shared" si="15"/>
        <v>1</v>
      </c>
      <c r="W55" s="13">
        <f t="shared" si="14"/>
        <v>564</v>
      </c>
    </row>
    <row r="56" ht="12.75" customHeight="1">
      <c r="A56" s="48"/>
      <c r="B56" s="47"/>
      <c r="C56" s="47"/>
      <c r="D56" s="47"/>
      <c r="E56" s="47"/>
      <c r="W56" s="13"/>
    </row>
    <row r="57" ht="12.75" customHeight="1">
      <c r="A57" s="31" t="s">
        <v>36</v>
      </c>
      <c r="B57" s="50" t="s">
        <v>18</v>
      </c>
      <c r="C57" s="51" t="s">
        <v>49</v>
      </c>
      <c r="D57" s="16"/>
      <c r="E57" s="79">
        <v>26.0</v>
      </c>
      <c r="F57" s="79">
        <v>21.0</v>
      </c>
      <c r="G57" s="79">
        <v>6.0</v>
      </c>
      <c r="H57" s="79">
        <v>11.0</v>
      </c>
      <c r="I57" s="79">
        <v>8.0</v>
      </c>
      <c r="J57" s="79">
        <v>8.0</v>
      </c>
      <c r="K57" s="79">
        <v>8.0</v>
      </c>
      <c r="L57" s="79">
        <v>4.0</v>
      </c>
      <c r="M57" s="79">
        <v>11.0</v>
      </c>
      <c r="N57" s="79">
        <v>5.0</v>
      </c>
      <c r="O57" s="79">
        <v>0.0</v>
      </c>
      <c r="P57" s="79">
        <v>5.0</v>
      </c>
      <c r="Q57" s="79">
        <v>6.0</v>
      </c>
      <c r="R57" s="79">
        <v>9.0</v>
      </c>
      <c r="S57" s="79">
        <v>8.0</v>
      </c>
      <c r="T57" s="79">
        <v>9.0</v>
      </c>
      <c r="U57" s="79">
        <v>1.0</v>
      </c>
      <c r="V57" s="79">
        <v>0.0</v>
      </c>
      <c r="W57" s="13">
        <f t="shared" ref="W57:W67" si="16">SUM(E57:V57)</f>
        <v>146</v>
      </c>
    </row>
    <row r="58" ht="12.75" customHeight="1">
      <c r="A58" s="31" t="s">
        <v>38</v>
      </c>
      <c r="B58" s="58"/>
      <c r="C58" s="53" t="s">
        <v>50</v>
      </c>
      <c r="D58" s="60"/>
      <c r="E58" s="79">
        <v>9.0</v>
      </c>
      <c r="F58" s="79">
        <v>8.0</v>
      </c>
      <c r="G58" s="79">
        <v>17.0</v>
      </c>
      <c r="H58" s="79">
        <v>7.0</v>
      </c>
      <c r="I58" s="79">
        <v>5.0</v>
      </c>
      <c r="J58" s="79">
        <v>6.0</v>
      </c>
      <c r="K58" s="79">
        <v>14.0</v>
      </c>
      <c r="L58" s="79">
        <v>3.0</v>
      </c>
      <c r="M58" s="79">
        <v>5.0</v>
      </c>
      <c r="N58" s="79">
        <v>12.0</v>
      </c>
      <c r="O58" s="79">
        <v>4.0</v>
      </c>
      <c r="P58" s="79">
        <v>0.0</v>
      </c>
      <c r="Q58" s="79">
        <v>4.0</v>
      </c>
      <c r="R58" s="79">
        <v>6.0</v>
      </c>
      <c r="S58" s="79">
        <v>12.0</v>
      </c>
      <c r="T58" s="79">
        <v>5.0</v>
      </c>
      <c r="U58" s="79">
        <v>2.0</v>
      </c>
      <c r="V58" s="79">
        <v>0.0</v>
      </c>
      <c r="W58" s="13">
        <f t="shared" si="16"/>
        <v>119</v>
      </c>
    </row>
    <row r="59" ht="12.75" customHeight="1">
      <c r="A59" s="18"/>
      <c r="B59" s="58"/>
      <c r="C59" s="53" t="s">
        <v>51</v>
      </c>
      <c r="D59" s="60"/>
      <c r="E59" s="79">
        <v>9.0</v>
      </c>
      <c r="F59" s="79">
        <v>5.0</v>
      </c>
      <c r="G59" s="79">
        <v>15.0</v>
      </c>
      <c r="H59" s="79">
        <v>8.0</v>
      </c>
      <c r="I59" s="79">
        <v>11.0</v>
      </c>
      <c r="J59" s="79">
        <v>4.0</v>
      </c>
      <c r="K59" s="79">
        <v>4.0</v>
      </c>
      <c r="L59" s="79">
        <v>4.0</v>
      </c>
      <c r="M59" s="79">
        <v>4.0</v>
      </c>
      <c r="N59" s="79">
        <v>6.0</v>
      </c>
      <c r="O59" s="79">
        <v>10.0</v>
      </c>
      <c r="P59" s="79">
        <v>6.0</v>
      </c>
      <c r="Q59" s="79">
        <v>13.0</v>
      </c>
      <c r="R59" s="79">
        <v>15.0</v>
      </c>
      <c r="S59" s="79">
        <v>14.0</v>
      </c>
      <c r="T59" s="79">
        <v>2.0</v>
      </c>
      <c r="U59" s="79">
        <v>4.0</v>
      </c>
      <c r="V59" s="79">
        <v>0.0</v>
      </c>
      <c r="W59" s="13">
        <f t="shared" si="16"/>
        <v>134</v>
      </c>
    </row>
    <row r="60" ht="12.75" customHeight="1">
      <c r="A60" s="18"/>
      <c r="B60" s="58"/>
      <c r="C60" s="53" t="s">
        <v>52</v>
      </c>
      <c r="D60" s="60"/>
      <c r="E60" s="79">
        <v>5.0</v>
      </c>
      <c r="F60" s="79">
        <v>2.0</v>
      </c>
      <c r="G60" s="79">
        <v>3.0</v>
      </c>
      <c r="H60" s="79">
        <v>1.0</v>
      </c>
      <c r="I60" s="79">
        <v>1.0</v>
      </c>
      <c r="J60" s="79">
        <v>0.0</v>
      </c>
      <c r="K60" s="79">
        <v>0.0</v>
      </c>
      <c r="L60" s="79">
        <v>0.0</v>
      </c>
      <c r="M60" s="79">
        <v>3.0</v>
      </c>
      <c r="N60" s="79">
        <v>0.0</v>
      </c>
      <c r="O60" s="79">
        <v>2.0</v>
      </c>
      <c r="P60" s="79">
        <v>1.0</v>
      </c>
      <c r="Q60" s="79">
        <v>0.0</v>
      </c>
      <c r="R60" s="79">
        <v>2.0</v>
      </c>
      <c r="S60" s="79">
        <v>3.0</v>
      </c>
      <c r="T60" s="79">
        <v>3.0</v>
      </c>
      <c r="U60" s="79">
        <v>0.0</v>
      </c>
      <c r="V60" s="79">
        <v>0.0</v>
      </c>
      <c r="W60" s="13">
        <f t="shared" si="16"/>
        <v>26</v>
      </c>
    </row>
    <row r="61" ht="12.75" customHeight="1">
      <c r="A61" s="18"/>
      <c r="B61" s="58"/>
      <c r="C61" s="53" t="s">
        <v>53</v>
      </c>
      <c r="D61" s="60"/>
      <c r="E61" s="79">
        <v>4.0</v>
      </c>
      <c r="F61" s="79">
        <v>11.0</v>
      </c>
      <c r="G61" s="79">
        <v>31.0</v>
      </c>
      <c r="H61" s="79">
        <v>33.0</v>
      </c>
      <c r="I61" s="79">
        <v>0.0</v>
      </c>
      <c r="J61" s="79">
        <v>3.0</v>
      </c>
      <c r="K61" s="79">
        <v>3.0</v>
      </c>
      <c r="L61" s="79">
        <v>2.0</v>
      </c>
      <c r="M61" s="79">
        <v>2.0</v>
      </c>
      <c r="N61" s="79">
        <v>1.0</v>
      </c>
      <c r="O61" s="79">
        <v>4.0</v>
      </c>
      <c r="P61" s="79">
        <v>4.0</v>
      </c>
      <c r="Q61" s="79">
        <v>1.0</v>
      </c>
      <c r="R61" s="79">
        <v>3.0</v>
      </c>
      <c r="S61" s="79">
        <v>1.0</v>
      </c>
      <c r="T61" s="79">
        <v>6.0</v>
      </c>
      <c r="U61" s="79">
        <v>3.0</v>
      </c>
      <c r="V61" s="79">
        <v>0.0</v>
      </c>
      <c r="W61" s="13">
        <f t="shared" si="16"/>
        <v>112</v>
      </c>
    </row>
    <row r="62" ht="12.75" customHeight="1">
      <c r="A62" s="18"/>
      <c r="B62" s="58"/>
      <c r="C62" s="53" t="s">
        <v>54</v>
      </c>
      <c r="D62" s="60"/>
      <c r="E62" s="79">
        <v>0.0</v>
      </c>
      <c r="F62" s="79">
        <v>2.0</v>
      </c>
      <c r="G62" s="79">
        <v>2.0</v>
      </c>
      <c r="H62" s="79">
        <v>1.0</v>
      </c>
      <c r="I62" s="79">
        <v>0.0</v>
      </c>
      <c r="J62" s="79">
        <v>0.0</v>
      </c>
      <c r="K62" s="79">
        <v>0.0</v>
      </c>
      <c r="L62" s="79">
        <v>0.0</v>
      </c>
      <c r="M62" s="79">
        <v>0.0</v>
      </c>
      <c r="N62" s="79">
        <v>1.0</v>
      </c>
      <c r="O62" s="79">
        <v>0.0</v>
      </c>
      <c r="P62" s="79">
        <v>1.0</v>
      </c>
      <c r="Q62" s="79">
        <v>0.0</v>
      </c>
      <c r="R62" s="79">
        <v>0.0</v>
      </c>
      <c r="S62" s="79">
        <v>0.0</v>
      </c>
      <c r="T62" s="79">
        <v>1.0</v>
      </c>
      <c r="U62" s="79">
        <v>0.0</v>
      </c>
      <c r="V62" s="79">
        <v>1.0</v>
      </c>
      <c r="W62" s="13">
        <f t="shared" si="16"/>
        <v>9</v>
      </c>
    </row>
    <row r="63" ht="12.75" customHeight="1">
      <c r="A63" s="18"/>
      <c r="B63" s="58"/>
      <c r="C63" s="53" t="s">
        <v>55</v>
      </c>
      <c r="D63" s="61"/>
      <c r="E63" s="79">
        <v>0.0</v>
      </c>
      <c r="F63" s="79">
        <v>1.0</v>
      </c>
      <c r="G63" s="79">
        <v>0.0</v>
      </c>
      <c r="H63" s="79">
        <v>1.0</v>
      </c>
      <c r="I63" s="79">
        <v>0.0</v>
      </c>
      <c r="J63" s="79">
        <v>0.0</v>
      </c>
      <c r="K63" s="79">
        <v>0.0</v>
      </c>
      <c r="L63" s="79">
        <v>0.0</v>
      </c>
      <c r="M63" s="79">
        <v>0.0</v>
      </c>
      <c r="N63" s="79">
        <v>0.0</v>
      </c>
      <c r="O63" s="79">
        <v>0.0</v>
      </c>
      <c r="P63" s="79">
        <v>0.0</v>
      </c>
      <c r="Q63" s="79">
        <v>0.0</v>
      </c>
      <c r="R63" s="79">
        <v>1.0</v>
      </c>
      <c r="S63" s="79">
        <v>1.0</v>
      </c>
      <c r="T63" s="79">
        <v>1.0</v>
      </c>
      <c r="U63" s="79">
        <v>2.0</v>
      </c>
      <c r="V63" s="79">
        <v>0.0</v>
      </c>
      <c r="W63" s="13">
        <f t="shared" si="16"/>
        <v>7</v>
      </c>
    </row>
    <row r="64" ht="12.75" customHeight="1">
      <c r="A64" s="18"/>
      <c r="B64" s="58"/>
      <c r="C64" s="53" t="s">
        <v>56</v>
      </c>
      <c r="D64" s="60"/>
      <c r="E64" s="79">
        <v>1.0</v>
      </c>
      <c r="F64" s="79">
        <v>0.0</v>
      </c>
      <c r="G64" s="79">
        <v>0.0</v>
      </c>
      <c r="H64" s="79">
        <v>0.0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1.0</v>
      </c>
      <c r="Q64" s="79">
        <v>1.0</v>
      </c>
      <c r="R64" s="79">
        <v>0.0</v>
      </c>
      <c r="S64" s="79">
        <v>0.0</v>
      </c>
      <c r="T64" s="79">
        <v>0.0</v>
      </c>
      <c r="U64" s="79">
        <v>0.0</v>
      </c>
      <c r="V64" s="79">
        <v>0.0</v>
      </c>
      <c r="W64" s="13">
        <f t="shared" si="16"/>
        <v>3</v>
      </c>
    </row>
    <row r="65" ht="12.75" customHeight="1">
      <c r="A65" s="18"/>
      <c r="B65" s="58"/>
      <c r="C65" s="53" t="s">
        <v>57</v>
      </c>
      <c r="D65" s="60"/>
      <c r="E65" s="79">
        <v>0.0</v>
      </c>
      <c r="F65" s="79">
        <v>0.0</v>
      </c>
      <c r="G65" s="79">
        <v>1.0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1.0</v>
      </c>
      <c r="N65" s="79">
        <v>1.0</v>
      </c>
      <c r="O65" s="79">
        <v>0.0</v>
      </c>
      <c r="P65" s="79">
        <v>0.0</v>
      </c>
      <c r="Q65" s="79">
        <v>0.0</v>
      </c>
      <c r="R65" s="79">
        <v>1.0</v>
      </c>
      <c r="S65" s="79">
        <v>0.0</v>
      </c>
      <c r="T65" s="79">
        <v>0.0</v>
      </c>
      <c r="U65" s="79">
        <v>0.0</v>
      </c>
      <c r="V65" s="79">
        <v>0.0</v>
      </c>
      <c r="W65" s="13">
        <f t="shared" si="16"/>
        <v>4</v>
      </c>
    </row>
    <row r="66" ht="12.75" customHeight="1">
      <c r="A66" s="18"/>
      <c r="B66" s="58"/>
      <c r="C66" s="53" t="s">
        <v>58</v>
      </c>
      <c r="D66" s="60"/>
      <c r="E66" s="79">
        <v>0.0</v>
      </c>
      <c r="F66" s="79">
        <v>1.0</v>
      </c>
      <c r="G66" s="79">
        <v>0.0</v>
      </c>
      <c r="H66" s="79">
        <v>0.0</v>
      </c>
      <c r="I66" s="79">
        <v>0.0</v>
      </c>
      <c r="J66" s="79">
        <v>0.0</v>
      </c>
      <c r="K66" s="79">
        <v>0.0</v>
      </c>
      <c r="L66" s="79">
        <v>0.0</v>
      </c>
      <c r="M66" s="79">
        <v>0.0</v>
      </c>
      <c r="N66" s="79">
        <v>0.0</v>
      </c>
      <c r="O66" s="79">
        <v>0.0</v>
      </c>
      <c r="P66" s="79">
        <v>0.0</v>
      </c>
      <c r="Q66" s="79">
        <v>0.0</v>
      </c>
      <c r="R66" s="79">
        <v>0.0</v>
      </c>
      <c r="S66" s="79">
        <v>1.0</v>
      </c>
      <c r="T66" s="79">
        <v>0.0</v>
      </c>
      <c r="U66" s="79">
        <v>1.0</v>
      </c>
      <c r="V66" s="79">
        <v>0.0</v>
      </c>
      <c r="W66" s="13">
        <f t="shared" si="16"/>
        <v>3</v>
      </c>
    </row>
    <row r="67" ht="12.75" customHeight="1">
      <c r="A67" s="19" t="s">
        <v>14</v>
      </c>
      <c r="B67" s="50" t="s">
        <v>48</v>
      </c>
      <c r="C67" s="15"/>
      <c r="D67" s="16"/>
      <c r="E67" s="13">
        <f t="shared" ref="E67:V67" si="17">SUM(E57:E66)</f>
        <v>54</v>
      </c>
      <c r="F67" s="13">
        <f t="shared" si="17"/>
        <v>51</v>
      </c>
      <c r="G67" s="13">
        <f t="shared" si="17"/>
        <v>75</v>
      </c>
      <c r="H67" s="13">
        <f t="shared" si="17"/>
        <v>62</v>
      </c>
      <c r="I67" s="13">
        <f t="shared" si="17"/>
        <v>25</v>
      </c>
      <c r="J67" s="13">
        <f t="shared" si="17"/>
        <v>21</v>
      </c>
      <c r="K67" s="13">
        <f t="shared" si="17"/>
        <v>29</v>
      </c>
      <c r="L67" s="13">
        <f t="shared" si="17"/>
        <v>13</v>
      </c>
      <c r="M67" s="13">
        <f t="shared" si="17"/>
        <v>26</v>
      </c>
      <c r="N67" s="13">
        <f t="shared" si="17"/>
        <v>26</v>
      </c>
      <c r="O67" s="13">
        <f t="shared" si="17"/>
        <v>20</v>
      </c>
      <c r="P67" s="13">
        <f t="shared" si="17"/>
        <v>18</v>
      </c>
      <c r="Q67" s="13">
        <f t="shared" si="17"/>
        <v>25</v>
      </c>
      <c r="R67" s="13">
        <f t="shared" si="17"/>
        <v>37</v>
      </c>
      <c r="S67" s="13">
        <f t="shared" si="17"/>
        <v>40</v>
      </c>
      <c r="T67" s="13">
        <f t="shared" si="17"/>
        <v>27</v>
      </c>
      <c r="U67" s="13">
        <f t="shared" si="17"/>
        <v>13</v>
      </c>
      <c r="V67" s="13">
        <f t="shared" si="17"/>
        <v>1</v>
      </c>
      <c r="W67" s="13">
        <f t="shared" si="16"/>
        <v>563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36</v>
      </c>
      <c r="B69" s="50" t="s">
        <v>20</v>
      </c>
      <c r="C69" s="51" t="s">
        <v>59</v>
      </c>
      <c r="D69" s="16"/>
      <c r="E69" s="79">
        <v>5.0</v>
      </c>
      <c r="F69" s="79">
        <v>21.0</v>
      </c>
      <c r="G69" s="79">
        <v>10.0</v>
      </c>
      <c r="H69" s="79">
        <v>8.0</v>
      </c>
      <c r="I69" s="79">
        <v>3.0</v>
      </c>
      <c r="J69" s="79">
        <v>8.0</v>
      </c>
      <c r="K69" s="79">
        <v>9.0</v>
      </c>
      <c r="L69" s="79">
        <v>15.0</v>
      </c>
      <c r="M69" s="79">
        <v>13.0</v>
      </c>
      <c r="N69" s="79">
        <v>7.0</v>
      </c>
      <c r="O69" s="79">
        <v>6.0</v>
      </c>
      <c r="P69" s="79">
        <v>11.0</v>
      </c>
      <c r="Q69" s="79">
        <v>0.0</v>
      </c>
      <c r="R69" s="79">
        <v>3.0</v>
      </c>
      <c r="S69" s="79">
        <v>12.0</v>
      </c>
      <c r="T69" s="79">
        <v>15.0</v>
      </c>
      <c r="U69" s="79">
        <v>8.0</v>
      </c>
      <c r="V69" s="79">
        <v>3.0</v>
      </c>
      <c r="W69" s="13">
        <f t="shared" ref="W69:W79" si="18">SUM(E69:V69)</f>
        <v>157</v>
      </c>
    </row>
    <row r="70" ht="12.75" customHeight="1">
      <c r="A70" s="31" t="s">
        <v>38</v>
      </c>
      <c r="B70" s="58"/>
      <c r="C70" s="53" t="s">
        <v>60</v>
      </c>
      <c r="D70" s="61"/>
      <c r="E70" s="79">
        <v>12.0</v>
      </c>
      <c r="F70" s="79">
        <v>3.0</v>
      </c>
      <c r="G70" s="79">
        <v>5.0</v>
      </c>
      <c r="H70" s="79">
        <v>5.0</v>
      </c>
      <c r="I70" s="79">
        <v>5.0</v>
      </c>
      <c r="J70" s="79">
        <v>7.0</v>
      </c>
      <c r="K70" s="79">
        <v>6.0</v>
      </c>
      <c r="L70" s="79">
        <v>7.0</v>
      </c>
      <c r="M70" s="79">
        <v>8.0</v>
      </c>
      <c r="N70" s="79">
        <v>7.0</v>
      </c>
      <c r="O70" s="79">
        <v>2.0</v>
      </c>
      <c r="P70" s="79">
        <v>10.0</v>
      </c>
      <c r="Q70" s="79">
        <v>4.0</v>
      </c>
      <c r="R70" s="79">
        <v>2.0</v>
      </c>
      <c r="S70" s="79">
        <v>7.0</v>
      </c>
      <c r="T70" s="79">
        <v>3.0</v>
      </c>
      <c r="U70" s="79">
        <v>4.0</v>
      </c>
      <c r="V70" s="79">
        <v>2.0</v>
      </c>
      <c r="W70" s="13">
        <f t="shared" si="18"/>
        <v>99</v>
      </c>
    </row>
    <row r="71" ht="12.75" customHeight="1">
      <c r="A71" s="18"/>
      <c r="B71" s="58"/>
      <c r="C71" s="53" t="s">
        <v>61</v>
      </c>
      <c r="D71" s="61"/>
      <c r="E71" s="79">
        <v>3.0</v>
      </c>
      <c r="F71" s="79">
        <v>5.0</v>
      </c>
      <c r="G71" s="79">
        <v>5.0</v>
      </c>
      <c r="H71" s="79">
        <v>1.0</v>
      </c>
      <c r="I71" s="79">
        <v>2.0</v>
      </c>
      <c r="J71" s="79">
        <v>2.0</v>
      </c>
      <c r="K71" s="79">
        <v>4.0</v>
      </c>
      <c r="L71" s="79">
        <v>1.0</v>
      </c>
      <c r="M71" s="79">
        <v>4.0</v>
      </c>
      <c r="N71" s="79">
        <v>5.0</v>
      </c>
      <c r="O71" s="79">
        <v>1.0</v>
      </c>
      <c r="P71" s="79">
        <v>4.0</v>
      </c>
      <c r="Q71" s="79">
        <v>2.0</v>
      </c>
      <c r="R71" s="79">
        <v>0.0</v>
      </c>
      <c r="S71" s="79">
        <v>1.0</v>
      </c>
      <c r="T71" s="79">
        <v>1.0</v>
      </c>
      <c r="U71" s="79">
        <v>1.0</v>
      </c>
      <c r="V71" s="79">
        <v>126.0</v>
      </c>
      <c r="W71" s="13">
        <f t="shared" si="18"/>
        <v>168</v>
      </c>
    </row>
    <row r="72" ht="12.75" customHeight="1">
      <c r="A72" s="18"/>
      <c r="B72" s="58"/>
      <c r="C72" s="53" t="s">
        <v>62</v>
      </c>
      <c r="D72" s="61"/>
      <c r="E72" s="79">
        <v>1.0</v>
      </c>
      <c r="F72" s="79">
        <v>1.0</v>
      </c>
      <c r="G72" s="79">
        <v>2.0</v>
      </c>
      <c r="H72" s="79">
        <v>1.0</v>
      </c>
      <c r="I72" s="79">
        <v>3.0</v>
      </c>
      <c r="J72" s="79">
        <v>0.0</v>
      </c>
      <c r="K72" s="79">
        <v>0.0</v>
      </c>
      <c r="L72" s="79">
        <v>0.0</v>
      </c>
      <c r="M72" s="79">
        <v>1.0</v>
      </c>
      <c r="N72" s="79">
        <v>1.0</v>
      </c>
      <c r="O72" s="79">
        <v>1.0</v>
      </c>
      <c r="P72" s="79">
        <v>3.0</v>
      </c>
      <c r="Q72" s="79">
        <v>0.0</v>
      </c>
      <c r="R72" s="79">
        <v>0.0</v>
      </c>
      <c r="S72" s="79">
        <v>1.0</v>
      </c>
      <c r="T72" s="79">
        <v>7.0</v>
      </c>
      <c r="U72" s="79">
        <v>0.0</v>
      </c>
      <c r="V72" s="79">
        <v>1.0</v>
      </c>
      <c r="W72" s="13">
        <f t="shared" si="18"/>
        <v>23</v>
      </c>
    </row>
    <row r="73" ht="12.75" customHeight="1">
      <c r="A73" s="18"/>
      <c r="B73" s="58"/>
      <c r="C73" s="53" t="s">
        <v>63</v>
      </c>
      <c r="D73" s="61"/>
      <c r="E73" s="79">
        <v>0.0</v>
      </c>
      <c r="F73" s="79">
        <v>12.0</v>
      </c>
      <c r="G73" s="79">
        <v>0.0</v>
      </c>
      <c r="H73" s="79">
        <v>11.0</v>
      </c>
      <c r="I73" s="79">
        <v>3.0</v>
      </c>
      <c r="J73" s="79">
        <v>2.0</v>
      </c>
      <c r="K73" s="79">
        <v>3.0</v>
      </c>
      <c r="L73" s="79">
        <v>7.0</v>
      </c>
      <c r="M73" s="79">
        <v>6.0</v>
      </c>
      <c r="N73" s="79">
        <v>5.0</v>
      </c>
      <c r="O73" s="79">
        <v>4.0</v>
      </c>
      <c r="P73" s="79">
        <v>6.0</v>
      </c>
      <c r="Q73" s="79">
        <v>0.0</v>
      </c>
      <c r="R73" s="79">
        <v>2.0</v>
      </c>
      <c r="S73" s="79">
        <v>3.0</v>
      </c>
      <c r="T73" s="79">
        <v>1.0</v>
      </c>
      <c r="U73" s="79">
        <v>0.0</v>
      </c>
      <c r="V73" s="79">
        <v>0.0</v>
      </c>
      <c r="W73" s="13">
        <f t="shared" si="18"/>
        <v>65</v>
      </c>
    </row>
    <row r="74" ht="12.75" customHeight="1">
      <c r="A74" s="18"/>
      <c r="B74" s="58"/>
      <c r="C74" s="53" t="s">
        <v>64</v>
      </c>
      <c r="D74" s="61"/>
      <c r="E74" s="79">
        <v>1.0</v>
      </c>
      <c r="F74" s="79">
        <v>4.0</v>
      </c>
      <c r="G74" s="79">
        <v>1.0</v>
      </c>
      <c r="H74" s="79">
        <v>0.0</v>
      </c>
      <c r="I74" s="79">
        <v>2.0</v>
      </c>
      <c r="J74" s="79">
        <v>0.0</v>
      </c>
      <c r="K74" s="79">
        <v>2.0</v>
      </c>
      <c r="L74" s="79">
        <v>1.0</v>
      </c>
      <c r="M74" s="79">
        <v>1.0</v>
      </c>
      <c r="N74" s="79">
        <v>4.0</v>
      </c>
      <c r="O74" s="79">
        <v>0.0</v>
      </c>
      <c r="P74" s="79">
        <v>1.0</v>
      </c>
      <c r="Q74" s="79">
        <v>1.0</v>
      </c>
      <c r="R74" s="79">
        <v>1.0</v>
      </c>
      <c r="S74" s="79">
        <v>2.0</v>
      </c>
      <c r="T74" s="79">
        <v>2.0</v>
      </c>
      <c r="U74" s="79">
        <v>0.0</v>
      </c>
      <c r="V74" s="79">
        <v>0.0</v>
      </c>
      <c r="W74" s="13">
        <f t="shared" si="18"/>
        <v>23</v>
      </c>
    </row>
    <row r="75" ht="12.75" customHeight="1">
      <c r="A75" s="18"/>
      <c r="B75" s="58"/>
      <c r="C75" s="53" t="s">
        <v>65</v>
      </c>
      <c r="D75" s="61"/>
      <c r="E75" s="79">
        <v>1.0</v>
      </c>
      <c r="F75" s="79">
        <v>1.0</v>
      </c>
      <c r="G75" s="79">
        <v>0.0</v>
      </c>
      <c r="H75" s="79">
        <v>0.0</v>
      </c>
      <c r="I75" s="79">
        <v>0.0</v>
      </c>
      <c r="J75" s="79">
        <v>2.0</v>
      </c>
      <c r="K75" s="79">
        <v>3.0</v>
      </c>
      <c r="L75" s="79">
        <v>2.0</v>
      </c>
      <c r="M75" s="79">
        <v>0.0</v>
      </c>
      <c r="N75" s="79">
        <v>1.0</v>
      </c>
      <c r="O75" s="79">
        <v>2.0</v>
      </c>
      <c r="P75" s="79">
        <v>3.0</v>
      </c>
      <c r="Q75" s="79">
        <v>0.0</v>
      </c>
      <c r="R75" s="79">
        <v>0.0</v>
      </c>
      <c r="S75" s="79">
        <v>0.0</v>
      </c>
      <c r="T75" s="79">
        <v>0.0</v>
      </c>
      <c r="U75" s="79">
        <v>2.0</v>
      </c>
      <c r="V75" s="79">
        <v>0.0</v>
      </c>
      <c r="W75" s="13">
        <f t="shared" si="18"/>
        <v>17</v>
      </c>
    </row>
    <row r="76" ht="12.75" customHeight="1">
      <c r="A76" s="18"/>
      <c r="B76" s="58"/>
      <c r="C76" s="53" t="s">
        <v>66</v>
      </c>
      <c r="D76" s="61"/>
      <c r="E76" s="79">
        <v>0.0</v>
      </c>
      <c r="F76" s="79">
        <v>0.0</v>
      </c>
      <c r="G76" s="79">
        <v>0.0</v>
      </c>
      <c r="H76" s="79">
        <v>0.0</v>
      </c>
      <c r="I76" s="79">
        <v>1.0</v>
      </c>
      <c r="J76" s="79">
        <v>0.0</v>
      </c>
      <c r="K76" s="79">
        <v>1.0</v>
      </c>
      <c r="L76" s="79">
        <v>0.0</v>
      </c>
      <c r="M76" s="79">
        <v>0.0</v>
      </c>
      <c r="N76" s="79">
        <v>0.0</v>
      </c>
      <c r="O76" s="79">
        <v>0.0</v>
      </c>
      <c r="P76" s="79">
        <v>0.0</v>
      </c>
      <c r="Q76" s="79">
        <v>1.0</v>
      </c>
      <c r="R76" s="79">
        <v>0.0</v>
      </c>
      <c r="S76" s="79">
        <v>0.0</v>
      </c>
      <c r="T76" s="79">
        <v>0.0</v>
      </c>
      <c r="U76" s="79">
        <v>0.0</v>
      </c>
      <c r="V76" s="79">
        <v>0.0</v>
      </c>
      <c r="W76" s="13">
        <f t="shared" si="18"/>
        <v>3</v>
      </c>
    </row>
    <row r="77" ht="12.75" customHeight="1">
      <c r="A77" s="18"/>
      <c r="B77" s="58"/>
      <c r="C77" s="53" t="s">
        <v>67</v>
      </c>
      <c r="D77" s="61"/>
      <c r="E77" s="79">
        <v>0.0</v>
      </c>
      <c r="F77" s="79">
        <v>0.0</v>
      </c>
      <c r="G77" s="79">
        <v>1.0</v>
      </c>
      <c r="H77" s="79">
        <v>0.0</v>
      </c>
      <c r="I77" s="79">
        <v>0.0</v>
      </c>
      <c r="J77" s="79">
        <v>0.0</v>
      </c>
      <c r="K77" s="79">
        <v>0.0</v>
      </c>
      <c r="L77" s="79">
        <v>0.0</v>
      </c>
      <c r="M77" s="79">
        <v>0.0</v>
      </c>
      <c r="N77" s="79">
        <v>0.0</v>
      </c>
      <c r="O77" s="79">
        <v>0.0</v>
      </c>
      <c r="P77" s="79">
        <v>0.0</v>
      </c>
      <c r="Q77" s="79">
        <v>0.0</v>
      </c>
      <c r="R77" s="79">
        <v>0.0</v>
      </c>
      <c r="S77" s="79">
        <v>0.0</v>
      </c>
      <c r="T77" s="79">
        <v>1.0</v>
      </c>
      <c r="U77" s="79">
        <v>0.0</v>
      </c>
      <c r="V77" s="79">
        <v>0.0</v>
      </c>
      <c r="W77" s="13">
        <f t="shared" si="18"/>
        <v>2</v>
      </c>
    </row>
    <row r="78" ht="12.75" customHeight="1">
      <c r="A78" s="18"/>
      <c r="B78" s="58"/>
      <c r="C78" s="53" t="s">
        <v>68</v>
      </c>
      <c r="D78" s="61"/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0.0</v>
      </c>
      <c r="K78" s="79">
        <v>1.0</v>
      </c>
      <c r="L78" s="79">
        <v>0.0</v>
      </c>
      <c r="M78" s="79">
        <v>2.0</v>
      </c>
      <c r="N78" s="79">
        <v>2.0</v>
      </c>
      <c r="O78" s="79">
        <v>0.0</v>
      </c>
      <c r="P78" s="79">
        <v>1.0</v>
      </c>
      <c r="Q78" s="79">
        <v>0.0</v>
      </c>
      <c r="R78" s="79">
        <v>0.0</v>
      </c>
      <c r="S78" s="79">
        <v>1.0</v>
      </c>
      <c r="T78" s="79">
        <v>0.0</v>
      </c>
      <c r="U78" s="79">
        <v>0.0</v>
      </c>
      <c r="V78" s="79">
        <v>0.0</v>
      </c>
      <c r="W78" s="13">
        <f t="shared" si="18"/>
        <v>7</v>
      </c>
    </row>
    <row r="79" ht="12.75" customHeight="1">
      <c r="A79" s="19" t="s">
        <v>14</v>
      </c>
      <c r="B79" s="50" t="s">
        <v>48</v>
      </c>
      <c r="C79" s="15"/>
      <c r="D79" s="16"/>
      <c r="E79" s="13">
        <f t="shared" ref="E79:V79" si="19">SUM(E69:E78)</f>
        <v>23</v>
      </c>
      <c r="F79" s="13">
        <f t="shared" si="19"/>
        <v>47</v>
      </c>
      <c r="G79" s="13">
        <f t="shared" si="19"/>
        <v>24</v>
      </c>
      <c r="H79" s="13">
        <f t="shared" si="19"/>
        <v>26</v>
      </c>
      <c r="I79" s="13">
        <f t="shared" si="19"/>
        <v>19</v>
      </c>
      <c r="J79" s="13">
        <f t="shared" si="19"/>
        <v>21</v>
      </c>
      <c r="K79" s="13">
        <f t="shared" si="19"/>
        <v>29</v>
      </c>
      <c r="L79" s="13">
        <f t="shared" si="19"/>
        <v>33</v>
      </c>
      <c r="M79" s="13">
        <f t="shared" si="19"/>
        <v>35</v>
      </c>
      <c r="N79" s="13">
        <f t="shared" si="19"/>
        <v>32</v>
      </c>
      <c r="O79" s="13">
        <f t="shared" si="19"/>
        <v>16</v>
      </c>
      <c r="P79" s="13">
        <f t="shared" si="19"/>
        <v>39</v>
      </c>
      <c r="Q79" s="13">
        <f t="shared" si="19"/>
        <v>8</v>
      </c>
      <c r="R79" s="13">
        <f t="shared" si="19"/>
        <v>8</v>
      </c>
      <c r="S79" s="13">
        <f t="shared" si="19"/>
        <v>27</v>
      </c>
      <c r="T79" s="13">
        <f t="shared" si="19"/>
        <v>30</v>
      </c>
      <c r="U79" s="13">
        <f t="shared" si="19"/>
        <v>15</v>
      </c>
      <c r="V79" s="13">
        <f t="shared" si="19"/>
        <v>132</v>
      </c>
      <c r="W79" s="13">
        <f t="shared" si="18"/>
        <v>564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36</v>
      </c>
      <c r="B81" s="50" t="s">
        <v>22</v>
      </c>
      <c r="C81" s="51" t="s">
        <v>69</v>
      </c>
      <c r="D81" s="16"/>
      <c r="E81" s="79">
        <v>10.0</v>
      </c>
      <c r="F81" s="79">
        <v>5.0</v>
      </c>
      <c r="G81" s="79">
        <v>3.0</v>
      </c>
      <c r="H81" s="79">
        <v>4.0</v>
      </c>
      <c r="I81" s="79">
        <v>2.0</v>
      </c>
      <c r="J81" s="79">
        <v>0.0</v>
      </c>
      <c r="K81" s="79">
        <v>4.0</v>
      </c>
      <c r="L81" s="79">
        <v>3.0</v>
      </c>
      <c r="M81" s="79">
        <v>7.0</v>
      </c>
      <c r="N81" s="79">
        <v>8.0</v>
      </c>
      <c r="O81" s="79">
        <v>6.0</v>
      </c>
      <c r="P81" s="79">
        <v>10.0</v>
      </c>
      <c r="Q81" s="79">
        <v>4.0</v>
      </c>
      <c r="R81" s="79">
        <v>2.0</v>
      </c>
      <c r="S81" s="79">
        <v>3.0</v>
      </c>
      <c r="T81" s="79">
        <v>10.0</v>
      </c>
      <c r="U81" s="79">
        <v>5.0</v>
      </c>
      <c r="V81" s="79">
        <v>0.0</v>
      </c>
      <c r="W81" s="13">
        <f t="shared" ref="W81:W91" si="20">SUM(E81:V81)</f>
        <v>86</v>
      </c>
    </row>
    <row r="82" ht="12.75" customHeight="1">
      <c r="A82" s="31" t="s">
        <v>38</v>
      </c>
      <c r="B82" s="58"/>
      <c r="C82" s="53" t="s">
        <v>70</v>
      </c>
      <c r="D82" s="61"/>
      <c r="E82" s="79">
        <v>38.0</v>
      </c>
      <c r="F82" s="79">
        <v>6.0</v>
      </c>
      <c r="G82" s="79">
        <v>13.0</v>
      </c>
      <c r="H82" s="79">
        <v>6.0</v>
      </c>
      <c r="I82" s="79">
        <v>0.0</v>
      </c>
      <c r="J82" s="79">
        <v>5.0</v>
      </c>
      <c r="K82" s="79">
        <v>8.0</v>
      </c>
      <c r="L82" s="79">
        <v>9.0</v>
      </c>
      <c r="M82" s="79">
        <v>8.0</v>
      </c>
      <c r="N82" s="79">
        <v>9.0</v>
      </c>
      <c r="O82" s="79">
        <v>31.0</v>
      </c>
      <c r="P82" s="79">
        <v>37.0</v>
      </c>
      <c r="Q82" s="79">
        <v>38.0</v>
      </c>
      <c r="R82" s="79">
        <v>32.0</v>
      </c>
      <c r="S82" s="79">
        <v>25.0</v>
      </c>
      <c r="T82" s="79">
        <v>7.0</v>
      </c>
      <c r="U82" s="79">
        <v>8.0</v>
      </c>
      <c r="V82" s="79">
        <v>0.0</v>
      </c>
      <c r="W82" s="13">
        <f t="shared" si="20"/>
        <v>280</v>
      </c>
    </row>
    <row r="83" ht="12.75" customHeight="1">
      <c r="A83" s="18"/>
      <c r="B83" s="58"/>
      <c r="C83" s="53" t="s">
        <v>71</v>
      </c>
      <c r="D83" s="61"/>
      <c r="E83" s="79">
        <v>2.0</v>
      </c>
      <c r="F83" s="79">
        <v>0.0</v>
      </c>
      <c r="G83" s="79">
        <v>1.0</v>
      </c>
      <c r="H83" s="79">
        <v>4.0</v>
      </c>
      <c r="I83" s="79">
        <v>2.0</v>
      </c>
      <c r="J83" s="79">
        <v>2.0</v>
      </c>
      <c r="K83" s="79">
        <v>0.0</v>
      </c>
      <c r="L83" s="79">
        <v>0.0</v>
      </c>
      <c r="M83" s="79">
        <v>1.0</v>
      </c>
      <c r="N83" s="79">
        <v>0.0</v>
      </c>
      <c r="O83" s="79">
        <v>0.0</v>
      </c>
      <c r="P83" s="79">
        <v>1.0</v>
      </c>
      <c r="Q83" s="79">
        <v>0.0</v>
      </c>
      <c r="R83" s="79">
        <v>2.0</v>
      </c>
      <c r="S83" s="79">
        <v>1.0</v>
      </c>
      <c r="T83" s="79">
        <v>4.0</v>
      </c>
      <c r="U83" s="79">
        <v>2.0</v>
      </c>
      <c r="V83" s="79">
        <v>0.0</v>
      </c>
      <c r="W83" s="13">
        <f t="shared" si="20"/>
        <v>22</v>
      </c>
    </row>
    <row r="84" ht="12.75" customHeight="1">
      <c r="A84" s="18"/>
      <c r="B84" s="58"/>
      <c r="C84" s="53" t="s">
        <v>72</v>
      </c>
      <c r="D84" s="61"/>
      <c r="E84" s="79">
        <v>1.0</v>
      </c>
      <c r="F84" s="79">
        <v>0.0</v>
      </c>
      <c r="G84" s="79">
        <v>1.0</v>
      </c>
      <c r="H84" s="79">
        <v>0.0</v>
      </c>
      <c r="I84" s="79">
        <v>1.0</v>
      </c>
      <c r="J84" s="79">
        <v>0.0</v>
      </c>
      <c r="K84" s="79">
        <v>0.0</v>
      </c>
      <c r="L84" s="79">
        <v>2.0</v>
      </c>
      <c r="M84" s="79">
        <v>0.0</v>
      </c>
      <c r="N84" s="79">
        <v>0.0</v>
      </c>
      <c r="O84" s="79">
        <v>0.0</v>
      </c>
      <c r="P84" s="79">
        <v>1.0</v>
      </c>
      <c r="Q84" s="79">
        <v>0.0</v>
      </c>
      <c r="R84" s="79">
        <v>1.0</v>
      </c>
      <c r="S84" s="79">
        <v>1.0</v>
      </c>
      <c r="T84" s="79">
        <v>13.0</v>
      </c>
      <c r="U84" s="79">
        <v>2.0</v>
      </c>
      <c r="V84" s="79">
        <v>1.0</v>
      </c>
      <c r="W84" s="13">
        <f t="shared" si="20"/>
        <v>24</v>
      </c>
    </row>
    <row r="85" ht="12.75" customHeight="1">
      <c r="A85" s="18"/>
      <c r="B85" s="58"/>
      <c r="C85" s="53" t="s">
        <v>73</v>
      </c>
      <c r="D85" s="61"/>
      <c r="E85" s="79">
        <v>4.0</v>
      </c>
      <c r="F85" s="79">
        <v>2.0</v>
      </c>
      <c r="G85" s="79">
        <v>3.0</v>
      </c>
      <c r="H85" s="79">
        <v>0.0</v>
      </c>
      <c r="I85" s="79">
        <v>4.0</v>
      </c>
      <c r="J85" s="79">
        <v>4.0</v>
      </c>
      <c r="K85" s="79">
        <v>0.0</v>
      </c>
      <c r="L85" s="79">
        <v>2.0</v>
      </c>
      <c r="M85" s="79">
        <v>2.0</v>
      </c>
      <c r="N85" s="79">
        <v>1.0</v>
      </c>
      <c r="O85" s="79">
        <v>19.0</v>
      </c>
      <c r="P85" s="79">
        <v>6.0</v>
      </c>
      <c r="Q85" s="79">
        <v>2.0</v>
      </c>
      <c r="R85" s="79">
        <v>2.0</v>
      </c>
      <c r="S85" s="79">
        <v>2.0</v>
      </c>
      <c r="T85" s="79">
        <v>4.0</v>
      </c>
      <c r="U85" s="79">
        <v>0.0</v>
      </c>
      <c r="V85" s="79">
        <v>0.0</v>
      </c>
      <c r="W85" s="13">
        <f t="shared" si="20"/>
        <v>57</v>
      </c>
    </row>
    <row r="86" ht="12.75" customHeight="1">
      <c r="A86" s="18"/>
      <c r="B86" s="58"/>
      <c r="C86" s="53" t="s">
        <v>74</v>
      </c>
      <c r="D86" s="61"/>
      <c r="E86" s="79">
        <v>4.0</v>
      </c>
      <c r="F86" s="79">
        <v>0.0</v>
      </c>
      <c r="G86" s="79">
        <v>1.0</v>
      </c>
      <c r="H86" s="79">
        <v>2.0</v>
      </c>
      <c r="I86" s="79">
        <v>0.0</v>
      </c>
      <c r="J86" s="79">
        <v>0.0</v>
      </c>
      <c r="K86" s="79">
        <v>0.0</v>
      </c>
      <c r="L86" s="79">
        <v>10.0</v>
      </c>
      <c r="M86" s="79">
        <v>3.0</v>
      </c>
      <c r="N86" s="79">
        <v>4.0</v>
      </c>
      <c r="O86" s="79">
        <v>5.0</v>
      </c>
      <c r="P86" s="79">
        <v>3.0</v>
      </c>
      <c r="Q86" s="79">
        <v>4.0</v>
      </c>
      <c r="R86" s="79">
        <v>5.0</v>
      </c>
      <c r="S86" s="79">
        <v>2.0</v>
      </c>
      <c r="T86" s="79">
        <v>17.0</v>
      </c>
      <c r="U86" s="79">
        <v>17.0</v>
      </c>
      <c r="V86" s="79">
        <v>0.0</v>
      </c>
      <c r="W86" s="13">
        <f t="shared" si="20"/>
        <v>77</v>
      </c>
    </row>
    <row r="87" ht="12.75" customHeight="1">
      <c r="A87" s="18"/>
      <c r="B87" s="58"/>
      <c r="C87" s="53" t="s">
        <v>75</v>
      </c>
      <c r="D87" s="61"/>
      <c r="E87" s="79">
        <v>0.0</v>
      </c>
      <c r="F87" s="79">
        <v>0.0</v>
      </c>
      <c r="G87" s="79">
        <v>0.0</v>
      </c>
      <c r="H87" s="79">
        <v>0.0</v>
      </c>
      <c r="I87" s="79">
        <v>0.0</v>
      </c>
      <c r="J87" s="79">
        <v>0.0</v>
      </c>
      <c r="K87" s="79">
        <v>0.0</v>
      </c>
      <c r="L87" s="79">
        <v>0.0</v>
      </c>
      <c r="M87" s="79">
        <v>0.0</v>
      </c>
      <c r="N87" s="79">
        <v>0.0</v>
      </c>
      <c r="O87" s="79">
        <v>0.0</v>
      </c>
      <c r="P87" s="79">
        <v>0.0</v>
      </c>
      <c r="Q87" s="79">
        <v>0.0</v>
      </c>
      <c r="R87" s="79">
        <v>0.0</v>
      </c>
      <c r="S87" s="79">
        <v>0.0</v>
      </c>
      <c r="T87" s="79">
        <v>0.0</v>
      </c>
      <c r="U87" s="79">
        <v>0.0</v>
      </c>
      <c r="V87" s="79">
        <v>0.0</v>
      </c>
      <c r="W87" s="13">
        <f t="shared" si="20"/>
        <v>0</v>
      </c>
    </row>
    <row r="88" ht="12.75" customHeight="1">
      <c r="A88" s="18"/>
      <c r="B88" s="58"/>
      <c r="C88" s="53" t="s">
        <v>76</v>
      </c>
      <c r="D88" s="61"/>
      <c r="E88" s="79">
        <v>0.0</v>
      </c>
      <c r="F88" s="79">
        <v>0.0</v>
      </c>
      <c r="G88" s="79">
        <v>1.0</v>
      </c>
      <c r="H88" s="79">
        <v>1.0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1.0</v>
      </c>
      <c r="O88" s="79">
        <v>0.0</v>
      </c>
      <c r="P88" s="79">
        <v>0.0</v>
      </c>
      <c r="Q88" s="79">
        <v>0.0</v>
      </c>
      <c r="R88" s="79">
        <v>0.0</v>
      </c>
      <c r="S88" s="79">
        <v>0.0</v>
      </c>
      <c r="T88" s="79">
        <v>1.0</v>
      </c>
      <c r="U88" s="79">
        <v>0.0</v>
      </c>
      <c r="V88" s="79">
        <v>0.0</v>
      </c>
      <c r="W88" s="13">
        <f t="shared" si="20"/>
        <v>4</v>
      </c>
    </row>
    <row r="89" ht="12.75" customHeight="1">
      <c r="A89" s="18"/>
      <c r="B89" s="58"/>
      <c r="C89" s="53" t="s">
        <v>77</v>
      </c>
      <c r="D89" s="61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0.0</v>
      </c>
      <c r="V89" s="79">
        <v>0.0</v>
      </c>
      <c r="W89" s="13">
        <f t="shared" si="20"/>
        <v>0</v>
      </c>
    </row>
    <row r="90" ht="12.75" customHeight="1">
      <c r="A90" s="18"/>
      <c r="B90" s="58"/>
      <c r="C90" s="53" t="s">
        <v>78</v>
      </c>
      <c r="D90" s="61"/>
      <c r="E90" s="79">
        <v>0.0</v>
      </c>
      <c r="F90" s="79">
        <v>1.0</v>
      </c>
      <c r="G90" s="79">
        <v>1.0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0.0</v>
      </c>
      <c r="P90" s="79">
        <v>1.0</v>
      </c>
      <c r="Q90" s="79">
        <v>0.0</v>
      </c>
      <c r="R90" s="79">
        <v>0.0</v>
      </c>
      <c r="S90" s="79">
        <v>0.0</v>
      </c>
      <c r="T90" s="79">
        <v>0.0</v>
      </c>
      <c r="U90" s="79">
        <v>0.0</v>
      </c>
      <c r="V90" s="79">
        <v>0.0</v>
      </c>
      <c r="W90" s="13">
        <f t="shared" si="20"/>
        <v>3</v>
      </c>
    </row>
    <row r="91" ht="12.75" customHeight="1">
      <c r="A91" s="19" t="s">
        <v>14</v>
      </c>
      <c r="B91" s="50" t="s">
        <v>48</v>
      </c>
      <c r="C91" s="15"/>
      <c r="D91" s="16"/>
      <c r="E91" s="13">
        <f t="shared" ref="E91:V91" si="21">SUM(E81:E90)</f>
        <v>59</v>
      </c>
      <c r="F91" s="13">
        <f t="shared" si="21"/>
        <v>14</v>
      </c>
      <c r="G91" s="13">
        <f t="shared" si="21"/>
        <v>24</v>
      </c>
      <c r="H91" s="13">
        <f t="shared" si="21"/>
        <v>17</v>
      </c>
      <c r="I91" s="13">
        <f t="shared" si="21"/>
        <v>9</v>
      </c>
      <c r="J91" s="13">
        <f t="shared" si="21"/>
        <v>11</v>
      </c>
      <c r="K91" s="13">
        <f t="shared" si="21"/>
        <v>12</v>
      </c>
      <c r="L91" s="13">
        <f t="shared" si="21"/>
        <v>26</v>
      </c>
      <c r="M91" s="13">
        <f t="shared" si="21"/>
        <v>21</v>
      </c>
      <c r="N91" s="13">
        <f t="shared" si="21"/>
        <v>23</v>
      </c>
      <c r="O91" s="13">
        <f t="shared" si="21"/>
        <v>61</v>
      </c>
      <c r="P91" s="13">
        <f t="shared" si="21"/>
        <v>59</v>
      </c>
      <c r="Q91" s="13">
        <f t="shared" si="21"/>
        <v>48</v>
      </c>
      <c r="R91" s="13">
        <f t="shared" si="21"/>
        <v>44</v>
      </c>
      <c r="S91" s="13">
        <f t="shared" si="21"/>
        <v>34</v>
      </c>
      <c r="T91" s="13">
        <f t="shared" si="21"/>
        <v>56</v>
      </c>
      <c r="U91" s="13">
        <f t="shared" si="21"/>
        <v>34</v>
      </c>
      <c r="V91" s="13">
        <f t="shared" si="21"/>
        <v>1</v>
      </c>
      <c r="W91" s="13">
        <f t="shared" si="20"/>
        <v>553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36</v>
      </c>
      <c r="B93" s="50" t="s">
        <v>79</v>
      </c>
      <c r="C93" s="51" t="s">
        <v>80</v>
      </c>
      <c r="D93" s="16"/>
      <c r="E93" s="79">
        <v>1.0</v>
      </c>
      <c r="F93" s="79">
        <v>5.0</v>
      </c>
      <c r="G93" s="79">
        <v>0.0</v>
      </c>
      <c r="H93" s="79">
        <v>1.0</v>
      </c>
      <c r="I93" s="79">
        <v>3.0</v>
      </c>
      <c r="J93" s="79">
        <v>0.0</v>
      </c>
      <c r="K93" s="79">
        <v>3.0</v>
      </c>
      <c r="L93" s="79">
        <v>7.0</v>
      </c>
      <c r="M93" s="79">
        <v>3.0</v>
      </c>
      <c r="N93" s="79">
        <v>8.0</v>
      </c>
      <c r="O93" s="79">
        <v>1.0</v>
      </c>
      <c r="P93" s="79">
        <v>1.0</v>
      </c>
      <c r="Q93" s="79">
        <v>1.0</v>
      </c>
      <c r="R93" s="79">
        <v>0.0</v>
      </c>
      <c r="S93" s="79">
        <v>2.0</v>
      </c>
      <c r="T93" s="79">
        <v>0.0</v>
      </c>
      <c r="U93" s="79">
        <v>0.0</v>
      </c>
      <c r="V93" s="79">
        <v>0.0</v>
      </c>
      <c r="W93" s="13">
        <f t="shared" ref="W93:W103" si="22">SUM(E93:V93)</f>
        <v>36</v>
      </c>
    </row>
    <row r="94" ht="12.75" customHeight="1">
      <c r="A94" s="31" t="s">
        <v>38</v>
      </c>
      <c r="B94" s="58"/>
      <c r="C94" s="53" t="s">
        <v>81</v>
      </c>
      <c r="D94" s="61"/>
      <c r="E94" s="79">
        <v>1.0</v>
      </c>
      <c r="F94" s="79">
        <v>2.0</v>
      </c>
      <c r="G94" s="79">
        <v>1.0</v>
      </c>
      <c r="H94" s="79">
        <v>4.0</v>
      </c>
      <c r="I94" s="79">
        <v>7.0</v>
      </c>
      <c r="J94" s="79">
        <v>3.0</v>
      </c>
      <c r="K94" s="79">
        <v>6.0</v>
      </c>
      <c r="L94" s="79">
        <v>3.0</v>
      </c>
      <c r="M94" s="79">
        <v>6.0</v>
      </c>
      <c r="N94" s="79">
        <v>13.0</v>
      </c>
      <c r="O94" s="79">
        <v>1.0</v>
      </c>
      <c r="P94" s="79">
        <v>1.0</v>
      </c>
      <c r="Q94" s="79">
        <v>1.0</v>
      </c>
      <c r="R94" s="79">
        <v>0.0</v>
      </c>
      <c r="S94" s="79">
        <v>0.0</v>
      </c>
      <c r="T94" s="79">
        <v>3.0</v>
      </c>
      <c r="U94" s="79">
        <v>1.0</v>
      </c>
      <c r="V94" s="79">
        <v>0.0</v>
      </c>
      <c r="W94" s="13">
        <f t="shared" si="22"/>
        <v>53</v>
      </c>
    </row>
    <row r="95" ht="12.75" customHeight="1">
      <c r="A95" s="18"/>
      <c r="B95" s="58"/>
      <c r="C95" s="53" t="s">
        <v>82</v>
      </c>
      <c r="D95" s="61"/>
      <c r="E95" s="79">
        <v>0.0</v>
      </c>
      <c r="F95" s="79">
        <v>0.0</v>
      </c>
      <c r="G95" s="79">
        <v>0.0</v>
      </c>
      <c r="H95" s="79">
        <v>0.0</v>
      </c>
      <c r="I95" s="79">
        <v>0.0</v>
      </c>
      <c r="J95" s="79">
        <v>1.0</v>
      </c>
      <c r="K95" s="79">
        <v>0.0</v>
      </c>
      <c r="L95" s="79">
        <v>4.0</v>
      </c>
      <c r="M95" s="79">
        <v>3.0</v>
      </c>
      <c r="N95" s="79">
        <v>0.0</v>
      </c>
      <c r="O95" s="79">
        <v>0.0</v>
      </c>
      <c r="P95" s="79">
        <v>0.0</v>
      </c>
      <c r="Q95" s="79">
        <v>1.0</v>
      </c>
      <c r="R95" s="79">
        <v>0.0</v>
      </c>
      <c r="S95" s="79">
        <v>0.0</v>
      </c>
      <c r="T95" s="79">
        <v>0.0</v>
      </c>
      <c r="U95" s="79">
        <v>0.0</v>
      </c>
      <c r="V95" s="79">
        <v>0.0</v>
      </c>
      <c r="W95" s="13">
        <f t="shared" si="22"/>
        <v>9</v>
      </c>
    </row>
    <row r="96" ht="12.75" customHeight="1">
      <c r="A96" s="18"/>
      <c r="B96" s="58"/>
      <c r="C96" s="53" t="s">
        <v>83</v>
      </c>
      <c r="D96" s="61"/>
      <c r="E96" s="79">
        <v>0.0</v>
      </c>
      <c r="F96" s="79">
        <v>0.0</v>
      </c>
      <c r="G96" s="79">
        <v>0.0</v>
      </c>
      <c r="H96" s="79">
        <v>0.0</v>
      </c>
      <c r="I96" s="79">
        <v>1.0</v>
      </c>
      <c r="J96" s="79">
        <v>0.0</v>
      </c>
      <c r="K96" s="79">
        <v>0.0</v>
      </c>
      <c r="L96" s="79">
        <v>0.0</v>
      </c>
      <c r="M96" s="79">
        <v>1.0</v>
      </c>
      <c r="N96" s="79">
        <v>0.0</v>
      </c>
      <c r="O96" s="79">
        <v>0.0</v>
      </c>
      <c r="P96" s="79">
        <v>0.0</v>
      </c>
      <c r="Q96" s="79">
        <v>0.0</v>
      </c>
      <c r="R96" s="79">
        <v>0.0</v>
      </c>
      <c r="S96" s="79">
        <v>0.0</v>
      </c>
      <c r="T96" s="79">
        <v>0.0</v>
      </c>
      <c r="U96" s="79">
        <v>0.0</v>
      </c>
      <c r="V96" s="79">
        <v>0.0</v>
      </c>
      <c r="W96" s="13">
        <f t="shared" si="22"/>
        <v>2</v>
      </c>
    </row>
    <row r="97" ht="12.75" customHeight="1">
      <c r="A97" s="18"/>
      <c r="B97" s="58"/>
      <c r="C97" s="53" t="s">
        <v>84</v>
      </c>
      <c r="D97" s="61"/>
      <c r="E97" s="79">
        <v>0.0</v>
      </c>
      <c r="F97" s="79">
        <v>0.0</v>
      </c>
      <c r="G97" s="79">
        <v>0.0</v>
      </c>
      <c r="H97" s="79">
        <v>0.0</v>
      </c>
      <c r="I97" s="79">
        <v>1.0</v>
      </c>
      <c r="J97" s="79">
        <v>1.0</v>
      </c>
      <c r="K97" s="79">
        <v>2.0</v>
      </c>
      <c r="L97" s="79">
        <v>1.0</v>
      </c>
      <c r="M97" s="79">
        <v>1.0</v>
      </c>
      <c r="N97" s="79">
        <v>0.0</v>
      </c>
      <c r="O97" s="79">
        <v>0.0</v>
      </c>
      <c r="P97" s="79">
        <v>0.0</v>
      </c>
      <c r="Q97" s="79">
        <v>0.0</v>
      </c>
      <c r="R97" s="79">
        <v>0.0</v>
      </c>
      <c r="S97" s="79">
        <v>0.0</v>
      </c>
      <c r="T97" s="79">
        <v>0.0</v>
      </c>
      <c r="U97" s="79">
        <v>0.0</v>
      </c>
      <c r="V97" s="79">
        <v>0.0</v>
      </c>
      <c r="W97" s="13">
        <f t="shared" si="22"/>
        <v>6</v>
      </c>
    </row>
    <row r="98" ht="12.75" customHeight="1">
      <c r="A98" s="18"/>
      <c r="B98" s="58"/>
      <c r="C98" s="53" t="s">
        <v>85</v>
      </c>
      <c r="D98" s="61"/>
      <c r="E98" s="79">
        <v>0.0</v>
      </c>
      <c r="F98" s="79">
        <v>0.0</v>
      </c>
      <c r="G98" s="79">
        <v>0.0</v>
      </c>
      <c r="H98" s="79">
        <v>0.0</v>
      </c>
      <c r="I98" s="79">
        <v>0.0</v>
      </c>
      <c r="J98" s="79">
        <v>0.0</v>
      </c>
      <c r="K98" s="79">
        <v>0.0</v>
      </c>
      <c r="L98" s="79">
        <v>1.0</v>
      </c>
      <c r="M98" s="79">
        <v>0.0</v>
      </c>
      <c r="N98" s="79">
        <v>0.0</v>
      </c>
      <c r="O98" s="79">
        <v>0.0</v>
      </c>
      <c r="P98" s="79">
        <v>0.0</v>
      </c>
      <c r="Q98" s="79">
        <v>0.0</v>
      </c>
      <c r="R98" s="79">
        <v>0.0</v>
      </c>
      <c r="S98" s="79">
        <v>0.0</v>
      </c>
      <c r="T98" s="79">
        <v>0.0</v>
      </c>
      <c r="U98" s="79">
        <v>0.0</v>
      </c>
      <c r="V98" s="79">
        <v>0.0</v>
      </c>
      <c r="W98" s="13">
        <f t="shared" si="22"/>
        <v>1</v>
      </c>
    </row>
    <row r="99" ht="12.75" customHeight="1">
      <c r="A99" s="18"/>
      <c r="B99" s="58"/>
      <c r="C99" s="53" t="s">
        <v>86</v>
      </c>
      <c r="D99" s="61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0.0</v>
      </c>
      <c r="Q99" s="79">
        <v>0.0</v>
      </c>
      <c r="R99" s="79">
        <v>0.0</v>
      </c>
      <c r="S99" s="79">
        <v>0.0</v>
      </c>
      <c r="T99" s="79">
        <v>0.0</v>
      </c>
      <c r="U99" s="79">
        <v>0.0</v>
      </c>
      <c r="V99" s="79">
        <v>0.0</v>
      </c>
      <c r="W99" s="13">
        <f t="shared" si="22"/>
        <v>0</v>
      </c>
    </row>
    <row r="100" ht="12.75" customHeight="1">
      <c r="A100" s="18"/>
      <c r="B100" s="58"/>
      <c r="C100" s="53" t="s">
        <v>87</v>
      </c>
      <c r="D100" s="61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1.0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79">
        <v>0.0</v>
      </c>
      <c r="U100" s="79">
        <v>0.0</v>
      </c>
      <c r="V100" s="79">
        <v>0.0</v>
      </c>
      <c r="W100" s="13">
        <f t="shared" si="22"/>
        <v>1</v>
      </c>
    </row>
    <row r="101" ht="12.75" customHeight="1">
      <c r="A101" s="18"/>
      <c r="B101" s="58"/>
      <c r="C101" s="53" t="s">
        <v>88</v>
      </c>
      <c r="D101" s="61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>
        <v>0.0</v>
      </c>
      <c r="R101" s="79">
        <v>0.0</v>
      </c>
      <c r="S101" s="79">
        <v>0.0</v>
      </c>
      <c r="T101" s="79">
        <v>0.0</v>
      </c>
      <c r="U101" s="79">
        <v>0.0</v>
      </c>
      <c r="V101" s="79">
        <v>0.0</v>
      </c>
      <c r="W101" s="13">
        <f t="shared" si="22"/>
        <v>0</v>
      </c>
    </row>
    <row r="102" ht="12.75" customHeight="1">
      <c r="A102" s="18"/>
      <c r="B102" s="58"/>
      <c r="C102" s="53" t="s">
        <v>89</v>
      </c>
      <c r="D102" s="61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79">
        <v>0.0</v>
      </c>
      <c r="T102" s="79">
        <v>0.0</v>
      </c>
      <c r="U102" s="79">
        <v>0.0</v>
      </c>
      <c r="V102" s="79">
        <v>0.0</v>
      </c>
      <c r="W102" s="13">
        <f t="shared" si="22"/>
        <v>0</v>
      </c>
    </row>
    <row r="103" ht="12.75" customHeight="1">
      <c r="A103" s="19" t="s">
        <v>14</v>
      </c>
      <c r="B103" s="50" t="s">
        <v>48</v>
      </c>
      <c r="C103" s="15"/>
      <c r="D103" s="16"/>
      <c r="E103" s="13">
        <f t="shared" ref="E103:V103" si="23">SUM(E93:E102)</f>
        <v>2</v>
      </c>
      <c r="F103" s="13">
        <f t="shared" si="23"/>
        <v>7</v>
      </c>
      <c r="G103" s="13">
        <f t="shared" si="23"/>
        <v>1</v>
      </c>
      <c r="H103" s="13">
        <f t="shared" si="23"/>
        <v>5</v>
      </c>
      <c r="I103" s="13">
        <f t="shared" si="23"/>
        <v>12</v>
      </c>
      <c r="J103" s="13">
        <f t="shared" si="23"/>
        <v>5</v>
      </c>
      <c r="K103" s="13">
        <f t="shared" si="23"/>
        <v>12</v>
      </c>
      <c r="L103" s="13">
        <f t="shared" si="23"/>
        <v>16</v>
      </c>
      <c r="M103" s="13">
        <f t="shared" si="23"/>
        <v>14</v>
      </c>
      <c r="N103" s="13">
        <f t="shared" si="23"/>
        <v>21</v>
      </c>
      <c r="O103" s="13">
        <f t="shared" si="23"/>
        <v>2</v>
      </c>
      <c r="P103" s="13">
        <f t="shared" si="23"/>
        <v>2</v>
      </c>
      <c r="Q103" s="13">
        <f t="shared" si="23"/>
        <v>3</v>
      </c>
      <c r="R103" s="13">
        <f t="shared" si="23"/>
        <v>0</v>
      </c>
      <c r="S103" s="13">
        <f t="shared" si="23"/>
        <v>2</v>
      </c>
      <c r="T103" s="13">
        <f t="shared" si="23"/>
        <v>3</v>
      </c>
      <c r="U103" s="13">
        <f t="shared" si="23"/>
        <v>1</v>
      </c>
      <c r="V103" s="13">
        <f t="shared" si="23"/>
        <v>0</v>
      </c>
      <c r="W103" s="13">
        <f t="shared" si="22"/>
        <v>108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</row>
    <row r="105" ht="12.75" customHeight="1">
      <c r="A105" s="31" t="s">
        <v>36</v>
      </c>
      <c r="B105" s="50" t="s">
        <v>90</v>
      </c>
      <c r="C105" s="51" t="s">
        <v>91</v>
      </c>
      <c r="D105" s="16"/>
      <c r="E105" s="79">
        <v>2.0</v>
      </c>
      <c r="F105" s="79">
        <v>0.0</v>
      </c>
      <c r="G105" s="79">
        <v>1.0</v>
      </c>
      <c r="H105" s="79">
        <v>0.0</v>
      </c>
      <c r="I105" s="79">
        <v>0.0</v>
      </c>
      <c r="J105" s="79">
        <v>0.0</v>
      </c>
      <c r="K105" s="79">
        <v>1.0</v>
      </c>
      <c r="L105" s="79">
        <v>0.0</v>
      </c>
      <c r="M105" s="79">
        <v>0.0</v>
      </c>
      <c r="N105" s="79">
        <v>0.0</v>
      </c>
      <c r="O105" s="79">
        <v>0.0</v>
      </c>
      <c r="P105" s="79">
        <v>0.0</v>
      </c>
      <c r="Q105" s="79">
        <v>0.0</v>
      </c>
      <c r="R105" s="79">
        <v>0.0</v>
      </c>
      <c r="S105" s="79">
        <v>2.0</v>
      </c>
      <c r="T105" s="79">
        <v>3.0</v>
      </c>
      <c r="U105" s="79">
        <v>0.0</v>
      </c>
      <c r="V105" s="79">
        <v>0.0</v>
      </c>
      <c r="W105" s="13">
        <f t="shared" ref="W105:W107" si="24">SUM(E105:V105)</f>
        <v>9</v>
      </c>
    </row>
    <row r="106" ht="12.75" customHeight="1">
      <c r="A106" s="31" t="s">
        <v>38</v>
      </c>
      <c r="B106" s="58"/>
      <c r="C106" s="53" t="s">
        <v>92</v>
      </c>
      <c r="D106" s="61"/>
      <c r="E106" s="79">
        <v>0.0</v>
      </c>
      <c r="F106" s="79">
        <v>0.0</v>
      </c>
      <c r="G106" s="79">
        <v>0.0</v>
      </c>
      <c r="H106" s="79">
        <v>0.0</v>
      </c>
      <c r="I106" s="79">
        <v>2.0</v>
      </c>
      <c r="J106" s="79">
        <v>0.0</v>
      </c>
      <c r="K106" s="79">
        <v>0.0</v>
      </c>
      <c r="L106" s="79">
        <v>0.0</v>
      </c>
      <c r="M106" s="79">
        <v>0.0</v>
      </c>
      <c r="N106" s="79">
        <v>2.0</v>
      </c>
      <c r="O106" s="79">
        <v>0.0</v>
      </c>
      <c r="P106" s="79">
        <v>0.0</v>
      </c>
      <c r="Q106" s="79">
        <v>0.0</v>
      </c>
      <c r="R106" s="79">
        <v>0.0</v>
      </c>
      <c r="S106" s="79">
        <v>0.0</v>
      </c>
      <c r="T106" s="79">
        <v>0.0</v>
      </c>
      <c r="U106" s="79">
        <v>0.0</v>
      </c>
      <c r="V106" s="79">
        <v>0.0</v>
      </c>
      <c r="W106" s="13">
        <f t="shared" si="24"/>
        <v>4</v>
      </c>
    </row>
    <row r="107" ht="12.75" customHeight="1">
      <c r="A107" s="18"/>
      <c r="B107" s="58"/>
      <c r="C107" s="53" t="s">
        <v>93</v>
      </c>
      <c r="D107" s="61"/>
      <c r="E107" s="79">
        <v>0.0</v>
      </c>
      <c r="F107" s="79">
        <v>0.0</v>
      </c>
      <c r="G107" s="79">
        <v>0.0</v>
      </c>
      <c r="H107" s="79">
        <v>0.0</v>
      </c>
      <c r="I107" s="79">
        <v>1.0</v>
      </c>
      <c r="J107" s="79">
        <v>0.0</v>
      </c>
      <c r="K107" s="79">
        <v>0.0</v>
      </c>
      <c r="L107" s="79">
        <v>0.0</v>
      </c>
      <c r="M107" s="79">
        <v>1.0</v>
      </c>
      <c r="N107" s="79">
        <v>0.0</v>
      </c>
      <c r="O107" s="79">
        <v>0.0</v>
      </c>
      <c r="P107" s="79">
        <v>0.0</v>
      </c>
      <c r="Q107" s="79">
        <v>0.0</v>
      </c>
      <c r="R107" s="79">
        <v>0.0</v>
      </c>
      <c r="S107" s="79">
        <v>0.0</v>
      </c>
      <c r="T107" s="79">
        <v>0.0</v>
      </c>
      <c r="U107" s="79">
        <v>0.0</v>
      </c>
      <c r="V107" s="79">
        <v>0.0</v>
      </c>
      <c r="W107" s="13">
        <f t="shared" si="24"/>
        <v>2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85"/>
    </row>
    <row r="115" ht="12.75" customHeight="1">
      <c r="A115" s="19" t="s">
        <v>14</v>
      </c>
      <c r="B115" s="50" t="s">
        <v>48</v>
      </c>
      <c r="C115" s="15"/>
      <c r="D115" s="16"/>
      <c r="E115" s="13">
        <f t="shared" ref="E115:V115" si="25">SUM(E105:E114)</f>
        <v>2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3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1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3</v>
      </c>
      <c r="U115" s="13">
        <f t="shared" si="25"/>
        <v>0</v>
      </c>
      <c r="V115" s="13">
        <f t="shared" si="25"/>
        <v>0</v>
      </c>
      <c r="W115" s="13">
        <f>SUM(E115:V115)</f>
        <v>15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13"/>
    </row>
    <row r="117" ht="12.75" customHeight="1">
      <c r="A117" s="31" t="s">
        <v>36</v>
      </c>
      <c r="B117" s="50" t="s">
        <v>94</v>
      </c>
      <c r="C117" s="51" t="s">
        <v>95</v>
      </c>
      <c r="D117" s="16"/>
      <c r="E117" s="79">
        <v>0.0</v>
      </c>
      <c r="F117" s="79">
        <v>1.0</v>
      </c>
      <c r="G117" s="79">
        <v>0.0</v>
      </c>
      <c r="H117" s="79">
        <v>3.0</v>
      </c>
      <c r="I117" s="79">
        <v>0.0</v>
      </c>
      <c r="J117" s="79">
        <v>0.0</v>
      </c>
      <c r="K117" s="79">
        <v>1.0</v>
      </c>
      <c r="L117" s="79">
        <v>0.0</v>
      </c>
      <c r="M117" s="79">
        <v>2.0</v>
      </c>
      <c r="N117" s="79">
        <v>2.0</v>
      </c>
      <c r="O117" s="79">
        <v>0.0</v>
      </c>
      <c r="P117" s="79">
        <v>0.0</v>
      </c>
      <c r="Q117" s="79">
        <v>0.0</v>
      </c>
      <c r="R117" s="79">
        <v>0.0</v>
      </c>
      <c r="S117" s="79">
        <v>1.0</v>
      </c>
      <c r="T117" s="79">
        <v>0.0</v>
      </c>
      <c r="U117" s="79">
        <v>1.0</v>
      </c>
      <c r="V117" s="79">
        <v>0.0</v>
      </c>
      <c r="W117" s="13">
        <f t="shared" ref="W117:W122" si="26">SUM(E117:V117)</f>
        <v>11</v>
      </c>
      <c r="X117" s="5"/>
      <c r="Y117" s="5"/>
    </row>
    <row r="118" ht="12.75" customHeight="1">
      <c r="A118" s="31" t="s">
        <v>38</v>
      </c>
      <c r="B118" s="58"/>
      <c r="C118" s="53" t="s">
        <v>96</v>
      </c>
      <c r="D118" s="61"/>
      <c r="E118" s="79">
        <v>0.0</v>
      </c>
      <c r="F118" s="79">
        <v>0.0</v>
      </c>
      <c r="G118" s="79">
        <v>0.0</v>
      </c>
      <c r="H118" s="79">
        <v>1.0</v>
      </c>
      <c r="I118" s="79">
        <v>0.0</v>
      </c>
      <c r="J118" s="79">
        <v>2.0</v>
      </c>
      <c r="K118" s="79">
        <v>0.0</v>
      </c>
      <c r="L118" s="79">
        <v>0.0</v>
      </c>
      <c r="M118" s="79">
        <v>2.0</v>
      </c>
      <c r="N118" s="79">
        <v>0.0</v>
      </c>
      <c r="O118" s="79">
        <v>0.0</v>
      </c>
      <c r="P118" s="79">
        <v>0.0</v>
      </c>
      <c r="Q118" s="79">
        <v>0.0</v>
      </c>
      <c r="R118" s="79">
        <v>1.0</v>
      </c>
      <c r="S118" s="79">
        <v>0.0</v>
      </c>
      <c r="T118" s="79">
        <v>1.0</v>
      </c>
      <c r="U118" s="79">
        <v>0.0</v>
      </c>
      <c r="V118" s="79">
        <v>0.0</v>
      </c>
      <c r="W118" s="13">
        <f t="shared" si="26"/>
        <v>7</v>
      </c>
      <c r="X118" s="5"/>
      <c r="Y118" s="5"/>
    </row>
    <row r="119" ht="12.75" customHeight="1">
      <c r="A119" s="18"/>
      <c r="B119" s="58"/>
      <c r="C119" s="53" t="s">
        <v>97</v>
      </c>
      <c r="D119" s="61"/>
      <c r="E119" s="79">
        <v>0.0</v>
      </c>
      <c r="F119" s="79">
        <v>0.0</v>
      </c>
      <c r="G119" s="79">
        <v>0.0</v>
      </c>
      <c r="H119" s="79">
        <v>0.0</v>
      </c>
      <c r="I119" s="79">
        <v>1.0</v>
      </c>
      <c r="J119" s="79">
        <v>0.0</v>
      </c>
      <c r="K119" s="79">
        <v>0.0</v>
      </c>
      <c r="L119" s="79">
        <v>0.0</v>
      </c>
      <c r="M119" s="79">
        <v>0.0</v>
      </c>
      <c r="N119" s="79">
        <v>1.0</v>
      </c>
      <c r="O119" s="79">
        <v>0.0</v>
      </c>
      <c r="P119" s="79">
        <v>1.0</v>
      </c>
      <c r="Q119" s="79">
        <v>0.0</v>
      </c>
      <c r="R119" s="79">
        <v>0.0</v>
      </c>
      <c r="S119" s="79">
        <v>0.0</v>
      </c>
      <c r="T119" s="79">
        <v>0.0</v>
      </c>
      <c r="U119" s="79">
        <v>0.0</v>
      </c>
      <c r="V119" s="79">
        <v>0.0</v>
      </c>
      <c r="W119" s="13">
        <f t="shared" si="26"/>
        <v>3</v>
      </c>
      <c r="X119" s="5"/>
      <c r="Y119" s="5"/>
    </row>
    <row r="120" ht="12.75" customHeight="1">
      <c r="A120" s="18"/>
      <c r="B120" s="58"/>
      <c r="C120" s="53" t="s">
        <v>98</v>
      </c>
      <c r="D120" s="61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79">
        <v>0.0</v>
      </c>
      <c r="O120" s="79">
        <v>0.0</v>
      </c>
      <c r="P120" s="79">
        <v>0.0</v>
      </c>
      <c r="Q120" s="79">
        <v>0.0</v>
      </c>
      <c r="R120" s="79">
        <v>0.0</v>
      </c>
      <c r="S120" s="79">
        <v>0.0</v>
      </c>
      <c r="T120" s="79">
        <v>0.0</v>
      </c>
      <c r="U120" s="79">
        <v>0.0</v>
      </c>
      <c r="V120" s="79">
        <v>0.0</v>
      </c>
      <c r="W120" s="13">
        <f t="shared" si="26"/>
        <v>0</v>
      </c>
      <c r="X120" s="5"/>
      <c r="Y120" s="5"/>
    </row>
    <row r="121" ht="12.75" customHeight="1">
      <c r="A121" s="18"/>
      <c r="B121" s="58"/>
      <c r="C121" s="53" t="s">
        <v>99</v>
      </c>
      <c r="D121" s="61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1.0</v>
      </c>
      <c r="O121" s="79">
        <v>0.0</v>
      </c>
      <c r="P121" s="79">
        <v>0.0</v>
      </c>
      <c r="Q121" s="79">
        <v>0.0</v>
      </c>
      <c r="R121" s="79">
        <v>0.0</v>
      </c>
      <c r="S121" s="79">
        <v>0.0</v>
      </c>
      <c r="T121" s="79">
        <v>0.0</v>
      </c>
      <c r="U121" s="79">
        <v>0.0</v>
      </c>
      <c r="V121" s="79">
        <v>0.0</v>
      </c>
      <c r="W121" s="13">
        <f t="shared" si="26"/>
        <v>1</v>
      </c>
      <c r="X121" s="5"/>
      <c r="Y121" s="5"/>
    </row>
    <row r="122" ht="12.75" customHeight="1">
      <c r="A122" s="18"/>
      <c r="B122" s="58"/>
      <c r="C122" s="53" t="s">
        <v>100</v>
      </c>
      <c r="D122" s="61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1.0</v>
      </c>
      <c r="O122" s="79">
        <v>0.0</v>
      </c>
      <c r="P122" s="79">
        <v>0.0</v>
      </c>
      <c r="Q122" s="79">
        <v>0.0</v>
      </c>
      <c r="R122" s="79">
        <v>0.0</v>
      </c>
      <c r="S122" s="79">
        <v>0.0</v>
      </c>
      <c r="T122" s="79">
        <v>0.0</v>
      </c>
      <c r="U122" s="79">
        <v>0.0</v>
      </c>
      <c r="V122" s="79">
        <v>0.0</v>
      </c>
      <c r="W122" s="13">
        <f t="shared" si="26"/>
        <v>1</v>
      </c>
      <c r="X122" s="5"/>
      <c r="Y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85"/>
      <c r="X123" s="5"/>
      <c r="Y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85"/>
      <c r="X124" s="5"/>
      <c r="Y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85"/>
      <c r="X125" s="5"/>
      <c r="Y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85"/>
      <c r="X126" s="5"/>
      <c r="Y126" s="5"/>
    </row>
    <row r="127" ht="12.75" customHeight="1">
      <c r="A127" s="19" t="s">
        <v>14</v>
      </c>
      <c r="B127" s="50" t="s">
        <v>48</v>
      </c>
      <c r="C127" s="15"/>
      <c r="D127" s="16"/>
      <c r="E127" s="67">
        <f t="shared" ref="E127:V127" si="27">SUM(E117:E126)</f>
        <v>0</v>
      </c>
      <c r="F127" s="67">
        <f t="shared" si="27"/>
        <v>1</v>
      </c>
      <c r="G127" s="67">
        <f t="shared" si="27"/>
        <v>0</v>
      </c>
      <c r="H127" s="67">
        <f t="shared" si="27"/>
        <v>4</v>
      </c>
      <c r="I127" s="67">
        <f t="shared" si="27"/>
        <v>1</v>
      </c>
      <c r="J127" s="67">
        <f t="shared" si="27"/>
        <v>2</v>
      </c>
      <c r="K127" s="67">
        <f t="shared" si="27"/>
        <v>1</v>
      </c>
      <c r="L127" s="67">
        <f t="shared" si="27"/>
        <v>0</v>
      </c>
      <c r="M127" s="67">
        <f t="shared" si="27"/>
        <v>4</v>
      </c>
      <c r="N127" s="67">
        <f t="shared" si="27"/>
        <v>5</v>
      </c>
      <c r="O127" s="67">
        <f t="shared" si="27"/>
        <v>0</v>
      </c>
      <c r="P127" s="67">
        <f t="shared" si="27"/>
        <v>1</v>
      </c>
      <c r="Q127" s="67">
        <f t="shared" si="27"/>
        <v>0</v>
      </c>
      <c r="R127" s="67">
        <f t="shared" si="27"/>
        <v>1</v>
      </c>
      <c r="S127" s="67">
        <f t="shared" si="27"/>
        <v>1</v>
      </c>
      <c r="T127" s="67">
        <f t="shared" si="27"/>
        <v>1</v>
      </c>
      <c r="U127" s="67">
        <f t="shared" si="27"/>
        <v>1</v>
      </c>
      <c r="V127" s="67">
        <f t="shared" si="27"/>
        <v>0</v>
      </c>
      <c r="W127" s="13">
        <f>SUM(E127:V127)</f>
        <v>23</v>
      </c>
      <c r="X127" s="5"/>
      <c r="Y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5"/>
      <c r="Y128" s="5"/>
    </row>
    <row r="129" ht="12.75" customHeight="1">
      <c r="A129" s="31" t="s">
        <v>36</v>
      </c>
      <c r="B129" s="50" t="s">
        <v>101</v>
      </c>
      <c r="C129" s="51" t="s">
        <v>102</v>
      </c>
      <c r="D129" s="16"/>
      <c r="E129" s="79">
        <v>2.0</v>
      </c>
      <c r="F129" s="79">
        <v>2.0</v>
      </c>
      <c r="G129" s="79">
        <v>0.0</v>
      </c>
      <c r="H129" s="79">
        <v>4.0</v>
      </c>
      <c r="I129" s="79">
        <v>3.0</v>
      </c>
      <c r="J129" s="79">
        <v>0.0</v>
      </c>
      <c r="K129" s="79">
        <v>1.0</v>
      </c>
      <c r="L129" s="79">
        <v>2.0</v>
      </c>
      <c r="M129" s="79">
        <v>0.0</v>
      </c>
      <c r="N129" s="79">
        <v>2.0</v>
      </c>
      <c r="O129" s="79">
        <v>2.0</v>
      </c>
      <c r="P129" s="79">
        <v>0.0</v>
      </c>
      <c r="Q129" s="79">
        <v>2.0</v>
      </c>
      <c r="R129" s="79">
        <v>1.0</v>
      </c>
      <c r="S129" s="79">
        <v>0.0</v>
      </c>
      <c r="T129" s="79">
        <v>10.0</v>
      </c>
      <c r="U129" s="79">
        <v>4.0</v>
      </c>
      <c r="V129" s="79">
        <v>0.0</v>
      </c>
      <c r="W129" s="13">
        <f t="shared" ref="W129:W139" si="28">SUM(E129:V129)</f>
        <v>35</v>
      </c>
      <c r="X129" s="5"/>
      <c r="Y129" s="5"/>
    </row>
    <row r="130" ht="12.75" customHeight="1">
      <c r="A130" s="31" t="s">
        <v>38</v>
      </c>
      <c r="B130" s="58"/>
      <c r="C130" s="53" t="s">
        <v>103</v>
      </c>
      <c r="D130" s="60"/>
      <c r="E130" s="79">
        <v>6.0</v>
      </c>
      <c r="F130" s="79">
        <v>0.0</v>
      </c>
      <c r="G130" s="79">
        <v>3.0</v>
      </c>
      <c r="H130" s="79">
        <v>6.0</v>
      </c>
      <c r="I130" s="79">
        <v>4.0</v>
      </c>
      <c r="J130" s="79">
        <v>14.0</v>
      </c>
      <c r="K130" s="79">
        <v>3.0</v>
      </c>
      <c r="L130" s="79">
        <v>1.0</v>
      </c>
      <c r="M130" s="79">
        <v>1.0</v>
      </c>
      <c r="N130" s="79">
        <v>6.0</v>
      </c>
      <c r="O130" s="79">
        <v>1.0</v>
      </c>
      <c r="P130" s="79">
        <v>0.0</v>
      </c>
      <c r="Q130" s="79">
        <v>6.0</v>
      </c>
      <c r="R130" s="79">
        <v>1.0</v>
      </c>
      <c r="S130" s="79">
        <v>0.0</v>
      </c>
      <c r="T130" s="79">
        <v>16.0</v>
      </c>
      <c r="U130" s="79">
        <v>28.0</v>
      </c>
      <c r="V130" s="79">
        <v>0.0</v>
      </c>
      <c r="W130" s="13">
        <f t="shared" si="28"/>
        <v>96</v>
      </c>
      <c r="X130" s="1"/>
      <c r="Y130" s="1"/>
    </row>
    <row r="131" ht="12.75" customHeight="1">
      <c r="A131" s="18"/>
      <c r="B131" s="58"/>
      <c r="C131" s="53" t="s">
        <v>104</v>
      </c>
      <c r="D131" s="60"/>
      <c r="E131" s="79">
        <v>2.0</v>
      </c>
      <c r="F131" s="79">
        <v>0.0</v>
      </c>
      <c r="G131" s="79">
        <v>0.0</v>
      </c>
      <c r="H131" s="79">
        <v>0.0</v>
      </c>
      <c r="I131" s="79">
        <v>1.0</v>
      </c>
      <c r="J131" s="79">
        <v>0.0</v>
      </c>
      <c r="K131" s="79">
        <v>0.0</v>
      </c>
      <c r="L131" s="79">
        <v>0.0</v>
      </c>
      <c r="M131" s="79">
        <v>0.0</v>
      </c>
      <c r="N131" s="79">
        <v>0.0</v>
      </c>
      <c r="O131" s="79">
        <v>0.0</v>
      </c>
      <c r="P131" s="79">
        <v>0.0</v>
      </c>
      <c r="Q131" s="79">
        <v>0.0</v>
      </c>
      <c r="R131" s="79">
        <v>0.0</v>
      </c>
      <c r="S131" s="79">
        <v>0.0</v>
      </c>
      <c r="T131" s="79">
        <v>3.0</v>
      </c>
      <c r="U131" s="79">
        <v>1.0</v>
      </c>
      <c r="V131" s="79">
        <v>0.0</v>
      </c>
      <c r="W131" s="13">
        <f t="shared" si="28"/>
        <v>7</v>
      </c>
      <c r="X131" s="55"/>
      <c r="Y131" s="55"/>
    </row>
    <row r="132" ht="12.75" customHeight="1">
      <c r="A132" s="18"/>
      <c r="B132" s="58"/>
      <c r="C132" s="53" t="s">
        <v>105</v>
      </c>
      <c r="D132" s="60"/>
      <c r="E132" s="79">
        <v>0.0</v>
      </c>
      <c r="F132" s="79">
        <v>0.0</v>
      </c>
      <c r="G132" s="79">
        <v>0.0</v>
      </c>
      <c r="H132" s="79">
        <v>1.0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79">
        <v>1.0</v>
      </c>
      <c r="O132" s="79">
        <v>0.0</v>
      </c>
      <c r="P132" s="79">
        <v>0.0</v>
      </c>
      <c r="Q132" s="79">
        <v>0.0</v>
      </c>
      <c r="R132" s="79">
        <v>0.0</v>
      </c>
      <c r="S132" s="79">
        <v>0.0</v>
      </c>
      <c r="T132" s="79">
        <v>2.0</v>
      </c>
      <c r="U132" s="79">
        <v>0.0</v>
      </c>
      <c r="V132" s="79">
        <v>0.0</v>
      </c>
      <c r="W132" s="13">
        <f t="shared" si="28"/>
        <v>4</v>
      </c>
      <c r="X132" s="5"/>
      <c r="Y132" s="5"/>
    </row>
    <row r="133" ht="12.75" customHeight="1">
      <c r="A133" s="18"/>
      <c r="B133" s="58"/>
      <c r="C133" s="53" t="s">
        <v>106</v>
      </c>
      <c r="D133" s="60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79">
        <v>0.0</v>
      </c>
      <c r="S133" s="79">
        <v>0.0</v>
      </c>
      <c r="T133" s="79">
        <v>0.0</v>
      </c>
      <c r="U133" s="79">
        <v>1.0</v>
      </c>
      <c r="V133" s="79">
        <v>0.0</v>
      </c>
      <c r="W133" s="13">
        <f t="shared" si="28"/>
        <v>1</v>
      </c>
      <c r="X133" s="5"/>
      <c r="Y133" s="5"/>
    </row>
    <row r="134" ht="12.75" customHeight="1">
      <c r="A134" s="18"/>
      <c r="B134" s="58"/>
      <c r="C134" s="53" t="s">
        <v>107</v>
      </c>
      <c r="D134" s="60"/>
      <c r="E134" s="79">
        <v>0.0</v>
      </c>
      <c r="F134" s="79">
        <v>0.0</v>
      </c>
      <c r="G134" s="79">
        <v>0.0</v>
      </c>
      <c r="H134" s="79">
        <v>1.0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79">
        <v>0.0</v>
      </c>
      <c r="R134" s="79">
        <v>0.0</v>
      </c>
      <c r="S134" s="79">
        <v>0.0</v>
      </c>
      <c r="T134" s="79">
        <v>0.0</v>
      </c>
      <c r="U134" s="79">
        <v>0.0</v>
      </c>
      <c r="V134" s="79">
        <v>0.0</v>
      </c>
      <c r="W134" s="13">
        <f t="shared" si="28"/>
        <v>1</v>
      </c>
      <c r="X134" s="5"/>
      <c r="Y134" s="5"/>
    </row>
    <row r="135" ht="12.75" customHeight="1">
      <c r="A135" s="18"/>
      <c r="B135" s="58"/>
      <c r="C135" s="53" t="s">
        <v>108</v>
      </c>
      <c r="D135" s="61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2.0</v>
      </c>
      <c r="K135" s="79">
        <v>1.0</v>
      </c>
      <c r="L135" s="79">
        <v>0.0</v>
      </c>
      <c r="M135" s="79">
        <v>0.0</v>
      </c>
      <c r="N135" s="79">
        <v>0.0</v>
      </c>
      <c r="O135" s="79">
        <v>0.0</v>
      </c>
      <c r="P135" s="79">
        <v>0.0</v>
      </c>
      <c r="Q135" s="79">
        <v>0.0</v>
      </c>
      <c r="R135" s="79">
        <v>0.0</v>
      </c>
      <c r="S135" s="79">
        <v>0.0</v>
      </c>
      <c r="T135" s="79">
        <v>0.0</v>
      </c>
      <c r="U135" s="79">
        <v>0.0</v>
      </c>
      <c r="V135" s="79">
        <v>0.0</v>
      </c>
      <c r="W135" s="13">
        <f t="shared" si="28"/>
        <v>3</v>
      </c>
      <c r="X135" s="5"/>
      <c r="Y135" s="5"/>
    </row>
    <row r="136" ht="12.75" customHeight="1">
      <c r="A136" s="18"/>
      <c r="B136" s="58"/>
      <c r="C136" s="53" t="s">
        <v>109</v>
      </c>
      <c r="D136" s="60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0.0</v>
      </c>
      <c r="T136" s="79">
        <v>0.0</v>
      </c>
      <c r="U136" s="79">
        <v>1.0</v>
      </c>
      <c r="V136" s="79">
        <v>0.0</v>
      </c>
      <c r="W136" s="13">
        <f t="shared" si="28"/>
        <v>1</v>
      </c>
      <c r="X136" s="5"/>
      <c r="Y136" s="5"/>
    </row>
    <row r="137" ht="12.75" customHeight="1">
      <c r="A137" s="18"/>
      <c r="B137" s="58"/>
      <c r="C137" s="53" t="s">
        <v>110</v>
      </c>
      <c r="D137" s="60"/>
      <c r="E137" s="79">
        <v>1.0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0.0</v>
      </c>
      <c r="M137" s="79">
        <v>0.0</v>
      </c>
      <c r="N137" s="79">
        <v>0.0</v>
      </c>
      <c r="O137" s="79">
        <v>0.0</v>
      </c>
      <c r="P137" s="79">
        <v>0.0</v>
      </c>
      <c r="Q137" s="79">
        <v>0.0</v>
      </c>
      <c r="R137" s="79">
        <v>0.0</v>
      </c>
      <c r="S137" s="79">
        <v>0.0</v>
      </c>
      <c r="T137" s="79">
        <v>0.0</v>
      </c>
      <c r="U137" s="79">
        <v>1.0</v>
      </c>
      <c r="V137" s="79">
        <v>0.0</v>
      </c>
      <c r="W137" s="13">
        <f t="shared" si="28"/>
        <v>2</v>
      </c>
      <c r="X137" s="5"/>
      <c r="Y137" s="5"/>
    </row>
    <row r="138" ht="12.75" customHeight="1">
      <c r="A138" s="18"/>
      <c r="B138" s="58"/>
      <c r="C138" s="53" t="s">
        <v>111</v>
      </c>
      <c r="D138" s="60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0.0</v>
      </c>
      <c r="T138" s="79">
        <v>0.0</v>
      </c>
      <c r="U138" s="79">
        <v>0.0</v>
      </c>
      <c r="V138" s="79">
        <v>0.0</v>
      </c>
      <c r="W138" s="13">
        <f t="shared" si="28"/>
        <v>0</v>
      </c>
      <c r="X138" s="5"/>
      <c r="Y138" s="5"/>
    </row>
    <row r="139" ht="12.75" customHeight="1">
      <c r="A139" s="19" t="s">
        <v>14</v>
      </c>
      <c r="B139" s="50" t="s">
        <v>48</v>
      </c>
      <c r="C139" s="15"/>
      <c r="D139" s="16"/>
      <c r="E139" s="13">
        <f t="shared" ref="E139:V139" si="29">SUM(E129:E138)</f>
        <v>11</v>
      </c>
      <c r="F139" s="13">
        <f t="shared" si="29"/>
        <v>2</v>
      </c>
      <c r="G139" s="13">
        <f t="shared" si="29"/>
        <v>3</v>
      </c>
      <c r="H139" s="13">
        <f t="shared" si="29"/>
        <v>12</v>
      </c>
      <c r="I139" s="13">
        <f t="shared" si="29"/>
        <v>8</v>
      </c>
      <c r="J139" s="13">
        <f t="shared" si="29"/>
        <v>16</v>
      </c>
      <c r="K139" s="13">
        <f t="shared" si="29"/>
        <v>5</v>
      </c>
      <c r="L139" s="13">
        <f t="shared" si="29"/>
        <v>3</v>
      </c>
      <c r="M139" s="13">
        <f t="shared" si="29"/>
        <v>1</v>
      </c>
      <c r="N139" s="13">
        <f t="shared" si="29"/>
        <v>9</v>
      </c>
      <c r="O139" s="13">
        <f t="shared" si="29"/>
        <v>3</v>
      </c>
      <c r="P139" s="13">
        <f t="shared" si="29"/>
        <v>0</v>
      </c>
      <c r="Q139" s="13">
        <f t="shared" si="29"/>
        <v>8</v>
      </c>
      <c r="R139" s="13">
        <f t="shared" si="29"/>
        <v>2</v>
      </c>
      <c r="S139" s="13">
        <f t="shared" si="29"/>
        <v>0</v>
      </c>
      <c r="T139" s="13">
        <f t="shared" si="29"/>
        <v>31</v>
      </c>
      <c r="U139" s="13">
        <f t="shared" si="29"/>
        <v>36</v>
      </c>
      <c r="V139" s="13">
        <f t="shared" si="29"/>
        <v>0</v>
      </c>
      <c r="W139" s="13">
        <f t="shared" si="28"/>
        <v>150</v>
      </c>
      <c r="X139" s="5"/>
      <c r="Y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5"/>
      <c r="Y140" s="5"/>
    </row>
    <row r="141" ht="12.75" customHeight="1">
      <c r="A141" s="31" t="s">
        <v>36</v>
      </c>
      <c r="B141" s="50" t="s">
        <v>112</v>
      </c>
      <c r="C141" s="51" t="s">
        <v>113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79">
        <v>0.0</v>
      </c>
      <c r="S141" s="79">
        <v>0.0</v>
      </c>
      <c r="T141" s="79">
        <v>0.0</v>
      </c>
      <c r="U141" s="79">
        <v>0.0</v>
      </c>
      <c r="V141" s="79">
        <v>0.0</v>
      </c>
      <c r="W141" s="13">
        <f t="shared" ref="W141:W144" si="30">SUM(E141:V141)</f>
        <v>0</v>
      </c>
      <c r="X141" s="1"/>
      <c r="Y141" s="1"/>
    </row>
    <row r="142" ht="12.75" customHeight="1">
      <c r="A142" s="31" t="s">
        <v>38</v>
      </c>
      <c r="B142" s="58"/>
      <c r="C142" s="53" t="s">
        <v>114</v>
      </c>
      <c r="D142" s="61"/>
      <c r="E142" s="79">
        <v>0.0</v>
      </c>
      <c r="F142" s="79">
        <v>1.0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>
        <v>0.0</v>
      </c>
      <c r="R142" s="79">
        <v>0.0</v>
      </c>
      <c r="S142" s="79">
        <v>0.0</v>
      </c>
      <c r="T142" s="79">
        <v>0.0</v>
      </c>
      <c r="U142" s="79">
        <v>0.0</v>
      </c>
      <c r="V142" s="79">
        <v>0.0</v>
      </c>
      <c r="W142" s="13">
        <f t="shared" si="30"/>
        <v>1</v>
      </c>
      <c r="X142" s="55"/>
      <c r="Y142" s="55"/>
    </row>
    <row r="143" ht="12.75" customHeight="1">
      <c r="A143" s="18"/>
      <c r="B143" s="58"/>
      <c r="C143" s="53" t="s">
        <v>115</v>
      </c>
      <c r="D143" s="61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79">
        <v>0.0</v>
      </c>
      <c r="U143" s="79">
        <v>0.0</v>
      </c>
      <c r="V143" s="79">
        <v>0.0</v>
      </c>
      <c r="W143" s="13">
        <f t="shared" si="30"/>
        <v>0</v>
      </c>
      <c r="X143" s="5"/>
      <c r="Y143" s="5"/>
    </row>
    <row r="144" ht="12.75" customHeight="1">
      <c r="A144" s="18"/>
      <c r="B144" s="58"/>
      <c r="C144" s="53" t="s">
        <v>116</v>
      </c>
      <c r="D144" s="61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1.0</v>
      </c>
      <c r="Q144" s="79">
        <v>0.0</v>
      </c>
      <c r="R144" s="79">
        <v>0.0</v>
      </c>
      <c r="S144" s="79">
        <v>0.0</v>
      </c>
      <c r="T144" s="79">
        <v>0.0</v>
      </c>
      <c r="U144" s="79">
        <v>0.0</v>
      </c>
      <c r="V144" s="79">
        <v>0.0</v>
      </c>
      <c r="W144" s="13">
        <f t="shared" si="30"/>
        <v>1</v>
      </c>
      <c r="X144" s="5"/>
      <c r="Y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85"/>
      <c r="X145" s="5"/>
      <c r="Y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85"/>
      <c r="X146" s="5"/>
      <c r="Y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85"/>
      <c r="X147" s="5"/>
      <c r="Y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85"/>
      <c r="X148" s="5"/>
      <c r="Y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85"/>
      <c r="X149" s="5"/>
      <c r="Y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85"/>
      <c r="X150" s="5"/>
      <c r="Y150" s="5"/>
    </row>
    <row r="151" ht="12.75" customHeight="1">
      <c r="A151" s="19" t="s">
        <v>14</v>
      </c>
      <c r="B151" s="50" t="s">
        <v>48</v>
      </c>
      <c r="C151" s="15"/>
      <c r="D151" s="16"/>
      <c r="E151" s="13">
        <f t="shared" ref="E151:V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>SUM(E151:V151)</f>
        <v>2</v>
      </c>
      <c r="X151" s="1"/>
      <c r="Y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13"/>
      <c r="X152" s="55"/>
      <c r="Y152" s="55"/>
    </row>
    <row r="153" ht="12.75" customHeight="1">
      <c r="A153" s="31" t="s">
        <v>36</v>
      </c>
      <c r="B153" s="17" t="s">
        <v>117</v>
      </c>
      <c r="C153" s="68" t="s">
        <v>118</v>
      </c>
      <c r="D153" s="23"/>
      <c r="E153" s="79">
        <v>0.0</v>
      </c>
      <c r="F153" s="79">
        <v>0.0</v>
      </c>
      <c r="G153" s="79">
        <v>0.0</v>
      </c>
      <c r="H153" s="79">
        <v>0.0</v>
      </c>
      <c r="I153" s="79">
        <v>0.0</v>
      </c>
      <c r="J153" s="79">
        <v>0.0</v>
      </c>
      <c r="K153" s="79">
        <v>0.0</v>
      </c>
      <c r="L153" s="79">
        <v>0.0</v>
      </c>
      <c r="M153" s="79">
        <v>1.0</v>
      </c>
      <c r="N153" s="79">
        <v>0.0</v>
      </c>
      <c r="O153" s="79">
        <v>0.0</v>
      </c>
      <c r="P153" s="79">
        <v>0.0</v>
      </c>
      <c r="Q153" s="79">
        <v>0.0</v>
      </c>
      <c r="R153" s="79">
        <v>0.0</v>
      </c>
      <c r="S153" s="79">
        <v>0.0</v>
      </c>
      <c r="T153" s="79">
        <v>0.0</v>
      </c>
      <c r="U153" s="79">
        <v>0.0</v>
      </c>
      <c r="V153" s="79">
        <v>0.0</v>
      </c>
      <c r="W153" s="13">
        <f t="shared" ref="W153:W156" si="32">SUM(E154:V154)</f>
        <v>5</v>
      </c>
      <c r="X153" s="5"/>
      <c r="Y153" s="5"/>
    </row>
    <row r="154" ht="12.75" customHeight="1">
      <c r="A154" s="69" t="s">
        <v>38</v>
      </c>
      <c r="B154" s="58"/>
      <c r="C154" s="53" t="s">
        <v>119</v>
      </c>
      <c r="D154" s="61"/>
      <c r="E154" s="87">
        <v>1.0</v>
      </c>
      <c r="F154" s="79">
        <v>0.0</v>
      </c>
      <c r="G154" s="79">
        <v>0.0</v>
      </c>
      <c r="H154" s="79">
        <v>0.0</v>
      </c>
      <c r="I154" s="79">
        <v>0.0</v>
      </c>
      <c r="J154" s="79">
        <v>0.0</v>
      </c>
      <c r="K154" s="79">
        <v>1.0</v>
      </c>
      <c r="L154" s="79">
        <v>0.0</v>
      </c>
      <c r="M154" s="79">
        <v>0.0</v>
      </c>
      <c r="N154" s="79">
        <v>0.0</v>
      </c>
      <c r="O154" s="79">
        <v>0.0</v>
      </c>
      <c r="P154" s="79">
        <v>2.0</v>
      </c>
      <c r="Q154" s="79">
        <v>0.0</v>
      </c>
      <c r="R154" s="79">
        <v>1.0</v>
      </c>
      <c r="S154" s="79">
        <v>0.0</v>
      </c>
      <c r="T154" s="79">
        <v>0.0</v>
      </c>
      <c r="U154" s="79">
        <v>0.0</v>
      </c>
      <c r="V154" s="79">
        <v>0.0</v>
      </c>
      <c r="W154" s="13">
        <f t="shared" si="32"/>
        <v>2</v>
      </c>
      <c r="X154" s="5"/>
      <c r="Y154" s="5"/>
    </row>
    <row r="155" ht="12.75" customHeight="1">
      <c r="A155" s="18"/>
      <c r="B155" s="58"/>
      <c r="C155" s="53" t="s">
        <v>120</v>
      </c>
      <c r="D155" s="61"/>
      <c r="E155" s="87">
        <v>0.0</v>
      </c>
      <c r="F155" s="79">
        <v>0.0</v>
      </c>
      <c r="G155" s="79">
        <v>1.0</v>
      </c>
      <c r="H155" s="79">
        <v>0.0</v>
      </c>
      <c r="I155" s="79">
        <v>1.0</v>
      </c>
      <c r="J155" s="79">
        <v>0.0</v>
      </c>
      <c r="K155" s="79">
        <v>0.0</v>
      </c>
      <c r="L155" s="79">
        <v>0.0</v>
      </c>
      <c r="M155" s="79">
        <v>0.0</v>
      </c>
      <c r="N155" s="79">
        <v>0.0</v>
      </c>
      <c r="O155" s="79">
        <v>0.0</v>
      </c>
      <c r="P155" s="79">
        <v>0.0</v>
      </c>
      <c r="Q155" s="79">
        <v>0.0</v>
      </c>
      <c r="R155" s="79">
        <v>0.0</v>
      </c>
      <c r="S155" s="79">
        <v>0.0</v>
      </c>
      <c r="T155" s="79">
        <v>0.0</v>
      </c>
      <c r="U155" s="79">
        <v>0.0</v>
      </c>
      <c r="V155" s="79">
        <v>0.0</v>
      </c>
      <c r="W155" s="13">
        <f t="shared" si="32"/>
        <v>2</v>
      </c>
      <c r="X155" s="5"/>
      <c r="Y155" s="5"/>
    </row>
    <row r="156" ht="12.75" customHeight="1">
      <c r="A156" s="18"/>
      <c r="B156" s="58"/>
      <c r="C156" s="53" t="s">
        <v>121</v>
      </c>
      <c r="D156" s="61"/>
      <c r="E156" s="87">
        <v>0.0</v>
      </c>
      <c r="F156" s="79">
        <v>0.0</v>
      </c>
      <c r="G156" s="79">
        <v>0.0</v>
      </c>
      <c r="H156" s="79">
        <v>0.0</v>
      </c>
      <c r="I156" s="79">
        <v>1.0</v>
      </c>
      <c r="J156" s="79">
        <v>0.0</v>
      </c>
      <c r="K156" s="79">
        <v>0.0</v>
      </c>
      <c r="L156" s="79">
        <v>0.0</v>
      </c>
      <c r="M156" s="79">
        <v>1.0</v>
      </c>
      <c r="N156" s="79">
        <v>0.0</v>
      </c>
      <c r="O156" s="79">
        <v>0.0</v>
      </c>
      <c r="P156" s="79">
        <v>0.0</v>
      </c>
      <c r="Q156" s="79">
        <v>0.0</v>
      </c>
      <c r="R156" s="79">
        <v>0.0</v>
      </c>
      <c r="S156" s="79">
        <v>0.0</v>
      </c>
      <c r="T156" s="79">
        <v>0.0</v>
      </c>
      <c r="U156" s="79">
        <v>0.0</v>
      </c>
      <c r="V156" s="79">
        <v>0.0</v>
      </c>
      <c r="W156" s="13">
        <f t="shared" si="32"/>
        <v>1</v>
      </c>
      <c r="X156" s="5"/>
      <c r="Y156" s="5"/>
    </row>
    <row r="157" ht="12.75" customHeight="1">
      <c r="A157" s="18"/>
      <c r="B157" s="58"/>
      <c r="C157" s="53" t="s">
        <v>122</v>
      </c>
      <c r="D157" s="61"/>
      <c r="E157" s="87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79">
        <v>1.0</v>
      </c>
      <c r="Q157" s="79">
        <v>0.0</v>
      </c>
      <c r="R157" s="79">
        <v>0.0</v>
      </c>
      <c r="S157" s="79">
        <v>0.0</v>
      </c>
      <c r="T157" s="79">
        <v>0.0</v>
      </c>
      <c r="U157" s="79">
        <v>0.0</v>
      </c>
      <c r="V157" s="79">
        <v>0.0</v>
      </c>
      <c r="W157" s="13">
        <f t="shared" ref="W157:W160" si="33">SUM(E163:V163)</f>
        <v>11</v>
      </c>
      <c r="X157" s="5"/>
      <c r="Y157" s="5"/>
    </row>
    <row r="158" ht="12.75" customHeight="1">
      <c r="A158" s="18"/>
      <c r="B158" s="58"/>
      <c r="C158" s="53" t="s">
        <v>123</v>
      </c>
      <c r="D158" s="61"/>
      <c r="E158" s="87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0.0</v>
      </c>
      <c r="T158" s="79">
        <v>0.0</v>
      </c>
      <c r="U158" s="79">
        <v>0.0</v>
      </c>
      <c r="V158" s="79">
        <v>0.0</v>
      </c>
      <c r="W158" s="13">
        <f t="shared" si="33"/>
        <v>0</v>
      </c>
      <c r="X158" s="5"/>
      <c r="Y158" s="5"/>
    </row>
    <row r="159" ht="12.75" customHeight="1">
      <c r="A159" s="18"/>
      <c r="B159" s="58"/>
      <c r="C159" s="53" t="s">
        <v>124</v>
      </c>
      <c r="D159" s="61"/>
      <c r="E159" s="87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79">
        <v>0.0</v>
      </c>
      <c r="S159" s="79">
        <v>0.0</v>
      </c>
      <c r="T159" s="79">
        <v>0.0</v>
      </c>
      <c r="U159" s="79">
        <v>0.0</v>
      </c>
      <c r="V159" s="79">
        <v>0.0</v>
      </c>
      <c r="W159" s="13">
        <f t="shared" si="33"/>
        <v>1</v>
      </c>
      <c r="X159" s="5"/>
      <c r="Y159" s="5"/>
    </row>
    <row r="160" ht="12.75" customHeight="1">
      <c r="A160" s="18"/>
      <c r="B160" s="58"/>
      <c r="C160" s="53" t="s">
        <v>125</v>
      </c>
      <c r="D160" s="61"/>
      <c r="E160" s="87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79">
        <v>0.0</v>
      </c>
      <c r="T160" s="79">
        <v>0.0</v>
      </c>
      <c r="U160" s="79">
        <v>0.0</v>
      </c>
      <c r="V160" s="79">
        <v>0.0</v>
      </c>
      <c r="W160" s="13">
        <f t="shared" si="33"/>
        <v>1</v>
      </c>
      <c r="X160" s="5"/>
      <c r="Y160" s="5"/>
    </row>
    <row r="161" ht="12.75" customHeight="1">
      <c r="A161" s="18"/>
      <c r="B161" s="62"/>
      <c r="C161" s="70"/>
      <c r="D161" s="64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85"/>
      <c r="X161" s="5"/>
      <c r="Y161" s="5"/>
    </row>
    <row r="162" ht="12.75" customHeight="1">
      <c r="A162" s="18"/>
      <c r="B162" s="62"/>
      <c r="C162" s="70"/>
      <c r="D162" s="64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85"/>
      <c r="X162" s="5"/>
      <c r="Y162" s="5"/>
    </row>
    <row r="163" ht="12.75" customHeight="1">
      <c r="A163" s="19" t="s">
        <v>14</v>
      </c>
      <c r="B163" s="71" t="s">
        <v>48</v>
      </c>
      <c r="C163" s="47"/>
      <c r="D163" s="28"/>
      <c r="E163" s="13">
        <f t="shared" ref="E163:V163" si="34">SUM(E153:E162)</f>
        <v>1</v>
      </c>
      <c r="F163" s="13">
        <f t="shared" si="34"/>
        <v>0</v>
      </c>
      <c r="G163" s="13">
        <f t="shared" si="34"/>
        <v>1</v>
      </c>
      <c r="H163" s="13">
        <f t="shared" si="34"/>
        <v>0</v>
      </c>
      <c r="I163" s="13">
        <f t="shared" si="34"/>
        <v>2</v>
      </c>
      <c r="J163" s="13">
        <f t="shared" si="34"/>
        <v>0</v>
      </c>
      <c r="K163" s="13">
        <f t="shared" si="34"/>
        <v>1</v>
      </c>
      <c r="L163" s="13">
        <f t="shared" si="34"/>
        <v>0</v>
      </c>
      <c r="M163" s="13">
        <f t="shared" si="34"/>
        <v>2</v>
      </c>
      <c r="N163" s="13">
        <f t="shared" si="34"/>
        <v>0</v>
      </c>
      <c r="O163" s="13">
        <f t="shared" si="34"/>
        <v>0</v>
      </c>
      <c r="P163" s="13">
        <f t="shared" si="34"/>
        <v>3</v>
      </c>
      <c r="Q163" s="13">
        <f t="shared" si="34"/>
        <v>0</v>
      </c>
      <c r="R163" s="13">
        <f t="shared" si="34"/>
        <v>1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>SUM(E163:V163)</f>
        <v>11</v>
      </c>
      <c r="X163" s="5"/>
      <c r="Y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5"/>
      <c r="Y164" s="5"/>
    </row>
    <row r="165" ht="12.75" customHeight="1">
      <c r="A165" s="31" t="s">
        <v>36</v>
      </c>
      <c r="B165" s="50" t="s">
        <v>126</v>
      </c>
      <c r="C165" s="51" t="s">
        <v>127</v>
      </c>
      <c r="D165" s="16"/>
      <c r="E165" s="79">
        <v>0.0</v>
      </c>
      <c r="F165" s="79">
        <v>0.0</v>
      </c>
      <c r="G165" s="79">
        <v>0.0</v>
      </c>
      <c r="H165" s="79">
        <v>0.0</v>
      </c>
      <c r="I165" s="79">
        <v>0.0</v>
      </c>
      <c r="J165" s="79">
        <v>0.0</v>
      </c>
      <c r="K165" s="79">
        <v>0.0</v>
      </c>
      <c r="L165" s="79">
        <v>0.0</v>
      </c>
      <c r="M165" s="79">
        <v>0.0</v>
      </c>
      <c r="N165" s="79">
        <v>0.0</v>
      </c>
      <c r="O165" s="79">
        <v>0.0</v>
      </c>
      <c r="P165" s="79">
        <v>0.0</v>
      </c>
      <c r="Q165" s="79">
        <v>0.0</v>
      </c>
      <c r="R165" s="79">
        <v>0.0</v>
      </c>
      <c r="S165" s="79">
        <v>0.0</v>
      </c>
      <c r="T165" s="79">
        <v>1.0</v>
      </c>
      <c r="U165" s="79">
        <v>0.0</v>
      </c>
      <c r="V165" s="79">
        <v>0.0</v>
      </c>
      <c r="W165" s="13">
        <f t="shared" ref="W165:W166" si="35">SUM(E165:V165)</f>
        <v>1</v>
      </c>
      <c r="X165" s="1"/>
      <c r="Y165" s="1"/>
    </row>
    <row r="166" ht="12.75" customHeight="1">
      <c r="A166" s="31" t="s">
        <v>38</v>
      </c>
      <c r="B166" s="58"/>
      <c r="C166" s="53" t="s">
        <v>128</v>
      </c>
      <c r="D166" s="61"/>
      <c r="E166" s="79">
        <v>0.0</v>
      </c>
      <c r="F166" s="79">
        <v>0.0</v>
      </c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0.0</v>
      </c>
      <c r="M166" s="79">
        <v>0.0</v>
      </c>
      <c r="N166" s="79">
        <v>0.0</v>
      </c>
      <c r="O166" s="79">
        <v>0.0</v>
      </c>
      <c r="P166" s="79">
        <v>0.0</v>
      </c>
      <c r="Q166" s="79">
        <v>0.0</v>
      </c>
      <c r="R166" s="79">
        <v>0.0</v>
      </c>
      <c r="S166" s="79">
        <v>0.0</v>
      </c>
      <c r="T166" s="79">
        <v>1.0</v>
      </c>
      <c r="U166" s="79">
        <v>0.0</v>
      </c>
      <c r="V166" s="79">
        <v>0.0</v>
      </c>
      <c r="W166" s="13">
        <f t="shared" si="35"/>
        <v>1</v>
      </c>
      <c r="X166" s="55"/>
      <c r="Y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85"/>
      <c r="X167" s="5"/>
      <c r="Y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85"/>
      <c r="X168" s="5"/>
      <c r="Y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85"/>
      <c r="X169" s="5"/>
      <c r="Y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85"/>
      <c r="X170" s="5"/>
      <c r="Y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85"/>
      <c r="X171" s="5"/>
      <c r="Y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85"/>
      <c r="X172" s="5"/>
      <c r="Y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85"/>
      <c r="X173" s="5"/>
      <c r="Y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85"/>
      <c r="X174" s="5"/>
      <c r="Y174" s="5"/>
    </row>
    <row r="175" ht="12.75" customHeight="1">
      <c r="A175" s="19" t="s">
        <v>14</v>
      </c>
      <c r="B175" s="50" t="s">
        <v>48</v>
      </c>
      <c r="C175" s="15"/>
      <c r="D175" s="16"/>
      <c r="E175" s="13">
        <f t="shared" ref="E175:V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2</v>
      </c>
      <c r="U175" s="13">
        <f t="shared" si="36"/>
        <v>0</v>
      </c>
      <c r="V175" s="13">
        <f t="shared" si="36"/>
        <v>0</v>
      </c>
      <c r="W175" s="13">
        <f>SUM(E175:V175)</f>
        <v>2</v>
      </c>
      <c r="X175" s="5"/>
      <c r="Y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1"/>
      <c r="Y176" s="1"/>
    </row>
    <row r="177" ht="12.75" customHeight="1">
      <c r="A177" s="31" t="s">
        <v>36</v>
      </c>
      <c r="B177" s="50" t="s">
        <v>129</v>
      </c>
      <c r="C177" s="51" t="s">
        <v>130</v>
      </c>
      <c r="D177" s="16"/>
      <c r="E177" s="79">
        <v>0.0</v>
      </c>
      <c r="F177" s="79">
        <v>1.0</v>
      </c>
      <c r="G177" s="79">
        <v>0.0</v>
      </c>
      <c r="H177" s="79">
        <v>0.0</v>
      </c>
      <c r="I177" s="79">
        <v>0.0</v>
      </c>
      <c r="J177" s="79">
        <v>0.0</v>
      </c>
      <c r="K177" s="79">
        <v>0.0</v>
      </c>
      <c r="L177" s="79">
        <v>0.0</v>
      </c>
      <c r="M177" s="79">
        <v>0.0</v>
      </c>
      <c r="N177" s="79">
        <v>0.0</v>
      </c>
      <c r="O177" s="79">
        <v>0.0</v>
      </c>
      <c r="P177" s="79">
        <v>0.0</v>
      </c>
      <c r="Q177" s="79">
        <v>2.0</v>
      </c>
      <c r="R177" s="79">
        <v>0.0</v>
      </c>
      <c r="S177" s="79">
        <v>1.0</v>
      </c>
      <c r="T177" s="79">
        <v>0.0</v>
      </c>
      <c r="U177" s="79">
        <v>1.0</v>
      </c>
      <c r="V177" s="79">
        <v>0.0</v>
      </c>
      <c r="W177" s="13">
        <f t="shared" ref="W177:W187" si="37">SUM(E177:V177)</f>
        <v>5</v>
      </c>
    </row>
    <row r="178" ht="12.75" customHeight="1">
      <c r="A178" s="31" t="s">
        <v>38</v>
      </c>
      <c r="B178" s="58"/>
      <c r="C178" s="53" t="s">
        <v>131</v>
      </c>
      <c r="D178" s="61"/>
      <c r="E178" s="79">
        <v>0.0</v>
      </c>
      <c r="F178" s="79">
        <v>2.0</v>
      </c>
      <c r="G178" s="79">
        <v>0.0</v>
      </c>
      <c r="H178" s="79">
        <v>0.0</v>
      </c>
      <c r="I178" s="79">
        <v>0.0</v>
      </c>
      <c r="J178" s="79">
        <v>0.0</v>
      </c>
      <c r="K178" s="79">
        <v>0.0</v>
      </c>
      <c r="L178" s="79">
        <v>0.0</v>
      </c>
      <c r="M178" s="79">
        <v>1.0</v>
      </c>
      <c r="N178" s="79">
        <v>0.0</v>
      </c>
      <c r="O178" s="79">
        <v>0.0</v>
      </c>
      <c r="P178" s="79">
        <v>0.0</v>
      </c>
      <c r="Q178" s="79">
        <v>2.0</v>
      </c>
      <c r="R178" s="79">
        <v>0.0</v>
      </c>
      <c r="S178" s="79">
        <v>0.0</v>
      </c>
      <c r="T178" s="79">
        <v>0.0</v>
      </c>
      <c r="U178" s="79">
        <v>0.0</v>
      </c>
      <c r="V178" s="79">
        <v>0.0</v>
      </c>
      <c r="W178" s="13">
        <f t="shared" si="37"/>
        <v>5</v>
      </c>
      <c r="X178" s="5"/>
      <c r="Y178" s="5"/>
    </row>
    <row r="179" ht="12.75" customHeight="1">
      <c r="A179" s="18"/>
      <c r="B179" s="58"/>
      <c r="C179" s="53" t="s">
        <v>132</v>
      </c>
      <c r="D179" s="61"/>
      <c r="E179" s="79">
        <v>0.0</v>
      </c>
      <c r="F179" s="79">
        <v>0.0</v>
      </c>
      <c r="G179" s="79">
        <v>0.0</v>
      </c>
      <c r="H179" s="79">
        <v>0.0</v>
      </c>
      <c r="I179" s="79">
        <v>0.0</v>
      </c>
      <c r="J179" s="79">
        <v>0.0</v>
      </c>
      <c r="K179" s="79">
        <v>0.0</v>
      </c>
      <c r="L179" s="79">
        <v>0.0</v>
      </c>
      <c r="M179" s="79">
        <v>1.0</v>
      </c>
      <c r="N179" s="79">
        <v>0.0</v>
      </c>
      <c r="O179" s="79">
        <v>0.0</v>
      </c>
      <c r="P179" s="79">
        <v>0.0</v>
      </c>
      <c r="Q179" s="79">
        <v>0.0</v>
      </c>
      <c r="R179" s="79">
        <v>0.0</v>
      </c>
      <c r="S179" s="79">
        <v>0.0</v>
      </c>
      <c r="T179" s="79">
        <v>0.0</v>
      </c>
      <c r="U179" s="79">
        <v>0.0</v>
      </c>
      <c r="V179" s="79">
        <v>0.0</v>
      </c>
      <c r="W179" s="13">
        <f t="shared" si="37"/>
        <v>1</v>
      </c>
      <c r="X179" s="5"/>
      <c r="Y179" s="5"/>
    </row>
    <row r="180" ht="12.75" customHeight="1">
      <c r="A180" s="18"/>
      <c r="B180" s="58"/>
      <c r="C180" s="53" t="s">
        <v>133</v>
      </c>
      <c r="D180" s="61"/>
      <c r="E180" s="79">
        <v>0.0</v>
      </c>
      <c r="F180" s="79">
        <v>0.0</v>
      </c>
      <c r="G180" s="79">
        <v>0.0</v>
      </c>
      <c r="H180" s="79">
        <v>0.0</v>
      </c>
      <c r="I180" s="79">
        <v>0.0</v>
      </c>
      <c r="J180" s="79">
        <v>0.0</v>
      </c>
      <c r="K180" s="79">
        <v>0.0</v>
      </c>
      <c r="L180" s="79">
        <v>0.0</v>
      </c>
      <c r="M180" s="79">
        <v>0.0</v>
      </c>
      <c r="N180" s="79">
        <v>0.0</v>
      </c>
      <c r="O180" s="79">
        <v>1.0</v>
      </c>
      <c r="P180" s="79">
        <v>0.0</v>
      </c>
      <c r="Q180" s="79">
        <v>0.0</v>
      </c>
      <c r="R180" s="79">
        <v>0.0</v>
      </c>
      <c r="S180" s="79">
        <v>0.0</v>
      </c>
      <c r="T180" s="79">
        <v>1.0</v>
      </c>
      <c r="U180" s="79">
        <v>0.0</v>
      </c>
      <c r="V180" s="79">
        <v>0.0</v>
      </c>
      <c r="W180" s="13">
        <f t="shared" si="37"/>
        <v>2</v>
      </c>
      <c r="X180" s="5"/>
      <c r="Y180" s="5"/>
    </row>
    <row r="181" ht="12.75" customHeight="1">
      <c r="A181" s="18"/>
      <c r="B181" s="58"/>
      <c r="C181" s="53" t="s">
        <v>134</v>
      </c>
      <c r="D181" s="61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0.0</v>
      </c>
      <c r="N181" s="79">
        <v>1.0</v>
      </c>
      <c r="O181" s="79">
        <v>0.0</v>
      </c>
      <c r="P181" s="79">
        <v>0.0</v>
      </c>
      <c r="Q181" s="79">
        <v>0.0</v>
      </c>
      <c r="R181" s="79">
        <v>0.0</v>
      </c>
      <c r="S181" s="79">
        <v>0.0</v>
      </c>
      <c r="T181" s="79">
        <v>0.0</v>
      </c>
      <c r="U181" s="79">
        <v>0.0</v>
      </c>
      <c r="V181" s="79">
        <v>0.0</v>
      </c>
      <c r="W181" s="13">
        <f t="shared" si="37"/>
        <v>1</v>
      </c>
      <c r="X181" s="5"/>
      <c r="Y181" s="5"/>
    </row>
    <row r="182" ht="12.75" customHeight="1">
      <c r="A182" s="18"/>
      <c r="B182" s="58"/>
      <c r="C182" s="53" t="s">
        <v>135</v>
      </c>
      <c r="D182" s="61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79">
        <v>1.0</v>
      </c>
      <c r="O182" s="79">
        <v>1.0</v>
      </c>
      <c r="P182" s="79">
        <v>0.0</v>
      </c>
      <c r="Q182" s="79">
        <v>0.0</v>
      </c>
      <c r="R182" s="79">
        <v>0.0</v>
      </c>
      <c r="S182" s="79">
        <v>0.0</v>
      </c>
      <c r="T182" s="79">
        <v>0.0</v>
      </c>
      <c r="U182" s="79">
        <v>0.0</v>
      </c>
      <c r="V182" s="79">
        <v>0.0</v>
      </c>
      <c r="W182" s="13">
        <f t="shared" si="37"/>
        <v>2</v>
      </c>
      <c r="X182" s="5"/>
      <c r="Y182" s="5"/>
    </row>
    <row r="183" ht="12.75" customHeight="1">
      <c r="A183" s="18"/>
      <c r="B183" s="58"/>
      <c r="C183" s="53" t="s">
        <v>136</v>
      </c>
      <c r="D183" s="61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>
        <v>0.0</v>
      </c>
      <c r="R183" s="79">
        <v>0.0</v>
      </c>
      <c r="S183" s="79">
        <v>0.0</v>
      </c>
      <c r="T183" s="79">
        <v>0.0</v>
      </c>
      <c r="U183" s="79">
        <v>0.0</v>
      </c>
      <c r="V183" s="79">
        <v>0.0</v>
      </c>
      <c r="W183" s="13">
        <f t="shared" si="37"/>
        <v>0</v>
      </c>
      <c r="X183" s="5"/>
      <c r="Y183" s="5"/>
    </row>
    <row r="184" ht="12.75" customHeight="1">
      <c r="A184" s="18"/>
      <c r="B184" s="58"/>
      <c r="C184" s="53" t="s">
        <v>137</v>
      </c>
      <c r="D184" s="61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79">
        <v>0.0</v>
      </c>
      <c r="U184" s="79">
        <v>0.0</v>
      </c>
      <c r="V184" s="79">
        <v>0.0</v>
      </c>
      <c r="W184" s="13">
        <f t="shared" si="37"/>
        <v>0</v>
      </c>
      <c r="X184" s="5"/>
      <c r="Y184" s="5"/>
    </row>
    <row r="185" ht="12.75" customHeight="1">
      <c r="A185" s="18"/>
      <c r="B185" s="58"/>
      <c r="C185" s="53" t="s">
        <v>138</v>
      </c>
      <c r="D185" s="61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1.0</v>
      </c>
      <c r="N185" s="79">
        <v>1.0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79">
        <v>0.0</v>
      </c>
      <c r="U185" s="79">
        <v>1.0</v>
      </c>
      <c r="V185" s="79">
        <v>0.0</v>
      </c>
      <c r="W185" s="13">
        <f t="shared" si="37"/>
        <v>3</v>
      </c>
      <c r="X185" s="5"/>
      <c r="Y185" s="5"/>
    </row>
    <row r="186" ht="12.75" customHeight="1">
      <c r="A186" s="18"/>
      <c r="B186" s="58"/>
      <c r="C186" s="53" t="s">
        <v>139</v>
      </c>
      <c r="D186" s="61"/>
      <c r="E186" s="79">
        <v>0.0</v>
      </c>
      <c r="F186" s="79">
        <v>2.0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0.0</v>
      </c>
      <c r="T186" s="79">
        <v>0.0</v>
      </c>
      <c r="U186" s="79">
        <v>0.0</v>
      </c>
      <c r="V186" s="79">
        <v>0.0</v>
      </c>
      <c r="W186" s="13">
        <f t="shared" si="37"/>
        <v>2</v>
      </c>
      <c r="X186" s="5"/>
      <c r="Y186" s="5"/>
    </row>
    <row r="187" ht="12.75" customHeight="1">
      <c r="A187" s="19" t="s">
        <v>14</v>
      </c>
      <c r="B187" s="50" t="s">
        <v>48</v>
      </c>
      <c r="C187" s="15"/>
      <c r="D187" s="16"/>
      <c r="E187" s="13">
        <f t="shared" ref="E187:V187" si="38">SUM(E177:E186)</f>
        <v>0</v>
      </c>
      <c r="F187" s="13">
        <f t="shared" si="38"/>
        <v>5</v>
      </c>
      <c r="G187" s="13">
        <f t="shared" si="38"/>
        <v>0</v>
      </c>
      <c r="H187" s="13">
        <f t="shared" si="38"/>
        <v>0</v>
      </c>
      <c r="I187" s="13">
        <f t="shared" si="38"/>
        <v>0</v>
      </c>
      <c r="J187" s="13">
        <f t="shared" si="38"/>
        <v>0</v>
      </c>
      <c r="K187" s="13">
        <f t="shared" si="38"/>
        <v>0</v>
      </c>
      <c r="L187" s="13">
        <f t="shared" si="38"/>
        <v>0</v>
      </c>
      <c r="M187" s="13">
        <f t="shared" si="38"/>
        <v>3</v>
      </c>
      <c r="N187" s="13">
        <f t="shared" si="38"/>
        <v>3</v>
      </c>
      <c r="O187" s="13">
        <f t="shared" si="38"/>
        <v>2</v>
      </c>
      <c r="P187" s="13">
        <f t="shared" si="38"/>
        <v>0</v>
      </c>
      <c r="Q187" s="13">
        <f t="shared" si="38"/>
        <v>4</v>
      </c>
      <c r="R187" s="13">
        <f t="shared" si="38"/>
        <v>0</v>
      </c>
      <c r="S187" s="13">
        <f t="shared" si="38"/>
        <v>1</v>
      </c>
      <c r="T187" s="13">
        <f t="shared" si="38"/>
        <v>1</v>
      </c>
      <c r="U187" s="13">
        <f t="shared" si="38"/>
        <v>2</v>
      </c>
      <c r="V187" s="13">
        <f t="shared" si="38"/>
        <v>0</v>
      </c>
      <c r="W187" s="13">
        <f t="shared" si="37"/>
        <v>21</v>
      </c>
      <c r="X187" s="1"/>
      <c r="Y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13"/>
    </row>
    <row r="189" ht="12.75" customHeight="1">
      <c r="A189" s="31" t="s">
        <v>36</v>
      </c>
      <c r="B189" s="50" t="s">
        <v>140</v>
      </c>
      <c r="C189" s="51" t="s">
        <v>141</v>
      </c>
      <c r="D189" s="16"/>
      <c r="E189" s="79">
        <v>0.0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79">
        <v>0.0</v>
      </c>
      <c r="O189" s="79">
        <v>0.0</v>
      </c>
      <c r="P189" s="79">
        <v>0.0</v>
      </c>
      <c r="Q189" s="79">
        <v>0.0</v>
      </c>
      <c r="R189" s="79">
        <v>0.0</v>
      </c>
      <c r="S189" s="79">
        <v>0.0</v>
      </c>
      <c r="T189" s="79">
        <v>0.0</v>
      </c>
      <c r="U189" s="79">
        <v>0.0</v>
      </c>
      <c r="V189" s="79">
        <v>0.0</v>
      </c>
      <c r="W189" s="13">
        <f t="shared" ref="W189:W199" si="39">SUM(E189:V189)</f>
        <v>0</v>
      </c>
      <c r="X189" s="5"/>
      <c r="Y189" s="5"/>
    </row>
    <row r="190" ht="12.75" customHeight="1">
      <c r="A190" s="31" t="s">
        <v>38</v>
      </c>
      <c r="B190" s="58"/>
      <c r="C190" s="53" t="s">
        <v>142</v>
      </c>
      <c r="D190" s="61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>
        <v>0.0</v>
      </c>
      <c r="R190" s="79">
        <v>0.0</v>
      </c>
      <c r="S190" s="79">
        <v>0.0</v>
      </c>
      <c r="T190" s="79">
        <v>0.0</v>
      </c>
      <c r="U190" s="79">
        <v>0.0</v>
      </c>
      <c r="V190" s="79">
        <v>0.0</v>
      </c>
      <c r="W190" s="13">
        <f t="shared" si="39"/>
        <v>0</v>
      </c>
      <c r="X190" s="5"/>
      <c r="Y190" s="5"/>
    </row>
    <row r="191" ht="12.75" customHeight="1">
      <c r="A191" s="18"/>
      <c r="B191" s="58"/>
      <c r="C191" s="53" t="s">
        <v>143</v>
      </c>
      <c r="D191" s="61"/>
      <c r="E191" s="79">
        <v>0.0</v>
      </c>
      <c r="F191" s="79">
        <v>1.0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79">
        <v>1.0</v>
      </c>
      <c r="T191" s="79">
        <v>0.0</v>
      </c>
      <c r="U191" s="79">
        <v>0.0</v>
      </c>
      <c r="V191" s="79">
        <v>0.0</v>
      </c>
      <c r="W191" s="13">
        <f t="shared" si="39"/>
        <v>2</v>
      </c>
      <c r="X191" s="5"/>
      <c r="Y191" s="5"/>
    </row>
    <row r="192" ht="12.75" customHeight="1">
      <c r="A192" s="18"/>
      <c r="B192" s="58"/>
      <c r="C192" s="53" t="s">
        <v>144</v>
      </c>
      <c r="D192" s="61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79">
        <v>0.0</v>
      </c>
      <c r="S192" s="79">
        <v>0.0</v>
      </c>
      <c r="T192" s="79">
        <v>0.0</v>
      </c>
      <c r="U192" s="79">
        <v>0.0</v>
      </c>
      <c r="V192" s="79">
        <v>0.0</v>
      </c>
      <c r="W192" s="13">
        <f t="shared" si="39"/>
        <v>0</v>
      </c>
      <c r="X192" s="5"/>
      <c r="Y192" s="5"/>
    </row>
    <row r="193" ht="12.75" customHeight="1">
      <c r="A193" s="18"/>
      <c r="B193" s="58"/>
      <c r="C193" s="53" t="s">
        <v>145</v>
      </c>
      <c r="D193" s="61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1.0</v>
      </c>
      <c r="L193" s="79">
        <v>0.0</v>
      </c>
      <c r="M193" s="79">
        <v>0.0</v>
      </c>
      <c r="N193" s="79">
        <v>2.0</v>
      </c>
      <c r="O193" s="79">
        <v>0.0</v>
      </c>
      <c r="P193" s="79">
        <v>0.0</v>
      </c>
      <c r="Q193" s="79">
        <v>0.0</v>
      </c>
      <c r="R193" s="79">
        <v>0.0</v>
      </c>
      <c r="S193" s="79">
        <v>0.0</v>
      </c>
      <c r="T193" s="79">
        <v>0.0</v>
      </c>
      <c r="U193" s="79">
        <v>0.0</v>
      </c>
      <c r="V193" s="79">
        <v>0.0</v>
      </c>
      <c r="W193" s="13">
        <f t="shared" si="39"/>
        <v>3</v>
      </c>
      <c r="X193" s="5"/>
      <c r="Y193" s="5"/>
    </row>
    <row r="194" ht="12.75" customHeight="1">
      <c r="A194" s="18"/>
      <c r="B194" s="58"/>
      <c r="C194" s="53" t="s">
        <v>146</v>
      </c>
      <c r="D194" s="61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>
        <v>0.0</v>
      </c>
      <c r="R194" s="79">
        <v>0.0</v>
      </c>
      <c r="S194" s="79">
        <v>1.0</v>
      </c>
      <c r="T194" s="79">
        <v>0.0</v>
      </c>
      <c r="U194" s="79">
        <v>0.0</v>
      </c>
      <c r="V194" s="79">
        <v>0.0</v>
      </c>
      <c r="W194" s="13">
        <f t="shared" si="39"/>
        <v>1</v>
      </c>
      <c r="X194" s="5"/>
      <c r="Y194" s="5"/>
    </row>
    <row r="195" ht="12.75" customHeight="1">
      <c r="A195" s="18"/>
      <c r="B195" s="58"/>
      <c r="C195" s="53" t="s">
        <v>147</v>
      </c>
      <c r="D195" s="61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79">
        <v>0.0</v>
      </c>
      <c r="T195" s="79">
        <v>0.0</v>
      </c>
      <c r="U195" s="79">
        <v>0.0</v>
      </c>
      <c r="V195" s="79">
        <v>0.0</v>
      </c>
      <c r="W195" s="13">
        <f t="shared" si="39"/>
        <v>0</v>
      </c>
      <c r="X195" s="5"/>
      <c r="Y195" s="5"/>
    </row>
    <row r="196" ht="12.75" customHeight="1">
      <c r="A196" s="18"/>
      <c r="B196" s="58"/>
      <c r="C196" s="53" t="s">
        <v>148</v>
      </c>
      <c r="D196" s="61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>
        <v>0.0</v>
      </c>
      <c r="R196" s="79">
        <v>0.0</v>
      </c>
      <c r="S196" s="79">
        <v>0.0</v>
      </c>
      <c r="T196" s="79">
        <v>0.0</v>
      </c>
      <c r="U196" s="79">
        <v>0.0</v>
      </c>
      <c r="V196" s="79">
        <v>0.0</v>
      </c>
      <c r="W196" s="13">
        <f t="shared" si="39"/>
        <v>0</v>
      </c>
      <c r="X196" s="1"/>
      <c r="Y196" s="1"/>
    </row>
    <row r="197" ht="12.75" customHeight="1">
      <c r="A197" s="18"/>
      <c r="B197" s="58"/>
      <c r="C197" s="53" t="s">
        <v>149</v>
      </c>
      <c r="D197" s="61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0.0</v>
      </c>
      <c r="T197" s="79">
        <v>0.0</v>
      </c>
      <c r="U197" s="79">
        <v>0.0</v>
      </c>
      <c r="V197" s="79">
        <v>0.0</v>
      </c>
      <c r="W197" s="13">
        <f t="shared" si="39"/>
        <v>0</v>
      </c>
      <c r="X197" s="1"/>
      <c r="Y197" s="1"/>
    </row>
    <row r="198" ht="12.75" customHeight="1">
      <c r="A198" s="18"/>
      <c r="B198" s="58"/>
      <c r="C198" s="53" t="s">
        <v>150</v>
      </c>
      <c r="D198" s="61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0.0</v>
      </c>
      <c r="T198" s="79">
        <v>0.0</v>
      </c>
      <c r="U198" s="79">
        <v>0.0</v>
      </c>
      <c r="V198" s="79">
        <v>0.0</v>
      </c>
      <c r="W198" s="13">
        <f t="shared" si="39"/>
        <v>0</v>
      </c>
      <c r="X198" s="1"/>
      <c r="Y198" s="1"/>
    </row>
    <row r="199" ht="12.75" customHeight="1">
      <c r="A199" s="19" t="s">
        <v>14</v>
      </c>
      <c r="B199" s="50" t="s">
        <v>48</v>
      </c>
      <c r="C199" s="15"/>
      <c r="D199" s="16"/>
      <c r="E199" s="13">
        <f t="shared" ref="E199:V199" si="40">SUM(E189:E198)</f>
        <v>0</v>
      </c>
      <c r="F199" s="13">
        <f t="shared" si="40"/>
        <v>1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1</v>
      </c>
      <c r="L199" s="13">
        <f t="shared" si="40"/>
        <v>0</v>
      </c>
      <c r="M199" s="13">
        <f t="shared" si="40"/>
        <v>0</v>
      </c>
      <c r="N199" s="13">
        <f t="shared" si="40"/>
        <v>2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2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39"/>
        <v>6</v>
      </c>
      <c r="X199" s="55"/>
      <c r="Y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5"/>
      <c r="Y200" s="5"/>
    </row>
    <row r="201" ht="12.75" customHeight="1">
      <c r="A201" s="31" t="s">
        <v>36</v>
      </c>
      <c r="B201" s="50" t="s">
        <v>151</v>
      </c>
      <c r="C201" s="51" t="s">
        <v>152</v>
      </c>
      <c r="D201" s="16"/>
      <c r="E201" s="79">
        <v>3.0</v>
      </c>
      <c r="F201" s="79">
        <v>3.0</v>
      </c>
      <c r="G201" s="79">
        <v>5.0</v>
      </c>
      <c r="H201" s="79">
        <v>5.0</v>
      </c>
      <c r="I201" s="79">
        <v>0.0</v>
      </c>
      <c r="J201" s="79">
        <v>2.0</v>
      </c>
      <c r="K201" s="79">
        <v>2.0</v>
      </c>
      <c r="L201" s="79">
        <v>3.0</v>
      </c>
      <c r="M201" s="79">
        <v>5.0</v>
      </c>
      <c r="N201" s="79">
        <v>3.0</v>
      </c>
      <c r="O201" s="79">
        <v>3.0</v>
      </c>
      <c r="P201" s="79">
        <v>8.0</v>
      </c>
      <c r="Q201" s="79">
        <v>20.0</v>
      </c>
      <c r="R201" s="79">
        <v>21.0</v>
      </c>
      <c r="S201" s="79">
        <v>15.0</v>
      </c>
      <c r="T201" s="79">
        <v>0.0</v>
      </c>
      <c r="U201" s="79">
        <v>0.0</v>
      </c>
      <c r="V201" s="79">
        <v>0.0</v>
      </c>
      <c r="W201" s="13">
        <f t="shared" ref="W201:W211" si="41">SUM(E201:V201)</f>
        <v>98</v>
      </c>
      <c r="X201" s="5"/>
      <c r="Y201" s="5"/>
    </row>
    <row r="202" ht="12.75" customHeight="1">
      <c r="A202" s="31" t="s">
        <v>38</v>
      </c>
      <c r="B202" s="58"/>
      <c r="C202" s="53" t="s">
        <v>153</v>
      </c>
      <c r="D202" s="61"/>
      <c r="E202" s="79">
        <v>12.0</v>
      </c>
      <c r="F202" s="79">
        <v>6.0</v>
      </c>
      <c r="G202" s="79">
        <v>17.0</v>
      </c>
      <c r="H202" s="79">
        <v>7.0</v>
      </c>
      <c r="I202" s="79">
        <v>9.0</v>
      </c>
      <c r="J202" s="79">
        <v>3.0</v>
      </c>
      <c r="K202" s="79">
        <v>4.0</v>
      </c>
      <c r="L202" s="79">
        <v>5.0</v>
      </c>
      <c r="M202" s="79">
        <v>7.0</v>
      </c>
      <c r="N202" s="79">
        <v>8.0</v>
      </c>
      <c r="O202" s="79">
        <v>5.0</v>
      </c>
      <c r="P202" s="79">
        <v>17.0</v>
      </c>
      <c r="Q202" s="79">
        <v>13.0</v>
      </c>
      <c r="R202" s="79">
        <v>32.0</v>
      </c>
      <c r="S202" s="79">
        <v>7.0</v>
      </c>
      <c r="T202" s="79">
        <v>11.0</v>
      </c>
      <c r="U202" s="79">
        <v>2.0</v>
      </c>
      <c r="V202" s="79">
        <v>0.0</v>
      </c>
      <c r="W202" s="13">
        <f t="shared" si="41"/>
        <v>165</v>
      </c>
      <c r="X202" s="5"/>
      <c r="Y202" s="5"/>
    </row>
    <row r="203" ht="12.75" customHeight="1">
      <c r="A203" s="18"/>
      <c r="B203" s="58"/>
      <c r="C203" s="53" t="s">
        <v>154</v>
      </c>
      <c r="D203" s="61"/>
      <c r="E203" s="79">
        <v>3.0</v>
      </c>
      <c r="F203" s="79">
        <v>6.0</v>
      </c>
      <c r="G203" s="79">
        <v>1.0</v>
      </c>
      <c r="H203" s="79">
        <v>5.0</v>
      </c>
      <c r="I203" s="79">
        <v>0.0</v>
      </c>
      <c r="J203" s="79">
        <v>0.0</v>
      </c>
      <c r="K203" s="79">
        <v>3.0</v>
      </c>
      <c r="L203" s="79">
        <v>1.0</v>
      </c>
      <c r="M203" s="79">
        <v>2.0</v>
      </c>
      <c r="N203" s="79">
        <v>0.0</v>
      </c>
      <c r="O203" s="79">
        <v>1.0</v>
      </c>
      <c r="P203" s="79">
        <v>2.0</v>
      </c>
      <c r="Q203" s="79">
        <v>2.0</v>
      </c>
      <c r="R203" s="79">
        <v>2.0</v>
      </c>
      <c r="S203" s="79">
        <v>4.0</v>
      </c>
      <c r="T203" s="79">
        <v>0.0</v>
      </c>
      <c r="U203" s="79">
        <v>4.0</v>
      </c>
      <c r="V203" s="79">
        <v>0.0</v>
      </c>
      <c r="W203" s="13">
        <f t="shared" si="41"/>
        <v>36</v>
      </c>
      <c r="X203" s="5"/>
      <c r="Y203" s="5"/>
    </row>
    <row r="204" ht="12.75" customHeight="1">
      <c r="A204" s="18"/>
      <c r="B204" s="58"/>
      <c r="C204" s="53" t="s">
        <v>155</v>
      </c>
      <c r="D204" s="61"/>
      <c r="E204" s="79">
        <v>1.0</v>
      </c>
      <c r="F204" s="79">
        <v>0.0</v>
      </c>
      <c r="G204" s="79">
        <v>1.0</v>
      </c>
      <c r="H204" s="79">
        <v>0.0</v>
      </c>
      <c r="I204" s="79">
        <v>0.0</v>
      </c>
      <c r="J204" s="79">
        <v>0.0</v>
      </c>
      <c r="K204" s="79">
        <v>0.0</v>
      </c>
      <c r="L204" s="79">
        <v>0.0</v>
      </c>
      <c r="M204" s="79">
        <v>0.0</v>
      </c>
      <c r="N204" s="79">
        <v>0.0</v>
      </c>
      <c r="O204" s="79">
        <v>0.0</v>
      </c>
      <c r="P204" s="79">
        <v>0.0</v>
      </c>
      <c r="Q204" s="79">
        <v>1.0</v>
      </c>
      <c r="R204" s="79">
        <v>0.0</v>
      </c>
      <c r="S204" s="79">
        <v>0.0</v>
      </c>
      <c r="T204" s="79">
        <v>1.0</v>
      </c>
      <c r="U204" s="79">
        <v>3.0</v>
      </c>
      <c r="V204" s="79">
        <v>0.0</v>
      </c>
      <c r="W204" s="13">
        <f t="shared" si="41"/>
        <v>7</v>
      </c>
      <c r="X204" s="5"/>
      <c r="Y204" s="5"/>
    </row>
    <row r="205" ht="12.75" customHeight="1">
      <c r="A205" s="18"/>
      <c r="B205" s="58"/>
      <c r="C205" s="53" t="s">
        <v>156</v>
      </c>
      <c r="D205" s="61"/>
      <c r="E205" s="79">
        <v>0.0</v>
      </c>
      <c r="F205" s="79">
        <v>0.0</v>
      </c>
      <c r="G205" s="79">
        <v>2.0</v>
      </c>
      <c r="H205" s="79">
        <v>0.0</v>
      </c>
      <c r="I205" s="79">
        <v>0.0</v>
      </c>
      <c r="J205" s="79">
        <v>0.0</v>
      </c>
      <c r="K205" s="79">
        <v>0.0</v>
      </c>
      <c r="L205" s="79">
        <v>0.0</v>
      </c>
      <c r="M205" s="79">
        <v>0.0</v>
      </c>
      <c r="N205" s="79">
        <v>0.0</v>
      </c>
      <c r="O205" s="79">
        <v>0.0</v>
      </c>
      <c r="P205" s="79">
        <v>0.0</v>
      </c>
      <c r="Q205" s="79">
        <v>0.0</v>
      </c>
      <c r="R205" s="79">
        <v>1.0</v>
      </c>
      <c r="S205" s="79">
        <v>0.0</v>
      </c>
      <c r="T205" s="79">
        <v>0.0</v>
      </c>
      <c r="U205" s="79">
        <v>0.0</v>
      </c>
      <c r="V205" s="79">
        <v>0.0</v>
      </c>
      <c r="W205" s="13">
        <f t="shared" si="41"/>
        <v>3</v>
      </c>
      <c r="X205" s="5"/>
      <c r="Y205" s="5"/>
    </row>
    <row r="206" ht="12.75" customHeight="1">
      <c r="A206" s="18"/>
      <c r="B206" s="58"/>
      <c r="C206" s="53" t="s">
        <v>157</v>
      </c>
      <c r="D206" s="61"/>
      <c r="E206" s="79">
        <v>0.0</v>
      </c>
      <c r="F206" s="79">
        <v>1.0</v>
      </c>
      <c r="G206" s="79">
        <v>0.0</v>
      </c>
      <c r="H206" s="79">
        <v>0.0</v>
      </c>
      <c r="I206" s="79">
        <v>0.0</v>
      </c>
      <c r="J206" s="79">
        <v>0.0</v>
      </c>
      <c r="K206" s="79">
        <v>0.0</v>
      </c>
      <c r="L206" s="79">
        <v>0.0</v>
      </c>
      <c r="M206" s="79">
        <v>0.0</v>
      </c>
      <c r="N206" s="79">
        <v>0.0</v>
      </c>
      <c r="O206" s="79">
        <v>1.0</v>
      </c>
      <c r="P206" s="79">
        <v>0.0</v>
      </c>
      <c r="Q206" s="79">
        <v>0.0</v>
      </c>
      <c r="R206" s="79">
        <v>0.0</v>
      </c>
      <c r="S206" s="79">
        <v>0.0</v>
      </c>
      <c r="T206" s="79">
        <v>0.0</v>
      </c>
      <c r="U206" s="79">
        <v>0.0</v>
      </c>
      <c r="V206" s="79">
        <v>0.0</v>
      </c>
      <c r="W206" s="13">
        <f t="shared" si="41"/>
        <v>2</v>
      </c>
      <c r="X206" s="5"/>
      <c r="Y206" s="5"/>
    </row>
    <row r="207" ht="12.75" customHeight="1">
      <c r="A207" s="18"/>
      <c r="B207" s="58"/>
      <c r="C207" s="53" t="s">
        <v>158</v>
      </c>
      <c r="D207" s="61"/>
      <c r="E207" s="79">
        <v>0.0</v>
      </c>
      <c r="F207" s="79">
        <v>0.0</v>
      </c>
      <c r="G207" s="79">
        <v>1.0</v>
      </c>
      <c r="H207" s="79">
        <v>0.0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0.0</v>
      </c>
      <c r="O207" s="79">
        <v>0.0</v>
      </c>
      <c r="P207" s="79">
        <v>2.0</v>
      </c>
      <c r="Q207" s="79">
        <v>0.0</v>
      </c>
      <c r="R207" s="79">
        <v>0.0</v>
      </c>
      <c r="S207" s="79">
        <v>0.0</v>
      </c>
      <c r="T207" s="79">
        <v>0.0</v>
      </c>
      <c r="U207" s="79">
        <v>1.0</v>
      </c>
      <c r="V207" s="79">
        <v>0.0</v>
      </c>
      <c r="W207" s="13">
        <f t="shared" si="41"/>
        <v>4</v>
      </c>
      <c r="X207" s="1"/>
      <c r="Y207" s="1"/>
    </row>
    <row r="208" ht="12.75" customHeight="1">
      <c r="A208" s="18"/>
      <c r="B208" s="58"/>
      <c r="C208" s="53" t="s">
        <v>159</v>
      </c>
      <c r="D208" s="61"/>
      <c r="E208" s="79">
        <v>0.0</v>
      </c>
      <c r="F208" s="79">
        <v>0.0</v>
      </c>
      <c r="G208" s="79">
        <v>0.0</v>
      </c>
      <c r="H208" s="79">
        <v>0.0</v>
      </c>
      <c r="I208" s="79">
        <v>0.0</v>
      </c>
      <c r="J208" s="79">
        <v>0.0</v>
      </c>
      <c r="K208" s="79">
        <v>0.0</v>
      </c>
      <c r="L208" s="79">
        <v>1.0</v>
      </c>
      <c r="M208" s="79">
        <v>0.0</v>
      </c>
      <c r="N208" s="79">
        <v>0.0</v>
      </c>
      <c r="O208" s="79">
        <v>0.0</v>
      </c>
      <c r="P208" s="79">
        <v>0.0</v>
      </c>
      <c r="Q208" s="79">
        <v>0.0</v>
      </c>
      <c r="R208" s="79">
        <v>4.0</v>
      </c>
      <c r="S208" s="79">
        <v>0.0</v>
      </c>
      <c r="T208" s="79">
        <v>0.0</v>
      </c>
      <c r="U208" s="79">
        <v>0.0</v>
      </c>
      <c r="V208" s="79">
        <v>0.0</v>
      </c>
      <c r="W208" s="13">
        <f t="shared" si="41"/>
        <v>5</v>
      </c>
      <c r="X208" s="55"/>
      <c r="Y208" s="55"/>
    </row>
    <row r="209" ht="12.75" customHeight="1">
      <c r="A209" s="18"/>
      <c r="B209" s="58"/>
      <c r="C209" s="53" t="s">
        <v>160</v>
      </c>
      <c r="D209" s="61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1.0</v>
      </c>
      <c r="Q209" s="79">
        <v>0.0</v>
      </c>
      <c r="R209" s="79">
        <v>0.0</v>
      </c>
      <c r="S209" s="79">
        <v>0.0</v>
      </c>
      <c r="T209" s="79">
        <v>0.0</v>
      </c>
      <c r="U209" s="79">
        <v>0.0</v>
      </c>
      <c r="V209" s="79">
        <v>0.0</v>
      </c>
      <c r="W209" s="13">
        <f t="shared" si="41"/>
        <v>1</v>
      </c>
      <c r="X209" s="55"/>
      <c r="Y209" s="55"/>
    </row>
    <row r="210" ht="12.75" customHeight="1">
      <c r="A210" s="18"/>
      <c r="B210" s="58"/>
      <c r="C210" s="53" t="s">
        <v>161</v>
      </c>
      <c r="D210" s="61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79">
        <v>0.0</v>
      </c>
      <c r="R210" s="79">
        <v>0.0</v>
      </c>
      <c r="S210" s="79">
        <v>0.0</v>
      </c>
      <c r="T210" s="79">
        <v>0.0</v>
      </c>
      <c r="U210" s="79">
        <v>0.0</v>
      </c>
      <c r="V210" s="79">
        <v>0.0</v>
      </c>
      <c r="W210" s="13">
        <f t="shared" si="41"/>
        <v>0</v>
      </c>
      <c r="X210" s="55"/>
      <c r="Y210" s="55"/>
    </row>
    <row r="211" ht="12.75" customHeight="1">
      <c r="A211" s="19" t="s">
        <v>14</v>
      </c>
      <c r="B211" s="50" t="s">
        <v>48</v>
      </c>
      <c r="C211" s="15"/>
      <c r="D211" s="16"/>
      <c r="E211" s="13">
        <f t="shared" ref="E211:V211" si="42">SUM(E201:E210)</f>
        <v>19</v>
      </c>
      <c r="F211" s="13">
        <f t="shared" si="42"/>
        <v>16</v>
      </c>
      <c r="G211" s="13">
        <f t="shared" si="42"/>
        <v>27</v>
      </c>
      <c r="H211" s="13">
        <f t="shared" si="42"/>
        <v>17</v>
      </c>
      <c r="I211" s="13">
        <f t="shared" si="42"/>
        <v>9</v>
      </c>
      <c r="J211" s="13">
        <f t="shared" si="42"/>
        <v>5</v>
      </c>
      <c r="K211" s="13">
        <f t="shared" si="42"/>
        <v>9</v>
      </c>
      <c r="L211" s="13">
        <f t="shared" si="42"/>
        <v>10</v>
      </c>
      <c r="M211" s="13">
        <f t="shared" si="42"/>
        <v>14</v>
      </c>
      <c r="N211" s="13">
        <f t="shared" si="42"/>
        <v>11</v>
      </c>
      <c r="O211" s="13">
        <f t="shared" si="42"/>
        <v>10</v>
      </c>
      <c r="P211" s="13">
        <f t="shared" si="42"/>
        <v>30</v>
      </c>
      <c r="Q211" s="13">
        <f t="shared" si="42"/>
        <v>36</v>
      </c>
      <c r="R211" s="13">
        <f t="shared" si="42"/>
        <v>60</v>
      </c>
      <c r="S211" s="13">
        <f t="shared" si="42"/>
        <v>26</v>
      </c>
      <c r="T211" s="13">
        <f t="shared" si="42"/>
        <v>12</v>
      </c>
      <c r="U211" s="13">
        <f t="shared" si="42"/>
        <v>10</v>
      </c>
      <c r="V211" s="13">
        <f t="shared" si="42"/>
        <v>0</v>
      </c>
      <c r="W211" s="13">
        <f t="shared" si="41"/>
        <v>321</v>
      </c>
      <c r="X211" s="5"/>
      <c r="Y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5"/>
      <c r="Y212" s="5"/>
    </row>
    <row r="213" ht="12.75" customHeight="1">
      <c r="A213" s="31" t="s">
        <v>36</v>
      </c>
      <c r="B213" s="50" t="s">
        <v>162</v>
      </c>
      <c r="C213" s="51" t="s">
        <v>163</v>
      </c>
      <c r="D213" s="16"/>
      <c r="E213" s="79">
        <v>1.0</v>
      </c>
      <c r="F213" s="79">
        <v>1.0</v>
      </c>
      <c r="G213" s="79">
        <v>2.0</v>
      </c>
      <c r="H213" s="79">
        <v>1.0</v>
      </c>
      <c r="I213" s="79">
        <v>1.0</v>
      </c>
      <c r="J213" s="79">
        <v>0.0</v>
      </c>
      <c r="K213" s="79">
        <v>0.0</v>
      </c>
      <c r="L213" s="79">
        <v>0.0</v>
      </c>
      <c r="M213" s="79">
        <v>1.0</v>
      </c>
      <c r="N213" s="79">
        <v>1.0</v>
      </c>
      <c r="O213" s="79">
        <v>0.0</v>
      </c>
      <c r="P213" s="79">
        <v>1.0</v>
      </c>
      <c r="Q213" s="79">
        <v>0.0</v>
      </c>
      <c r="R213" s="79">
        <v>2.0</v>
      </c>
      <c r="S213" s="79">
        <v>2.0</v>
      </c>
      <c r="T213" s="79">
        <v>1.0</v>
      </c>
      <c r="U213" s="79">
        <v>0.0</v>
      </c>
      <c r="V213" s="79">
        <v>0.0</v>
      </c>
      <c r="W213" s="13">
        <f t="shared" ref="W213:W216" si="43">SUM(E213:V213)</f>
        <v>14</v>
      </c>
      <c r="X213" s="5"/>
      <c r="Y213" s="5"/>
    </row>
    <row r="214" ht="12.75" customHeight="1">
      <c r="A214" s="31" t="s">
        <v>38</v>
      </c>
      <c r="B214" s="58"/>
      <c r="C214" s="53" t="s">
        <v>164</v>
      </c>
      <c r="D214" s="60"/>
      <c r="E214" s="79">
        <v>0.0</v>
      </c>
      <c r="F214" s="79">
        <v>1.0</v>
      </c>
      <c r="G214" s="79">
        <v>1.0</v>
      </c>
      <c r="H214" s="79">
        <v>3.0</v>
      </c>
      <c r="I214" s="79">
        <v>0.0</v>
      </c>
      <c r="J214" s="79">
        <v>2.0</v>
      </c>
      <c r="K214" s="79">
        <v>1.0</v>
      </c>
      <c r="L214" s="79">
        <v>3.0</v>
      </c>
      <c r="M214" s="79">
        <v>0.0</v>
      </c>
      <c r="N214" s="79">
        <v>2.0</v>
      </c>
      <c r="O214" s="79">
        <v>2.0</v>
      </c>
      <c r="P214" s="79">
        <v>2.0</v>
      </c>
      <c r="Q214" s="79">
        <v>0.0</v>
      </c>
      <c r="R214" s="79">
        <v>0.0</v>
      </c>
      <c r="S214" s="79">
        <v>0.0</v>
      </c>
      <c r="T214" s="79">
        <v>1.0</v>
      </c>
      <c r="U214" s="79">
        <v>4.0</v>
      </c>
      <c r="V214" s="79">
        <v>0.0</v>
      </c>
      <c r="W214" s="13">
        <f t="shared" si="43"/>
        <v>22</v>
      </c>
      <c r="X214" s="5"/>
      <c r="Y214" s="5"/>
    </row>
    <row r="215" ht="12.75" customHeight="1">
      <c r="A215" s="18"/>
      <c r="B215" s="58"/>
      <c r="C215" s="53" t="s">
        <v>165</v>
      </c>
      <c r="D215" s="60"/>
      <c r="E215" s="79">
        <v>0.0</v>
      </c>
      <c r="F215" s="79">
        <v>0.0</v>
      </c>
      <c r="G215" s="79">
        <v>4.0</v>
      </c>
      <c r="H215" s="79">
        <v>2.0</v>
      </c>
      <c r="I215" s="79">
        <v>0.0</v>
      </c>
      <c r="J215" s="79">
        <v>1.0</v>
      </c>
      <c r="K215" s="79">
        <v>0.0</v>
      </c>
      <c r="L215" s="79">
        <v>0.0</v>
      </c>
      <c r="M215" s="79">
        <v>0.0</v>
      </c>
      <c r="N215" s="79">
        <v>0.0</v>
      </c>
      <c r="O215" s="79">
        <v>2.0</v>
      </c>
      <c r="P215" s="79">
        <v>0.0</v>
      </c>
      <c r="Q215" s="79">
        <v>0.0</v>
      </c>
      <c r="R215" s="79">
        <v>0.0</v>
      </c>
      <c r="S215" s="79">
        <v>1.0</v>
      </c>
      <c r="T215" s="79">
        <v>2.0</v>
      </c>
      <c r="U215" s="79">
        <v>0.0</v>
      </c>
      <c r="V215" s="79">
        <v>0.0</v>
      </c>
      <c r="W215" s="13">
        <f t="shared" si="43"/>
        <v>12</v>
      </c>
      <c r="X215" s="5"/>
      <c r="Y215" s="5"/>
    </row>
    <row r="216" ht="12.75" customHeight="1">
      <c r="A216" s="18"/>
      <c r="B216" s="58"/>
      <c r="C216" s="53" t="s">
        <v>166</v>
      </c>
      <c r="E216" s="79">
        <v>0.0</v>
      </c>
      <c r="F216" s="79">
        <v>0.0</v>
      </c>
      <c r="G216" s="79">
        <v>0.0</v>
      </c>
      <c r="H216" s="79">
        <v>0.0</v>
      </c>
      <c r="I216" s="79">
        <v>0.0</v>
      </c>
      <c r="J216" s="79">
        <v>0.0</v>
      </c>
      <c r="K216" s="79">
        <v>0.0</v>
      </c>
      <c r="L216" s="79">
        <v>0.0</v>
      </c>
      <c r="M216" s="79">
        <v>0.0</v>
      </c>
      <c r="N216" s="79">
        <v>0.0</v>
      </c>
      <c r="O216" s="79">
        <v>0.0</v>
      </c>
      <c r="P216" s="79">
        <v>0.0</v>
      </c>
      <c r="Q216" s="79">
        <v>0.0</v>
      </c>
      <c r="R216" s="79">
        <v>0.0</v>
      </c>
      <c r="S216" s="79">
        <v>0.0</v>
      </c>
      <c r="T216" s="79">
        <v>0.0</v>
      </c>
      <c r="U216" s="79">
        <v>0.0</v>
      </c>
      <c r="V216" s="79">
        <v>0.0</v>
      </c>
      <c r="W216" s="13">
        <f t="shared" si="43"/>
        <v>0</v>
      </c>
      <c r="X216" s="5"/>
      <c r="Y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85"/>
      <c r="X217" s="5"/>
      <c r="Y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85"/>
      <c r="X218" s="1"/>
      <c r="Y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85"/>
      <c r="X219" s="55"/>
      <c r="Y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85"/>
      <c r="X220" s="5"/>
      <c r="Y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85"/>
      <c r="X221" s="5"/>
      <c r="Y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85"/>
      <c r="X222" s="5"/>
      <c r="Y222" s="5"/>
    </row>
    <row r="223" ht="12.75" customHeight="1">
      <c r="A223" s="19" t="s">
        <v>14</v>
      </c>
      <c r="B223" s="50" t="s">
        <v>48</v>
      </c>
      <c r="C223" s="15"/>
      <c r="D223" s="16"/>
      <c r="E223" s="13">
        <f t="shared" ref="E223:V223" si="44">SUM(E213:E222)</f>
        <v>1</v>
      </c>
      <c r="F223" s="13">
        <f t="shared" si="44"/>
        <v>2</v>
      </c>
      <c r="G223" s="13">
        <f t="shared" si="44"/>
        <v>7</v>
      </c>
      <c r="H223" s="13">
        <f t="shared" si="44"/>
        <v>6</v>
      </c>
      <c r="I223" s="13">
        <f t="shared" si="44"/>
        <v>1</v>
      </c>
      <c r="J223" s="13">
        <f t="shared" si="44"/>
        <v>3</v>
      </c>
      <c r="K223" s="13">
        <f t="shared" si="44"/>
        <v>1</v>
      </c>
      <c r="L223" s="13">
        <f t="shared" si="44"/>
        <v>3</v>
      </c>
      <c r="M223" s="13">
        <f t="shared" si="44"/>
        <v>1</v>
      </c>
      <c r="N223" s="13">
        <f t="shared" si="44"/>
        <v>3</v>
      </c>
      <c r="O223" s="13">
        <f t="shared" si="44"/>
        <v>4</v>
      </c>
      <c r="P223" s="13">
        <f t="shared" si="44"/>
        <v>3</v>
      </c>
      <c r="Q223" s="13">
        <f t="shared" si="44"/>
        <v>0</v>
      </c>
      <c r="R223" s="13">
        <f t="shared" si="44"/>
        <v>2</v>
      </c>
      <c r="S223" s="13">
        <f t="shared" si="44"/>
        <v>3</v>
      </c>
      <c r="T223" s="13">
        <f t="shared" si="44"/>
        <v>4</v>
      </c>
      <c r="U223" s="13">
        <f t="shared" si="44"/>
        <v>4</v>
      </c>
      <c r="V223" s="13">
        <f t="shared" si="44"/>
        <v>0</v>
      </c>
      <c r="W223" s="13">
        <f>SUM(E223:V223)</f>
        <v>48</v>
      </c>
      <c r="X223" s="5"/>
      <c r="Y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5"/>
      <c r="Y224" s="5"/>
    </row>
    <row r="225" ht="12.75" customHeight="1">
      <c r="A225" s="31" t="s">
        <v>36</v>
      </c>
      <c r="B225" s="50" t="s">
        <v>167</v>
      </c>
      <c r="C225" s="51" t="s">
        <v>168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1.0</v>
      </c>
      <c r="M225" s="79">
        <v>0.0</v>
      </c>
      <c r="N225" s="79">
        <v>0.0</v>
      </c>
      <c r="O225" s="79">
        <v>0.0</v>
      </c>
      <c r="P225" s="79">
        <v>0.0</v>
      </c>
      <c r="Q225" s="79">
        <v>0.0</v>
      </c>
      <c r="R225" s="79">
        <v>0.0</v>
      </c>
      <c r="S225" s="79">
        <v>0.0</v>
      </c>
      <c r="T225" s="79">
        <v>0.0</v>
      </c>
      <c r="U225" s="79">
        <v>0.0</v>
      </c>
      <c r="V225" s="79">
        <v>0.0</v>
      </c>
      <c r="W225" s="13">
        <f t="shared" ref="W225:W229" si="45">SUM(E225:V225)</f>
        <v>1</v>
      </c>
      <c r="X225" s="5"/>
      <c r="Y225" s="5"/>
    </row>
    <row r="226" ht="12.75" customHeight="1">
      <c r="A226" s="31" t="s">
        <v>38</v>
      </c>
      <c r="B226" s="58"/>
      <c r="C226" s="53" t="s">
        <v>169</v>
      </c>
      <c r="D226" s="61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79">
        <v>0.0</v>
      </c>
      <c r="O226" s="79">
        <v>0.0</v>
      </c>
      <c r="P226" s="79">
        <v>0.0</v>
      </c>
      <c r="Q226" s="79">
        <v>0.0</v>
      </c>
      <c r="R226" s="79">
        <v>0.0</v>
      </c>
      <c r="S226" s="79">
        <v>0.0</v>
      </c>
      <c r="T226" s="79">
        <v>0.0</v>
      </c>
      <c r="U226" s="79">
        <v>0.0</v>
      </c>
      <c r="V226" s="79">
        <v>0.0</v>
      </c>
      <c r="W226" s="13">
        <f t="shared" si="45"/>
        <v>0</v>
      </c>
      <c r="X226" s="5"/>
      <c r="Y226" s="5"/>
    </row>
    <row r="227" ht="12.75" customHeight="1">
      <c r="A227" s="18"/>
      <c r="B227" s="58"/>
      <c r="C227" s="53" t="s">
        <v>170</v>
      </c>
      <c r="D227" s="61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1.0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79">
        <v>0.0</v>
      </c>
      <c r="Q227" s="79">
        <v>0.0</v>
      </c>
      <c r="R227" s="79">
        <v>0.0</v>
      </c>
      <c r="S227" s="79">
        <v>0.0</v>
      </c>
      <c r="T227" s="79">
        <v>0.0</v>
      </c>
      <c r="U227" s="79">
        <v>0.0</v>
      </c>
      <c r="V227" s="79">
        <v>0.0</v>
      </c>
      <c r="W227" s="13">
        <f t="shared" si="45"/>
        <v>1</v>
      </c>
      <c r="X227" s="5"/>
      <c r="Y227" s="5"/>
    </row>
    <row r="228" ht="12.75" customHeight="1">
      <c r="A228" s="18"/>
      <c r="B228" s="58"/>
      <c r="C228" s="53" t="s">
        <v>171</v>
      </c>
      <c r="D228" s="61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>
        <v>0.0</v>
      </c>
      <c r="R228" s="79">
        <v>0.0</v>
      </c>
      <c r="S228" s="79">
        <v>0.0</v>
      </c>
      <c r="T228" s="79">
        <v>0.0</v>
      </c>
      <c r="U228" s="79">
        <v>0.0</v>
      </c>
      <c r="V228" s="79">
        <v>0.0</v>
      </c>
      <c r="W228" s="13">
        <f t="shared" si="45"/>
        <v>0</v>
      </c>
      <c r="X228" s="5"/>
      <c r="Y228" s="5"/>
    </row>
    <row r="229" ht="12.75" customHeight="1">
      <c r="A229" s="18"/>
      <c r="B229" s="58"/>
      <c r="C229" s="53" t="s">
        <v>172</v>
      </c>
      <c r="D229" s="61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79">
        <v>0.0</v>
      </c>
      <c r="S229" s="79">
        <v>0.0</v>
      </c>
      <c r="T229" s="79">
        <v>0.0</v>
      </c>
      <c r="U229" s="79">
        <v>0.0</v>
      </c>
      <c r="V229" s="79">
        <v>0.0</v>
      </c>
      <c r="W229" s="13">
        <f t="shared" si="45"/>
        <v>0</v>
      </c>
      <c r="X229" s="1"/>
      <c r="Y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85"/>
      <c r="X230" s="55"/>
      <c r="Y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85"/>
      <c r="X231" s="5"/>
      <c r="Y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85"/>
      <c r="X232" s="5"/>
      <c r="Y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85"/>
      <c r="X233" s="5"/>
      <c r="Y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85"/>
      <c r="X234" s="5"/>
      <c r="Y234" s="5"/>
    </row>
    <row r="235" ht="12.75" customHeight="1">
      <c r="A235" s="19" t="s">
        <v>14</v>
      </c>
      <c r="B235" s="50" t="s">
        <v>48</v>
      </c>
      <c r="C235" s="15"/>
      <c r="D235" s="16"/>
      <c r="E235" s="13">
        <f t="shared" ref="E235:V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1</v>
      </c>
      <c r="K235" s="13">
        <f t="shared" si="46"/>
        <v>0</v>
      </c>
      <c r="L235" s="13">
        <f t="shared" si="46"/>
        <v>1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>SUM(E235:V235)</f>
        <v>2</v>
      </c>
      <c r="X235" s="5"/>
      <c r="Y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5"/>
      <c r="Y236" s="5"/>
    </row>
    <row r="237" ht="12.75" customHeight="1">
      <c r="A237" s="31" t="s">
        <v>36</v>
      </c>
      <c r="B237" s="50" t="s">
        <v>173</v>
      </c>
      <c r="C237" s="51" t="s">
        <v>174</v>
      </c>
      <c r="D237" s="16"/>
      <c r="E237" s="79">
        <v>0.0</v>
      </c>
      <c r="F237" s="79">
        <v>5.0</v>
      </c>
      <c r="G237" s="79">
        <v>0.0</v>
      </c>
      <c r="H237" s="79">
        <v>0.0</v>
      </c>
      <c r="I237" s="79">
        <v>1.0</v>
      </c>
      <c r="J237" s="79">
        <v>1.0</v>
      </c>
      <c r="K237" s="79">
        <v>1.0</v>
      </c>
      <c r="L237" s="79">
        <v>1.0</v>
      </c>
      <c r="M237" s="79">
        <v>0.0</v>
      </c>
      <c r="N237" s="79">
        <v>0.0</v>
      </c>
      <c r="O237" s="79">
        <v>1.0</v>
      </c>
      <c r="P237" s="79">
        <v>1.0</v>
      </c>
      <c r="Q237" s="79">
        <v>1.0</v>
      </c>
      <c r="R237" s="79">
        <v>4.0</v>
      </c>
      <c r="S237" s="79">
        <v>2.0</v>
      </c>
      <c r="T237" s="79">
        <v>1.0</v>
      </c>
      <c r="U237" s="79">
        <v>4.0</v>
      </c>
      <c r="V237" s="79">
        <v>0.0</v>
      </c>
      <c r="W237" s="13">
        <f t="shared" ref="W237:W247" si="47">SUM(E237:V237)</f>
        <v>23</v>
      </c>
      <c r="X237" s="5"/>
      <c r="Y237" s="5"/>
    </row>
    <row r="238" ht="12.75" customHeight="1">
      <c r="A238" s="31" t="s">
        <v>38</v>
      </c>
      <c r="B238" s="58"/>
      <c r="C238" s="53" t="s">
        <v>175</v>
      </c>
      <c r="D238" s="61"/>
      <c r="E238" s="79">
        <v>0.0</v>
      </c>
      <c r="F238" s="79">
        <v>0.0</v>
      </c>
      <c r="G238" s="79">
        <v>0.0</v>
      </c>
      <c r="H238" s="79">
        <v>0.0</v>
      </c>
      <c r="I238" s="79">
        <v>1.0</v>
      </c>
      <c r="J238" s="79">
        <v>0.0</v>
      </c>
      <c r="K238" s="79">
        <v>3.0</v>
      </c>
      <c r="L238" s="79">
        <v>1.0</v>
      </c>
      <c r="M238" s="79">
        <v>0.0</v>
      </c>
      <c r="N238" s="79">
        <v>0.0</v>
      </c>
      <c r="O238" s="79">
        <v>0.0</v>
      </c>
      <c r="P238" s="79">
        <v>0.0</v>
      </c>
      <c r="Q238" s="79">
        <v>3.0</v>
      </c>
      <c r="R238" s="79">
        <v>1.0</v>
      </c>
      <c r="S238" s="79">
        <v>2.0</v>
      </c>
      <c r="T238" s="79">
        <v>0.0</v>
      </c>
      <c r="U238" s="79">
        <v>0.0</v>
      </c>
      <c r="V238" s="79">
        <v>0.0</v>
      </c>
      <c r="W238" s="13">
        <f t="shared" si="47"/>
        <v>11</v>
      </c>
      <c r="X238" s="5"/>
      <c r="Y238" s="5"/>
    </row>
    <row r="239" ht="12.75" customHeight="1">
      <c r="A239" s="18"/>
      <c r="B239" s="58"/>
      <c r="C239" s="53" t="s">
        <v>176</v>
      </c>
      <c r="D239" s="61"/>
      <c r="E239" s="79">
        <v>0.0</v>
      </c>
      <c r="F239" s="79">
        <v>1.0</v>
      </c>
      <c r="G239" s="79">
        <v>0.0</v>
      </c>
      <c r="H239" s="79">
        <v>0.0</v>
      </c>
      <c r="I239" s="79">
        <v>0.0</v>
      </c>
      <c r="J239" s="79">
        <v>0.0</v>
      </c>
      <c r="K239" s="79">
        <v>2.0</v>
      </c>
      <c r="L239" s="79">
        <v>0.0</v>
      </c>
      <c r="M239" s="79">
        <v>0.0</v>
      </c>
      <c r="N239" s="79">
        <v>1.0</v>
      </c>
      <c r="O239" s="79">
        <v>1.0</v>
      </c>
      <c r="P239" s="79">
        <v>1.0</v>
      </c>
      <c r="Q239" s="79">
        <v>0.0</v>
      </c>
      <c r="R239" s="79">
        <v>7.0</v>
      </c>
      <c r="S239" s="79">
        <v>1.0</v>
      </c>
      <c r="T239" s="79">
        <v>0.0</v>
      </c>
      <c r="U239" s="79">
        <v>0.0</v>
      </c>
      <c r="V239" s="79">
        <v>0.0</v>
      </c>
      <c r="W239" s="13">
        <f t="shared" si="47"/>
        <v>14</v>
      </c>
      <c r="X239" s="5"/>
      <c r="Y239" s="5"/>
    </row>
    <row r="240" ht="12.75" customHeight="1">
      <c r="A240" s="18"/>
      <c r="B240" s="58"/>
      <c r="C240" s="53" t="s">
        <v>177</v>
      </c>
      <c r="D240" s="61"/>
      <c r="E240" s="79">
        <v>0.0</v>
      </c>
      <c r="F240" s="79">
        <v>0.0</v>
      </c>
      <c r="G240" s="79">
        <v>0.0</v>
      </c>
      <c r="H240" s="79">
        <v>0.0</v>
      </c>
      <c r="I240" s="79">
        <v>0.0</v>
      </c>
      <c r="J240" s="79">
        <v>0.0</v>
      </c>
      <c r="K240" s="79">
        <v>0.0</v>
      </c>
      <c r="L240" s="79">
        <v>0.0</v>
      </c>
      <c r="M240" s="79">
        <v>1.0</v>
      </c>
      <c r="N240" s="79">
        <v>0.0</v>
      </c>
      <c r="O240" s="79">
        <v>0.0</v>
      </c>
      <c r="P240" s="79">
        <v>0.0</v>
      </c>
      <c r="Q240" s="79">
        <v>0.0</v>
      </c>
      <c r="R240" s="79">
        <v>1.0</v>
      </c>
      <c r="S240" s="79">
        <v>0.0</v>
      </c>
      <c r="T240" s="79">
        <v>1.0</v>
      </c>
      <c r="U240" s="79">
        <v>0.0</v>
      </c>
      <c r="V240" s="79">
        <v>0.0</v>
      </c>
      <c r="W240" s="13">
        <f t="shared" si="47"/>
        <v>3</v>
      </c>
      <c r="X240" s="1"/>
      <c r="Y240" s="1"/>
    </row>
    <row r="241" ht="12.75" customHeight="1">
      <c r="A241" s="18"/>
      <c r="B241" s="58"/>
      <c r="C241" s="53" t="s">
        <v>178</v>
      </c>
      <c r="D241" s="61"/>
      <c r="E241" s="79">
        <v>0.0</v>
      </c>
      <c r="F241" s="79">
        <v>0.0</v>
      </c>
      <c r="G241" s="79">
        <v>0.0</v>
      </c>
      <c r="H241" s="79">
        <v>0.0</v>
      </c>
      <c r="I241" s="79">
        <v>0.0</v>
      </c>
      <c r="J241" s="79">
        <v>0.0</v>
      </c>
      <c r="K241" s="79">
        <v>0.0</v>
      </c>
      <c r="L241" s="79">
        <v>0.0</v>
      </c>
      <c r="M241" s="79">
        <v>1.0</v>
      </c>
      <c r="N241" s="79">
        <v>0.0</v>
      </c>
      <c r="O241" s="79">
        <v>2.0</v>
      </c>
      <c r="P241" s="79">
        <v>0.0</v>
      </c>
      <c r="Q241" s="79">
        <v>0.0</v>
      </c>
      <c r="R241" s="79">
        <v>0.0</v>
      </c>
      <c r="S241" s="79">
        <v>0.0</v>
      </c>
      <c r="T241" s="79">
        <v>0.0</v>
      </c>
      <c r="U241" s="79">
        <v>1.0</v>
      </c>
      <c r="V241" s="79">
        <v>0.0</v>
      </c>
      <c r="W241" s="13">
        <f t="shared" si="47"/>
        <v>4</v>
      </c>
    </row>
    <row r="242" ht="12.75" customHeight="1">
      <c r="A242" s="18"/>
      <c r="B242" s="58"/>
      <c r="C242" s="53" t="s">
        <v>179</v>
      </c>
      <c r="D242" s="61"/>
      <c r="E242" s="79">
        <v>0.0</v>
      </c>
      <c r="F242" s="79">
        <v>0.0</v>
      </c>
      <c r="G242" s="79">
        <v>0.0</v>
      </c>
      <c r="H242" s="79">
        <v>1.0</v>
      </c>
      <c r="I242" s="79">
        <v>1.0</v>
      </c>
      <c r="J242" s="79">
        <v>0.0</v>
      </c>
      <c r="K242" s="79">
        <v>1.0</v>
      </c>
      <c r="L242" s="79">
        <v>0.0</v>
      </c>
      <c r="M242" s="79">
        <v>0.0</v>
      </c>
      <c r="N242" s="79">
        <v>0.0</v>
      </c>
      <c r="O242" s="79">
        <v>0.0</v>
      </c>
      <c r="P242" s="79">
        <v>0.0</v>
      </c>
      <c r="Q242" s="79">
        <v>0.0</v>
      </c>
      <c r="R242" s="79">
        <v>0.0</v>
      </c>
      <c r="S242" s="79">
        <v>0.0</v>
      </c>
      <c r="T242" s="79">
        <v>2.0</v>
      </c>
      <c r="U242" s="79">
        <v>12.0</v>
      </c>
      <c r="V242" s="79">
        <v>0.0</v>
      </c>
      <c r="W242" s="13">
        <f t="shared" si="47"/>
        <v>17</v>
      </c>
    </row>
    <row r="243" ht="12.75" customHeight="1">
      <c r="A243" s="18"/>
      <c r="B243" s="58"/>
      <c r="C243" s="53" t="s">
        <v>180</v>
      </c>
      <c r="D243" s="61"/>
      <c r="E243" s="79">
        <v>1.0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1.0</v>
      </c>
      <c r="L243" s="79">
        <v>0.0</v>
      </c>
      <c r="M243" s="79">
        <v>0.0</v>
      </c>
      <c r="N243" s="79">
        <v>0.0</v>
      </c>
      <c r="O243" s="79">
        <v>0.0</v>
      </c>
      <c r="P243" s="79">
        <v>0.0</v>
      </c>
      <c r="Q243" s="79">
        <v>0.0</v>
      </c>
      <c r="R243" s="79">
        <v>0.0</v>
      </c>
      <c r="S243" s="79">
        <v>0.0</v>
      </c>
      <c r="T243" s="79">
        <v>0.0</v>
      </c>
      <c r="U243" s="79">
        <v>0.0</v>
      </c>
      <c r="V243" s="79">
        <v>0.0</v>
      </c>
      <c r="W243" s="13">
        <f t="shared" si="47"/>
        <v>2</v>
      </c>
    </row>
    <row r="244" ht="12.75" customHeight="1">
      <c r="A244" s="18"/>
      <c r="B244" s="58"/>
      <c r="C244" s="53" t="s">
        <v>181</v>
      </c>
      <c r="D244" s="61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1.0</v>
      </c>
      <c r="M244" s="79">
        <v>0.0</v>
      </c>
      <c r="N244" s="79">
        <v>0.0</v>
      </c>
      <c r="O244" s="79">
        <v>0.0</v>
      </c>
      <c r="P244" s="79">
        <v>0.0</v>
      </c>
      <c r="Q244" s="79">
        <v>0.0</v>
      </c>
      <c r="R244" s="79">
        <v>0.0</v>
      </c>
      <c r="S244" s="79">
        <v>0.0</v>
      </c>
      <c r="T244" s="79">
        <v>1.0</v>
      </c>
      <c r="U244" s="79">
        <v>0.0</v>
      </c>
      <c r="V244" s="79">
        <v>0.0</v>
      </c>
      <c r="W244" s="13">
        <f t="shared" si="47"/>
        <v>2</v>
      </c>
    </row>
    <row r="245" ht="12.75" customHeight="1">
      <c r="A245" s="18"/>
      <c r="B245" s="58"/>
      <c r="C245" s="53" t="s">
        <v>182</v>
      </c>
      <c r="D245" s="61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1.0</v>
      </c>
      <c r="P245" s="79">
        <v>0.0</v>
      </c>
      <c r="Q245" s="79">
        <v>0.0</v>
      </c>
      <c r="R245" s="79">
        <v>0.0</v>
      </c>
      <c r="S245" s="79">
        <v>0.0</v>
      </c>
      <c r="T245" s="79">
        <v>0.0</v>
      </c>
      <c r="U245" s="79">
        <v>0.0</v>
      </c>
      <c r="V245" s="79">
        <v>0.0</v>
      </c>
      <c r="W245" s="13">
        <f t="shared" si="47"/>
        <v>1</v>
      </c>
    </row>
    <row r="246" ht="12.75" customHeight="1">
      <c r="A246" s="18"/>
      <c r="B246" s="58"/>
      <c r="C246" s="53" t="s">
        <v>183</v>
      </c>
      <c r="D246" s="61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1.0</v>
      </c>
      <c r="L246" s="79">
        <v>0.0</v>
      </c>
      <c r="M246" s="79">
        <v>0.0</v>
      </c>
      <c r="N246" s="79">
        <v>0.0</v>
      </c>
      <c r="O246" s="79">
        <v>0.0</v>
      </c>
      <c r="P246" s="79">
        <v>0.0</v>
      </c>
      <c r="Q246" s="79">
        <v>0.0</v>
      </c>
      <c r="R246" s="79">
        <v>0.0</v>
      </c>
      <c r="S246" s="79">
        <v>0.0</v>
      </c>
      <c r="T246" s="79">
        <v>0.0</v>
      </c>
      <c r="U246" s="79">
        <v>0.0</v>
      </c>
      <c r="V246" s="79">
        <v>0.0</v>
      </c>
      <c r="W246" s="13">
        <f t="shared" si="47"/>
        <v>1</v>
      </c>
    </row>
    <row r="247" ht="12.75" customHeight="1">
      <c r="A247" s="19" t="s">
        <v>14</v>
      </c>
      <c r="B247" s="50" t="s">
        <v>48</v>
      </c>
      <c r="C247" s="15"/>
      <c r="D247" s="16"/>
      <c r="E247" s="13">
        <f t="shared" ref="E247:V247" si="48">SUM(E237:E246)</f>
        <v>1</v>
      </c>
      <c r="F247" s="13">
        <f t="shared" si="48"/>
        <v>6</v>
      </c>
      <c r="G247" s="13">
        <f t="shared" si="48"/>
        <v>0</v>
      </c>
      <c r="H247" s="13">
        <f t="shared" si="48"/>
        <v>1</v>
      </c>
      <c r="I247" s="13">
        <f t="shared" si="48"/>
        <v>3</v>
      </c>
      <c r="J247" s="13">
        <f t="shared" si="48"/>
        <v>1</v>
      </c>
      <c r="K247" s="13">
        <f t="shared" si="48"/>
        <v>9</v>
      </c>
      <c r="L247" s="13">
        <f t="shared" si="48"/>
        <v>3</v>
      </c>
      <c r="M247" s="13">
        <f t="shared" si="48"/>
        <v>2</v>
      </c>
      <c r="N247" s="13">
        <f t="shared" si="48"/>
        <v>1</v>
      </c>
      <c r="O247" s="13">
        <f t="shared" si="48"/>
        <v>5</v>
      </c>
      <c r="P247" s="13">
        <f t="shared" si="48"/>
        <v>2</v>
      </c>
      <c r="Q247" s="13">
        <f t="shared" si="48"/>
        <v>4</v>
      </c>
      <c r="R247" s="13">
        <f t="shared" si="48"/>
        <v>13</v>
      </c>
      <c r="S247" s="13">
        <f t="shared" si="48"/>
        <v>5</v>
      </c>
      <c r="T247" s="13">
        <f t="shared" si="48"/>
        <v>5</v>
      </c>
      <c r="U247" s="13">
        <f t="shared" si="48"/>
        <v>17</v>
      </c>
      <c r="V247" s="13">
        <f t="shared" si="48"/>
        <v>0</v>
      </c>
      <c r="W247" s="13">
        <f t="shared" si="47"/>
        <v>78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36</v>
      </c>
      <c r="B249" s="50" t="s">
        <v>184</v>
      </c>
      <c r="C249" s="51" t="s">
        <v>185</v>
      </c>
      <c r="D249" s="16"/>
      <c r="E249" s="79">
        <v>2.0</v>
      </c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79">
        <v>1.0</v>
      </c>
      <c r="L249" s="79">
        <v>0.0</v>
      </c>
      <c r="M249" s="79">
        <v>0.0</v>
      </c>
      <c r="N249" s="79">
        <v>0.0</v>
      </c>
      <c r="O249" s="79">
        <v>0.0</v>
      </c>
      <c r="P249" s="79">
        <v>0.0</v>
      </c>
      <c r="Q249" s="79">
        <v>0.0</v>
      </c>
      <c r="R249" s="79">
        <v>1.0</v>
      </c>
      <c r="S249" s="79">
        <v>0.0</v>
      </c>
      <c r="T249" s="79">
        <v>0.0</v>
      </c>
      <c r="U249" s="79">
        <v>0.0</v>
      </c>
      <c r="V249" s="79">
        <v>0.0</v>
      </c>
      <c r="W249" s="13">
        <f t="shared" ref="W249:W252" si="49">SUM(E249:V249)</f>
        <v>4</v>
      </c>
    </row>
    <row r="250" ht="12.75" customHeight="1">
      <c r="A250" s="31" t="s">
        <v>38</v>
      </c>
      <c r="B250" s="58"/>
      <c r="C250" s="53" t="s">
        <v>186</v>
      </c>
      <c r="D250" s="61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1.0</v>
      </c>
      <c r="M250" s="79">
        <v>1.0</v>
      </c>
      <c r="N250" s="79">
        <v>0.0</v>
      </c>
      <c r="O250" s="79">
        <v>0.0</v>
      </c>
      <c r="P250" s="79">
        <v>0.0</v>
      </c>
      <c r="Q250" s="79">
        <v>0.0</v>
      </c>
      <c r="R250" s="79">
        <v>0.0</v>
      </c>
      <c r="S250" s="79">
        <v>0.0</v>
      </c>
      <c r="T250" s="79">
        <v>0.0</v>
      </c>
      <c r="U250" s="79">
        <v>0.0</v>
      </c>
      <c r="V250" s="79">
        <v>0.0</v>
      </c>
      <c r="W250" s="13">
        <f t="shared" si="49"/>
        <v>2</v>
      </c>
    </row>
    <row r="251" ht="12.75" customHeight="1">
      <c r="A251" s="18"/>
      <c r="B251" s="58"/>
      <c r="C251" s="53" t="s">
        <v>187</v>
      </c>
      <c r="D251" s="61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79">
        <v>0.0</v>
      </c>
      <c r="T251" s="79">
        <v>0.0</v>
      </c>
      <c r="U251" s="79">
        <v>0.0</v>
      </c>
      <c r="V251" s="79">
        <v>0.0</v>
      </c>
      <c r="W251" s="13">
        <f t="shared" si="49"/>
        <v>0</v>
      </c>
    </row>
    <row r="252" ht="12.75" customHeight="1">
      <c r="A252" s="18"/>
      <c r="B252" s="58"/>
      <c r="C252" s="53" t="s">
        <v>188</v>
      </c>
      <c r="D252" s="61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0.0</v>
      </c>
      <c r="R252" s="79">
        <v>0.0</v>
      </c>
      <c r="S252" s="79">
        <v>0.0</v>
      </c>
      <c r="T252" s="79">
        <v>0.0</v>
      </c>
      <c r="U252" s="79">
        <v>0.0</v>
      </c>
      <c r="V252" s="79">
        <v>0.0</v>
      </c>
      <c r="W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85"/>
    </row>
    <row r="259" ht="12.75" customHeight="1">
      <c r="A259" s="19" t="s">
        <v>14</v>
      </c>
      <c r="B259" s="50" t="s">
        <v>48</v>
      </c>
      <c r="C259" s="15"/>
      <c r="D259" s="16"/>
      <c r="E259" s="13">
        <f t="shared" ref="E259:V259" si="50">SUM(E249:E258)</f>
        <v>2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1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1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>SUM(E259:V259)</f>
        <v>6</v>
      </c>
    </row>
    <row r="260" ht="12.75" customHeight="1"/>
    <row r="261" ht="12.75" customHeight="1">
      <c r="A261" s="45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2"/>
      <c r="O261" s="13"/>
      <c r="P261" s="13"/>
      <c r="Q261" s="13"/>
      <c r="R261" s="13"/>
      <c r="S261" s="82"/>
      <c r="T261" s="13"/>
      <c r="U261" s="13"/>
      <c r="V261" s="13"/>
      <c r="W261" s="13"/>
    </row>
    <row r="262" ht="12.75" customHeight="1">
      <c r="A262" s="45"/>
      <c r="B262" s="74" t="s">
        <v>191</v>
      </c>
      <c r="C262" s="75" t="s">
        <v>192</v>
      </c>
      <c r="D262" s="16"/>
      <c r="E262" s="19">
        <f t="shared" ref="E262:V262" si="51">E55+E67+E79+E91+E103+E115+E127+E139+E151+E163+E175+E187+E199+E211+E223+E235+E247+E259</f>
        <v>204</v>
      </c>
      <c r="F262" s="19">
        <f t="shared" si="51"/>
        <v>188</v>
      </c>
      <c r="G262" s="19">
        <f t="shared" si="51"/>
        <v>179</v>
      </c>
      <c r="H262" s="19">
        <f t="shared" si="51"/>
        <v>181</v>
      </c>
      <c r="I262" s="19">
        <f t="shared" si="51"/>
        <v>150</v>
      </c>
      <c r="J262" s="19">
        <f t="shared" si="51"/>
        <v>139</v>
      </c>
      <c r="K262" s="19">
        <f t="shared" si="51"/>
        <v>183</v>
      </c>
      <c r="L262" s="19">
        <f t="shared" si="51"/>
        <v>143</v>
      </c>
      <c r="M262" s="19">
        <f t="shared" si="51"/>
        <v>161</v>
      </c>
      <c r="N262" s="19">
        <f t="shared" si="51"/>
        <v>173</v>
      </c>
      <c r="O262" s="19">
        <f t="shared" si="51"/>
        <v>177</v>
      </c>
      <c r="P262" s="19">
        <f t="shared" si="51"/>
        <v>186</v>
      </c>
      <c r="Q262" s="19">
        <f t="shared" si="51"/>
        <v>153</v>
      </c>
      <c r="R262" s="19">
        <f t="shared" si="51"/>
        <v>186</v>
      </c>
      <c r="S262" s="19">
        <f t="shared" si="51"/>
        <v>166</v>
      </c>
      <c r="T262" s="19">
        <f t="shared" si="51"/>
        <v>189</v>
      </c>
      <c r="U262" s="19">
        <f t="shared" si="51"/>
        <v>144</v>
      </c>
      <c r="V262" s="19">
        <f t="shared" si="51"/>
        <v>135</v>
      </c>
      <c r="W262" s="13">
        <f t="shared" ref="W262:W264" si="52">SUM(E262:V262)</f>
        <v>3037</v>
      </c>
    </row>
    <row r="263" ht="12.75" customHeight="1">
      <c r="A263" s="36"/>
      <c r="B263" s="74" t="s">
        <v>193</v>
      </c>
      <c r="C263" s="75" t="s">
        <v>194</v>
      </c>
      <c r="D263" s="16"/>
      <c r="E263" s="79">
        <v>35.0</v>
      </c>
      <c r="F263" s="79">
        <v>37.0</v>
      </c>
      <c r="G263" s="79">
        <v>44.0</v>
      </c>
      <c r="H263" s="79">
        <v>47.0</v>
      </c>
      <c r="I263" s="79">
        <v>36.0</v>
      </c>
      <c r="J263" s="79">
        <v>40.0</v>
      </c>
      <c r="K263" s="79">
        <v>25.0</v>
      </c>
      <c r="L263" s="79">
        <v>40.0</v>
      </c>
      <c r="M263" s="79">
        <v>21.0</v>
      </c>
      <c r="N263" s="79">
        <v>23.0</v>
      </c>
      <c r="O263" s="79">
        <v>33.0</v>
      </c>
      <c r="P263" s="79">
        <v>35.0</v>
      </c>
      <c r="Q263" s="79">
        <v>69.0</v>
      </c>
      <c r="R263" s="79">
        <v>24.0</v>
      </c>
      <c r="S263" s="79">
        <v>44.0</v>
      </c>
      <c r="T263" s="79">
        <v>38.0</v>
      </c>
      <c r="U263" s="79">
        <v>15.0</v>
      </c>
      <c r="V263" s="79">
        <v>1.0</v>
      </c>
      <c r="W263" s="13">
        <f t="shared" si="52"/>
        <v>607</v>
      </c>
    </row>
    <row r="264" ht="12.75" customHeight="1">
      <c r="A264" s="44"/>
      <c r="B264" s="74" t="s">
        <v>195</v>
      </c>
      <c r="C264" s="75" t="s">
        <v>196</v>
      </c>
      <c r="D264" s="16"/>
      <c r="E264" s="13">
        <f t="shared" ref="E264:V264" si="53">SUM(E262:E263)</f>
        <v>239</v>
      </c>
      <c r="F264" s="13">
        <f t="shared" si="53"/>
        <v>225</v>
      </c>
      <c r="G264" s="13">
        <f t="shared" si="53"/>
        <v>223</v>
      </c>
      <c r="H264" s="13">
        <f t="shared" si="53"/>
        <v>228</v>
      </c>
      <c r="I264" s="13">
        <f t="shared" si="53"/>
        <v>186</v>
      </c>
      <c r="J264" s="13">
        <f t="shared" si="53"/>
        <v>179</v>
      </c>
      <c r="K264" s="13">
        <f t="shared" si="53"/>
        <v>208</v>
      </c>
      <c r="L264" s="13">
        <f t="shared" si="53"/>
        <v>183</v>
      </c>
      <c r="M264" s="13">
        <f t="shared" si="53"/>
        <v>182</v>
      </c>
      <c r="N264" s="13">
        <f t="shared" si="53"/>
        <v>196</v>
      </c>
      <c r="O264" s="13">
        <f t="shared" si="53"/>
        <v>210</v>
      </c>
      <c r="P264" s="13">
        <f t="shared" si="53"/>
        <v>221</v>
      </c>
      <c r="Q264" s="13">
        <f t="shared" si="53"/>
        <v>222</v>
      </c>
      <c r="R264" s="13">
        <f t="shared" si="53"/>
        <v>210</v>
      </c>
      <c r="S264" s="13">
        <f t="shared" si="53"/>
        <v>210</v>
      </c>
      <c r="T264" s="13">
        <f t="shared" si="53"/>
        <v>227</v>
      </c>
      <c r="U264" s="13">
        <f t="shared" si="53"/>
        <v>159</v>
      </c>
      <c r="V264" s="13">
        <f t="shared" si="53"/>
        <v>136</v>
      </c>
      <c r="W264" s="13">
        <f t="shared" si="52"/>
        <v>3644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V34">
    <cfRule type="expression" dxfId="0" priority="1">
      <formula>E34&lt;&gt;E64</formula>
    </cfRule>
  </conditionalFormatting>
  <conditionalFormatting sqref="E14:V15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E30&lt;&gt;E47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V78">
    <cfRule type="containsBlanks" dxfId="1" priority="12">
      <formula>LEN(TRIM(E69))=0</formula>
    </cfRule>
  </conditionalFormatting>
  <conditionalFormatting sqref="E81:V90">
    <cfRule type="containsBlanks" dxfId="1" priority="13">
      <formula>LEN(TRIM(E81))=0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9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5</v>
      </c>
      <c r="B12" s="14" t="s">
        <v>6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13" t="s">
        <v>217</v>
      </c>
      <c r="Y13" s="13" t="s">
        <v>218</v>
      </c>
      <c r="Z13" s="13" t="s">
        <v>219</v>
      </c>
      <c r="AA13" s="13" t="s">
        <v>220</v>
      </c>
      <c r="AB13" s="37"/>
    </row>
    <row r="14" ht="12.75" customHeight="1">
      <c r="A14" s="18"/>
      <c r="B14" s="22" t="s">
        <v>10</v>
      </c>
      <c r="C14" s="23"/>
      <c r="D14" s="19" t="s">
        <v>11</v>
      </c>
      <c r="E14" s="79">
        <v>109.0</v>
      </c>
      <c r="F14" s="79">
        <v>118.0</v>
      </c>
      <c r="G14" s="79">
        <v>129.0</v>
      </c>
      <c r="H14" s="79">
        <v>125.0</v>
      </c>
      <c r="I14" s="79">
        <v>117.0</v>
      </c>
      <c r="J14" s="79">
        <v>132.0</v>
      </c>
      <c r="K14" s="79">
        <v>139.0</v>
      </c>
      <c r="L14" s="79">
        <v>132.0</v>
      </c>
      <c r="M14" s="79">
        <v>137.0</v>
      </c>
      <c r="N14" s="79">
        <v>140.0</v>
      </c>
      <c r="O14" s="79">
        <v>139.0</v>
      </c>
      <c r="P14" s="79">
        <v>128.0</v>
      </c>
      <c r="Q14" s="79">
        <v>127.0</v>
      </c>
      <c r="R14" s="79">
        <v>131.0</v>
      </c>
      <c r="S14" s="79">
        <v>83.0</v>
      </c>
      <c r="T14" s="79">
        <v>133.0</v>
      </c>
      <c r="U14" s="79">
        <v>139.0</v>
      </c>
      <c r="V14" s="79">
        <v>149.0</v>
      </c>
      <c r="W14" s="79">
        <v>140.0</v>
      </c>
      <c r="X14" s="79">
        <v>152.0</v>
      </c>
      <c r="Y14" s="79">
        <v>150.0</v>
      </c>
      <c r="Z14" s="79">
        <v>150.0</v>
      </c>
      <c r="AA14" s="79">
        <v>147.0</v>
      </c>
      <c r="AB14" s="13">
        <f t="shared" ref="AB14:AB16" si="1">SUM(E14:AA14)</f>
        <v>3046</v>
      </c>
    </row>
    <row r="15" ht="12.75" customHeight="1">
      <c r="A15" s="18"/>
      <c r="B15" s="26"/>
      <c r="C15" s="27"/>
      <c r="D15" s="19" t="s">
        <v>12</v>
      </c>
      <c r="E15" s="79">
        <v>118.0</v>
      </c>
      <c r="F15" s="79">
        <v>140.0</v>
      </c>
      <c r="G15" s="79">
        <v>133.0</v>
      </c>
      <c r="H15" s="79">
        <v>136.0</v>
      </c>
      <c r="I15" s="79">
        <v>140.0</v>
      </c>
      <c r="J15" s="79">
        <v>123.0</v>
      </c>
      <c r="K15" s="79">
        <v>131.0</v>
      </c>
      <c r="L15" s="79">
        <v>146.0</v>
      </c>
      <c r="M15" s="79">
        <v>141.0</v>
      </c>
      <c r="N15" s="79">
        <v>148.0</v>
      </c>
      <c r="O15" s="79">
        <v>135.0</v>
      </c>
      <c r="P15" s="79">
        <v>134.0</v>
      </c>
      <c r="Q15" s="79">
        <v>123.0</v>
      </c>
      <c r="R15" s="79">
        <v>117.0</v>
      </c>
      <c r="S15" s="79">
        <v>94.0</v>
      </c>
      <c r="T15" s="79">
        <v>151.0</v>
      </c>
      <c r="U15" s="79">
        <v>147.0</v>
      </c>
      <c r="V15" s="79">
        <v>139.0</v>
      </c>
      <c r="W15" s="79">
        <v>151.0</v>
      </c>
      <c r="X15" s="79">
        <v>144.0</v>
      </c>
      <c r="Y15" s="79">
        <v>144.0</v>
      </c>
      <c r="Z15" s="79">
        <v>148.0</v>
      </c>
      <c r="AA15" s="79">
        <v>146.0</v>
      </c>
      <c r="AB15" s="13">
        <f t="shared" si="1"/>
        <v>3129</v>
      </c>
    </row>
    <row r="16" ht="12.75" customHeight="1">
      <c r="A16" s="25"/>
      <c r="B16" s="21"/>
      <c r="C16" s="28"/>
      <c r="D16" s="13" t="s">
        <v>13</v>
      </c>
      <c r="E16" s="13">
        <f t="shared" ref="E16:AA16" si="2">SUM(E14:E15)</f>
        <v>227</v>
      </c>
      <c r="F16" s="13">
        <f t="shared" si="2"/>
        <v>258</v>
      </c>
      <c r="G16" s="13">
        <f t="shared" si="2"/>
        <v>262</v>
      </c>
      <c r="H16" s="13">
        <f t="shared" si="2"/>
        <v>261</v>
      </c>
      <c r="I16" s="13">
        <f t="shared" si="2"/>
        <v>257</v>
      </c>
      <c r="J16" s="13">
        <f t="shared" si="2"/>
        <v>255</v>
      </c>
      <c r="K16" s="13">
        <f t="shared" si="2"/>
        <v>270</v>
      </c>
      <c r="L16" s="13">
        <f t="shared" si="2"/>
        <v>278</v>
      </c>
      <c r="M16" s="13">
        <f t="shared" si="2"/>
        <v>278</v>
      </c>
      <c r="N16" s="13">
        <f t="shared" si="2"/>
        <v>288</v>
      </c>
      <c r="O16" s="13">
        <f t="shared" si="2"/>
        <v>274</v>
      </c>
      <c r="P16" s="13">
        <f t="shared" si="2"/>
        <v>262</v>
      </c>
      <c r="Q16" s="13">
        <f t="shared" si="2"/>
        <v>250</v>
      </c>
      <c r="R16" s="13">
        <f t="shared" si="2"/>
        <v>248</v>
      </c>
      <c r="S16" s="13">
        <f t="shared" si="2"/>
        <v>177</v>
      </c>
      <c r="T16" s="13">
        <f t="shared" si="2"/>
        <v>284</v>
      </c>
      <c r="U16" s="13">
        <f t="shared" si="2"/>
        <v>286</v>
      </c>
      <c r="V16" s="13">
        <f t="shared" si="2"/>
        <v>288</v>
      </c>
      <c r="W16" s="13">
        <f t="shared" si="2"/>
        <v>291</v>
      </c>
      <c r="X16" s="13">
        <f t="shared" si="2"/>
        <v>296</v>
      </c>
      <c r="Y16" s="13">
        <f t="shared" si="2"/>
        <v>294</v>
      </c>
      <c r="Z16" s="13">
        <f t="shared" si="2"/>
        <v>298</v>
      </c>
      <c r="AA16" s="13">
        <f t="shared" si="2"/>
        <v>293</v>
      </c>
      <c r="AB16" s="13">
        <f t="shared" si="1"/>
        <v>6175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  <c r="O17" s="19"/>
      <c r="P17" s="19"/>
      <c r="Q17" s="19"/>
      <c r="R17" s="19"/>
      <c r="S17" s="80"/>
      <c r="T17" s="19"/>
      <c r="U17" s="19"/>
      <c r="V17" s="19"/>
      <c r="W17" s="19"/>
      <c r="X17" s="80"/>
      <c r="Y17" s="19"/>
      <c r="Z17" s="19"/>
      <c r="AA17" s="19"/>
      <c r="AB17" s="81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0"/>
      <c r="O18" s="19"/>
      <c r="P18" s="19"/>
      <c r="Q18" s="19"/>
      <c r="R18" s="19"/>
      <c r="S18" s="80"/>
      <c r="T18" s="19"/>
      <c r="U18" s="19"/>
      <c r="V18" s="19"/>
      <c r="W18" s="19"/>
      <c r="X18" s="80"/>
      <c r="Y18" s="19"/>
      <c r="Z18" s="19"/>
      <c r="AA18" s="19"/>
      <c r="AB18" s="81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79">
        <v>95.0</v>
      </c>
      <c r="F19" s="79">
        <v>107.0</v>
      </c>
      <c r="G19" s="79">
        <v>92.0</v>
      </c>
      <c r="H19" s="79">
        <v>103.0</v>
      </c>
      <c r="I19" s="79">
        <v>96.0</v>
      </c>
      <c r="J19" s="79">
        <v>93.0</v>
      </c>
      <c r="K19" s="79">
        <v>100.0</v>
      </c>
      <c r="L19" s="79">
        <v>98.0</v>
      </c>
      <c r="M19" s="79">
        <v>94.0</v>
      </c>
      <c r="N19" s="79">
        <v>108.0</v>
      </c>
      <c r="O19" s="79">
        <v>97.0</v>
      </c>
      <c r="P19" s="79">
        <v>74.0</v>
      </c>
      <c r="Q19" s="79">
        <v>92.0</v>
      </c>
      <c r="R19" s="79">
        <v>100.0</v>
      </c>
      <c r="S19" s="79">
        <v>66.0</v>
      </c>
      <c r="T19" s="79">
        <v>83.0</v>
      </c>
      <c r="U19" s="79">
        <v>94.0</v>
      </c>
      <c r="V19" s="79">
        <v>103.0</v>
      </c>
      <c r="W19" s="79">
        <v>103.0</v>
      </c>
      <c r="X19" s="79">
        <v>122.0</v>
      </c>
      <c r="Y19" s="79">
        <v>117.0</v>
      </c>
      <c r="Z19" s="79">
        <v>121.0</v>
      </c>
      <c r="AA19" s="79">
        <v>108.0</v>
      </c>
      <c r="AB19" s="13">
        <f t="shared" ref="AB19:AB30" si="3">SUM(E19:AA19)</f>
        <v>2266</v>
      </c>
    </row>
    <row r="20" ht="12.75" customHeight="1">
      <c r="A20" s="34"/>
      <c r="B20" s="27"/>
      <c r="C20" s="35"/>
      <c r="D20" s="19" t="s">
        <v>12</v>
      </c>
      <c r="E20" s="79">
        <v>96.0</v>
      </c>
      <c r="F20" s="79">
        <v>87.0</v>
      </c>
      <c r="G20" s="79">
        <v>105.0</v>
      </c>
      <c r="H20" s="79">
        <v>107.0</v>
      </c>
      <c r="I20" s="79">
        <v>119.0</v>
      </c>
      <c r="J20" s="79">
        <v>106.0</v>
      </c>
      <c r="K20" s="79">
        <v>105.0</v>
      </c>
      <c r="L20" s="79">
        <v>117.0</v>
      </c>
      <c r="M20" s="79">
        <v>107.0</v>
      </c>
      <c r="N20" s="79">
        <v>120.0</v>
      </c>
      <c r="O20" s="79">
        <v>101.0</v>
      </c>
      <c r="P20" s="79">
        <v>88.0</v>
      </c>
      <c r="Q20" s="79">
        <v>93.0</v>
      </c>
      <c r="R20" s="79">
        <v>100.0</v>
      </c>
      <c r="S20" s="79">
        <v>81.0</v>
      </c>
      <c r="T20" s="79">
        <v>117.0</v>
      </c>
      <c r="U20" s="79">
        <v>116.0</v>
      </c>
      <c r="V20" s="79">
        <v>115.0</v>
      </c>
      <c r="W20" s="79">
        <v>120.0</v>
      </c>
      <c r="X20" s="79">
        <v>106.0</v>
      </c>
      <c r="Y20" s="79">
        <v>119.0</v>
      </c>
      <c r="Z20" s="79">
        <v>106.0</v>
      </c>
      <c r="AA20" s="79">
        <v>109.0</v>
      </c>
      <c r="AB20" s="13">
        <f t="shared" si="3"/>
        <v>2440</v>
      </c>
    </row>
    <row r="21" ht="12.75" customHeight="1">
      <c r="A21" s="36"/>
      <c r="B21" s="28"/>
      <c r="C21" s="37"/>
      <c r="D21" s="13" t="s">
        <v>13</v>
      </c>
      <c r="E21" s="13">
        <f t="shared" ref="E21:AA21" si="4">SUM(E19:E20)</f>
        <v>191</v>
      </c>
      <c r="F21" s="13">
        <f t="shared" si="4"/>
        <v>194</v>
      </c>
      <c r="G21" s="13">
        <f t="shared" si="4"/>
        <v>197</v>
      </c>
      <c r="H21" s="13">
        <f t="shared" si="4"/>
        <v>210</v>
      </c>
      <c r="I21" s="13">
        <f t="shared" si="4"/>
        <v>215</v>
      </c>
      <c r="J21" s="13">
        <f t="shared" si="4"/>
        <v>199</v>
      </c>
      <c r="K21" s="13">
        <f t="shared" si="4"/>
        <v>205</v>
      </c>
      <c r="L21" s="13">
        <f t="shared" si="4"/>
        <v>215</v>
      </c>
      <c r="M21" s="13">
        <f t="shared" si="4"/>
        <v>201</v>
      </c>
      <c r="N21" s="13">
        <f t="shared" si="4"/>
        <v>228</v>
      </c>
      <c r="O21" s="13">
        <f t="shared" si="4"/>
        <v>198</v>
      </c>
      <c r="P21" s="13">
        <f t="shared" si="4"/>
        <v>162</v>
      </c>
      <c r="Q21" s="13">
        <f t="shared" si="4"/>
        <v>185</v>
      </c>
      <c r="R21" s="13">
        <f t="shared" si="4"/>
        <v>200</v>
      </c>
      <c r="S21" s="13">
        <f t="shared" si="4"/>
        <v>147</v>
      </c>
      <c r="T21" s="13">
        <f t="shared" si="4"/>
        <v>200</v>
      </c>
      <c r="U21" s="13">
        <f t="shared" si="4"/>
        <v>210</v>
      </c>
      <c r="V21" s="13">
        <f t="shared" si="4"/>
        <v>218</v>
      </c>
      <c r="W21" s="13">
        <f t="shared" si="4"/>
        <v>223</v>
      </c>
      <c r="X21" s="13">
        <f t="shared" si="4"/>
        <v>228</v>
      </c>
      <c r="Y21" s="13">
        <f t="shared" si="4"/>
        <v>236</v>
      </c>
      <c r="Z21" s="13">
        <f t="shared" si="4"/>
        <v>227</v>
      </c>
      <c r="AA21" s="13">
        <f t="shared" si="4"/>
        <v>217</v>
      </c>
      <c r="AB21" s="13">
        <f t="shared" si="3"/>
        <v>4706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1.0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0.0</v>
      </c>
      <c r="V22" s="79">
        <v>0.0</v>
      </c>
      <c r="W22" s="79">
        <v>0.0</v>
      </c>
      <c r="X22" s="79">
        <v>0.0</v>
      </c>
      <c r="Y22" s="79">
        <v>0.0</v>
      </c>
      <c r="Z22" s="79">
        <v>0.0</v>
      </c>
      <c r="AA22" s="79">
        <v>0.0</v>
      </c>
      <c r="AB22" s="13">
        <f t="shared" si="3"/>
        <v>1</v>
      </c>
    </row>
    <row r="23" ht="12.75" customHeight="1">
      <c r="A23" s="34"/>
      <c r="B23" s="27"/>
      <c r="C23" s="35"/>
      <c r="D23" s="19" t="s">
        <v>12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X23" s="79">
        <v>0.0</v>
      </c>
      <c r="Y23" s="79">
        <v>0.0</v>
      </c>
      <c r="Z23" s="79">
        <v>0.0</v>
      </c>
      <c r="AA23" s="79">
        <v>0.0</v>
      </c>
      <c r="AB23" s="13">
        <f t="shared" si="3"/>
        <v>0</v>
      </c>
    </row>
    <row r="24" ht="12.75" customHeight="1">
      <c r="A24" s="36"/>
      <c r="B24" s="28"/>
      <c r="C24" s="37"/>
      <c r="D24" s="13" t="s">
        <v>13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1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79">
        <v>0.0</v>
      </c>
      <c r="F25" s="79">
        <v>0.0</v>
      </c>
      <c r="G25" s="79">
        <v>1.0</v>
      </c>
      <c r="H25" s="79">
        <v>3.0</v>
      </c>
      <c r="I25" s="79">
        <v>0.0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0.0</v>
      </c>
      <c r="P25" s="79">
        <v>0.0</v>
      </c>
      <c r="Q25" s="79">
        <v>0.0</v>
      </c>
      <c r="R25" s="79">
        <v>0.0</v>
      </c>
      <c r="S25" s="79">
        <v>1.0</v>
      </c>
      <c r="T25" s="79">
        <v>2.0</v>
      </c>
      <c r="U25" s="79">
        <v>1.0</v>
      </c>
      <c r="V25" s="79">
        <v>1.0</v>
      </c>
      <c r="W25" s="79">
        <v>0.0</v>
      </c>
      <c r="X25" s="79">
        <v>0.0</v>
      </c>
      <c r="Y25" s="79">
        <v>2.0</v>
      </c>
      <c r="Z25" s="79">
        <v>1.0</v>
      </c>
      <c r="AA25" s="79">
        <v>0.0</v>
      </c>
      <c r="AB25" s="13">
        <f t="shared" si="3"/>
        <v>12</v>
      </c>
    </row>
    <row r="26" ht="12.75" customHeight="1">
      <c r="A26" s="34"/>
      <c r="B26" s="27"/>
      <c r="C26" s="35"/>
      <c r="D26" s="19" t="s">
        <v>12</v>
      </c>
      <c r="E26" s="79">
        <v>0.0</v>
      </c>
      <c r="F26" s="79">
        <v>0.0</v>
      </c>
      <c r="G26" s="79">
        <v>0.0</v>
      </c>
      <c r="H26" s="79">
        <v>1.0</v>
      </c>
      <c r="I26" s="79">
        <v>0.0</v>
      </c>
      <c r="J26" s="79">
        <v>0.0</v>
      </c>
      <c r="K26" s="79">
        <v>0.0</v>
      </c>
      <c r="L26" s="79">
        <v>1.0</v>
      </c>
      <c r="M26" s="79">
        <v>1.0</v>
      </c>
      <c r="N26" s="79">
        <v>1.0</v>
      </c>
      <c r="O26" s="79">
        <v>0.0</v>
      </c>
      <c r="P26" s="79">
        <v>0.0</v>
      </c>
      <c r="Q26" s="79">
        <v>0.0</v>
      </c>
      <c r="R26" s="79">
        <v>0.0</v>
      </c>
      <c r="S26" s="79">
        <v>1.0</v>
      </c>
      <c r="T26" s="79">
        <v>1.0</v>
      </c>
      <c r="U26" s="79">
        <v>0.0</v>
      </c>
      <c r="V26" s="79">
        <v>1.0</v>
      </c>
      <c r="W26" s="79">
        <v>1.0</v>
      </c>
      <c r="X26" s="79">
        <v>0.0</v>
      </c>
      <c r="Y26" s="79">
        <v>0.0</v>
      </c>
      <c r="Z26" s="79">
        <v>1.0</v>
      </c>
      <c r="AA26" s="79">
        <v>0.0</v>
      </c>
      <c r="AB26" s="13">
        <f t="shared" si="3"/>
        <v>9</v>
      </c>
    </row>
    <row r="27" ht="12.75" customHeight="1">
      <c r="A27" s="36"/>
      <c r="B27" s="28"/>
      <c r="C27" s="37"/>
      <c r="D27" s="13" t="s">
        <v>13</v>
      </c>
      <c r="E27" s="13">
        <f t="shared" ref="E27:AA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4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1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2</v>
      </c>
      <c r="T27" s="13">
        <f t="shared" si="6"/>
        <v>3</v>
      </c>
      <c r="U27" s="13">
        <f t="shared" si="6"/>
        <v>1</v>
      </c>
      <c r="V27" s="13">
        <f t="shared" si="6"/>
        <v>2</v>
      </c>
      <c r="W27" s="13">
        <f t="shared" si="6"/>
        <v>1</v>
      </c>
      <c r="X27" s="13">
        <f t="shared" si="6"/>
        <v>0</v>
      </c>
      <c r="Y27" s="13">
        <f t="shared" si="6"/>
        <v>2</v>
      </c>
      <c r="Z27" s="13">
        <f t="shared" si="6"/>
        <v>2</v>
      </c>
      <c r="AA27" s="13">
        <f t="shared" si="6"/>
        <v>0</v>
      </c>
      <c r="AB27" s="13">
        <f t="shared" si="3"/>
        <v>21</v>
      </c>
    </row>
    <row r="28" ht="12.75" customHeight="1">
      <c r="A28" s="36"/>
      <c r="B28" s="40" t="s">
        <v>22</v>
      </c>
      <c r="C28" s="41" t="s">
        <v>23</v>
      </c>
      <c r="D28" s="13" t="s">
        <v>11</v>
      </c>
      <c r="E28" s="13">
        <f t="shared" ref="E28:AA28" si="7">SUM(E19,E22,E25)</f>
        <v>95</v>
      </c>
      <c r="F28" s="13">
        <f t="shared" si="7"/>
        <v>107</v>
      </c>
      <c r="G28" s="13">
        <f t="shared" si="7"/>
        <v>93</v>
      </c>
      <c r="H28" s="13">
        <f t="shared" si="7"/>
        <v>106</v>
      </c>
      <c r="I28" s="13">
        <f t="shared" si="7"/>
        <v>96</v>
      </c>
      <c r="J28" s="13">
        <f t="shared" si="7"/>
        <v>93</v>
      </c>
      <c r="K28" s="13">
        <f t="shared" si="7"/>
        <v>100</v>
      </c>
      <c r="L28" s="13">
        <f t="shared" si="7"/>
        <v>98</v>
      </c>
      <c r="M28" s="13">
        <f t="shared" si="7"/>
        <v>94</v>
      </c>
      <c r="N28" s="13">
        <f t="shared" si="7"/>
        <v>108</v>
      </c>
      <c r="O28" s="13">
        <f t="shared" si="7"/>
        <v>98</v>
      </c>
      <c r="P28" s="13">
        <f t="shared" si="7"/>
        <v>74</v>
      </c>
      <c r="Q28" s="13">
        <f t="shared" si="7"/>
        <v>92</v>
      </c>
      <c r="R28" s="13">
        <f t="shared" si="7"/>
        <v>100</v>
      </c>
      <c r="S28" s="13">
        <f t="shared" si="7"/>
        <v>67</v>
      </c>
      <c r="T28" s="13">
        <f t="shared" si="7"/>
        <v>85</v>
      </c>
      <c r="U28" s="13">
        <f t="shared" si="7"/>
        <v>95</v>
      </c>
      <c r="V28" s="13">
        <f t="shared" si="7"/>
        <v>104</v>
      </c>
      <c r="W28" s="13">
        <f t="shared" si="7"/>
        <v>103</v>
      </c>
      <c r="X28" s="13">
        <f t="shared" si="7"/>
        <v>122</v>
      </c>
      <c r="Y28" s="13">
        <f t="shared" si="7"/>
        <v>119</v>
      </c>
      <c r="Z28" s="13">
        <f t="shared" si="7"/>
        <v>122</v>
      </c>
      <c r="AA28" s="13">
        <f t="shared" si="7"/>
        <v>108</v>
      </c>
      <c r="AB28" s="13">
        <f t="shared" si="3"/>
        <v>2279</v>
      </c>
    </row>
    <row r="29" ht="12.75" customHeight="1">
      <c r="A29" s="36"/>
      <c r="B29" s="27"/>
      <c r="C29" s="35"/>
      <c r="D29" s="13" t="s">
        <v>12</v>
      </c>
      <c r="E29" s="13">
        <f t="shared" ref="E29:AA29" si="8">SUM(E20,E23,E26)</f>
        <v>96</v>
      </c>
      <c r="F29" s="13">
        <f t="shared" si="8"/>
        <v>87</v>
      </c>
      <c r="G29" s="13">
        <f t="shared" si="8"/>
        <v>105</v>
      </c>
      <c r="H29" s="13">
        <f t="shared" si="8"/>
        <v>108</v>
      </c>
      <c r="I29" s="13">
        <f t="shared" si="8"/>
        <v>119</v>
      </c>
      <c r="J29" s="13">
        <f t="shared" si="8"/>
        <v>106</v>
      </c>
      <c r="K29" s="13">
        <f t="shared" si="8"/>
        <v>105</v>
      </c>
      <c r="L29" s="13">
        <f t="shared" si="8"/>
        <v>118</v>
      </c>
      <c r="M29" s="13">
        <f t="shared" si="8"/>
        <v>108</v>
      </c>
      <c r="N29" s="13">
        <f t="shared" si="8"/>
        <v>121</v>
      </c>
      <c r="O29" s="13">
        <f t="shared" si="8"/>
        <v>101</v>
      </c>
      <c r="P29" s="13">
        <f t="shared" si="8"/>
        <v>88</v>
      </c>
      <c r="Q29" s="13">
        <f t="shared" si="8"/>
        <v>93</v>
      </c>
      <c r="R29" s="13">
        <f t="shared" si="8"/>
        <v>100</v>
      </c>
      <c r="S29" s="13">
        <f t="shared" si="8"/>
        <v>82</v>
      </c>
      <c r="T29" s="13">
        <f t="shared" si="8"/>
        <v>118</v>
      </c>
      <c r="U29" s="13">
        <f t="shared" si="8"/>
        <v>116</v>
      </c>
      <c r="V29" s="13">
        <f t="shared" si="8"/>
        <v>116</v>
      </c>
      <c r="W29" s="13">
        <f t="shared" si="8"/>
        <v>121</v>
      </c>
      <c r="X29" s="13">
        <f t="shared" si="8"/>
        <v>106</v>
      </c>
      <c r="Y29" s="13">
        <f t="shared" si="8"/>
        <v>119</v>
      </c>
      <c r="Z29" s="13">
        <f t="shared" si="8"/>
        <v>107</v>
      </c>
      <c r="AA29" s="13">
        <f t="shared" si="8"/>
        <v>109</v>
      </c>
      <c r="AB29" s="13">
        <f t="shared" si="3"/>
        <v>2449</v>
      </c>
    </row>
    <row r="30" ht="12.75" customHeight="1">
      <c r="A30" s="36"/>
      <c r="B30" s="28"/>
      <c r="C30" s="37"/>
      <c r="D30" s="13" t="s">
        <v>13</v>
      </c>
      <c r="E30" s="13">
        <f t="shared" ref="E30:AA30" si="9">SUM(E28:E29)</f>
        <v>191</v>
      </c>
      <c r="F30" s="13">
        <f t="shared" si="9"/>
        <v>194</v>
      </c>
      <c r="G30" s="13">
        <f t="shared" si="9"/>
        <v>198</v>
      </c>
      <c r="H30" s="13">
        <f t="shared" si="9"/>
        <v>214</v>
      </c>
      <c r="I30" s="13">
        <f t="shared" si="9"/>
        <v>215</v>
      </c>
      <c r="J30" s="13">
        <f t="shared" si="9"/>
        <v>199</v>
      </c>
      <c r="K30" s="13">
        <f t="shared" si="9"/>
        <v>205</v>
      </c>
      <c r="L30" s="13">
        <f t="shared" si="9"/>
        <v>216</v>
      </c>
      <c r="M30" s="13">
        <f t="shared" si="9"/>
        <v>202</v>
      </c>
      <c r="N30" s="13">
        <f t="shared" si="9"/>
        <v>229</v>
      </c>
      <c r="O30" s="13">
        <f t="shared" si="9"/>
        <v>199</v>
      </c>
      <c r="P30" s="13">
        <f t="shared" si="9"/>
        <v>162</v>
      </c>
      <c r="Q30" s="13">
        <f t="shared" si="9"/>
        <v>185</v>
      </c>
      <c r="R30" s="13">
        <f t="shared" si="9"/>
        <v>200</v>
      </c>
      <c r="S30" s="13">
        <f t="shared" si="9"/>
        <v>149</v>
      </c>
      <c r="T30" s="13">
        <f t="shared" si="9"/>
        <v>203</v>
      </c>
      <c r="U30" s="13">
        <f t="shared" si="9"/>
        <v>211</v>
      </c>
      <c r="V30" s="13">
        <f t="shared" si="9"/>
        <v>220</v>
      </c>
      <c r="W30" s="13">
        <f t="shared" si="9"/>
        <v>224</v>
      </c>
      <c r="X30" s="13">
        <f t="shared" si="9"/>
        <v>228</v>
      </c>
      <c r="Y30" s="13">
        <f t="shared" si="9"/>
        <v>238</v>
      </c>
      <c r="Z30" s="13">
        <f t="shared" si="9"/>
        <v>229</v>
      </c>
      <c r="AA30" s="13">
        <f t="shared" si="9"/>
        <v>217</v>
      </c>
      <c r="AB30" s="13">
        <f t="shared" si="3"/>
        <v>4728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  <c r="O31" s="19"/>
      <c r="P31" s="19"/>
      <c r="Q31" s="19"/>
      <c r="R31" s="19"/>
      <c r="S31" s="80"/>
      <c r="T31" s="19"/>
      <c r="U31" s="19"/>
      <c r="V31" s="19"/>
      <c r="W31" s="19"/>
      <c r="X31" s="80"/>
      <c r="Y31" s="19"/>
      <c r="Z31" s="19"/>
      <c r="AA31" s="19"/>
      <c r="AB31" s="81"/>
    </row>
    <row r="32" ht="12.75" customHeight="1">
      <c r="A32" s="44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2"/>
      <c r="O32" s="13"/>
      <c r="P32" s="13"/>
      <c r="Q32" s="13"/>
      <c r="R32" s="13"/>
      <c r="S32" s="82"/>
      <c r="T32" s="13"/>
      <c r="U32" s="13"/>
      <c r="V32" s="13"/>
      <c r="W32" s="13"/>
      <c r="X32" s="82"/>
      <c r="Y32" s="13"/>
      <c r="Z32" s="13"/>
      <c r="AA32" s="13"/>
      <c r="AB32" s="81"/>
    </row>
    <row r="33" ht="12.75" customHeight="1">
      <c r="A33" s="19">
        <v>1.0</v>
      </c>
      <c r="B33" s="20" t="s">
        <v>26</v>
      </c>
      <c r="C33" s="15"/>
      <c r="D33" s="16"/>
      <c r="E33" s="79">
        <v>229.0</v>
      </c>
      <c r="F33" s="79">
        <v>261.0</v>
      </c>
      <c r="G33" s="79">
        <v>265.0</v>
      </c>
      <c r="H33" s="79">
        <v>264.0</v>
      </c>
      <c r="I33" s="79">
        <v>260.0</v>
      </c>
      <c r="J33" s="79">
        <v>258.0</v>
      </c>
      <c r="K33" s="79">
        <v>252.0</v>
      </c>
      <c r="L33" s="79">
        <v>281.0</v>
      </c>
      <c r="M33" s="79">
        <v>280.0</v>
      </c>
      <c r="N33" s="79">
        <v>290.0</v>
      </c>
      <c r="O33" s="79">
        <v>274.0</v>
      </c>
      <c r="P33" s="79">
        <v>267.0</v>
      </c>
      <c r="Q33" s="79">
        <v>253.0</v>
      </c>
      <c r="R33" s="79">
        <v>253.0</v>
      </c>
      <c r="S33" s="79">
        <v>178.0</v>
      </c>
      <c r="T33" s="79">
        <v>288.0</v>
      </c>
      <c r="U33" s="79">
        <v>289.0</v>
      </c>
      <c r="V33" s="79">
        <v>290.0</v>
      </c>
      <c r="W33" s="79">
        <v>295.0</v>
      </c>
      <c r="X33" s="79">
        <v>299.0</v>
      </c>
      <c r="Y33" s="79">
        <v>297.0</v>
      </c>
      <c r="Z33" s="79">
        <v>301.0</v>
      </c>
      <c r="AA33" s="79">
        <v>297.0</v>
      </c>
      <c r="AB33" s="13">
        <f t="shared" ref="AB33:AB36" si="10">SUM(E33:AA33)</f>
        <v>6221</v>
      </c>
    </row>
    <row r="34" ht="12.75" customHeight="1">
      <c r="A34" s="19">
        <v>2.0</v>
      </c>
      <c r="B34" s="20" t="s">
        <v>27</v>
      </c>
      <c r="C34" s="15"/>
      <c r="D34" s="16"/>
      <c r="E34" s="73">
        <v>191.0</v>
      </c>
      <c r="F34" s="73">
        <v>194.0</v>
      </c>
      <c r="G34" s="73">
        <v>198.0</v>
      </c>
      <c r="H34" s="73">
        <v>214.0</v>
      </c>
      <c r="I34" s="73">
        <v>215.0</v>
      </c>
      <c r="J34" s="73">
        <v>199.0</v>
      </c>
      <c r="K34" s="73">
        <v>205.0</v>
      </c>
      <c r="L34" s="73">
        <v>216.0</v>
      </c>
      <c r="M34" s="73">
        <v>202.0</v>
      </c>
      <c r="N34" s="73">
        <v>229.0</v>
      </c>
      <c r="O34" s="73">
        <v>199.0</v>
      </c>
      <c r="P34" s="73">
        <v>162.0</v>
      </c>
      <c r="Q34" s="73">
        <v>185.0</v>
      </c>
      <c r="R34" s="73">
        <v>200.0</v>
      </c>
      <c r="S34" s="73">
        <v>149.0</v>
      </c>
      <c r="T34" s="73">
        <v>203.0</v>
      </c>
      <c r="U34" s="73">
        <v>211.0</v>
      </c>
      <c r="V34" s="73">
        <v>220.0</v>
      </c>
      <c r="W34" s="73">
        <v>224.0</v>
      </c>
      <c r="X34" s="73">
        <v>228.0</v>
      </c>
      <c r="Y34" s="73">
        <v>238.0</v>
      </c>
      <c r="Z34" s="73">
        <v>229.0</v>
      </c>
      <c r="AA34" s="73">
        <v>217.0</v>
      </c>
      <c r="AB34" s="13">
        <f t="shared" si="10"/>
        <v>4728</v>
      </c>
    </row>
    <row r="35" ht="12.75" customHeight="1">
      <c r="A35" s="19">
        <v>3.0</v>
      </c>
      <c r="B35" s="20" t="s">
        <v>28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2.0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79">
        <v>0.0</v>
      </c>
      <c r="R35" s="79">
        <v>0.0</v>
      </c>
      <c r="S35" s="79">
        <v>0.0</v>
      </c>
      <c r="T35" s="79">
        <v>1.0</v>
      </c>
      <c r="U35" s="79">
        <v>0.0</v>
      </c>
      <c r="V35" s="79">
        <v>0.0</v>
      </c>
      <c r="W35" s="79">
        <v>0.0</v>
      </c>
      <c r="X35" s="79">
        <v>0.0</v>
      </c>
      <c r="Y35" s="79">
        <v>0.0</v>
      </c>
      <c r="Z35" s="79">
        <v>0.0</v>
      </c>
      <c r="AA35" s="79">
        <v>0.0</v>
      </c>
      <c r="AB35" s="13">
        <f t="shared" si="10"/>
        <v>3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AA36" si="11">E33-(E34+E35)</f>
        <v>38</v>
      </c>
      <c r="F36" s="13">
        <f t="shared" si="11"/>
        <v>67</v>
      </c>
      <c r="G36" s="13">
        <f t="shared" si="11"/>
        <v>67</v>
      </c>
      <c r="H36" s="13">
        <f t="shared" si="11"/>
        <v>50</v>
      </c>
      <c r="I36" s="13">
        <f t="shared" si="11"/>
        <v>45</v>
      </c>
      <c r="J36" s="13">
        <f t="shared" si="11"/>
        <v>57</v>
      </c>
      <c r="K36" s="13">
        <f t="shared" si="11"/>
        <v>47</v>
      </c>
      <c r="L36" s="13">
        <f t="shared" si="11"/>
        <v>65</v>
      </c>
      <c r="M36" s="13">
        <f t="shared" si="11"/>
        <v>78</v>
      </c>
      <c r="N36" s="13">
        <f t="shared" si="11"/>
        <v>61</v>
      </c>
      <c r="O36" s="13">
        <f t="shared" si="11"/>
        <v>75</v>
      </c>
      <c r="P36" s="13">
        <f t="shared" si="11"/>
        <v>105</v>
      </c>
      <c r="Q36" s="13">
        <f t="shared" si="11"/>
        <v>68</v>
      </c>
      <c r="R36" s="13">
        <f t="shared" si="11"/>
        <v>53</v>
      </c>
      <c r="S36" s="13">
        <f t="shared" si="11"/>
        <v>29</v>
      </c>
      <c r="T36" s="13">
        <f t="shared" si="11"/>
        <v>84</v>
      </c>
      <c r="U36" s="13">
        <f t="shared" si="11"/>
        <v>78</v>
      </c>
      <c r="V36" s="13">
        <f t="shared" si="11"/>
        <v>70</v>
      </c>
      <c r="W36" s="13">
        <f t="shared" si="11"/>
        <v>71</v>
      </c>
      <c r="X36" s="13">
        <f t="shared" si="11"/>
        <v>71</v>
      </c>
      <c r="Y36" s="13">
        <f t="shared" si="11"/>
        <v>59</v>
      </c>
      <c r="Z36" s="13">
        <f t="shared" si="11"/>
        <v>72</v>
      </c>
      <c r="AA36" s="13">
        <f t="shared" si="11"/>
        <v>80</v>
      </c>
      <c r="AB36" s="13">
        <f t="shared" si="10"/>
        <v>1490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  <c r="O37" s="19"/>
      <c r="P37" s="19"/>
      <c r="Q37" s="19"/>
      <c r="R37" s="19"/>
      <c r="S37" s="80"/>
      <c r="T37" s="19"/>
      <c r="U37" s="19"/>
      <c r="V37" s="19"/>
      <c r="W37" s="19"/>
      <c r="X37" s="80"/>
      <c r="Y37" s="19"/>
      <c r="Z37" s="19"/>
      <c r="AA37" s="19"/>
      <c r="AB37" s="81"/>
    </row>
    <row r="38" ht="12.75" customHeight="1">
      <c r="A38" s="45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2"/>
      <c r="O38" s="13"/>
      <c r="P38" s="13"/>
      <c r="Q38" s="13"/>
      <c r="R38" s="13"/>
      <c r="S38" s="82"/>
      <c r="T38" s="13"/>
      <c r="U38" s="13"/>
      <c r="V38" s="13"/>
      <c r="W38" s="13"/>
      <c r="X38" s="82"/>
      <c r="Y38" s="13"/>
      <c r="Z38" s="13"/>
      <c r="AA38" s="13"/>
      <c r="AB38" s="81"/>
    </row>
    <row r="39" ht="12.75" customHeight="1">
      <c r="A39" s="31"/>
      <c r="B39" s="46" t="s">
        <v>32</v>
      </c>
      <c r="C39" s="23"/>
      <c r="D39" s="19" t="s">
        <v>11</v>
      </c>
      <c r="E39" s="79">
        <v>0.0</v>
      </c>
      <c r="F39" s="79">
        <v>0.0</v>
      </c>
      <c r="G39" s="79">
        <v>1.0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0.0</v>
      </c>
      <c r="V39" s="79">
        <v>0.0</v>
      </c>
      <c r="W39" s="79">
        <v>0.0</v>
      </c>
      <c r="X39" s="79">
        <v>0.0</v>
      </c>
      <c r="Y39" s="79">
        <v>0.0</v>
      </c>
      <c r="Z39" s="79">
        <v>0.0</v>
      </c>
      <c r="AA39" s="79">
        <v>0.0</v>
      </c>
      <c r="AB39" s="13">
        <f t="shared" ref="AB39:AB41" si="12">SUM(E39:AA39)</f>
        <v>1</v>
      </c>
    </row>
    <row r="40" ht="12.75" customHeight="1">
      <c r="A40" s="34"/>
      <c r="C40" s="27"/>
      <c r="D40" s="19" t="s">
        <v>12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79">
        <v>0.0</v>
      </c>
      <c r="U40" s="79">
        <v>0.0</v>
      </c>
      <c r="V40" s="79">
        <v>0.0</v>
      </c>
      <c r="W40" s="79">
        <v>0.0</v>
      </c>
      <c r="X40" s="79">
        <v>0.0</v>
      </c>
      <c r="Y40" s="79">
        <v>0.0</v>
      </c>
      <c r="Z40" s="79">
        <v>0.0</v>
      </c>
      <c r="AA40" s="79">
        <v>1.0</v>
      </c>
      <c r="AB40" s="13">
        <f t="shared" si="12"/>
        <v>1</v>
      </c>
    </row>
    <row r="41" ht="12.75" customHeight="1">
      <c r="A41" s="44"/>
      <c r="B41" s="47"/>
      <c r="C41" s="28"/>
      <c r="D41" s="13" t="s">
        <v>13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2"/>
        <v>2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0"/>
      <c r="O42" s="19"/>
      <c r="P42" s="19"/>
      <c r="Q42" s="19"/>
      <c r="R42" s="19"/>
      <c r="S42" s="80"/>
      <c r="T42" s="19"/>
      <c r="U42" s="19"/>
      <c r="V42" s="19"/>
      <c r="W42" s="19"/>
      <c r="X42" s="80"/>
      <c r="Y42" s="19"/>
      <c r="Z42" s="19"/>
      <c r="AA42" s="19"/>
      <c r="AB42" s="13"/>
    </row>
    <row r="43" ht="12.75" customHeight="1">
      <c r="A43" s="45" t="s">
        <v>33</v>
      </c>
      <c r="B43" s="14" t="s">
        <v>34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82"/>
      <c r="O43" s="13"/>
      <c r="P43" s="13"/>
      <c r="Q43" s="13"/>
      <c r="R43" s="13"/>
      <c r="S43" s="82"/>
      <c r="T43" s="13"/>
      <c r="U43" s="13"/>
      <c r="V43" s="13"/>
      <c r="W43" s="13"/>
      <c r="X43" s="82"/>
      <c r="Y43" s="13"/>
      <c r="Z43" s="13"/>
      <c r="AA43" s="13"/>
      <c r="AB43" s="13"/>
    </row>
    <row r="44" ht="12.75" customHeight="1">
      <c r="A44" s="46" t="s">
        <v>35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0"/>
      <c r="O44" s="19"/>
      <c r="P44" s="19"/>
      <c r="Q44" s="19"/>
      <c r="R44" s="19"/>
      <c r="S44" s="80"/>
      <c r="T44" s="19"/>
      <c r="U44" s="19"/>
      <c r="V44" s="19"/>
      <c r="W44" s="19"/>
      <c r="X44" s="80"/>
      <c r="Y44" s="19"/>
      <c r="Z44" s="19"/>
      <c r="AA44" s="19"/>
      <c r="AB44" s="13"/>
    </row>
    <row r="45" ht="12.75" customHeight="1">
      <c r="A45" s="31" t="s">
        <v>36</v>
      </c>
      <c r="B45" s="50" t="s">
        <v>16</v>
      </c>
      <c r="C45" s="51" t="s">
        <v>37</v>
      </c>
      <c r="D45" s="16"/>
      <c r="E45" s="79">
        <v>4.0</v>
      </c>
      <c r="F45" s="79">
        <v>12.0</v>
      </c>
      <c r="G45" s="79">
        <v>2.0</v>
      </c>
      <c r="H45" s="79">
        <v>13.0</v>
      </c>
      <c r="I45" s="79">
        <v>11.0</v>
      </c>
      <c r="J45" s="79">
        <v>9.0</v>
      </c>
      <c r="K45" s="79">
        <v>3.0</v>
      </c>
      <c r="L45" s="79">
        <v>18.0</v>
      </c>
      <c r="M45" s="79">
        <v>9.0</v>
      </c>
      <c r="N45" s="79">
        <v>4.0</v>
      </c>
      <c r="O45" s="79">
        <v>3.0</v>
      </c>
      <c r="P45" s="79">
        <v>6.0</v>
      </c>
      <c r="Q45" s="79">
        <v>23.0</v>
      </c>
      <c r="R45" s="79">
        <v>5.0</v>
      </c>
      <c r="S45" s="79">
        <v>10.0</v>
      </c>
      <c r="T45" s="79">
        <v>17.0</v>
      </c>
      <c r="U45" s="79">
        <v>10.0</v>
      </c>
      <c r="V45" s="79">
        <v>19.0</v>
      </c>
      <c r="W45" s="79">
        <v>12.0</v>
      </c>
      <c r="X45" s="79">
        <v>14.0</v>
      </c>
      <c r="Y45" s="79">
        <v>9.0</v>
      </c>
      <c r="Z45" s="79">
        <v>12.0</v>
      </c>
      <c r="AA45" s="79">
        <v>7.0</v>
      </c>
      <c r="AB45" s="13">
        <f t="shared" ref="AB45:AB55" si="14">SUM(E45:AA45)</f>
        <v>232</v>
      </c>
    </row>
    <row r="46" ht="12.75" customHeight="1">
      <c r="A46" s="31" t="s">
        <v>38</v>
      </c>
      <c r="B46" s="52"/>
      <c r="C46" s="53" t="s">
        <v>39</v>
      </c>
      <c r="D46" s="53"/>
      <c r="E46" s="79">
        <v>4.0</v>
      </c>
      <c r="F46" s="79">
        <v>26.0</v>
      </c>
      <c r="G46" s="79">
        <v>7.0</v>
      </c>
      <c r="H46" s="79">
        <v>32.0</v>
      </c>
      <c r="I46" s="79">
        <v>24.0</v>
      </c>
      <c r="J46" s="79">
        <v>10.0</v>
      </c>
      <c r="K46" s="79">
        <v>8.0</v>
      </c>
      <c r="L46" s="79">
        <v>14.0</v>
      </c>
      <c r="M46" s="79">
        <v>16.0</v>
      </c>
      <c r="N46" s="79">
        <v>12.0</v>
      </c>
      <c r="O46" s="79">
        <v>23.0</v>
      </c>
      <c r="P46" s="79">
        <v>10.0</v>
      </c>
      <c r="Q46" s="79">
        <v>15.0</v>
      </c>
      <c r="R46" s="79">
        <v>15.0</v>
      </c>
      <c r="S46" s="79">
        <v>7.0</v>
      </c>
      <c r="T46" s="79">
        <v>15.0</v>
      </c>
      <c r="U46" s="79">
        <v>17.0</v>
      </c>
      <c r="V46" s="79">
        <v>26.0</v>
      </c>
      <c r="W46" s="79">
        <v>16.0</v>
      </c>
      <c r="X46" s="79">
        <v>15.0</v>
      </c>
      <c r="Y46" s="79">
        <v>10.0</v>
      </c>
      <c r="Z46" s="79">
        <v>7.0</v>
      </c>
      <c r="AA46" s="79">
        <v>17.0</v>
      </c>
      <c r="AB46" s="13">
        <f t="shared" si="14"/>
        <v>346</v>
      </c>
    </row>
    <row r="47" ht="12.75" customHeight="1">
      <c r="A47" s="18"/>
      <c r="B47" s="58"/>
      <c r="C47" s="53" t="s">
        <v>40</v>
      </c>
      <c r="D47" s="53"/>
      <c r="E47" s="79">
        <v>1.0</v>
      </c>
      <c r="F47" s="79">
        <v>2.0</v>
      </c>
      <c r="G47" s="79">
        <v>0.0</v>
      </c>
      <c r="H47" s="79">
        <v>2.0</v>
      </c>
      <c r="I47" s="79">
        <v>4.0</v>
      </c>
      <c r="J47" s="79">
        <v>0.0</v>
      </c>
      <c r="K47" s="79">
        <v>0.0</v>
      </c>
      <c r="L47" s="79">
        <v>3.0</v>
      </c>
      <c r="M47" s="79">
        <v>4.0</v>
      </c>
      <c r="N47" s="79">
        <v>1.0</v>
      </c>
      <c r="O47" s="79">
        <v>2.0</v>
      </c>
      <c r="P47" s="79">
        <v>2.0</v>
      </c>
      <c r="Q47" s="79">
        <v>5.0</v>
      </c>
      <c r="R47" s="79">
        <v>4.0</v>
      </c>
      <c r="S47" s="79">
        <v>7.0</v>
      </c>
      <c r="T47" s="79">
        <v>0.0</v>
      </c>
      <c r="U47" s="79">
        <v>3.0</v>
      </c>
      <c r="V47" s="79">
        <v>1.0</v>
      </c>
      <c r="W47" s="79">
        <v>2.0</v>
      </c>
      <c r="X47" s="79">
        <v>4.0</v>
      </c>
      <c r="Y47" s="79">
        <v>0.0</v>
      </c>
      <c r="Z47" s="79">
        <v>2.0</v>
      </c>
      <c r="AA47" s="79">
        <v>7.0</v>
      </c>
      <c r="AB47" s="13">
        <f t="shared" si="14"/>
        <v>56</v>
      </c>
    </row>
    <row r="48" ht="12.75" customHeight="1">
      <c r="A48" s="18"/>
      <c r="B48" s="58"/>
      <c r="C48" s="53" t="s">
        <v>41</v>
      </c>
      <c r="D48" s="53"/>
      <c r="E48" s="79">
        <v>1.0</v>
      </c>
      <c r="F48" s="79">
        <v>3.0</v>
      </c>
      <c r="G48" s="79">
        <v>1.0</v>
      </c>
      <c r="H48" s="79">
        <v>2.0</v>
      </c>
      <c r="I48" s="79">
        <v>2.0</v>
      </c>
      <c r="J48" s="79">
        <v>0.0</v>
      </c>
      <c r="K48" s="79"/>
      <c r="L48" s="79">
        <v>2.0</v>
      </c>
      <c r="M48" s="79">
        <v>1.0</v>
      </c>
      <c r="N48" s="79">
        <v>1.0</v>
      </c>
      <c r="O48" s="79">
        <v>0.0</v>
      </c>
      <c r="P48" s="79">
        <v>0.0</v>
      </c>
      <c r="Q48" s="79">
        <v>0.0</v>
      </c>
      <c r="R48" s="79">
        <v>0.0</v>
      </c>
      <c r="S48" s="79">
        <v>1.0</v>
      </c>
      <c r="T48" s="79">
        <v>2.0</v>
      </c>
      <c r="U48" s="79">
        <v>0.0</v>
      </c>
      <c r="V48" s="79">
        <v>2.0</v>
      </c>
      <c r="W48" s="79">
        <v>0.0</v>
      </c>
      <c r="X48" s="79">
        <v>0.0</v>
      </c>
      <c r="Y48" s="79">
        <v>0.0</v>
      </c>
      <c r="Z48" s="79">
        <v>1.0</v>
      </c>
      <c r="AA48" s="79">
        <v>1.0</v>
      </c>
      <c r="AB48" s="13">
        <f t="shared" si="14"/>
        <v>20</v>
      </c>
    </row>
    <row r="49" ht="12.75" customHeight="1">
      <c r="A49" s="18"/>
      <c r="B49" s="58"/>
      <c r="C49" s="53" t="s">
        <v>42</v>
      </c>
      <c r="D49" s="53"/>
      <c r="E49" s="79">
        <v>0.0</v>
      </c>
      <c r="F49" s="79">
        <v>1.0</v>
      </c>
      <c r="G49" s="79"/>
      <c r="H49" s="79">
        <v>3.0</v>
      </c>
      <c r="I49" s="79">
        <v>1.0</v>
      </c>
      <c r="J49" s="79">
        <v>2.0</v>
      </c>
      <c r="K49" s="79">
        <v>1.0</v>
      </c>
      <c r="L49" s="79">
        <v>2.0</v>
      </c>
      <c r="M49" s="79">
        <v>2.0</v>
      </c>
      <c r="N49" s="79">
        <v>2.0</v>
      </c>
      <c r="O49" s="79">
        <v>1.0</v>
      </c>
      <c r="P49" s="79">
        <v>0.0</v>
      </c>
      <c r="Q49" s="79"/>
      <c r="R49" s="79">
        <v>0.0</v>
      </c>
      <c r="S49" s="79">
        <v>2.0</v>
      </c>
      <c r="T49" s="79">
        <v>0.0</v>
      </c>
      <c r="U49" s="79">
        <v>2.0</v>
      </c>
      <c r="V49" s="79">
        <v>2.0</v>
      </c>
      <c r="W49" s="79">
        <v>2.0</v>
      </c>
      <c r="X49" s="79">
        <v>2.0</v>
      </c>
      <c r="Y49" s="79">
        <v>2.0</v>
      </c>
      <c r="Z49" s="79">
        <v>1.0</v>
      </c>
      <c r="AA49" s="79">
        <v>2.0</v>
      </c>
      <c r="AB49" s="13">
        <f t="shared" si="14"/>
        <v>30</v>
      </c>
    </row>
    <row r="50" ht="12.75" customHeight="1">
      <c r="A50" s="18"/>
      <c r="B50" s="58"/>
      <c r="C50" s="53" t="s">
        <v>43</v>
      </c>
      <c r="D50" s="53"/>
      <c r="E50" s="79">
        <v>0.0</v>
      </c>
      <c r="F50" s="79">
        <v>0.0</v>
      </c>
      <c r="G50" s="79"/>
      <c r="H50" s="79">
        <v>0.0</v>
      </c>
      <c r="I50" s="79">
        <v>1.0</v>
      </c>
      <c r="J50" s="79">
        <v>0.0</v>
      </c>
      <c r="K50" s="79">
        <v>3.0</v>
      </c>
      <c r="L50" s="79">
        <v>1.0</v>
      </c>
      <c r="M50" s="79">
        <v>0.0</v>
      </c>
      <c r="N50" s="79">
        <v>0.0</v>
      </c>
      <c r="O50" s="79">
        <v>2.0</v>
      </c>
      <c r="P50" s="79">
        <v>0.0</v>
      </c>
      <c r="Q50" s="79"/>
      <c r="R50" s="79"/>
      <c r="S50" s="79">
        <v>1.0</v>
      </c>
      <c r="T50" s="79"/>
      <c r="U50" s="79"/>
      <c r="V50" s="79">
        <v>0.0</v>
      </c>
      <c r="W50" s="79">
        <v>1.0</v>
      </c>
      <c r="X50" s="79">
        <v>1.0</v>
      </c>
      <c r="Y50" s="79">
        <v>0.0</v>
      </c>
      <c r="Z50" s="79">
        <v>0.0</v>
      </c>
      <c r="AA50" s="79">
        <v>1.0</v>
      </c>
      <c r="AB50" s="13">
        <f t="shared" si="14"/>
        <v>11</v>
      </c>
    </row>
    <row r="51" ht="12.75" customHeight="1">
      <c r="A51" s="18"/>
      <c r="B51" s="58"/>
      <c r="C51" s="53" t="s">
        <v>44</v>
      </c>
      <c r="D51" s="53"/>
      <c r="E51" s="79">
        <v>1.0</v>
      </c>
      <c r="F51" s="79">
        <v>1.0</v>
      </c>
      <c r="G51" s="79"/>
      <c r="H51" s="79">
        <v>0.0</v>
      </c>
      <c r="I51" s="79">
        <v>1.0</v>
      </c>
      <c r="J51" s="79">
        <v>0.0</v>
      </c>
      <c r="K51" s="79"/>
      <c r="L51" s="79">
        <v>0.0</v>
      </c>
      <c r="M51" s="79">
        <v>0.0</v>
      </c>
      <c r="N51" s="79">
        <v>0.0</v>
      </c>
      <c r="O51" s="79">
        <v>0.0</v>
      </c>
      <c r="P51" s="79">
        <v>0.0</v>
      </c>
      <c r="Q51" s="79"/>
      <c r="R51" s="79"/>
      <c r="S51" s="79">
        <v>0.0</v>
      </c>
      <c r="T51" s="79"/>
      <c r="U51" s="79"/>
      <c r="V51" s="79">
        <v>0.0</v>
      </c>
      <c r="W51" s="79">
        <v>0.0</v>
      </c>
      <c r="X51" s="79">
        <v>1.0</v>
      </c>
      <c r="Y51" s="79">
        <v>2.0</v>
      </c>
      <c r="Z51" s="79">
        <v>1.0</v>
      </c>
      <c r="AA51" s="79">
        <v>0.0</v>
      </c>
      <c r="AB51" s="13">
        <f t="shared" si="14"/>
        <v>7</v>
      </c>
    </row>
    <row r="52" ht="12.75" customHeight="1">
      <c r="A52" s="18"/>
      <c r="B52" s="58"/>
      <c r="C52" s="53" t="s">
        <v>45</v>
      </c>
      <c r="D52" s="53"/>
      <c r="E52" s="79">
        <v>0.0</v>
      </c>
      <c r="F52" s="79">
        <v>0.0</v>
      </c>
      <c r="G52" s="79"/>
      <c r="H52" s="79">
        <v>0.0</v>
      </c>
      <c r="I52" s="79">
        <v>1.0</v>
      </c>
      <c r="J52" s="79">
        <v>0.0</v>
      </c>
      <c r="K52" s="79"/>
      <c r="L52" s="79">
        <v>0.0</v>
      </c>
      <c r="M52" s="79">
        <v>0.0</v>
      </c>
      <c r="N52" s="79">
        <v>0.0</v>
      </c>
      <c r="O52" s="79">
        <v>0.0</v>
      </c>
      <c r="P52" s="79">
        <v>0.0</v>
      </c>
      <c r="Q52" s="79"/>
      <c r="R52" s="79"/>
      <c r="S52" s="79">
        <v>0.0</v>
      </c>
      <c r="T52" s="79"/>
      <c r="U52" s="79">
        <v>1.0</v>
      </c>
      <c r="V52" s="79">
        <v>1.0</v>
      </c>
      <c r="W52" s="79">
        <v>0.0</v>
      </c>
      <c r="X52" s="79">
        <v>0.0</v>
      </c>
      <c r="Y52" s="79">
        <v>0.0</v>
      </c>
      <c r="Z52" s="79">
        <v>0.0</v>
      </c>
      <c r="AA52" s="79">
        <v>1.0</v>
      </c>
      <c r="AB52" s="13">
        <f t="shared" si="14"/>
        <v>4</v>
      </c>
    </row>
    <row r="53" ht="12.75" customHeight="1">
      <c r="A53" s="18"/>
      <c r="B53" s="58"/>
      <c r="C53" s="53" t="s">
        <v>46</v>
      </c>
      <c r="D53" s="53"/>
      <c r="E53" s="79">
        <v>0.0</v>
      </c>
      <c r="F53" s="79">
        <v>0.0</v>
      </c>
      <c r="G53" s="79"/>
      <c r="H53" s="79">
        <v>0.0</v>
      </c>
      <c r="I53" s="79">
        <v>0.0</v>
      </c>
      <c r="J53" s="79">
        <v>0.0</v>
      </c>
      <c r="K53" s="79">
        <v>1.0</v>
      </c>
      <c r="L53" s="79">
        <v>0.0</v>
      </c>
      <c r="M53" s="79">
        <v>0.0</v>
      </c>
      <c r="N53" s="79">
        <v>0.0</v>
      </c>
      <c r="O53" s="79">
        <v>0.0</v>
      </c>
      <c r="P53" s="79">
        <v>0.0</v>
      </c>
      <c r="Q53" s="79"/>
      <c r="R53" s="79"/>
      <c r="S53" s="79">
        <v>1.0</v>
      </c>
      <c r="T53" s="79">
        <v>1.0</v>
      </c>
      <c r="U53" s="79"/>
      <c r="V53" s="79">
        <v>0.0</v>
      </c>
      <c r="W53" s="79">
        <v>0.0</v>
      </c>
      <c r="X53" s="79">
        <v>0.0</v>
      </c>
      <c r="Y53" s="79">
        <v>0.0</v>
      </c>
      <c r="Z53" s="79">
        <v>0.0</v>
      </c>
      <c r="AA53" s="79">
        <v>0.0</v>
      </c>
      <c r="AB53" s="13">
        <f t="shared" si="14"/>
        <v>3</v>
      </c>
    </row>
    <row r="54" ht="12.75" customHeight="1">
      <c r="A54" s="18"/>
      <c r="B54" s="58"/>
      <c r="C54" s="53" t="s">
        <v>47</v>
      </c>
      <c r="D54" s="53"/>
      <c r="E54" s="79">
        <v>0.0</v>
      </c>
      <c r="F54" s="79">
        <v>0.0</v>
      </c>
      <c r="G54" s="79"/>
      <c r="H54" s="79">
        <v>0.0</v>
      </c>
      <c r="I54" s="79">
        <v>0.0</v>
      </c>
      <c r="J54" s="79">
        <v>0.0</v>
      </c>
      <c r="K54" s="79"/>
      <c r="L54" s="79">
        <v>0.0</v>
      </c>
      <c r="M54" s="79">
        <v>1.0</v>
      </c>
      <c r="N54" s="79">
        <v>0.0</v>
      </c>
      <c r="O54" s="79">
        <v>0.0</v>
      </c>
      <c r="P54" s="79">
        <v>0.0</v>
      </c>
      <c r="Q54" s="79"/>
      <c r="R54" s="79"/>
      <c r="S54" s="79">
        <v>0.0</v>
      </c>
      <c r="T54" s="79"/>
      <c r="U54" s="79"/>
      <c r="V54" s="79">
        <v>0.0</v>
      </c>
      <c r="W54" s="79">
        <v>0.0</v>
      </c>
      <c r="X54" s="79">
        <v>0.0</v>
      </c>
      <c r="Y54" s="79">
        <v>0.0</v>
      </c>
      <c r="Z54" s="79">
        <v>0.0</v>
      </c>
      <c r="AA54" s="79">
        <v>0.0</v>
      </c>
      <c r="AB54" s="13">
        <f t="shared" si="14"/>
        <v>1</v>
      </c>
    </row>
    <row r="55" ht="12.75" customHeight="1">
      <c r="A55" s="19" t="s">
        <v>14</v>
      </c>
      <c r="B55" s="50" t="s">
        <v>48</v>
      </c>
      <c r="C55" s="15"/>
      <c r="D55" s="16"/>
      <c r="E55" s="13">
        <f t="shared" ref="E55:AA55" si="15">SUM(E45:E54)</f>
        <v>11</v>
      </c>
      <c r="F55" s="13">
        <f t="shared" si="15"/>
        <v>45</v>
      </c>
      <c r="G55" s="13">
        <f t="shared" si="15"/>
        <v>10</v>
      </c>
      <c r="H55" s="13">
        <f t="shared" si="15"/>
        <v>52</v>
      </c>
      <c r="I55" s="13">
        <f t="shared" si="15"/>
        <v>45</v>
      </c>
      <c r="J55" s="13">
        <f t="shared" si="15"/>
        <v>21</v>
      </c>
      <c r="K55" s="13">
        <f t="shared" si="15"/>
        <v>16</v>
      </c>
      <c r="L55" s="13">
        <f t="shared" si="15"/>
        <v>40</v>
      </c>
      <c r="M55" s="13">
        <f t="shared" si="15"/>
        <v>33</v>
      </c>
      <c r="N55" s="13">
        <f t="shared" si="15"/>
        <v>20</v>
      </c>
      <c r="O55" s="13">
        <f t="shared" si="15"/>
        <v>31</v>
      </c>
      <c r="P55" s="13">
        <f t="shared" si="15"/>
        <v>18</v>
      </c>
      <c r="Q55" s="13">
        <f t="shared" si="15"/>
        <v>43</v>
      </c>
      <c r="R55" s="13">
        <f t="shared" si="15"/>
        <v>24</v>
      </c>
      <c r="S55" s="13">
        <f t="shared" si="15"/>
        <v>29</v>
      </c>
      <c r="T55" s="13">
        <f t="shared" si="15"/>
        <v>35</v>
      </c>
      <c r="U55" s="13">
        <f t="shared" si="15"/>
        <v>33</v>
      </c>
      <c r="V55" s="13">
        <f t="shared" si="15"/>
        <v>51</v>
      </c>
      <c r="W55" s="13">
        <f t="shared" si="15"/>
        <v>33</v>
      </c>
      <c r="X55" s="13">
        <f t="shared" si="15"/>
        <v>37</v>
      </c>
      <c r="Y55" s="13">
        <f t="shared" si="15"/>
        <v>23</v>
      </c>
      <c r="Z55" s="13">
        <f t="shared" si="15"/>
        <v>24</v>
      </c>
      <c r="AA55" s="13">
        <f t="shared" si="15"/>
        <v>36</v>
      </c>
      <c r="AB55" s="13">
        <f t="shared" si="14"/>
        <v>710</v>
      </c>
    </row>
    <row r="56" ht="12.75" customHeight="1">
      <c r="A56" s="48"/>
      <c r="B56" s="47"/>
      <c r="C56" s="47"/>
      <c r="D56" s="47"/>
      <c r="E56" s="47"/>
      <c r="AB56" s="13"/>
    </row>
    <row r="57" ht="12.75" customHeight="1">
      <c r="A57" s="31" t="s">
        <v>36</v>
      </c>
      <c r="B57" s="50" t="s">
        <v>18</v>
      </c>
      <c r="C57" s="51" t="s">
        <v>49</v>
      </c>
      <c r="D57" s="16"/>
      <c r="E57" s="79">
        <v>16.0</v>
      </c>
      <c r="F57" s="79">
        <v>23.0</v>
      </c>
      <c r="G57" s="79">
        <v>17.0</v>
      </c>
      <c r="H57" s="79">
        <v>18.0</v>
      </c>
      <c r="I57" s="79">
        <v>14.0</v>
      </c>
      <c r="J57" s="79">
        <v>19.0</v>
      </c>
      <c r="K57" s="79">
        <v>3.0</v>
      </c>
      <c r="L57" s="79">
        <v>15.0</v>
      </c>
      <c r="M57" s="79">
        <v>8.0</v>
      </c>
      <c r="N57" s="79">
        <v>9.0</v>
      </c>
      <c r="O57" s="79">
        <v>12.0</v>
      </c>
      <c r="P57" s="79">
        <v>7.0</v>
      </c>
      <c r="Q57" s="79">
        <v>15.0</v>
      </c>
      <c r="R57" s="79">
        <v>10.0</v>
      </c>
      <c r="S57" s="79">
        <v>20.0</v>
      </c>
      <c r="T57" s="79">
        <v>18.0</v>
      </c>
      <c r="U57" s="79">
        <v>12.0</v>
      </c>
      <c r="V57" s="79">
        <v>4.0</v>
      </c>
      <c r="W57" s="79">
        <v>12.0</v>
      </c>
      <c r="X57" s="79">
        <v>23.0</v>
      </c>
      <c r="Y57" s="79">
        <v>17.0</v>
      </c>
      <c r="Z57" s="79">
        <v>25.0</v>
      </c>
      <c r="AA57" s="79">
        <v>18.0</v>
      </c>
      <c r="AB57" s="13">
        <f t="shared" ref="AB57:AB67" si="16">SUM(E57:AA57)</f>
        <v>335</v>
      </c>
    </row>
    <row r="58" ht="12.75" customHeight="1">
      <c r="A58" s="31" t="s">
        <v>38</v>
      </c>
      <c r="B58" s="58"/>
      <c r="C58" s="53" t="s">
        <v>50</v>
      </c>
      <c r="D58" s="60"/>
      <c r="E58" s="79">
        <v>12.0</v>
      </c>
      <c r="F58" s="79">
        <v>8.0</v>
      </c>
      <c r="G58" s="79">
        <v>14.0</v>
      </c>
      <c r="H58" s="79">
        <v>3.0</v>
      </c>
      <c r="I58" s="79">
        <v>15.0</v>
      </c>
      <c r="J58" s="79">
        <v>6.0</v>
      </c>
      <c r="K58" s="79">
        <v>11.0</v>
      </c>
      <c r="L58" s="79">
        <v>17.0</v>
      </c>
      <c r="M58" s="79">
        <v>19.0</v>
      </c>
      <c r="N58" s="79">
        <v>19.0</v>
      </c>
      <c r="O58" s="79">
        <v>5.0</v>
      </c>
      <c r="P58" s="79">
        <v>29.0</v>
      </c>
      <c r="Q58" s="79">
        <v>19.0</v>
      </c>
      <c r="R58" s="79">
        <v>50.0</v>
      </c>
      <c r="S58" s="79">
        <v>18.0</v>
      </c>
      <c r="T58" s="79">
        <v>10.0</v>
      </c>
      <c r="U58" s="79">
        <v>9.0</v>
      </c>
      <c r="V58" s="79">
        <v>9.0</v>
      </c>
      <c r="W58" s="79">
        <v>8.0</v>
      </c>
      <c r="X58" s="79">
        <v>45.0</v>
      </c>
      <c r="Y58" s="79">
        <v>13.0</v>
      </c>
      <c r="Z58" s="79">
        <v>16.0</v>
      </c>
      <c r="AA58" s="79">
        <v>25.0</v>
      </c>
      <c r="AB58" s="13">
        <f t="shared" si="16"/>
        <v>380</v>
      </c>
    </row>
    <row r="59" ht="12.75" customHeight="1">
      <c r="A59" s="18"/>
      <c r="B59" s="58"/>
      <c r="C59" s="53" t="s">
        <v>51</v>
      </c>
      <c r="D59" s="60"/>
      <c r="E59" s="79">
        <v>12.0</v>
      </c>
      <c r="F59" s="79">
        <v>3.0</v>
      </c>
      <c r="G59" s="79">
        <v>5.0</v>
      </c>
      <c r="H59" s="79">
        <v>9.0</v>
      </c>
      <c r="I59" s="79">
        <v>7.0</v>
      </c>
      <c r="J59" s="79">
        <v>2.0</v>
      </c>
      <c r="K59" s="79">
        <v>10.0</v>
      </c>
      <c r="L59" s="79">
        <v>18.0</v>
      </c>
      <c r="M59" s="79">
        <v>10.0</v>
      </c>
      <c r="N59" s="79">
        <v>22.0</v>
      </c>
      <c r="O59" s="79">
        <v>19.0</v>
      </c>
      <c r="P59" s="79">
        <v>8.0</v>
      </c>
      <c r="Q59" s="79">
        <v>9.0</v>
      </c>
      <c r="R59" s="79">
        <v>4.0</v>
      </c>
      <c r="S59" s="79">
        <v>9.0</v>
      </c>
      <c r="T59" s="79">
        <v>2.0</v>
      </c>
      <c r="U59" s="79">
        <v>2.0</v>
      </c>
      <c r="V59" s="79">
        <v>1.0</v>
      </c>
      <c r="W59" s="79">
        <v>4.0</v>
      </c>
      <c r="X59" s="79">
        <v>3.0</v>
      </c>
      <c r="Y59" s="79">
        <v>5.0</v>
      </c>
      <c r="Z59" s="79">
        <v>6.0</v>
      </c>
      <c r="AA59" s="79">
        <v>4.0</v>
      </c>
      <c r="AB59" s="13">
        <f t="shared" si="16"/>
        <v>174</v>
      </c>
    </row>
    <row r="60" ht="12.75" customHeight="1">
      <c r="A60" s="18"/>
      <c r="B60" s="58"/>
      <c r="C60" s="53" t="s">
        <v>52</v>
      </c>
      <c r="D60" s="60"/>
      <c r="E60" s="79">
        <v>6.0</v>
      </c>
      <c r="F60" s="79">
        <v>3.0</v>
      </c>
      <c r="G60" s="79">
        <v>2.0</v>
      </c>
      <c r="H60" s="79">
        <v>4.0</v>
      </c>
      <c r="I60" s="79">
        <v>1.0</v>
      </c>
      <c r="J60" s="79">
        <v>1.0</v>
      </c>
      <c r="K60" s="79">
        <v>4.0</v>
      </c>
      <c r="L60" s="79">
        <v>2.0</v>
      </c>
      <c r="M60" s="79">
        <v>5.0</v>
      </c>
      <c r="N60" s="79">
        <v>3.0</v>
      </c>
      <c r="O60" s="79">
        <v>3.0</v>
      </c>
      <c r="P60" s="79">
        <v>3.0</v>
      </c>
      <c r="Q60" s="79">
        <v>3.0</v>
      </c>
      <c r="R60" s="79">
        <v>4.0</v>
      </c>
      <c r="S60" s="79">
        <v>6.0</v>
      </c>
      <c r="T60" s="79">
        <v>0.0</v>
      </c>
      <c r="U60" s="79">
        <v>1.0</v>
      </c>
      <c r="V60" s="79">
        <v>1.0</v>
      </c>
      <c r="W60" s="79">
        <v>0.0</v>
      </c>
      <c r="X60" s="79">
        <v>2.0</v>
      </c>
      <c r="Y60" s="79">
        <v>1.0</v>
      </c>
      <c r="Z60" s="79">
        <v>1.0</v>
      </c>
      <c r="AA60" s="79">
        <v>1.0</v>
      </c>
      <c r="AB60" s="13">
        <f t="shared" si="16"/>
        <v>57</v>
      </c>
    </row>
    <row r="61" ht="12.75" customHeight="1">
      <c r="A61" s="18"/>
      <c r="B61" s="58"/>
      <c r="C61" s="53" t="s">
        <v>53</v>
      </c>
      <c r="D61" s="60"/>
      <c r="E61" s="79">
        <v>3.0</v>
      </c>
      <c r="F61" s="79">
        <v>0.0</v>
      </c>
      <c r="G61" s="79">
        <v>2.0</v>
      </c>
      <c r="H61" s="79">
        <v>6.0</v>
      </c>
      <c r="I61" s="79">
        <v>1.0</v>
      </c>
      <c r="J61" s="79">
        <v>3.0</v>
      </c>
      <c r="K61" s="79">
        <v>1.0</v>
      </c>
      <c r="L61" s="79">
        <v>1.0</v>
      </c>
      <c r="M61" s="79">
        <v>3.0</v>
      </c>
      <c r="N61" s="79">
        <v>5.0</v>
      </c>
      <c r="O61" s="79">
        <v>3.0</v>
      </c>
      <c r="P61" s="79">
        <v>3.0</v>
      </c>
      <c r="Q61" s="79">
        <v>0.0</v>
      </c>
      <c r="R61" s="79">
        <v>0.0</v>
      </c>
      <c r="S61" s="79">
        <v>2.0</v>
      </c>
      <c r="T61" s="79">
        <v>21.0</v>
      </c>
      <c r="U61" s="79">
        <v>30.0</v>
      </c>
      <c r="V61" s="79">
        <v>7.0</v>
      </c>
      <c r="W61" s="79">
        <v>2.0</v>
      </c>
      <c r="X61" s="79">
        <v>3.0</v>
      </c>
      <c r="Y61" s="79">
        <v>2.0</v>
      </c>
      <c r="Z61" s="79">
        <v>7.0</v>
      </c>
      <c r="AA61" s="79">
        <v>1.0</v>
      </c>
      <c r="AB61" s="13">
        <f t="shared" si="16"/>
        <v>106</v>
      </c>
    </row>
    <row r="62" ht="12.75" customHeight="1">
      <c r="A62" s="18"/>
      <c r="B62" s="58"/>
      <c r="C62" s="53" t="s">
        <v>54</v>
      </c>
      <c r="D62" s="60"/>
      <c r="E62" s="79">
        <v>0.0</v>
      </c>
      <c r="F62" s="79">
        <v>0.0</v>
      </c>
      <c r="G62" s="79">
        <v>2.0</v>
      </c>
      <c r="H62" s="79">
        <v>4.0</v>
      </c>
      <c r="I62" s="79">
        <v>1.0</v>
      </c>
      <c r="J62" s="79">
        <v>0.0</v>
      </c>
      <c r="K62" s="79">
        <v>2.0</v>
      </c>
      <c r="L62" s="79">
        <v>4.0</v>
      </c>
      <c r="M62" s="79">
        <v>3.0</v>
      </c>
      <c r="N62" s="79">
        <v>1.0</v>
      </c>
      <c r="O62" s="79">
        <v>1.0</v>
      </c>
      <c r="P62" s="79">
        <v>0.0</v>
      </c>
      <c r="Q62" s="79"/>
      <c r="R62" s="79">
        <v>3.0</v>
      </c>
      <c r="S62" s="79">
        <v>3.0</v>
      </c>
      <c r="T62" s="79">
        <v>1.0</v>
      </c>
      <c r="U62" s="79">
        <v>3.0</v>
      </c>
      <c r="V62" s="79">
        <v>1.0</v>
      </c>
      <c r="W62" s="79">
        <v>1.0</v>
      </c>
      <c r="X62" s="79">
        <v>1.0</v>
      </c>
      <c r="Y62" s="79">
        <v>1.0</v>
      </c>
      <c r="Z62" s="79">
        <v>1.0</v>
      </c>
      <c r="AA62" s="79">
        <v>0.0</v>
      </c>
      <c r="AB62" s="13">
        <f t="shared" si="16"/>
        <v>33</v>
      </c>
    </row>
    <row r="63" ht="12.75" customHeight="1">
      <c r="A63" s="18"/>
      <c r="B63" s="58"/>
      <c r="C63" s="53" t="s">
        <v>55</v>
      </c>
      <c r="D63" s="61"/>
      <c r="E63" s="79">
        <v>1.0</v>
      </c>
      <c r="F63" s="79">
        <v>0.0</v>
      </c>
      <c r="G63" s="79"/>
      <c r="H63" s="79">
        <v>0.0</v>
      </c>
      <c r="I63" s="79">
        <v>0.0</v>
      </c>
      <c r="J63" s="79">
        <v>0.0</v>
      </c>
      <c r="K63" s="79"/>
      <c r="L63" s="79">
        <v>1.0</v>
      </c>
      <c r="M63" s="79">
        <v>0.0</v>
      </c>
      <c r="N63" s="79">
        <v>2.0</v>
      </c>
      <c r="O63" s="79">
        <v>0.0</v>
      </c>
      <c r="P63" s="79">
        <v>0.0</v>
      </c>
      <c r="Q63" s="79"/>
      <c r="R63" s="79">
        <v>1.0</v>
      </c>
      <c r="S63" s="79">
        <v>0.0</v>
      </c>
      <c r="T63" s="79"/>
      <c r="U63" s="79">
        <v>0.0</v>
      </c>
      <c r="V63" s="79">
        <v>0.0</v>
      </c>
      <c r="W63" s="79">
        <v>0.0</v>
      </c>
      <c r="X63" s="79">
        <v>0.0</v>
      </c>
      <c r="Y63" s="79">
        <v>1.0</v>
      </c>
      <c r="Z63" s="79">
        <v>0.0</v>
      </c>
      <c r="AA63" s="79">
        <v>0.0</v>
      </c>
      <c r="AB63" s="13">
        <f t="shared" si="16"/>
        <v>6</v>
      </c>
    </row>
    <row r="64" ht="12.75" customHeight="1">
      <c r="A64" s="18"/>
      <c r="B64" s="58"/>
      <c r="C64" s="53" t="s">
        <v>56</v>
      </c>
      <c r="D64" s="60"/>
      <c r="E64" s="79">
        <v>0.0</v>
      </c>
      <c r="F64" s="79">
        <v>0.0</v>
      </c>
      <c r="G64" s="79"/>
      <c r="H64" s="79">
        <v>1.0</v>
      </c>
      <c r="I64" s="79">
        <v>1.0</v>
      </c>
      <c r="J64" s="79">
        <v>0.0</v>
      </c>
      <c r="K64" s="79"/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/>
      <c r="R64" s="79">
        <v>0.0</v>
      </c>
      <c r="S64" s="79"/>
      <c r="T64" s="79"/>
      <c r="U64" s="79"/>
      <c r="V64" s="79">
        <v>1.0</v>
      </c>
      <c r="W64" s="79">
        <v>0.0</v>
      </c>
      <c r="X64" s="79">
        <v>0.0</v>
      </c>
      <c r="Y64" s="79">
        <v>1.0</v>
      </c>
      <c r="Z64" s="79">
        <v>0.0</v>
      </c>
      <c r="AA64" s="79">
        <v>0.0</v>
      </c>
      <c r="AB64" s="13">
        <f t="shared" si="16"/>
        <v>4</v>
      </c>
    </row>
    <row r="65" ht="12.75" customHeight="1">
      <c r="A65" s="18"/>
      <c r="B65" s="58"/>
      <c r="C65" s="53" t="s">
        <v>57</v>
      </c>
      <c r="D65" s="60"/>
      <c r="E65" s="79">
        <v>1.0</v>
      </c>
      <c r="F65" s="79">
        <v>0.0</v>
      </c>
      <c r="G65" s="79"/>
      <c r="H65" s="79">
        <v>0.0</v>
      </c>
      <c r="I65" s="79">
        <v>0.0</v>
      </c>
      <c r="J65" s="79">
        <v>0.0</v>
      </c>
      <c r="K65" s="79"/>
      <c r="L65" s="79"/>
      <c r="M65" s="79">
        <v>0.0</v>
      </c>
      <c r="N65" s="79">
        <v>1.0</v>
      </c>
      <c r="O65" s="79">
        <v>0.0</v>
      </c>
      <c r="P65" s="79">
        <v>0.0</v>
      </c>
      <c r="Q65" s="79"/>
      <c r="R65" s="79"/>
      <c r="S65" s="79"/>
      <c r="T65" s="79"/>
      <c r="U65" s="79"/>
      <c r="V65" s="79">
        <v>0.0</v>
      </c>
      <c r="W65" s="79">
        <v>0.0</v>
      </c>
      <c r="X65" s="79">
        <v>0.0</v>
      </c>
      <c r="Y65" s="79">
        <v>0.0</v>
      </c>
      <c r="Z65" s="79">
        <v>0.0</v>
      </c>
      <c r="AA65" s="79">
        <v>0.0</v>
      </c>
      <c r="AB65" s="13">
        <f t="shared" si="16"/>
        <v>2</v>
      </c>
    </row>
    <row r="66" ht="12.75" customHeight="1">
      <c r="A66" s="18"/>
      <c r="B66" s="58"/>
      <c r="C66" s="53" t="s">
        <v>58</v>
      </c>
      <c r="D66" s="60"/>
      <c r="E66" s="79">
        <v>0.0</v>
      </c>
      <c r="F66" s="79">
        <v>0.0</v>
      </c>
      <c r="G66" s="79"/>
      <c r="H66" s="79">
        <v>0.0</v>
      </c>
      <c r="I66" s="79">
        <v>0.0</v>
      </c>
      <c r="J66" s="79">
        <v>0.0</v>
      </c>
      <c r="K66" s="79"/>
      <c r="L66" s="79">
        <v>1.0</v>
      </c>
      <c r="M66" s="79">
        <v>0.0</v>
      </c>
      <c r="N66" s="79">
        <v>0.0</v>
      </c>
      <c r="O66" s="79">
        <v>0.0</v>
      </c>
      <c r="P66" s="79">
        <v>0.0</v>
      </c>
      <c r="Q66" s="79"/>
      <c r="R66" s="79"/>
      <c r="S66" s="79"/>
      <c r="T66" s="79"/>
      <c r="U66" s="79"/>
      <c r="V66" s="79">
        <v>1.0</v>
      </c>
      <c r="W66" s="79">
        <v>0.0</v>
      </c>
      <c r="X66" s="79">
        <v>1.0</v>
      </c>
      <c r="Y66" s="79">
        <v>1.0</v>
      </c>
      <c r="Z66" s="79">
        <v>0.0</v>
      </c>
      <c r="AA66" s="79">
        <v>1.0</v>
      </c>
      <c r="AB66" s="13">
        <f t="shared" si="16"/>
        <v>5</v>
      </c>
    </row>
    <row r="67" ht="12.75" customHeight="1">
      <c r="A67" s="19" t="s">
        <v>14</v>
      </c>
      <c r="B67" s="50" t="s">
        <v>48</v>
      </c>
      <c r="C67" s="15"/>
      <c r="D67" s="16"/>
      <c r="E67" s="13">
        <f t="shared" ref="E67:AA67" si="17">SUM(E57:E66)</f>
        <v>51</v>
      </c>
      <c r="F67" s="13">
        <f t="shared" si="17"/>
        <v>37</v>
      </c>
      <c r="G67" s="13">
        <f t="shared" si="17"/>
        <v>42</v>
      </c>
      <c r="H67" s="13">
        <f t="shared" si="17"/>
        <v>45</v>
      </c>
      <c r="I67" s="13">
        <f t="shared" si="17"/>
        <v>40</v>
      </c>
      <c r="J67" s="13">
        <f t="shared" si="17"/>
        <v>31</v>
      </c>
      <c r="K67" s="13">
        <f t="shared" si="17"/>
        <v>31</v>
      </c>
      <c r="L67" s="13">
        <f t="shared" si="17"/>
        <v>59</v>
      </c>
      <c r="M67" s="13">
        <f t="shared" si="17"/>
        <v>48</v>
      </c>
      <c r="N67" s="13">
        <f t="shared" si="17"/>
        <v>62</v>
      </c>
      <c r="O67" s="13">
        <f t="shared" si="17"/>
        <v>43</v>
      </c>
      <c r="P67" s="13">
        <f t="shared" si="17"/>
        <v>50</v>
      </c>
      <c r="Q67" s="13">
        <f t="shared" si="17"/>
        <v>46</v>
      </c>
      <c r="R67" s="13">
        <f t="shared" si="17"/>
        <v>72</v>
      </c>
      <c r="S67" s="13">
        <f t="shared" si="17"/>
        <v>58</v>
      </c>
      <c r="T67" s="13">
        <f t="shared" si="17"/>
        <v>52</v>
      </c>
      <c r="U67" s="13">
        <f t="shared" si="17"/>
        <v>57</v>
      </c>
      <c r="V67" s="13">
        <f t="shared" si="17"/>
        <v>25</v>
      </c>
      <c r="W67" s="13">
        <f t="shared" si="17"/>
        <v>27</v>
      </c>
      <c r="X67" s="13">
        <f t="shared" si="17"/>
        <v>78</v>
      </c>
      <c r="Y67" s="13">
        <f t="shared" si="17"/>
        <v>42</v>
      </c>
      <c r="Z67" s="13">
        <f t="shared" si="17"/>
        <v>56</v>
      </c>
      <c r="AA67" s="13">
        <f t="shared" si="17"/>
        <v>50</v>
      </c>
      <c r="AB67" s="13">
        <f t="shared" si="16"/>
        <v>1102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36</v>
      </c>
      <c r="B69" s="50" t="s">
        <v>20</v>
      </c>
      <c r="C69" s="51" t="s">
        <v>59</v>
      </c>
      <c r="D69" s="16"/>
      <c r="E69" s="79">
        <v>6.0</v>
      </c>
      <c r="F69" s="79">
        <v>9.0</v>
      </c>
      <c r="G69" s="79">
        <v>28.0</v>
      </c>
      <c r="H69" s="79">
        <v>14.0</v>
      </c>
      <c r="I69" s="79">
        <v>24.0</v>
      </c>
      <c r="J69" s="79">
        <v>9.0</v>
      </c>
      <c r="K69" s="79">
        <v>16.0</v>
      </c>
      <c r="L69" s="79">
        <v>18.0</v>
      </c>
      <c r="M69" s="79">
        <v>7.0</v>
      </c>
      <c r="N69" s="79">
        <v>5.0</v>
      </c>
      <c r="O69" s="79">
        <v>5.0</v>
      </c>
      <c r="P69" s="79">
        <v>6.0</v>
      </c>
      <c r="Q69" s="79">
        <v>6.0</v>
      </c>
      <c r="R69" s="79">
        <v>4.0</v>
      </c>
      <c r="S69" s="79">
        <v>6.0</v>
      </c>
      <c r="T69" s="79">
        <v>25.0</v>
      </c>
      <c r="U69" s="79">
        <v>16.0</v>
      </c>
      <c r="V69" s="79">
        <v>12.0</v>
      </c>
      <c r="W69" s="79">
        <v>18.0</v>
      </c>
      <c r="X69" s="79">
        <v>16.0</v>
      </c>
      <c r="Y69" s="79">
        <v>11.0</v>
      </c>
      <c r="Z69" s="79">
        <v>9.0</v>
      </c>
      <c r="AA69" s="79">
        <v>11.0</v>
      </c>
      <c r="AB69" s="13">
        <f t="shared" ref="AB69:AB79" si="18">SUM(E69:AA69)</f>
        <v>281</v>
      </c>
    </row>
    <row r="70" ht="12.75" customHeight="1">
      <c r="A70" s="31" t="s">
        <v>38</v>
      </c>
      <c r="B70" s="58"/>
      <c r="C70" s="53" t="s">
        <v>60</v>
      </c>
      <c r="D70" s="61"/>
      <c r="E70" s="79">
        <v>4.0</v>
      </c>
      <c r="F70" s="79">
        <v>5.0</v>
      </c>
      <c r="G70" s="79">
        <v>5.0</v>
      </c>
      <c r="H70" s="79">
        <v>2.0</v>
      </c>
      <c r="I70" s="79">
        <v>5.0</v>
      </c>
      <c r="J70" s="79">
        <v>5.0</v>
      </c>
      <c r="K70" s="79">
        <v>5.0</v>
      </c>
      <c r="L70" s="79">
        <v>9.0</v>
      </c>
      <c r="M70" s="79">
        <v>4.0</v>
      </c>
      <c r="N70" s="79">
        <v>3.0</v>
      </c>
      <c r="O70" s="79">
        <v>4.0</v>
      </c>
      <c r="P70" s="79">
        <v>4.0</v>
      </c>
      <c r="Q70" s="79">
        <v>1.0</v>
      </c>
      <c r="R70" s="79">
        <v>2.0</v>
      </c>
      <c r="S70" s="79">
        <v>2.0</v>
      </c>
      <c r="T70" s="79">
        <v>7.0</v>
      </c>
      <c r="U70" s="79">
        <v>7.0</v>
      </c>
      <c r="V70" s="79">
        <v>2.0</v>
      </c>
      <c r="W70" s="79">
        <v>5.0</v>
      </c>
      <c r="X70" s="79">
        <v>4.0</v>
      </c>
      <c r="Y70" s="79">
        <v>2.0</v>
      </c>
      <c r="Z70" s="79">
        <v>2.0</v>
      </c>
      <c r="AA70" s="79">
        <v>4.0</v>
      </c>
      <c r="AB70" s="13">
        <f t="shared" si="18"/>
        <v>93</v>
      </c>
    </row>
    <row r="71" ht="12.75" customHeight="1">
      <c r="A71" s="18"/>
      <c r="B71" s="58"/>
      <c r="C71" s="53" t="s">
        <v>61</v>
      </c>
      <c r="D71" s="61"/>
      <c r="E71" s="79">
        <v>8.0</v>
      </c>
      <c r="F71" s="79">
        <v>4.0</v>
      </c>
      <c r="G71" s="79">
        <v>15.0</v>
      </c>
      <c r="H71" s="79">
        <v>8.0</v>
      </c>
      <c r="I71" s="79">
        <v>8.0</v>
      </c>
      <c r="J71" s="79">
        <v>1.0</v>
      </c>
      <c r="K71" s="79">
        <v>9.0</v>
      </c>
      <c r="L71" s="79">
        <v>5.0</v>
      </c>
      <c r="M71" s="79">
        <v>1.0</v>
      </c>
      <c r="N71" s="79">
        <v>5.0</v>
      </c>
      <c r="O71" s="79">
        <v>5.0</v>
      </c>
      <c r="P71" s="79">
        <v>2.0</v>
      </c>
      <c r="Q71" s="79">
        <v>2.0</v>
      </c>
      <c r="R71" s="79">
        <v>1.0</v>
      </c>
      <c r="S71" s="79">
        <v>5.0</v>
      </c>
      <c r="T71" s="79">
        <v>21.0</v>
      </c>
      <c r="U71" s="79">
        <v>19.0</v>
      </c>
      <c r="V71" s="79">
        <v>6.0</v>
      </c>
      <c r="W71" s="79">
        <v>4.0</v>
      </c>
      <c r="X71" s="79">
        <v>6.0</v>
      </c>
      <c r="Y71" s="79">
        <v>12.0</v>
      </c>
      <c r="Z71" s="79">
        <v>3.0</v>
      </c>
      <c r="AA71" s="79">
        <v>2.0</v>
      </c>
      <c r="AB71" s="13">
        <f t="shared" si="18"/>
        <v>152</v>
      </c>
    </row>
    <row r="72" ht="12.75" customHeight="1">
      <c r="A72" s="18"/>
      <c r="B72" s="58"/>
      <c r="C72" s="53" t="s">
        <v>62</v>
      </c>
      <c r="D72" s="61"/>
      <c r="E72" s="79">
        <v>3.0</v>
      </c>
      <c r="F72" s="79">
        <v>2.0</v>
      </c>
      <c r="G72" s="79">
        <v>7.0</v>
      </c>
      <c r="H72" s="79">
        <v>7.0</v>
      </c>
      <c r="I72" s="79">
        <v>4.0</v>
      </c>
      <c r="J72" s="79">
        <v>2.0</v>
      </c>
      <c r="K72" s="79">
        <v>3.0</v>
      </c>
      <c r="L72" s="79">
        <v>2.0</v>
      </c>
      <c r="M72" s="79">
        <v>4.0</v>
      </c>
      <c r="N72" s="79">
        <v>3.0</v>
      </c>
      <c r="O72" s="79">
        <v>0.0</v>
      </c>
      <c r="P72" s="79">
        <v>1.0</v>
      </c>
      <c r="Q72" s="79">
        <v>4.0</v>
      </c>
      <c r="R72" s="79">
        <v>1.0</v>
      </c>
      <c r="S72" s="79">
        <v>1.0</v>
      </c>
      <c r="T72" s="79">
        <v>1.0</v>
      </c>
      <c r="U72" s="79">
        <v>2.0</v>
      </c>
      <c r="V72" s="79">
        <v>3.0</v>
      </c>
      <c r="W72" s="79">
        <v>5.0</v>
      </c>
      <c r="X72" s="79">
        <v>6.0</v>
      </c>
      <c r="Y72" s="79">
        <v>10.0</v>
      </c>
      <c r="Z72" s="79">
        <v>2.0</v>
      </c>
      <c r="AA72" s="79">
        <v>3.0</v>
      </c>
      <c r="AB72" s="13">
        <f t="shared" si="18"/>
        <v>76</v>
      </c>
    </row>
    <row r="73" ht="12.75" customHeight="1">
      <c r="A73" s="18"/>
      <c r="B73" s="58"/>
      <c r="C73" s="53" t="s">
        <v>63</v>
      </c>
      <c r="D73" s="61"/>
      <c r="E73" s="79">
        <v>4.0</v>
      </c>
      <c r="F73" s="79">
        <v>8.0</v>
      </c>
      <c r="G73" s="79">
        <v>10.0</v>
      </c>
      <c r="H73" s="79">
        <v>3.0</v>
      </c>
      <c r="I73" s="79">
        <v>1.0</v>
      </c>
      <c r="J73" s="79">
        <v>2.0</v>
      </c>
      <c r="K73" s="79">
        <v>13.0</v>
      </c>
      <c r="L73" s="79">
        <v>6.0</v>
      </c>
      <c r="M73" s="79">
        <v>9.0</v>
      </c>
      <c r="N73" s="79">
        <v>1.0</v>
      </c>
      <c r="O73" s="79">
        <v>1.0</v>
      </c>
      <c r="P73" s="79">
        <v>3.0</v>
      </c>
      <c r="Q73" s="79">
        <v>2.0</v>
      </c>
      <c r="R73" s="79">
        <v>0.0</v>
      </c>
      <c r="S73" s="79">
        <v>0.0</v>
      </c>
      <c r="T73" s="79">
        <v>2.0</v>
      </c>
      <c r="U73" s="79">
        <v>0.0</v>
      </c>
      <c r="V73" s="79">
        <v>3.0</v>
      </c>
      <c r="W73" s="79">
        <v>7.0</v>
      </c>
      <c r="X73" s="79">
        <v>2.0</v>
      </c>
      <c r="Y73" s="79">
        <v>12.0</v>
      </c>
      <c r="Z73" s="79">
        <v>3.0</v>
      </c>
      <c r="AA73" s="79">
        <v>4.0</v>
      </c>
      <c r="AB73" s="13">
        <f t="shared" si="18"/>
        <v>96</v>
      </c>
    </row>
    <row r="74" ht="12.75" customHeight="1">
      <c r="A74" s="18"/>
      <c r="B74" s="58"/>
      <c r="C74" s="53" t="s">
        <v>64</v>
      </c>
      <c r="D74" s="61"/>
      <c r="E74" s="79">
        <v>1.0</v>
      </c>
      <c r="F74" s="79">
        <v>4.0</v>
      </c>
      <c r="G74" s="79">
        <v>2.0</v>
      </c>
      <c r="H74" s="79">
        <v>4.0</v>
      </c>
      <c r="I74" s="79">
        <v>0.0</v>
      </c>
      <c r="J74" s="79">
        <v>0.0</v>
      </c>
      <c r="K74" s="79">
        <v>6.0</v>
      </c>
      <c r="L74" s="79">
        <v>1.0</v>
      </c>
      <c r="M74" s="79">
        <v>4.0</v>
      </c>
      <c r="N74" s="79">
        <v>2.0</v>
      </c>
      <c r="O74" s="79">
        <v>4.0</v>
      </c>
      <c r="P74" s="79">
        <v>0.0</v>
      </c>
      <c r="Q74" s="79">
        <v>1.0</v>
      </c>
      <c r="R74" s="79">
        <v>1.0</v>
      </c>
      <c r="S74" s="79">
        <v>1.0</v>
      </c>
      <c r="T74" s="79">
        <v>0.0</v>
      </c>
      <c r="U74" s="79">
        <v>1.0</v>
      </c>
      <c r="V74" s="79">
        <v>4.0</v>
      </c>
      <c r="W74" s="79">
        <v>1.0</v>
      </c>
      <c r="X74" s="79">
        <v>0.0</v>
      </c>
      <c r="Y74" s="79">
        <v>5.0</v>
      </c>
      <c r="Z74" s="79">
        <v>2.0</v>
      </c>
      <c r="AA74" s="79">
        <v>2.0</v>
      </c>
      <c r="AB74" s="13">
        <f t="shared" si="18"/>
        <v>46</v>
      </c>
    </row>
    <row r="75" ht="12.75" customHeight="1">
      <c r="A75" s="18"/>
      <c r="B75" s="58"/>
      <c r="C75" s="53" t="s">
        <v>65</v>
      </c>
      <c r="D75" s="61"/>
      <c r="E75" s="79">
        <v>1.0</v>
      </c>
      <c r="F75" s="79">
        <v>0.0</v>
      </c>
      <c r="G75" s="79">
        <v>1.0</v>
      </c>
      <c r="H75" s="79">
        <v>1.0</v>
      </c>
      <c r="I75" s="79">
        <v>0.0</v>
      </c>
      <c r="J75" s="79">
        <v>1.0</v>
      </c>
      <c r="K75" s="79">
        <v>3.0</v>
      </c>
      <c r="L75" s="79">
        <v>1.0</v>
      </c>
      <c r="M75" s="79">
        <v>0.0</v>
      </c>
      <c r="N75" s="79">
        <v>3.0</v>
      </c>
      <c r="O75" s="79">
        <v>1.0</v>
      </c>
      <c r="P75" s="79">
        <v>0.0</v>
      </c>
      <c r="Q75" s="79">
        <v>0.0</v>
      </c>
      <c r="R75" s="79"/>
      <c r="S75" s="79">
        <v>1.0</v>
      </c>
      <c r="T75" s="79">
        <v>1.0</v>
      </c>
      <c r="U75" s="79">
        <v>1.0</v>
      </c>
      <c r="V75" s="79">
        <v>0.0</v>
      </c>
      <c r="W75" s="79">
        <v>1.0</v>
      </c>
      <c r="X75" s="79">
        <v>0.0</v>
      </c>
      <c r="Y75" s="79">
        <v>0.0</v>
      </c>
      <c r="Z75" s="79">
        <v>0.0</v>
      </c>
      <c r="AA75" s="79">
        <v>0.0</v>
      </c>
      <c r="AB75" s="13">
        <f t="shared" si="18"/>
        <v>16</v>
      </c>
    </row>
    <row r="76" ht="12.75" customHeight="1">
      <c r="A76" s="18"/>
      <c r="B76" s="58"/>
      <c r="C76" s="53" t="s">
        <v>66</v>
      </c>
      <c r="D76" s="61"/>
      <c r="E76" s="79">
        <v>1.0</v>
      </c>
      <c r="F76" s="79">
        <v>1.0</v>
      </c>
      <c r="G76" s="79">
        <v>0.0</v>
      </c>
      <c r="H76" s="79">
        <v>0.0</v>
      </c>
      <c r="I76" s="79">
        <v>2.0</v>
      </c>
      <c r="J76" s="79">
        <v>2.0</v>
      </c>
      <c r="K76" s="79">
        <v>4.0</v>
      </c>
      <c r="L76" s="79">
        <v>2.0</v>
      </c>
      <c r="M76" s="79">
        <v>12.0</v>
      </c>
      <c r="N76" s="79">
        <v>4.0</v>
      </c>
      <c r="O76" s="79">
        <v>3.0</v>
      </c>
      <c r="P76" s="79">
        <v>0.0</v>
      </c>
      <c r="Q76" s="79"/>
      <c r="R76" s="79">
        <v>1.0</v>
      </c>
      <c r="S76" s="79">
        <v>1.0</v>
      </c>
      <c r="T76" s="79"/>
      <c r="U76" s="79">
        <v>1.0</v>
      </c>
      <c r="V76" s="79">
        <v>0.0</v>
      </c>
      <c r="W76" s="79">
        <v>0.0</v>
      </c>
      <c r="X76" s="79">
        <v>1.0</v>
      </c>
      <c r="Y76" s="79">
        <v>2.0</v>
      </c>
      <c r="Z76" s="79">
        <v>1.0</v>
      </c>
      <c r="AA76" s="79">
        <v>0.0</v>
      </c>
      <c r="AB76" s="13">
        <f t="shared" si="18"/>
        <v>38</v>
      </c>
    </row>
    <row r="77" ht="12.75" customHeight="1">
      <c r="A77" s="18"/>
      <c r="B77" s="58"/>
      <c r="C77" s="53" t="s">
        <v>67</v>
      </c>
      <c r="D77" s="61"/>
      <c r="E77" s="79">
        <v>1.0</v>
      </c>
      <c r="F77" s="79">
        <v>0.0</v>
      </c>
      <c r="G77" s="79">
        <v>1.0</v>
      </c>
      <c r="H77" s="79">
        <v>3.0</v>
      </c>
      <c r="I77" s="79">
        <v>0.0</v>
      </c>
      <c r="J77" s="79">
        <v>1.0</v>
      </c>
      <c r="K77" s="79">
        <v>0.0</v>
      </c>
      <c r="L77" s="79">
        <v>0.0</v>
      </c>
      <c r="M77" s="79">
        <v>2.0</v>
      </c>
      <c r="N77" s="79">
        <v>2.0</v>
      </c>
      <c r="O77" s="79">
        <v>1.0</v>
      </c>
      <c r="P77" s="79">
        <v>0.0</v>
      </c>
      <c r="Q77" s="79"/>
      <c r="R77" s="79"/>
      <c r="S77" s="79">
        <v>1.0</v>
      </c>
      <c r="T77" s="79"/>
      <c r="U77" s="79"/>
      <c r="V77" s="79">
        <v>0.0</v>
      </c>
      <c r="W77" s="79">
        <v>2.0</v>
      </c>
      <c r="X77" s="79">
        <v>0.0</v>
      </c>
      <c r="Y77" s="79">
        <v>0.0</v>
      </c>
      <c r="Z77" s="79">
        <v>0.0</v>
      </c>
      <c r="AA77" s="79">
        <v>1.0</v>
      </c>
      <c r="AB77" s="13">
        <f t="shared" si="18"/>
        <v>15</v>
      </c>
    </row>
    <row r="78" ht="12.75" customHeight="1">
      <c r="A78" s="18"/>
      <c r="B78" s="58"/>
      <c r="C78" s="53" t="s">
        <v>68</v>
      </c>
      <c r="D78" s="61"/>
      <c r="E78" s="79">
        <v>2.0</v>
      </c>
      <c r="F78" s="79">
        <v>0.0</v>
      </c>
      <c r="G78" s="79"/>
      <c r="H78" s="79">
        <v>0.0</v>
      </c>
      <c r="I78" s="79">
        <v>0.0</v>
      </c>
      <c r="J78" s="79">
        <v>3.0</v>
      </c>
      <c r="K78" s="79">
        <v>3.0</v>
      </c>
      <c r="L78" s="79">
        <v>0.0</v>
      </c>
      <c r="M78" s="79">
        <v>0.0</v>
      </c>
      <c r="N78" s="79">
        <v>1.0</v>
      </c>
      <c r="O78" s="79">
        <v>0.0</v>
      </c>
      <c r="P78" s="79">
        <v>0.0</v>
      </c>
      <c r="Q78" s="79">
        <v>1.0</v>
      </c>
      <c r="R78" s="79"/>
      <c r="S78" s="79">
        <v>0.0</v>
      </c>
      <c r="T78" s="79"/>
      <c r="U78" s="79"/>
      <c r="V78" s="79">
        <v>0.0</v>
      </c>
      <c r="W78" s="79">
        <v>0.0</v>
      </c>
      <c r="X78" s="79">
        <v>0.0</v>
      </c>
      <c r="Y78" s="79">
        <v>1.0</v>
      </c>
      <c r="Z78" s="79">
        <v>0.0</v>
      </c>
      <c r="AA78" s="79">
        <v>0.0</v>
      </c>
      <c r="AB78" s="13">
        <f t="shared" si="18"/>
        <v>11</v>
      </c>
    </row>
    <row r="79" ht="12.75" customHeight="1">
      <c r="A79" s="19" t="s">
        <v>14</v>
      </c>
      <c r="B79" s="50" t="s">
        <v>48</v>
      </c>
      <c r="C79" s="15"/>
      <c r="D79" s="16"/>
      <c r="E79" s="13">
        <f t="shared" ref="E79:AA79" si="19">SUM(E69:E78)</f>
        <v>31</v>
      </c>
      <c r="F79" s="13">
        <f t="shared" si="19"/>
        <v>33</v>
      </c>
      <c r="G79" s="13">
        <f t="shared" si="19"/>
        <v>69</v>
      </c>
      <c r="H79" s="13">
        <f t="shared" si="19"/>
        <v>42</v>
      </c>
      <c r="I79" s="13">
        <f t="shared" si="19"/>
        <v>44</v>
      </c>
      <c r="J79" s="13">
        <f t="shared" si="19"/>
        <v>26</v>
      </c>
      <c r="K79" s="13">
        <f t="shared" si="19"/>
        <v>62</v>
      </c>
      <c r="L79" s="13">
        <f t="shared" si="19"/>
        <v>44</v>
      </c>
      <c r="M79" s="13">
        <f t="shared" si="19"/>
        <v>43</v>
      </c>
      <c r="N79" s="13">
        <f t="shared" si="19"/>
        <v>29</v>
      </c>
      <c r="O79" s="13">
        <f t="shared" si="19"/>
        <v>24</v>
      </c>
      <c r="P79" s="13">
        <f t="shared" si="19"/>
        <v>16</v>
      </c>
      <c r="Q79" s="13">
        <f t="shared" si="19"/>
        <v>17</v>
      </c>
      <c r="R79" s="13">
        <f t="shared" si="19"/>
        <v>10</v>
      </c>
      <c r="S79" s="13">
        <f t="shared" si="19"/>
        <v>18</v>
      </c>
      <c r="T79" s="13">
        <f t="shared" si="19"/>
        <v>57</v>
      </c>
      <c r="U79" s="13">
        <f t="shared" si="19"/>
        <v>47</v>
      </c>
      <c r="V79" s="13">
        <f t="shared" si="19"/>
        <v>30</v>
      </c>
      <c r="W79" s="13">
        <f t="shared" si="19"/>
        <v>43</v>
      </c>
      <c r="X79" s="13">
        <f t="shared" si="19"/>
        <v>35</v>
      </c>
      <c r="Y79" s="13">
        <f t="shared" si="19"/>
        <v>55</v>
      </c>
      <c r="Z79" s="13">
        <f t="shared" si="19"/>
        <v>22</v>
      </c>
      <c r="AA79" s="13">
        <f t="shared" si="19"/>
        <v>27</v>
      </c>
      <c r="AB79" s="13">
        <f t="shared" si="18"/>
        <v>824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36</v>
      </c>
      <c r="B81" s="50" t="s">
        <v>22</v>
      </c>
      <c r="C81" s="51" t="s">
        <v>69</v>
      </c>
      <c r="D81" s="16"/>
      <c r="E81" s="79">
        <v>1.0</v>
      </c>
      <c r="F81" s="79">
        <v>4.0</v>
      </c>
      <c r="G81" s="79">
        <v>7.0</v>
      </c>
      <c r="H81" s="79">
        <v>3.0</v>
      </c>
      <c r="I81" s="79">
        <v>6.0</v>
      </c>
      <c r="J81" s="79">
        <v>5.0</v>
      </c>
      <c r="K81" s="79">
        <v>6.0</v>
      </c>
      <c r="L81" s="79">
        <v>3.0</v>
      </c>
      <c r="M81" s="79">
        <v>2.0</v>
      </c>
      <c r="N81" s="79">
        <v>2.0</v>
      </c>
      <c r="O81" s="79">
        <v>1.0</v>
      </c>
      <c r="P81" s="79">
        <v>1.0</v>
      </c>
      <c r="Q81" s="79">
        <v>3.0</v>
      </c>
      <c r="R81" s="79">
        <v>7.0</v>
      </c>
      <c r="S81" s="79">
        <v>5.0</v>
      </c>
      <c r="T81" s="79">
        <v>7.0</v>
      </c>
      <c r="U81" s="79">
        <v>8.0</v>
      </c>
      <c r="V81" s="79">
        <v>5.0</v>
      </c>
      <c r="W81" s="79">
        <v>5.0</v>
      </c>
      <c r="X81" s="79">
        <v>5.0</v>
      </c>
      <c r="Y81" s="79">
        <v>9.0</v>
      </c>
      <c r="Z81" s="79">
        <v>17.0</v>
      </c>
      <c r="AA81" s="79">
        <v>16.0</v>
      </c>
      <c r="AB81" s="13">
        <f t="shared" ref="AB81:AB91" si="20">SUM(E81:AA81)</f>
        <v>128</v>
      </c>
    </row>
    <row r="82" ht="12.75" customHeight="1">
      <c r="A82" s="31" t="s">
        <v>38</v>
      </c>
      <c r="B82" s="58"/>
      <c r="C82" s="53" t="s">
        <v>70</v>
      </c>
      <c r="D82" s="61"/>
      <c r="E82" s="79">
        <v>4.0</v>
      </c>
      <c r="F82" s="79">
        <v>7.0</v>
      </c>
      <c r="G82" s="79">
        <v>6.0</v>
      </c>
      <c r="H82" s="79">
        <v>0.0</v>
      </c>
      <c r="I82" s="79">
        <v>4.0</v>
      </c>
      <c r="J82" s="79">
        <v>2.0</v>
      </c>
      <c r="K82" s="79">
        <v>2.0</v>
      </c>
      <c r="L82" s="79">
        <v>1.0</v>
      </c>
      <c r="M82" s="79">
        <v>0.0</v>
      </c>
      <c r="N82" s="79">
        <v>3.0</v>
      </c>
      <c r="O82" s="79">
        <v>5.0</v>
      </c>
      <c r="P82" s="79">
        <v>3.0</v>
      </c>
      <c r="Q82" s="79">
        <v>2.0</v>
      </c>
      <c r="R82" s="79">
        <v>7.0</v>
      </c>
      <c r="S82" s="79">
        <v>8.0</v>
      </c>
      <c r="T82" s="79">
        <v>8.0</v>
      </c>
      <c r="U82" s="79">
        <v>9.0</v>
      </c>
      <c r="V82" s="79">
        <v>58.0</v>
      </c>
      <c r="W82" s="79">
        <v>17.0</v>
      </c>
      <c r="X82" s="79">
        <v>5.0</v>
      </c>
      <c r="Y82" s="79">
        <v>6.0</v>
      </c>
      <c r="Z82" s="79">
        <v>18.0</v>
      </c>
      <c r="AA82" s="79">
        <v>18.0</v>
      </c>
      <c r="AB82" s="13">
        <f t="shared" si="20"/>
        <v>193</v>
      </c>
    </row>
    <row r="83" ht="12.75" customHeight="1">
      <c r="A83" s="18"/>
      <c r="B83" s="58"/>
      <c r="C83" s="53" t="s">
        <v>71</v>
      </c>
      <c r="D83" s="61"/>
      <c r="E83" s="79">
        <v>1.0</v>
      </c>
      <c r="F83" s="79">
        <v>2.0</v>
      </c>
      <c r="G83" s="79">
        <v>2.0</v>
      </c>
      <c r="H83" s="79">
        <v>3.0</v>
      </c>
      <c r="I83" s="79">
        <v>0.0</v>
      </c>
      <c r="J83" s="79">
        <v>0.0</v>
      </c>
      <c r="K83" s="79">
        <v>1.0</v>
      </c>
      <c r="L83" s="79">
        <v>0.0</v>
      </c>
      <c r="M83" s="79">
        <v>1.0</v>
      </c>
      <c r="N83" s="79">
        <v>0.0</v>
      </c>
      <c r="O83" s="79">
        <v>1.0</v>
      </c>
      <c r="P83" s="79">
        <v>1.0</v>
      </c>
      <c r="Q83" s="79">
        <v>1.0</v>
      </c>
      <c r="R83" s="79">
        <v>2.0</v>
      </c>
      <c r="S83" s="79">
        <v>1.0</v>
      </c>
      <c r="T83" s="79">
        <v>0.0</v>
      </c>
      <c r="U83" s="79">
        <v>0.0</v>
      </c>
      <c r="V83" s="79">
        <v>4.0</v>
      </c>
      <c r="W83" s="79">
        <v>0.0</v>
      </c>
      <c r="X83" s="79">
        <v>0.0</v>
      </c>
      <c r="Y83" s="79">
        <v>2.0</v>
      </c>
      <c r="Z83" s="79">
        <v>6.0</v>
      </c>
      <c r="AA83" s="79">
        <v>2.0</v>
      </c>
      <c r="AB83" s="13">
        <f t="shared" si="20"/>
        <v>30</v>
      </c>
    </row>
    <row r="84" ht="12.75" customHeight="1">
      <c r="A84" s="18"/>
      <c r="B84" s="58"/>
      <c r="C84" s="53" t="s">
        <v>72</v>
      </c>
      <c r="D84" s="61"/>
      <c r="E84" s="79">
        <v>1.0</v>
      </c>
      <c r="F84" s="79">
        <v>4.0</v>
      </c>
      <c r="G84" s="79">
        <v>1.0</v>
      </c>
      <c r="H84" s="79">
        <v>2.0</v>
      </c>
      <c r="I84" s="79">
        <v>3.0</v>
      </c>
      <c r="J84" s="79">
        <v>0.0</v>
      </c>
      <c r="K84" s="79">
        <v>3.0</v>
      </c>
      <c r="L84" s="79">
        <v>1.0</v>
      </c>
      <c r="M84" s="79">
        <v>0.0</v>
      </c>
      <c r="N84" s="79">
        <v>0.0</v>
      </c>
      <c r="O84" s="79">
        <v>0.0</v>
      </c>
      <c r="P84" s="79">
        <v>0.0</v>
      </c>
      <c r="Q84" s="79">
        <v>2.0</v>
      </c>
      <c r="R84" s="79">
        <v>0.0</v>
      </c>
      <c r="S84" s="79">
        <v>2.0</v>
      </c>
      <c r="T84" s="79">
        <v>2.0</v>
      </c>
      <c r="U84" s="79">
        <v>1.0</v>
      </c>
      <c r="V84" s="79">
        <v>2.0</v>
      </c>
      <c r="W84" s="79">
        <v>4.0</v>
      </c>
      <c r="X84" s="79">
        <v>2.0</v>
      </c>
      <c r="Y84" s="79">
        <v>5.0</v>
      </c>
      <c r="Z84" s="79">
        <v>2.0</v>
      </c>
      <c r="AA84" s="79">
        <v>0.0</v>
      </c>
      <c r="AB84" s="13">
        <f t="shared" si="20"/>
        <v>37</v>
      </c>
    </row>
    <row r="85" ht="12.75" customHeight="1">
      <c r="A85" s="18"/>
      <c r="B85" s="58"/>
      <c r="C85" s="53" t="s">
        <v>73</v>
      </c>
      <c r="D85" s="61"/>
      <c r="E85" s="79">
        <v>0.0</v>
      </c>
      <c r="F85" s="79">
        <v>2.0</v>
      </c>
      <c r="G85" s="79"/>
      <c r="H85" s="79">
        <v>1.0</v>
      </c>
      <c r="I85" s="79">
        <v>0.0</v>
      </c>
      <c r="J85" s="79">
        <v>1.0</v>
      </c>
      <c r="K85" s="79">
        <v>1.0</v>
      </c>
      <c r="L85" s="79">
        <v>0.0</v>
      </c>
      <c r="M85" s="79">
        <v>0.0</v>
      </c>
      <c r="N85" s="79">
        <v>0.0</v>
      </c>
      <c r="O85" s="79">
        <v>3.0</v>
      </c>
      <c r="P85" s="79">
        <v>2.0</v>
      </c>
      <c r="Q85" s="79">
        <v>1.0</v>
      </c>
      <c r="R85" s="79">
        <v>4.0</v>
      </c>
      <c r="S85" s="79">
        <v>2.0</v>
      </c>
      <c r="T85" s="79">
        <v>0.0</v>
      </c>
      <c r="U85" s="79">
        <v>0.0</v>
      </c>
      <c r="V85" s="79">
        <v>2.0</v>
      </c>
      <c r="W85" s="79">
        <v>1.0</v>
      </c>
      <c r="X85" s="79">
        <v>1.0</v>
      </c>
      <c r="Y85" s="79">
        <v>4.0</v>
      </c>
      <c r="Z85" s="79">
        <v>2.0</v>
      </c>
      <c r="AA85" s="79">
        <v>4.0</v>
      </c>
      <c r="AB85" s="13">
        <f t="shared" si="20"/>
        <v>31</v>
      </c>
    </row>
    <row r="86" ht="12.75" customHeight="1">
      <c r="A86" s="18"/>
      <c r="B86" s="58"/>
      <c r="C86" s="53" t="s">
        <v>74</v>
      </c>
      <c r="D86" s="61"/>
      <c r="E86" s="79">
        <v>3.0</v>
      </c>
      <c r="F86" s="79">
        <v>0.0</v>
      </c>
      <c r="G86" s="79"/>
      <c r="H86" s="79">
        <v>0.0</v>
      </c>
      <c r="I86" s="79">
        <v>1.0</v>
      </c>
      <c r="J86" s="79">
        <v>0.0</v>
      </c>
      <c r="K86" s="79"/>
      <c r="L86" s="79">
        <v>14.0</v>
      </c>
      <c r="M86" s="79">
        <v>37.0</v>
      </c>
      <c r="N86" s="79">
        <v>0.0</v>
      </c>
      <c r="O86" s="79">
        <v>3.0</v>
      </c>
      <c r="P86" s="79">
        <v>0.0</v>
      </c>
      <c r="Q86" s="79">
        <v>0.0</v>
      </c>
      <c r="R86" s="79"/>
      <c r="S86" s="79">
        <v>0.0</v>
      </c>
      <c r="T86" s="79"/>
      <c r="U86" s="79">
        <v>3.0</v>
      </c>
      <c r="V86" s="79">
        <v>0.0</v>
      </c>
      <c r="W86" s="79">
        <v>0.0</v>
      </c>
      <c r="X86" s="79">
        <v>0.0</v>
      </c>
      <c r="Y86" s="79">
        <v>3.0</v>
      </c>
      <c r="Z86" s="79">
        <v>4.0</v>
      </c>
      <c r="AA86" s="79">
        <v>8.0</v>
      </c>
      <c r="AB86" s="13">
        <f t="shared" si="20"/>
        <v>76</v>
      </c>
    </row>
    <row r="87" ht="12.75" customHeight="1">
      <c r="A87" s="18"/>
      <c r="B87" s="58"/>
      <c r="C87" s="53" t="s">
        <v>75</v>
      </c>
      <c r="D87" s="61"/>
      <c r="E87" s="79">
        <v>0.0</v>
      </c>
      <c r="F87" s="79">
        <v>0.0</v>
      </c>
      <c r="G87" s="79"/>
      <c r="H87" s="79">
        <v>0.0</v>
      </c>
      <c r="I87" s="79">
        <v>0.0</v>
      </c>
      <c r="J87" s="79">
        <v>0.0</v>
      </c>
      <c r="K87" s="79"/>
      <c r="L87" s="79">
        <v>0.0</v>
      </c>
      <c r="M87" s="79">
        <v>0.0</v>
      </c>
      <c r="N87" s="79">
        <v>2.0</v>
      </c>
      <c r="O87" s="79">
        <v>0.0</v>
      </c>
      <c r="P87" s="79">
        <v>1.0</v>
      </c>
      <c r="Q87" s="79"/>
      <c r="R87" s="79"/>
      <c r="S87" s="79">
        <v>0.0</v>
      </c>
      <c r="T87" s="79"/>
      <c r="U87" s="79">
        <v>1.0</v>
      </c>
      <c r="V87" s="79">
        <v>0.0</v>
      </c>
      <c r="W87" s="79">
        <v>0.0</v>
      </c>
      <c r="X87" s="79">
        <v>0.0</v>
      </c>
      <c r="Y87" s="79">
        <v>1.0</v>
      </c>
      <c r="Z87" s="79">
        <v>1.0</v>
      </c>
      <c r="AA87" s="79">
        <v>1.0</v>
      </c>
      <c r="AB87" s="13">
        <f t="shared" si="20"/>
        <v>7</v>
      </c>
    </row>
    <row r="88" ht="12.75" customHeight="1">
      <c r="A88" s="18"/>
      <c r="B88" s="58"/>
      <c r="C88" s="53" t="s">
        <v>76</v>
      </c>
      <c r="D88" s="61"/>
      <c r="E88" s="79">
        <v>0.0</v>
      </c>
      <c r="F88" s="79">
        <v>0.0</v>
      </c>
      <c r="G88" s="79"/>
      <c r="H88" s="79">
        <v>0.0</v>
      </c>
      <c r="I88" s="79">
        <v>0.0</v>
      </c>
      <c r="J88" s="79">
        <v>0.0</v>
      </c>
      <c r="K88" s="79"/>
      <c r="L88" s="79">
        <v>0.0</v>
      </c>
      <c r="M88" s="79">
        <v>1.0</v>
      </c>
      <c r="N88" s="79">
        <v>0.0</v>
      </c>
      <c r="O88" s="79">
        <v>0.0</v>
      </c>
      <c r="P88" s="79">
        <v>0.0</v>
      </c>
      <c r="Q88" s="79"/>
      <c r="R88" s="79"/>
      <c r="S88" s="79">
        <v>1.0</v>
      </c>
      <c r="T88" s="79"/>
      <c r="U88" s="79"/>
      <c r="V88" s="79">
        <v>0.0</v>
      </c>
      <c r="W88" s="79">
        <v>0.0</v>
      </c>
      <c r="X88" s="79">
        <v>1.0</v>
      </c>
      <c r="Y88" s="79">
        <v>0.0</v>
      </c>
      <c r="Z88" s="79">
        <v>1.0</v>
      </c>
      <c r="AA88" s="79">
        <v>0.0</v>
      </c>
      <c r="AB88" s="13">
        <f t="shared" si="20"/>
        <v>4</v>
      </c>
    </row>
    <row r="89" ht="12.75" customHeight="1">
      <c r="A89" s="18"/>
      <c r="B89" s="58"/>
      <c r="C89" s="53" t="s">
        <v>77</v>
      </c>
      <c r="D89" s="61"/>
      <c r="E89" s="79">
        <v>0.0</v>
      </c>
      <c r="F89" s="79">
        <v>0.0</v>
      </c>
      <c r="G89" s="79"/>
      <c r="H89" s="79">
        <v>0.0</v>
      </c>
      <c r="I89" s="79">
        <v>0.0</v>
      </c>
      <c r="J89" s="79">
        <v>0.0</v>
      </c>
      <c r="K89" s="79"/>
      <c r="L89" s="79">
        <v>0.0</v>
      </c>
      <c r="M89" s="79">
        <v>0.0</v>
      </c>
      <c r="N89" s="79">
        <v>0.0</v>
      </c>
      <c r="O89" s="79">
        <v>0.0</v>
      </c>
      <c r="P89" s="79">
        <v>0.0</v>
      </c>
      <c r="Q89" s="79"/>
      <c r="R89" s="79"/>
      <c r="S89" s="79">
        <v>0.0</v>
      </c>
      <c r="T89" s="79"/>
      <c r="U89" s="79"/>
      <c r="V89" s="79">
        <v>0.0</v>
      </c>
      <c r="W89" s="79">
        <v>0.0</v>
      </c>
      <c r="X89" s="79">
        <v>0.0</v>
      </c>
      <c r="Y89" s="79">
        <v>0.0</v>
      </c>
      <c r="Z89" s="79">
        <v>0.0</v>
      </c>
      <c r="AA89" s="79">
        <v>0.0</v>
      </c>
      <c r="AB89" s="13">
        <f t="shared" si="20"/>
        <v>0</v>
      </c>
    </row>
    <row r="90" ht="12.75" customHeight="1">
      <c r="A90" s="18"/>
      <c r="B90" s="58"/>
      <c r="C90" s="53" t="s">
        <v>78</v>
      </c>
      <c r="D90" s="61"/>
      <c r="E90" s="79">
        <v>0.0</v>
      </c>
      <c r="F90" s="79">
        <v>0.0</v>
      </c>
      <c r="G90" s="79"/>
      <c r="H90" s="79">
        <v>0.0</v>
      </c>
      <c r="I90" s="79">
        <v>0.0</v>
      </c>
      <c r="J90" s="79">
        <v>0.0</v>
      </c>
      <c r="K90" s="79"/>
      <c r="L90" s="79">
        <v>0.0</v>
      </c>
      <c r="M90" s="79">
        <v>0.0</v>
      </c>
      <c r="N90" s="79">
        <v>0.0</v>
      </c>
      <c r="O90" s="79">
        <v>0.0</v>
      </c>
      <c r="P90" s="79">
        <v>0.0</v>
      </c>
      <c r="Q90" s="79"/>
      <c r="R90" s="79"/>
      <c r="S90" s="79">
        <v>0.0</v>
      </c>
      <c r="T90" s="79"/>
      <c r="U90" s="79"/>
      <c r="V90" s="79">
        <v>0.0</v>
      </c>
      <c r="W90" s="79">
        <v>0.0</v>
      </c>
      <c r="X90" s="79">
        <v>0.0</v>
      </c>
      <c r="Y90" s="79">
        <v>3.0</v>
      </c>
      <c r="Z90" s="79">
        <v>0.0</v>
      </c>
      <c r="AA90" s="79">
        <v>0.0</v>
      </c>
      <c r="AB90" s="13">
        <f t="shared" si="20"/>
        <v>3</v>
      </c>
    </row>
    <row r="91" ht="12.75" customHeight="1">
      <c r="A91" s="19" t="s">
        <v>14</v>
      </c>
      <c r="B91" s="50" t="s">
        <v>48</v>
      </c>
      <c r="C91" s="15"/>
      <c r="D91" s="16"/>
      <c r="E91" s="13">
        <f t="shared" ref="E91:AA91" si="21">SUM(E81:E90)</f>
        <v>10</v>
      </c>
      <c r="F91" s="13">
        <f t="shared" si="21"/>
        <v>19</v>
      </c>
      <c r="G91" s="13">
        <f t="shared" si="21"/>
        <v>16</v>
      </c>
      <c r="H91" s="13">
        <f t="shared" si="21"/>
        <v>9</v>
      </c>
      <c r="I91" s="13">
        <f t="shared" si="21"/>
        <v>14</v>
      </c>
      <c r="J91" s="13">
        <f t="shared" si="21"/>
        <v>8</v>
      </c>
      <c r="K91" s="13">
        <f t="shared" si="21"/>
        <v>13</v>
      </c>
      <c r="L91" s="13">
        <f t="shared" si="21"/>
        <v>19</v>
      </c>
      <c r="M91" s="13">
        <f t="shared" si="21"/>
        <v>41</v>
      </c>
      <c r="N91" s="13">
        <f t="shared" si="21"/>
        <v>7</v>
      </c>
      <c r="O91" s="13">
        <f t="shared" si="21"/>
        <v>13</v>
      </c>
      <c r="P91" s="13">
        <f t="shared" si="21"/>
        <v>8</v>
      </c>
      <c r="Q91" s="13">
        <f t="shared" si="21"/>
        <v>9</v>
      </c>
      <c r="R91" s="13">
        <f t="shared" si="21"/>
        <v>20</v>
      </c>
      <c r="S91" s="13">
        <f t="shared" si="21"/>
        <v>19</v>
      </c>
      <c r="T91" s="13">
        <f t="shared" si="21"/>
        <v>17</v>
      </c>
      <c r="U91" s="13">
        <f t="shared" si="21"/>
        <v>22</v>
      </c>
      <c r="V91" s="13">
        <f t="shared" si="21"/>
        <v>71</v>
      </c>
      <c r="W91" s="13">
        <f t="shared" si="21"/>
        <v>27</v>
      </c>
      <c r="X91" s="13">
        <f t="shared" si="21"/>
        <v>14</v>
      </c>
      <c r="Y91" s="13">
        <f t="shared" si="21"/>
        <v>33</v>
      </c>
      <c r="Z91" s="13">
        <f t="shared" si="21"/>
        <v>51</v>
      </c>
      <c r="AA91" s="13">
        <f t="shared" si="21"/>
        <v>49</v>
      </c>
      <c r="AB91" s="13">
        <f t="shared" si="20"/>
        <v>509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36</v>
      </c>
      <c r="B93" s="50" t="s">
        <v>79</v>
      </c>
      <c r="C93" s="51" t="s">
        <v>80</v>
      </c>
      <c r="D93" s="16"/>
      <c r="E93" s="79">
        <v>0.0</v>
      </c>
      <c r="F93" s="79">
        <v>0.0</v>
      </c>
      <c r="G93" s="79">
        <v>2.0</v>
      </c>
      <c r="H93" s="79">
        <v>0.0</v>
      </c>
      <c r="I93" s="79">
        <v>0.0</v>
      </c>
      <c r="J93" s="79">
        <v>6.0</v>
      </c>
      <c r="K93" s="79">
        <v>7.0</v>
      </c>
      <c r="L93" s="79">
        <v>0.0</v>
      </c>
      <c r="M93" s="79">
        <v>3.0</v>
      </c>
      <c r="N93" s="79">
        <v>5.0</v>
      </c>
      <c r="O93" s="79">
        <v>6.0</v>
      </c>
      <c r="P93" s="79">
        <v>2.0</v>
      </c>
      <c r="Q93" s="79">
        <v>1.0</v>
      </c>
      <c r="R93" s="79">
        <v>6.0</v>
      </c>
      <c r="S93" s="79">
        <v>4.0</v>
      </c>
      <c r="T93" s="79">
        <v>2.0</v>
      </c>
      <c r="U93" s="79">
        <v>0.0</v>
      </c>
      <c r="V93" s="79">
        <v>4.0</v>
      </c>
      <c r="W93" s="79">
        <v>2.0</v>
      </c>
      <c r="X93" s="79">
        <v>0.0</v>
      </c>
      <c r="Y93" s="79">
        <v>6.0</v>
      </c>
      <c r="Z93" s="79">
        <v>4.0</v>
      </c>
      <c r="AA93" s="79">
        <v>2.0</v>
      </c>
      <c r="AB93" s="13">
        <f t="shared" ref="AB93:AB103" si="22">SUM(E93:AA93)</f>
        <v>62</v>
      </c>
    </row>
    <row r="94" ht="12.75" customHeight="1">
      <c r="A94" s="31" t="s">
        <v>38</v>
      </c>
      <c r="B94" s="58"/>
      <c r="C94" s="53" t="s">
        <v>81</v>
      </c>
      <c r="D94" s="61"/>
      <c r="E94" s="79"/>
      <c r="F94" s="79">
        <v>0.0</v>
      </c>
      <c r="G94" s="79">
        <v>1.0</v>
      </c>
      <c r="H94" s="79">
        <v>3.0</v>
      </c>
      <c r="I94" s="79">
        <v>1.0</v>
      </c>
      <c r="J94" s="79">
        <v>2.0</v>
      </c>
      <c r="K94" s="79">
        <v>2.0</v>
      </c>
      <c r="L94" s="79">
        <v>0.0</v>
      </c>
      <c r="M94" s="79">
        <v>1.0</v>
      </c>
      <c r="N94" s="79">
        <v>0.0</v>
      </c>
      <c r="O94" s="79">
        <v>2.0</v>
      </c>
      <c r="P94" s="79">
        <v>1.0</v>
      </c>
      <c r="Q94" s="79">
        <v>0.0</v>
      </c>
      <c r="R94" s="79">
        <v>10.0</v>
      </c>
      <c r="S94" s="79">
        <v>2.0</v>
      </c>
      <c r="T94" s="79"/>
      <c r="U94" s="79">
        <v>1.0</v>
      </c>
      <c r="V94" s="79">
        <v>3.0</v>
      </c>
      <c r="W94" s="79">
        <v>2.0</v>
      </c>
      <c r="X94" s="79">
        <v>1.0</v>
      </c>
      <c r="Y94" s="79">
        <v>6.0</v>
      </c>
      <c r="Z94" s="79">
        <v>2.0</v>
      </c>
      <c r="AA94" s="79">
        <v>0.0</v>
      </c>
      <c r="AB94" s="13">
        <f t="shared" si="22"/>
        <v>40</v>
      </c>
    </row>
    <row r="95" ht="12.75" customHeight="1">
      <c r="A95" s="18"/>
      <c r="B95" s="58"/>
      <c r="C95" s="53" t="s">
        <v>82</v>
      </c>
      <c r="D95" s="61"/>
      <c r="E95" s="79"/>
      <c r="F95" s="79">
        <v>1.0</v>
      </c>
      <c r="G95" s="79"/>
      <c r="H95" s="79">
        <v>0.0</v>
      </c>
      <c r="I95" s="79">
        <v>0.0</v>
      </c>
      <c r="J95" s="79">
        <v>0.0</v>
      </c>
      <c r="K95" s="79">
        <v>1.0</v>
      </c>
      <c r="L95" s="79">
        <v>1.0</v>
      </c>
      <c r="M95" s="79">
        <v>0.0</v>
      </c>
      <c r="N95" s="79">
        <v>0.0</v>
      </c>
      <c r="O95" s="79">
        <v>1.0</v>
      </c>
      <c r="P95" s="79">
        <v>1.0</v>
      </c>
      <c r="Q95" s="79">
        <v>1.0</v>
      </c>
      <c r="R95" s="79">
        <v>9.0</v>
      </c>
      <c r="S95" s="79">
        <v>1.0</v>
      </c>
      <c r="T95" s="79">
        <v>1.0</v>
      </c>
      <c r="U95" s="79"/>
      <c r="V95" s="79">
        <v>0.0</v>
      </c>
      <c r="W95" s="79">
        <v>4.0</v>
      </c>
      <c r="X95" s="79">
        <v>2.0</v>
      </c>
      <c r="Y95" s="79">
        <v>2.0</v>
      </c>
      <c r="Z95" s="79">
        <v>0.0</v>
      </c>
      <c r="AA95" s="79">
        <v>0.0</v>
      </c>
      <c r="AB95" s="13">
        <f t="shared" si="22"/>
        <v>25</v>
      </c>
    </row>
    <row r="96" ht="12.75" customHeight="1">
      <c r="A96" s="18"/>
      <c r="B96" s="58"/>
      <c r="C96" s="53" t="s">
        <v>83</v>
      </c>
      <c r="D96" s="61"/>
      <c r="E96" s="79"/>
      <c r="F96" s="79">
        <v>0.0</v>
      </c>
      <c r="G96" s="79"/>
      <c r="H96" s="79">
        <v>0.0</v>
      </c>
      <c r="I96" s="79">
        <v>0.0</v>
      </c>
      <c r="J96" s="79">
        <v>0.0</v>
      </c>
      <c r="K96" s="79">
        <v>1.0</v>
      </c>
      <c r="L96" s="79">
        <v>0.0</v>
      </c>
      <c r="M96" s="79">
        <v>2.0</v>
      </c>
      <c r="N96" s="79">
        <v>0.0</v>
      </c>
      <c r="O96" s="79">
        <v>1.0</v>
      </c>
      <c r="P96" s="79">
        <v>0.0</v>
      </c>
      <c r="Q96" s="79">
        <v>1.0</v>
      </c>
      <c r="R96" s="79">
        <v>0.0</v>
      </c>
      <c r="S96" s="79">
        <v>0.0</v>
      </c>
      <c r="T96" s="79"/>
      <c r="U96" s="79"/>
      <c r="V96" s="79">
        <v>0.0</v>
      </c>
      <c r="W96" s="79">
        <v>0.0</v>
      </c>
      <c r="X96" s="79">
        <v>0.0</v>
      </c>
      <c r="Y96" s="79">
        <v>1.0</v>
      </c>
      <c r="Z96" s="79">
        <v>0.0</v>
      </c>
      <c r="AA96" s="79">
        <v>0.0</v>
      </c>
      <c r="AB96" s="13">
        <f t="shared" si="22"/>
        <v>6</v>
      </c>
    </row>
    <row r="97" ht="12.75" customHeight="1">
      <c r="A97" s="18"/>
      <c r="B97" s="58"/>
      <c r="C97" s="53" t="s">
        <v>84</v>
      </c>
      <c r="D97" s="61"/>
      <c r="E97" s="79"/>
      <c r="F97" s="79">
        <v>1.0</v>
      </c>
      <c r="G97" s="79"/>
      <c r="H97" s="79">
        <v>1.0</v>
      </c>
      <c r="I97" s="79">
        <v>0.0</v>
      </c>
      <c r="J97" s="79">
        <v>1.0</v>
      </c>
      <c r="K97" s="79">
        <v>1.0</v>
      </c>
      <c r="L97" s="79">
        <v>1.0</v>
      </c>
      <c r="M97" s="79">
        <v>1.0</v>
      </c>
      <c r="N97" s="79">
        <v>1.0</v>
      </c>
      <c r="O97" s="79">
        <v>8.0</v>
      </c>
      <c r="P97" s="79">
        <v>0.0</v>
      </c>
      <c r="Q97" s="79">
        <v>0.0</v>
      </c>
      <c r="R97" s="79">
        <v>1.0</v>
      </c>
      <c r="S97" s="79">
        <v>0.0</v>
      </c>
      <c r="T97" s="79"/>
      <c r="U97" s="79">
        <v>1.0</v>
      </c>
      <c r="V97" s="79">
        <v>1.0</v>
      </c>
      <c r="W97" s="79">
        <v>2.0</v>
      </c>
      <c r="X97" s="79">
        <v>1.0</v>
      </c>
      <c r="Y97" s="79">
        <v>1.0</v>
      </c>
      <c r="Z97" s="79">
        <v>0.0</v>
      </c>
      <c r="AA97" s="79">
        <v>0.0</v>
      </c>
      <c r="AB97" s="13">
        <f t="shared" si="22"/>
        <v>22</v>
      </c>
    </row>
    <row r="98" ht="12.75" customHeight="1">
      <c r="A98" s="18"/>
      <c r="B98" s="58"/>
      <c r="C98" s="53" t="s">
        <v>85</v>
      </c>
      <c r="D98" s="61"/>
      <c r="E98" s="79"/>
      <c r="F98" s="79">
        <v>0.0</v>
      </c>
      <c r="G98" s="79"/>
      <c r="H98" s="79">
        <v>0.0</v>
      </c>
      <c r="I98" s="79">
        <v>0.0</v>
      </c>
      <c r="J98" s="79">
        <v>0.0</v>
      </c>
      <c r="K98" s="79">
        <v>0.0</v>
      </c>
      <c r="L98" s="79">
        <v>0.0</v>
      </c>
      <c r="M98" s="79">
        <v>0.0</v>
      </c>
      <c r="N98" s="79">
        <v>1.0</v>
      </c>
      <c r="O98" s="79">
        <v>0.0</v>
      </c>
      <c r="P98" s="79">
        <v>0.0</v>
      </c>
      <c r="Q98" s="79"/>
      <c r="R98" s="79"/>
      <c r="S98" s="79">
        <v>0.0</v>
      </c>
      <c r="T98" s="79"/>
      <c r="U98" s="79"/>
      <c r="V98" s="79">
        <v>1.0</v>
      </c>
      <c r="W98" s="79">
        <v>1.0</v>
      </c>
      <c r="X98" s="79">
        <v>0.0</v>
      </c>
      <c r="Y98" s="79">
        <v>0.0</v>
      </c>
      <c r="Z98" s="79">
        <v>0.0</v>
      </c>
      <c r="AA98" s="79">
        <v>0.0</v>
      </c>
      <c r="AB98" s="13">
        <f t="shared" si="22"/>
        <v>3</v>
      </c>
    </row>
    <row r="99" ht="12.75" customHeight="1">
      <c r="A99" s="18"/>
      <c r="B99" s="58"/>
      <c r="C99" s="53" t="s">
        <v>86</v>
      </c>
      <c r="D99" s="61"/>
      <c r="E99" s="79"/>
      <c r="F99" s="79">
        <v>0.0</v>
      </c>
      <c r="G99" s="79"/>
      <c r="H99" s="79">
        <v>0.0</v>
      </c>
      <c r="I99" s="79">
        <v>0.0</v>
      </c>
      <c r="J99" s="79">
        <v>2.0</v>
      </c>
      <c r="K99" s="79">
        <v>1.0</v>
      </c>
      <c r="L99" s="79">
        <v>0.0</v>
      </c>
      <c r="M99" s="79">
        <v>0.0</v>
      </c>
      <c r="N99" s="79">
        <v>0.0</v>
      </c>
      <c r="O99" s="79">
        <v>1.0</v>
      </c>
      <c r="P99" s="79">
        <v>0.0</v>
      </c>
      <c r="Q99" s="79"/>
      <c r="R99" s="79">
        <v>1.0</v>
      </c>
      <c r="S99" s="79">
        <v>0.0</v>
      </c>
      <c r="T99" s="79"/>
      <c r="U99" s="79"/>
      <c r="V99" s="79">
        <v>0.0</v>
      </c>
      <c r="W99" s="79">
        <v>0.0</v>
      </c>
      <c r="X99" s="79">
        <v>0.0</v>
      </c>
      <c r="Y99" s="79">
        <v>0.0</v>
      </c>
      <c r="Z99" s="79">
        <v>0.0</v>
      </c>
      <c r="AA99" s="79">
        <v>0.0</v>
      </c>
      <c r="AB99" s="13">
        <f t="shared" si="22"/>
        <v>5</v>
      </c>
    </row>
    <row r="100" ht="12.75" customHeight="1">
      <c r="A100" s="18"/>
      <c r="B100" s="58"/>
      <c r="C100" s="53" t="s">
        <v>87</v>
      </c>
      <c r="D100" s="61"/>
      <c r="E100" s="79"/>
      <c r="F100" s="79">
        <v>0.0</v>
      </c>
      <c r="G100" s="79"/>
      <c r="H100" s="79">
        <v>0.0</v>
      </c>
      <c r="I100" s="79">
        <v>0.0</v>
      </c>
      <c r="J100" s="79">
        <v>0.0</v>
      </c>
      <c r="K100" s="79"/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/>
      <c r="R100" s="79"/>
      <c r="S100" s="79">
        <v>0.0</v>
      </c>
      <c r="T100" s="79"/>
      <c r="U100" s="79"/>
      <c r="V100" s="79">
        <v>0.0</v>
      </c>
      <c r="W100" s="79">
        <v>0.0</v>
      </c>
      <c r="X100" s="79">
        <v>0.0</v>
      </c>
      <c r="Y100" s="79">
        <v>0.0</v>
      </c>
      <c r="Z100" s="79">
        <v>0.0</v>
      </c>
      <c r="AA100" s="79">
        <v>0.0</v>
      </c>
      <c r="AB100" s="13">
        <f t="shared" si="22"/>
        <v>0</v>
      </c>
    </row>
    <row r="101" ht="12.75" customHeight="1">
      <c r="A101" s="18"/>
      <c r="B101" s="58"/>
      <c r="C101" s="53" t="s">
        <v>88</v>
      </c>
      <c r="D101" s="61"/>
      <c r="E101" s="79"/>
      <c r="F101" s="79">
        <v>0.0</v>
      </c>
      <c r="G101" s="79"/>
      <c r="H101" s="79">
        <v>0.0</v>
      </c>
      <c r="I101" s="79">
        <v>0.0</v>
      </c>
      <c r="J101" s="79">
        <v>0.0</v>
      </c>
      <c r="K101" s="79"/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/>
      <c r="R101" s="79"/>
      <c r="S101" s="79">
        <v>0.0</v>
      </c>
      <c r="T101" s="79"/>
      <c r="U101" s="79"/>
      <c r="V101" s="79">
        <v>0.0</v>
      </c>
      <c r="W101" s="79">
        <v>0.0</v>
      </c>
      <c r="X101" s="79">
        <v>0.0</v>
      </c>
      <c r="Y101" s="79">
        <v>0.0</v>
      </c>
      <c r="Z101" s="79">
        <v>0.0</v>
      </c>
      <c r="AA101" s="79">
        <v>0.0</v>
      </c>
      <c r="AB101" s="13">
        <f t="shared" si="22"/>
        <v>0</v>
      </c>
    </row>
    <row r="102" ht="12.75" customHeight="1">
      <c r="A102" s="18"/>
      <c r="B102" s="58"/>
      <c r="C102" s="53" t="s">
        <v>89</v>
      </c>
      <c r="D102" s="61"/>
      <c r="E102" s="79"/>
      <c r="F102" s="79">
        <v>0.0</v>
      </c>
      <c r="G102" s="79"/>
      <c r="H102" s="79">
        <v>0.0</v>
      </c>
      <c r="I102" s="79">
        <v>0.0</v>
      </c>
      <c r="J102" s="79">
        <v>2.0</v>
      </c>
      <c r="K102" s="79"/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/>
      <c r="R102" s="79"/>
      <c r="S102" s="79">
        <v>0.0</v>
      </c>
      <c r="T102" s="79"/>
      <c r="U102" s="79"/>
      <c r="V102" s="79">
        <v>0.0</v>
      </c>
      <c r="W102" s="79">
        <v>0.0</v>
      </c>
      <c r="X102" s="79">
        <v>0.0</v>
      </c>
      <c r="Y102" s="79">
        <v>0.0</v>
      </c>
      <c r="Z102" s="79">
        <v>0.0</v>
      </c>
      <c r="AA102" s="79">
        <v>0.0</v>
      </c>
      <c r="AB102" s="13">
        <f t="shared" si="22"/>
        <v>2</v>
      </c>
    </row>
    <row r="103" ht="12.75" customHeight="1">
      <c r="A103" s="19" t="s">
        <v>14</v>
      </c>
      <c r="B103" s="50" t="s">
        <v>48</v>
      </c>
      <c r="C103" s="15"/>
      <c r="D103" s="16"/>
      <c r="E103" s="13">
        <f t="shared" ref="E103:AA103" si="23">SUM(E93:E102)</f>
        <v>0</v>
      </c>
      <c r="F103" s="13">
        <f t="shared" si="23"/>
        <v>2</v>
      </c>
      <c r="G103" s="13">
        <f t="shared" si="23"/>
        <v>3</v>
      </c>
      <c r="H103" s="13">
        <f t="shared" si="23"/>
        <v>4</v>
      </c>
      <c r="I103" s="13">
        <f t="shared" si="23"/>
        <v>1</v>
      </c>
      <c r="J103" s="13">
        <f t="shared" si="23"/>
        <v>13</v>
      </c>
      <c r="K103" s="13">
        <f t="shared" si="23"/>
        <v>13</v>
      </c>
      <c r="L103" s="13">
        <f t="shared" si="23"/>
        <v>2</v>
      </c>
      <c r="M103" s="13">
        <f t="shared" si="23"/>
        <v>7</v>
      </c>
      <c r="N103" s="13">
        <f t="shared" si="23"/>
        <v>7</v>
      </c>
      <c r="O103" s="13">
        <f t="shared" si="23"/>
        <v>19</v>
      </c>
      <c r="P103" s="13">
        <f t="shared" si="23"/>
        <v>4</v>
      </c>
      <c r="Q103" s="13">
        <f t="shared" si="23"/>
        <v>3</v>
      </c>
      <c r="R103" s="13">
        <f t="shared" si="23"/>
        <v>27</v>
      </c>
      <c r="S103" s="13">
        <f t="shared" si="23"/>
        <v>7</v>
      </c>
      <c r="T103" s="13">
        <f t="shared" si="23"/>
        <v>3</v>
      </c>
      <c r="U103" s="13">
        <f t="shared" si="23"/>
        <v>2</v>
      </c>
      <c r="V103" s="13">
        <f t="shared" si="23"/>
        <v>9</v>
      </c>
      <c r="W103" s="13">
        <f t="shared" si="23"/>
        <v>11</v>
      </c>
      <c r="X103" s="13">
        <f t="shared" si="23"/>
        <v>4</v>
      </c>
      <c r="Y103" s="13">
        <f t="shared" si="23"/>
        <v>16</v>
      </c>
      <c r="Z103" s="13">
        <f t="shared" si="23"/>
        <v>6</v>
      </c>
      <c r="AA103" s="13">
        <f t="shared" si="23"/>
        <v>2</v>
      </c>
      <c r="AB103" s="13">
        <f t="shared" si="22"/>
        <v>165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</row>
    <row r="105" ht="12.75" customHeight="1">
      <c r="A105" s="31" t="s">
        <v>36</v>
      </c>
      <c r="B105" s="50" t="s">
        <v>90</v>
      </c>
      <c r="C105" s="51" t="s">
        <v>91</v>
      </c>
      <c r="D105" s="16"/>
      <c r="E105" s="79">
        <v>1.0</v>
      </c>
      <c r="F105" s="79">
        <v>3.0</v>
      </c>
      <c r="G105" s="79">
        <v>2.0</v>
      </c>
      <c r="H105" s="79">
        <v>0.0</v>
      </c>
      <c r="I105" s="79">
        <v>1.0</v>
      </c>
      <c r="J105" s="79">
        <v>4.0</v>
      </c>
      <c r="K105" s="79">
        <v>6.0</v>
      </c>
      <c r="L105" s="79">
        <v>1.0</v>
      </c>
      <c r="M105" s="79">
        <v>0.0</v>
      </c>
      <c r="N105" s="79">
        <v>0.0</v>
      </c>
      <c r="O105" s="79">
        <v>0.0</v>
      </c>
      <c r="P105" s="79">
        <v>0.0</v>
      </c>
      <c r="Q105" s="79"/>
      <c r="R105" s="79"/>
      <c r="S105" s="79"/>
      <c r="T105" s="79">
        <v>1.0</v>
      </c>
      <c r="U105" s="79"/>
      <c r="V105" s="79">
        <v>0.0</v>
      </c>
      <c r="W105" s="79">
        <v>0.0</v>
      </c>
      <c r="X105" s="79">
        <v>0.0</v>
      </c>
      <c r="Y105" s="79">
        <v>1.0</v>
      </c>
      <c r="Z105" s="79">
        <v>2.0</v>
      </c>
      <c r="AA105" s="79">
        <v>2.0</v>
      </c>
      <c r="AB105" s="13">
        <f t="shared" ref="AB105:AB107" si="24">SUM(E105:AA105)</f>
        <v>24</v>
      </c>
    </row>
    <row r="106" ht="12.75" customHeight="1">
      <c r="A106" s="31" t="s">
        <v>38</v>
      </c>
      <c r="B106" s="58"/>
      <c r="C106" s="53" t="s">
        <v>92</v>
      </c>
      <c r="D106" s="61"/>
      <c r="E106" s="79"/>
      <c r="F106" s="79"/>
      <c r="G106" s="79"/>
      <c r="H106" s="79">
        <v>0.0</v>
      </c>
      <c r="I106" s="79">
        <v>0.0</v>
      </c>
      <c r="J106" s="79">
        <v>0.0</v>
      </c>
      <c r="K106" s="79">
        <v>2.0</v>
      </c>
      <c r="L106" s="79">
        <v>1.0</v>
      </c>
      <c r="M106" s="79">
        <v>0.0</v>
      </c>
      <c r="N106" s="79">
        <v>0.0</v>
      </c>
      <c r="O106" s="79">
        <v>0.0</v>
      </c>
      <c r="P106" s="79">
        <v>0.0</v>
      </c>
      <c r="Q106" s="79"/>
      <c r="R106" s="79"/>
      <c r="S106" s="79">
        <v>1.0</v>
      </c>
      <c r="T106" s="79"/>
      <c r="U106" s="79">
        <v>1.0</v>
      </c>
      <c r="V106" s="79">
        <v>1.0</v>
      </c>
      <c r="W106" s="79">
        <v>0.0</v>
      </c>
      <c r="X106" s="79">
        <v>0.0</v>
      </c>
      <c r="Y106" s="79">
        <v>0.0</v>
      </c>
      <c r="Z106" s="79">
        <v>0.0</v>
      </c>
      <c r="AA106" s="79">
        <v>1.0</v>
      </c>
      <c r="AB106" s="13">
        <f t="shared" si="24"/>
        <v>7</v>
      </c>
    </row>
    <row r="107" ht="12.75" customHeight="1">
      <c r="A107" s="18"/>
      <c r="B107" s="58"/>
      <c r="C107" s="53" t="s">
        <v>93</v>
      </c>
      <c r="D107" s="61"/>
      <c r="E107" s="79"/>
      <c r="F107" s="79"/>
      <c r="G107" s="79"/>
      <c r="H107" s="79">
        <v>0.0</v>
      </c>
      <c r="I107" s="79">
        <v>0.0</v>
      </c>
      <c r="J107" s="79">
        <v>0.0</v>
      </c>
      <c r="K107" s="79"/>
      <c r="L107" s="79">
        <v>0.0</v>
      </c>
      <c r="M107" s="79">
        <v>0.0</v>
      </c>
      <c r="N107" s="79">
        <v>0.0</v>
      </c>
      <c r="O107" s="79">
        <v>0.0</v>
      </c>
      <c r="P107" s="79">
        <v>0.0</v>
      </c>
      <c r="Q107" s="79"/>
      <c r="R107" s="79"/>
      <c r="S107" s="79"/>
      <c r="T107" s="79"/>
      <c r="U107" s="79"/>
      <c r="V107" s="79">
        <v>0.0</v>
      </c>
      <c r="W107" s="79">
        <v>0.0</v>
      </c>
      <c r="X107" s="79">
        <v>0.0</v>
      </c>
      <c r="Y107" s="79">
        <v>0.0</v>
      </c>
      <c r="Z107" s="79">
        <v>0.0</v>
      </c>
      <c r="AA107" s="79">
        <v>0.0</v>
      </c>
      <c r="AB107" s="13">
        <f t="shared" si="24"/>
        <v>0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85"/>
    </row>
    <row r="115" ht="12.75" customHeight="1">
      <c r="A115" s="19" t="s">
        <v>14</v>
      </c>
      <c r="B115" s="50" t="s">
        <v>48</v>
      </c>
      <c r="C115" s="15"/>
      <c r="D115" s="16"/>
      <c r="E115" s="13">
        <f t="shared" ref="E115:AA115" si="25">SUM(E105:E114)</f>
        <v>1</v>
      </c>
      <c r="F115" s="13">
        <f t="shared" si="25"/>
        <v>3</v>
      </c>
      <c r="G115" s="13">
        <f t="shared" si="25"/>
        <v>2</v>
      </c>
      <c r="H115" s="13">
        <f t="shared" si="25"/>
        <v>0</v>
      </c>
      <c r="I115" s="13">
        <f t="shared" si="25"/>
        <v>1</v>
      </c>
      <c r="J115" s="13">
        <f t="shared" si="25"/>
        <v>4</v>
      </c>
      <c r="K115" s="13">
        <f t="shared" si="25"/>
        <v>8</v>
      </c>
      <c r="L115" s="13">
        <f t="shared" si="25"/>
        <v>2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1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2</v>
      </c>
      <c r="AA115" s="13">
        <f t="shared" si="25"/>
        <v>3</v>
      </c>
      <c r="AB115" s="13">
        <f>SUM(E115:AA115)</f>
        <v>31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13"/>
    </row>
    <row r="117" ht="12.75" customHeight="1">
      <c r="A117" s="31" t="s">
        <v>36</v>
      </c>
      <c r="B117" s="50" t="s">
        <v>94</v>
      </c>
      <c r="C117" s="51" t="s">
        <v>95</v>
      </c>
      <c r="D117" s="16"/>
      <c r="E117" s="79">
        <v>1.0</v>
      </c>
      <c r="F117" s="79"/>
      <c r="G117" s="79">
        <v>1.0</v>
      </c>
      <c r="H117" s="79">
        <v>1.0</v>
      </c>
      <c r="I117" s="79">
        <v>1.0</v>
      </c>
      <c r="J117" s="79">
        <v>1.0</v>
      </c>
      <c r="K117" s="79"/>
      <c r="L117" s="79">
        <v>0.0</v>
      </c>
      <c r="M117" s="79">
        <v>0.0</v>
      </c>
      <c r="N117" s="79">
        <v>2.0</v>
      </c>
      <c r="O117" s="79">
        <v>0.0</v>
      </c>
      <c r="P117" s="79">
        <v>0.0</v>
      </c>
      <c r="Q117" s="79">
        <v>1.0</v>
      </c>
      <c r="R117" s="79">
        <v>1.0</v>
      </c>
      <c r="S117" s="79">
        <v>1.0</v>
      </c>
      <c r="T117" s="79">
        <v>0.0</v>
      </c>
      <c r="U117" s="79"/>
      <c r="V117" s="79">
        <v>1.0</v>
      </c>
      <c r="W117" s="79">
        <v>1.0</v>
      </c>
      <c r="X117" s="79">
        <v>1.0</v>
      </c>
      <c r="Y117" s="79">
        <v>1.0</v>
      </c>
      <c r="Z117" s="79">
        <v>0.0</v>
      </c>
      <c r="AA117" s="79">
        <v>2.0</v>
      </c>
      <c r="AB117" s="13">
        <f t="shared" ref="AB117:AB122" si="26">SUM(E117:AA117)</f>
        <v>16</v>
      </c>
      <c r="AC117" s="5"/>
      <c r="AD117" s="5"/>
    </row>
    <row r="118" ht="12.75" customHeight="1">
      <c r="A118" s="31" t="s">
        <v>38</v>
      </c>
      <c r="B118" s="58"/>
      <c r="C118" s="53" t="s">
        <v>96</v>
      </c>
      <c r="D118" s="61"/>
      <c r="E118" s="79"/>
      <c r="F118" s="79"/>
      <c r="G118" s="79">
        <v>1.0</v>
      </c>
      <c r="H118" s="79">
        <v>0.0</v>
      </c>
      <c r="I118" s="79">
        <v>0.0</v>
      </c>
      <c r="J118" s="79">
        <v>0.0</v>
      </c>
      <c r="K118" s="79"/>
      <c r="L118" s="79">
        <v>0.0</v>
      </c>
      <c r="M118" s="79">
        <v>0.0</v>
      </c>
      <c r="N118" s="79">
        <v>0.0</v>
      </c>
      <c r="O118" s="79">
        <v>0.0</v>
      </c>
      <c r="P118" s="79">
        <v>0.0</v>
      </c>
      <c r="Q118" s="79">
        <v>1.0</v>
      </c>
      <c r="R118" s="79"/>
      <c r="S118" s="79"/>
      <c r="T118" s="79"/>
      <c r="U118" s="79"/>
      <c r="V118" s="79">
        <v>0.0</v>
      </c>
      <c r="W118" s="79">
        <v>0.0</v>
      </c>
      <c r="X118" s="79">
        <v>0.0</v>
      </c>
      <c r="Y118" s="79">
        <v>0.0</v>
      </c>
      <c r="Z118" s="79">
        <v>0.0</v>
      </c>
      <c r="AA118" s="79">
        <v>1.0</v>
      </c>
      <c r="AB118" s="13">
        <f t="shared" si="26"/>
        <v>3</v>
      </c>
      <c r="AC118" s="5"/>
      <c r="AD118" s="5"/>
    </row>
    <row r="119" ht="12.75" customHeight="1">
      <c r="A119" s="18"/>
      <c r="B119" s="58"/>
      <c r="C119" s="53" t="s">
        <v>97</v>
      </c>
      <c r="D119" s="61"/>
      <c r="E119" s="79"/>
      <c r="F119" s="79"/>
      <c r="G119" s="79"/>
      <c r="H119" s="79">
        <v>0.0</v>
      </c>
      <c r="I119" s="79">
        <v>0.0</v>
      </c>
      <c r="J119" s="79">
        <v>0.0</v>
      </c>
      <c r="K119" s="79"/>
      <c r="L119" s="79">
        <v>0.0</v>
      </c>
      <c r="M119" s="79">
        <v>1.0</v>
      </c>
      <c r="N119" s="79">
        <v>0.0</v>
      </c>
      <c r="O119" s="79">
        <v>0.0</v>
      </c>
      <c r="P119" s="79">
        <v>0.0</v>
      </c>
      <c r="Q119" s="79">
        <v>0.0</v>
      </c>
      <c r="R119" s="79">
        <v>1.0</v>
      </c>
      <c r="S119" s="79"/>
      <c r="T119" s="79"/>
      <c r="U119" s="79"/>
      <c r="V119" s="79">
        <v>0.0</v>
      </c>
      <c r="W119" s="79">
        <v>0.0</v>
      </c>
      <c r="X119" s="79">
        <v>0.0</v>
      </c>
      <c r="Y119" s="79">
        <v>0.0</v>
      </c>
      <c r="Z119" s="79">
        <v>0.0</v>
      </c>
      <c r="AA119" s="79">
        <v>0.0</v>
      </c>
      <c r="AB119" s="13">
        <f t="shared" si="26"/>
        <v>2</v>
      </c>
      <c r="AC119" s="5"/>
      <c r="AD119" s="5"/>
    </row>
    <row r="120" ht="12.75" customHeight="1">
      <c r="A120" s="18"/>
      <c r="B120" s="58"/>
      <c r="C120" s="53" t="s">
        <v>98</v>
      </c>
      <c r="D120" s="61"/>
      <c r="E120" s="79"/>
      <c r="F120" s="79"/>
      <c r="G120" s="79"/>
      <c r="H120" s="79">
        <v>0.0</v>
      </c>
      <c r="I120" s="79">
        <v>0.0</v>
      </c>
      <c r="J120" s="79">
        <v>0.0</v>
      </c>
      <c r="K120" s="79">
        <v>1.0</v>
      </c>
      <c r="L120" s="79">
        <v>0.0</v>
      </c>
      <c r="M120" s="79">
        <v>0.0</v>
      </c>
      <c r="N120" s="79">
        <v>0.0</v>
      </c>
      <c r="O120" s="79">
        <v>0.0</v>
      </c>
      <c r="P120" s="79">
        <v>0.0</v>
      </c>
      <c r="Q120" s="79"/>
      <c r="R120" s="79"/>
      <c r="S120" s="79"/>
      <c r="T120" s="79"/>
      <c r="U120" s="79"/>
      <c r="V120" s="79">
        <v>0.0</v>
      </c>
      <c r="W120" s="79">
        <v>0.0</v>
      </c>
      <c r="X120" s="79">
        <v>0.0</v>
      </c>
      <c r="Y120" s="79">
        <v>0.0</v>
      </c>
      <c r="Z120" s="79">
        <v>0.0</v>
      </c>
      <c r="AA120" s="79">
        <v>0.0</v>
      </c>
      <c r="AB120" s="13">
        <f t="shared" si="26"/>
        <v>1</v>
      </c>
      <c r="AC120" s="5"/>
      <c r="AD120" s="5"/>
    </row>
    <row r="121" ht="12.75" customHeight="1">
      <c r="A121" s="18"/>
      <c r="B121" s="58"/>
      <c r="C121" s="53" t="s">
        <v>99</v>
      </c>
      <c r="D121" s="61"/>
      <c r="E121" s="79"/>
      <c r="F121" s="79"/>
      <c r="G121" s="79"/>
      <c r="H121" s="79">
        <v>0.0</v>
      </c>
      <c r="I121" s="79">
        <v>0.0</v>
      </c>
      <c r="J121" s="79">
        <v>0.0</v>
      </c>
      <c r="K121" s="79"/>
      <c r="L121" s="79">
        <v>0.0</v>
      </c>
      <c r="M121" s="79">
        <v>0.0</v>
      </c>
      <c r="N121" s="79">
        <v>0.0</v>
      </c>
      <c r="O121" s="79">
        <v>0.0</v>
      </c>
      <c r="P121" s="79">
        <v>0.0</v>
      </c>
      <c r="Q121" s="79"/>
      <c r="R121" s="79"/>
      <c r="S121" s="79"/>
      <c r="T121" s="79"/>
      <c r="U121" s="79"/>
      <c r="V121" s="79">
        <v>0.0</v>
      </c>
      <c r="W121" s="79">
        <v>0.0</v>
      </c>
      <c r="X121" s="79">
        <v>0.0</v>
      </c>
      <c r="Y121" s="79">
        <v>0.0</v>
      </c>
      <c r="Z121" s="79">
        <v>1.0</v>
      </c>
      <c r="AA121" s="79">
        <v>0.0</v>
      </c>
      <c r="AB121" s="13">
        <f t="shared" si="26"/>
        <v>1</v>
      </c>
      <c r="AC121" s="5"/>
      <c r="AD121" s="5"/>
    </row>
    <row r="122" ht="12.75" customHeight="1">
      <c r="A122" s="18"/>
      <c r="B122" s="58"/>
      <c r="C122" s="53" t="s">
        <v>100</v>
      </c>
      <c r="D122" s="61"/>
      <c r="E122" s="79"/>
      <c r="F122" s="79"/>
      <c r="G122" s="79"/>
      <c r="H122" s="79">
        <v>0.0</v>
      </c>
      <c r="I122" s="79">
        <v>0.0</v>
      </c>
      <c r="J122" s="79">
        <v>0.0</v>
      </c>
      <c r="K122" s="79"/>
      <c r="L122" s="79">
        <v>0.0</v>
      </c>
      <c r="M122" s="79">
        <v>0.0</v>
      </c>
      <c r="N122" s="79">
        <v>0.0</v>
      </c>
      <c r="O122" s="79">
        <v>0.0</v>
      </c>
      <c r="P122" s="79">
        <v>0.0</v>
      </c>
      <c r="Q122" s="79"/>
      <c r="R122" s="79"/>
      <c r="S122" s="79"/>
      <c r="T122" s="79"/>
      <c r="U122" s="79"/>
      <c r="V122" s="79">
        <v>0.0</v>
      </c>
      <c r="W122" s="79">
        <v>0.0</v>
      </c>
      <c r="X122" s="79">
        <v>1.0</v>
      </c>
      <c r="Y122" s="79">
        <v>0.0</v>
      </c>
      <c r="Z122" s="79">
        <v>0.0</v>
      </c>
      <c r="AA122" s="79">
        <v>0.0</v>
      </c>
      <c r="AB122" s="13">
        <f t="shared" si="26"/>
        <v>1</v>
      </c>
      <c r="AC122" s="5"/>
      <c r="AD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85"/>
      <c r="AC123" s="5"/>
      <c r="AD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85"/>
      <c r="AC124" s="5"/>
      <c r="AD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85"/>
      <c r="AC125" s="5"/>
      <c r="AD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85"/>
      <c r="AC126" s="5"/>
      <c r="AD126" s="5"/>
    </row>
    <row r="127" ht="12.75" customHeight="1">
      <c r="A127" s="19" t="s">
        <v>14</v>
      </c>
      <c r="B127" s="50" t="s">
        <v>48</v>
      </c>
      <c r="C127" s="15"/>
      <c r="D127" s="16"/>
      <c r="E127" s="67">
        <f t="shared" ref="E127:AA127" si="27">SUM(E117:E126)</f>
        <v>1</v>
      </c>
      <c r="F127" s="67">
        <f t="shared" si="27"/>
        <v>0</v>
      </c>
      <c r="G127" s="67">
        <f t="shared" si="27"/>
        <v>2</v>
      </c>
      <c r="H127" s="67">
        <f t="shared" si="27"/>
        <v>1</v>
      </c>
      <c r="I127" s="67">
        <f t="shared" si="27"/>
        <v>1</v>
      </c>
      <c r="J127" s="67">
        <f t="shared" si="27"/>
        <v>1</v>
      </c>
      <c r="K127" s="67">
        <f t="shared" si="27"/>
        <v>1</v>
      </c>
      <c r="L127" s="67">
        <f t="shared" si="27"/>
        <v>0</v>
      </c>
      <c r="M127" s="67">
        <f t="shared" si="27"/>
        <v>1</v>
      </c>
      <c r="N127" s="67">
        <f t="shared" si="27"/>
        <v>2</v>
      </c>
      <c r="O127" s="67">
        <f t="shared" si="27"/>
        <v>0</v>
      </c>
      <c r="P127" s="67">
        <f t="shared" si="27"/>
        <v>0</v>
      </c>
      <c r="Q127" s="67">
        <f t="shared" si="27"/>
        <v>2</v>
      </c>
      <c r="R127" s="67">
        <f t="shared" si="27"/>
        <v>2</v>
      </c>
      <c r="S127" s="67">
        <f t="shared" si="27"/>
        <v>1</v>
      </c>
      <c r="T127" s="67">
        <f t="shared" si="27"/>
        <v>0</v>
      </c>
      <c r="U127" s="67">
        <f t="shared" si="27"/>
        <v>0</v>
      </c>
      <c r="V127" s="67">
        <f t="shared" si="27"/>
        <v>1</v>
      </c>
      <c r="W127" s="67">
        <f t="shared" si="27"/>
        <v>1</v>
      </c>
      <c r="X127" s="67">
        <f t="shared" si="27"/>
        <v>2</v>
      </c>
      <c r="Y127" s="67">
        <f t="shared" si="27"/>
        <v>1</v>
      </c>
      <c r="Z127" s="67">
        <f t="shared" si="27"/>
        <v>1</v>
      </c>
      <c r="AA127" s="67">
        <f t="shared" si="27"/>
        <v>3</v>
      </c>
      <c r="AB127" s="13">
        <f>SUM(E127:AA127)</f>
        <v>24</v>
      </c>
      <c r="AC127" s="5"/>
      <c r="AD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5"/>
      <c r="AD128" s="5"/>
    </row>
    <row r="129" ht="12.75" customHeight="1">
      <c r="A129" s="31" t="s">
        <v>36</v>
      </c>
      <c r="B129" s="50" t="s">
        <v>101</v>
      </c>
      <c r="C129" s="51" t="s">
        <v>102</v>
      </c>
      <c r="D129" s="16"/>
      <c r="E129" s="79"/>
      <c r="F129" s="79"/>
      <c r="G129" s="79">
        <v>0.0</v>
      </c>
      <c r="H129" s="79">
        <v>0.0</v>
      </c>
      <c r="I129" s="79">
        <v>0.0</v>
      </c>
      <c r="J129" s="79">
        <v>1.0</v>
      </c>
      <c r="K129" s="79">
        <v>0.0</v>
      </c>
      <c r="L129" s="79">
        <v>0.0</v>
      </c>
      <c r="M129" s="79">
        <v>0.0</v>
      </c>
      <c r="N129" s="79">
        <v>0.0</v>
      </c>
      <c r="O129" s="79">
        <v>1.0</v>
      </c>
      <c r="P129" s="79">
        <v>0.0</v>
      </c>
      <c r="Q129" s="79"/>
      <c r="R129" s="79">
        <v>1.0</v>
      </c>
      <c r="S129" s="79">
        <v>1.0</v>
      </c>
      <c r="T129" s="79"/>
      <c r="U129" s="79">
        <v>1.0</v>
      </c>
      <c r="V129" s="79">
        <v>0.0</v>
      </c>
      <c r="W129" s="79">
        <v>1.0</v>
      </c>
      <c r="X129" s="79">
        <v>0.0</v>
      </c>
      <c r="Y129" s="79">
        <v>0.0</v>
      </c>
      <c r="Z129" s="79">
        <v>0.0</v>
      </c>
      <c r="AA129" s="79">
        <v>1.0</v>
      </c>
      <c r="AB129" s="13">
        <f t="shared" ref="AB129:AB139" si="28">SUM(E129:AA129)</f>
        <v>7</v>
      </c>
      <c r="AC129" s="5"/>
      <c r="AD129" s="5"/>
    </row>
    <row r="130" ht="12.75" customHeight="1">
      <c r="A130" s="31" t="s">
        <v>38</v>
      </c>
      <c r="B130" s="58"/>
      <c r="C130" s="53" t="s">
        <v>103</v>
      </c>
      <c r="D130" s="60"/>
      <c r="E130" s="79"/>
      <c r="F130" s="79">
        <v>1.0</v>
      </c>
      <c r="G130" s="79">
        <v>2.0</v>
      </c>
      <c r="H130" s="79">
        <v>0.0</v>
      </c>
      <c r="I130" s="79">
        <v>1.0</v>
      </c>
      <c r="J130" s="79">
        <v>0.0</v>
      </c>
      <c r="K130" s="79"/>
      <c r="L130" s="79">
        <v>0.0</v>
      </c>
      <c r="M130" s="79">
        <v>2.0</v>
      </c>
      <c r="N130" s="79">
        <v>5.0</v>
      </c>
      <c r="O130" s="79">
        <v>0.0</v>
      </c>
      <c r="P130" s="79">
        <v>6.0</v>
      </c>
      <c r="Q130" s="79">
        <v>5.0</v>
      </c>
      <c r="R130" s="79">
        <v>3.0</v>
      </c>
      <c r="S130" s="79"/>
      <c r="T130" s="79"/>
      <c r="U130" s="79">
        <v>3.0</v>
      </c>
      <c r="V130" s="79">
        <v>0.0</v>
      </c>
      <c r="W130" s="79">
        <v>0.0</v>
      </c>
      <c r="X130" s="79">
        <v>0.0</v>
      </c>
      <c r="Y130" s="79">
        <v>1.0</v>
      </c>
      <c r="Z130" s="79">
        <v>0.0</v>
      </c>
      <c r="AA130" s="79">
        <v>0.0</v>
      </c>
      <c r="AB130" s="13">
        <f t="shared" si="28"/>
        <v>29</v>
      </c>
      <c r="AC130" s="1"/>
      <c r="AD130" s="1"/>
    </row>
    <row r="131" ht="12.75" customHeight="1">
      <c r="A131" s="18"/>
      <c r="B131" s="58"/>
      <c r="C131" s="53" t="s">
        <v>104</v>
      </c>
      <c r="D131" s="60"/>
      <c r="E131" s="79"/>
      <c r="F131" s="79"/>
      <c r="G131" s="79">
        <v>1.0</v>
      </c>
      <c r="H131" s="79">
        <v>0.0</v>
      </c>
      <c r="I131" s="79">
        <v>0.0</v>
      </c>
      <c r="J131" s="79">
        <v>0.0</v>
      </c>
      <c r="K131" s="79"/>
      <c r="L131" s="79">
        <v>0.0</v>
      </c>
      <c r="M131" s="79">
        <v>0.0</v>
      </c>
      <c r="N131" s="79">
        <v>0.0</v>
      </c>
      <c r="O131" s="79">
        <v>0.0</v>
      </c>
      <c r="P131" s="79">
        <v>0.0</v>
      </c>
      <c r="Q131" s="79"/>
      <c r="R131" s="79"/>
      <c r="S131" s="79"/>
      <c r="T131" s="79"/>
      <c r="U131" s="79">
        <v>1.0</v>
      </c>
      <c r="V131" s="79">
        <v>0.0</v>
      </c>
      <c r="W131" s="79">
        <v>0.0</v>
      </c>
      <c r="X131" s="79">
        <v>0.0</v>
      </c>
      <c r="Y131" s="79">
        <v>0.0</v>
      </c>
      <c r="Z131" s="79">
        <v>0.0</v>
      </c>
      <c r="AA131" s="79">
        <v>0.0</v>
      </c>
      <c r="AB131" s="13">
        <f t="shared" si="28"/>
        <v>2</v>
      </c>
      <c r="AC131" s="55"/>
      <c r="AD131" s="55"/>
    </row>
    <row r="132" ht="12.75" customHeight="1">
      <c r="A132" s="18"/>
      <c r="B132" s="58"/>
      <c r="C132" s="53" t="s">
        <v>105</v>
      </c>
      <c r="D132" s="60"/>
      <c r="E132" s="79"/>
      <c r="F132" s="79"/>
      <c r="G132" s="79"/>
      <c r="H132" s="79">
        <v>0.0</v>
      </c>
      <c r="I132" s="79">
        <v>0.0</v>
      </c>
      <c r="J132" s="79">
        <v>0.0</v>
      </c>
      <c r="K132" s="79">
        <v>1.0</v>
      </c>
      <c r="L132" s="79">
        <v>0.0</v>
      </c>
      <c r="M132" s="79">
        <v>0.0</v>
      </c>
      <c r="N132" s="79">
        <v>0.0</v>
      </c>
      <c r="O132" s="79">
        <v>0.0</v>
      </c>
      <c r="P132" s="79">
        <v>0.0</v>
      </c>
      <c r="Q132" s="79"/>
      <c r="R132" s="79"/>
      <c r="S132" s="79"/>
      <c r="T132" s="79">
        <v>1.0</v>
      </c>
      <c r="U132" s="79">
        <v>0.0</v>
      </c>
      <c r="V132" s="79">
        <v>1.0</v>
      </c>
      <c r="W132" s="79">
        <v>0.0</v>
      </c>
      <c r="X132" s="79">
        <v>0.0</v>
      </c>
      <c r="Y132" s="79">
        <v>0.0</v>
      </c>
      <c r="Z132" s="79">
        <v>0.0</v>
      </c>
      <c r="AA132" s="79">
        <v>0.0</v>
      </c>
      <c r="AB132" s="13">
        <f t="shared" si="28"/>
        <v>3</v>
      </c>
      <c r="AC132" s="5"/>
      <c r="AD132" s="5"/>
    </row>
    <row r="133" ht="12.75" customHeight="1">
      <c r="A133" s="18"/>
      <c r="B133" s="58"/>
      <c r="C133" s="53" t="s">
        <v>106</v>
      </c>
      <c r="D133" s="60"/>
      <c r="E133" s="79"/>
      <c r="F133" s="79"/>
      <c r="G133" s="79"/>
      <c r="H133" s="79">
        <v>0.0</v>
      </c>
      <c r="I133" s="79">
        <v>0.0</v>
      </c>
      <c r="J133" s="79">
        <v>0.0</v>
      </c>
      <c r="K133" s="79"/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79"/>
      <c r="R133" s="79"/>
      <c r="S133" s="79"/>
      <c r="T133" s="79"/>
      <c r="U133" s="79"/>
      <c r="V133" s="79">
        <v>0.0</v>
      </c>
      <c r="W133" s="79">
        <v>0.0</v>
      </c>
      <c r="X133" s="79">
        <v>1.0</v>
      </c>
      <c r="Y133" s="79">
        <v>0.0</v>
      </c>
      <c r="Z133" s="79">
        <v>0.0</v>
      </c>
      <c r="AA133" s="79">
        <v>0.0</v>
      </c>
      <c r="AB133" s="13">
        <f t="shared" si="28"/>
        <v>1</v>
      </c>
      <c r="AC133" s="5"/>
      <c r="AD133" s="5"/>
    </row>
    <row r="134" ht="12.75" customHeight="1">
      <c r="A134" s="18"/>
      <c r="B134" s="58"/>
      <c r="C134" s="53" t="s">
        <v>107</v>
      </c>
      <c r="D134" s="60"/>
      <c r="E134" s="79"/>
      <c r="F134" s="79"/>
      <c r="G134" s="79"/>
      <c r="H134" s="79">
        <v>0.0</v>
      </c>
      <c r="I134" s="79">
        <v>0.0</v>
      </c>
      <c r="J134" s="79">
        <v>0.0</v>
      </c>
      <c r="K134" s="79"/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79"/>
      <c r="R134" s="79"/>
      <c r="S134" s="79"/>
      <c r="T134" s="79"/>
      <c r="U134" s="79"/>
      <c r="V134" s="79">
        <v>0.0</v>
      </c>
      <c r="W134" s="79">
        <v>0.0</v>
      </c>
      <c r="X134" s="79">
        <v>0.0</v>
      </c>
      <c r="Y134" s="79">
        <v>0.0</v>
      </c>
      <c r="Z134" s="79">
        <v>0.0</v>
      </c>
      <c r="AA134" s="79">
        <v>0.0</v>
      </c>
      <c r="AB134" s="13">
        <f t="shared" si="28"/>
        <v>0</v>
      </c>
      <c r="AC134" s="5"/>
      <c r="AD134" s="5"/>
    </row>
    <row r="135" ht="12.75" customHeight="1">
      <c r="A135" s="18"/>
      <c r="B135" s="58"/>
      <c r="C135" s="53" t="s">
        <v>108</v>
      </c>
      <c r="D135" s="61"/>
      <c r="E135" s="79"/>
      <c r="F135" s="79"/>
      <c r="G135" s="79">
        <v>1.0</v>
      </c>
      <c r="H135" s="79">
        <v>0.0</v>
      </c>
      <c r="I135" s="79">
        <v>0.0</v>
      </c>
      <c r="J135" s="79">
        <v>0.0</v>
      </c>
      <c r="K135" s="79"/>
      <c r="L135" s="79">
        <v>0.0</v>
      </c>
      <c r="M135" s="79">
        <v>0.0</v>
      </c>
      <c r="N135" s="79">
        <v>0.0</v>
      </c>
      <c r="O135" s="79">
        <v>0.0</v>
      </c>
      <c r="P135" s="79">
        <v>0.0</v>
      </c>
      <c r="Q135" s="79"/>
      <c r="R135" s="79"/>
      <c r="S135" s="79"/>
      <c r="T135" s="79"/>
      <c r="U135" s="79"/>
      <c r="V135" s="79">
        <v>0.0</v>
      </c>
      <c r="W135" s="79">
        <v>0.0</v>
      </c>
      <c r="X135" s="79">
        <v>0.0</v>
      </c>
      <c r="Y135" s="79">
        <v>0.0</v>
      </c>
      <c r="Z135" s="79">
        <v>0.0</v>
      </c>
      <c r="AA135" s="79">
        <v>0.0</v>
      </c>
      <c r="AB135" s="13">
        <f t="shared" si="28"/>
        <v>1</v>
      </c>
      <c r="AC135" s="5"/>
      <c r="AD135" s="5"/>
    </row>
    <row r="136" ht="12.75" customHeight="1">
      <c r="A136" s="18"/>
      <c r="B136" s="58"/>
      <c r="C136" s="53" t="s">
        <v>109</v>
      </c>
      <c r="D136" s="60"/>
      <c r="E136" s="79"/>
      <c r="F136" s="79"/>
      <c r="G136" s="79"/>
      <c r="H136" s="79">
        <v>0.0</v>
      </c>
      <c r="I136" s="79">
        <v>0.0</v>
      </c>
      <c r="J136" s="79">
        <v>0.0</v>
      </c>
      <c r="K136" s="79"/>
      <c r="L136" s="79">
        <v>0.0</v>
      </c>
      <c r="M136" s="79">
        <v>1.0</v>
      </c>
      <c r="N136" s="79">
        <v>0.0</v>
      </c>
      <c r="O136" s="79">
        <v>0.0</v>
      </c>
      <c r="P136" s="79">
        <v>0.0</v>
      </c>
      <c r="Q136" s="79"/>
      <c r="R136" s="79"/>
      <c r="S136" s="79"/>
      <c r="T136" s="79"/>
      <c r="U136" s="79"/>
      <c r="V136" s="79">
        <v>0.0</v>
      </c>
      <c r="W136" s="79">
        <v>0.0</v>
      </c>
      <c r="X136" s="79">
        <v>0.0</v>
      </c>
      <c r="Y136" s="79">
        <v>0.0</v>
      </c>
      <c r="Z136" s="79">
        <v>0.0</v>
      </c>
      <c r="AA136" s="79">
        <v>0.0</v>
      </c>
      <c r="AB136" s="13">
        <f t="shared" si="28"/>
        <v>1</v>
      </c>
      <c r="AC136" s="5"/>
      <c r="AD136" s="5"/>
    </row>
    <row r="137" ht="12.75" customHeight="1">
      <c r="A137" s="18"/>
      <c r="B137" s="58"/>
      <c r="C137" s="53" t="s">
        <v>110</v>
      </c>
      <c r="D137" s="60"/>
      <c r="E137" s="79"/>
      <c r="F137" s="79"/>
      <c r="G137" s="79"/>
      <c r="H137" s="79">
        <v>0.0</v>
      </c>
      <c r="I137" s="79">
        <v>0.0</v>
      </c>
      <c r="J137" s="79">
        <v>0.0</v>
      </c>
      <c r="K137" s="79"/>
      <c r="L137" s="79">
        <v>0.0</v>
      </c>
      <c r="M137" s="79">
        <v>0.0</v>
      </c>
      <c r="N137" s="79">
        <v>0.0</v>
      </c>
      <c r="O137" s="79">
        <v>0.0</v>
      </c>
      <c r="P137" s="79">
        <v>0.0</v>
      </c>
      <c r="Q137" s="79"/>
      <c r="R137" s="79"/>
      <c r="S137" s="79"/>
      <c r="T137" s="79"/>
      <c r="U137" s="79"/>
      <c r="V137" s="79">
        <v>0.0</v>
      </c>
      <c r="W137" s="79">
        <v>0.0</v>
      </c>
      <c r="X137" s="79">
        <v>0.0</v>
      </c>
      <c r="Y137" s="79">
        <v>0.0</v>
      </c>
      <c r="Z137" s="79">
        <v>0.0</v>
      </c>
      <c r="AA137" s="79">
        <v>0.0</v>
      </c>
      <c r="AB137" s="13">
        <f t="shared" si="28"/>
        <v>0</v>
      </c>
      <c r="AC137" s="5"/>
      <c r="AD137" s="5"/>
    </row>
    <row r="138" ht="12.75" customHeight="1">
      <c r="A138" s="18"/>
      <c r="B138" s="58"/>
      <c r="C138" s="53" t="s">
        <v>111</v>
      </c>
      <c r="D138" s="60"/>
      <c r="E138" s="79"/>
      <c r="F138" s="79"/>
      <c r="G138" s="79"/>
      <c r="H138" s="79">
        <v>0.0</v>
      </c>
      <c r="I138" s="79">
        <v>0.0</v>
      </c>
      <c r="J138" s="79">
        <v>0.0</v>
      </c>
      <c r="K138" s="79"/>
      <c r="L138" s="79">
        <v>0.0</v>
      </c>
      <c r="M138" s="79">
        <v>0.0</v>
      </c>
      <c r="N138" s="79">
        <v>0.0</v>
      </c>
      <c r="O138" s="79">
        <v>0.0</v>
      </c>
      <c r="P138" s="79">
        <v>0.0</v>
      </c>
      <c r="Q138" s="79"/>
      <c r="R138" s="79"/>
      <c r="S138" s="79"/>
      <c r="T138" s="79"/>
      <c r="U138" s="79"/>
      <c r="V138" s="79">
        <v>0.0</v>
      </c>
      <c r="W138" s="79">
        <v>0.0</v>
      </c>
      <c r="X138" s="79">
        <v>0.0</v>
      </c>
      <c r="Y138" s="79">
        <v>0.0</v>
      </c>
      <c r="Z138" s="79">
        <v>0.0</v>
      </c>
      <c r="AA138" s="79">
        <v>0.0</v>
      </c>
      <c r="AB138" s="13">
        <f t="shared" si="28"/>
        <v>0</v>
      </c>
      <c r="AC138" s="5"/>
      <c r="AD138" s="5"/>
    </row>
    <row r="139" ht="12.75" customHeight="1">
      <c r="A139" s="19" t="s">
        <v>14</v>
      </c>
      <c r="B139" s="50" t="s">
        <v>48</v>
      </c>
      <c r="C139" s="15"/>
      <c r="D139" s="16"/>
      <c r="E139" s="13">
        <f t="shared" ref="E139:AA139" si="29">SUM(E129:E138)</f>
        <v>0</v>
      </c>
      <c r="F139" s="13">
        <f t="shared" si="29"/>
        <v>1</v>
      </c>
      <c r="G139" s="13">
        <f t="shared" si="29"/>
        <v>4</v>
      </c>
      <c r="H139" s="13">
        <f t="shared" si="29"/>
        <v>0</v>
      </c>
      <c r="I139" s="13">
        <f t="shared" si="29"/>
        <v>1</v>
      </c>
      <c r="J139" s="13">
        <f t="shared" si="29"/>
        <v>1</v>
      </c>
      <c r="K139" s="13">
        <f t="shared" si="29"/>
        <v>1</v>
      </c>
      <c r="L139" s="13">
        <f t="shared" si="29"/>
        <v>0</v>
      </c>
      <c r="M139" s="13">
        <f t="shared" si="29"/>
        <v>3</v>
      </c>
      <c r="N139" s="13">
        <f t="shared" si="29"/>
        <v>5</v>
      </c>
      <c r="O139" s="13">
        <f t="shared" si="29"/>
        <v>1</v>
      </c>
      <c r="P139" s="13">
        <f t="shared" si="29"/>
        <v>6</v>
      </c>
      <c r="Q139" s="13">
        <f t="shared" si="29"/>
        <v>5</v>
      </c>
      <c r="R139" s="13">
        <f t="shared" si="29"/>
        <v>4</v>
      </c>
      <c r="S139" s="13">
        <f t="shared" si="29"/>
        <v>1</v>
      </c>
      <c r="T139" s="13">
        <f t="shared" si="29"/>
        <v>1</v>
      </c>
      <c r="U139" s="13">
        <f t="shared" si="29"/>
        <v>5</v>
      </c>
      <c r="V139" s="13">
        <f t="shared" si="29"/>
        <v>1</v>
      </c>
      <c r="W139" s="13">
        <f t="shared" si="29"/>
        <v>1</v>
      </c>
      <c r="X139" s="13">
        <f t="shared" si="29"/>
        <v>1</v>
      </c>
      <c r="Y139" s="13">
        <f t="shared" si="29"/>
        <v>1</v>
      </c>
      <c r="Z139" s="13">
        <f t="shared" si="29"/>
        <v>0</v>
      </c>
      <c r="AA139" s="13">
        <f t="shared" si="29"/>
        <v>1</v>
      </c>
      <c r="AB139" s="13">
        <f t="shared" si="28"/>
        <v>44</v>
      </c>
      <c r="AC139" s="5"/>
      <c r="AD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5"/>
      <c r="AD140" s="5"/>
    </row>
    <row r="141" ht="12.75" customHeight="1">
      <c r="A141" s="31" t="s">
        <v>36</v>
      </c>
      <c r="B141" s="50" t="s">
        <v>112</v>
      </c>
      <c r="C141" s="51" t="s">
        <v>113</v>
      </c>
      <c r="D141" s="16"/>
      <c r="E141" s="79"/>
      <c r="F141" s="79"/>
      <c r="G141" s="79">
        <v>0.0</v>
      </c>
      <c r="H141" s="79">
        <v>0.0</v>
      </c>
      <c r="I141" s="79">
        <v>0.0</v>
      </c>
      <c r="J141" s="79">
        <v>0.0</v>
      </c>
      <c r="K141" s="79"/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79"/>
      <c r="S141" s="79">
        <v>0.0</v>
      </c>
      <c r="T141" s="79"/>
      <c r="U141" s="79"/>
      <c r="V141" s="79">
        <v>0.0</v>
      </c>
      <c r="W141" s="79">
        <v>0.0</v>
      </c>
      <c r="X141" s="79">
        <v>0.0</v>
      </c>
      <c r="Y141" s="79">
        <v>1.0</v>
      </c>
      <c r="Z141" s="79">
        <v>1.0</v>
      </c>
      <c r="AA141" s="79">
        <v>0.0</v>
      </c>
      <c r="AB141" s="13">
        <f t="shared" ref="AB141:AB144" si="30">SUM(E141:AA141)</f>
        <v>2</v>
      </c>
      <c r="AC141" s="1"/>
      <c r="AD141" s="1"/>
    </row>
    <row r="142" ht="12.75" customHeight="1">
      <c r="A142" s="31" t="s">
        <v>38</v>
      </c>
      <c r="B142" s="58"/>
      <c r="C142" s="53" t="s">
        <v>114</v>
      </c>
      <c r="D142" s="61"/>
      <c r="E142" s="79"/>
      <c r="F142" s="79"/>
      <c r="G142" s="79"/>
      <c r="H142" s="79">
        <v>0.0</v>
      </c>
      <c r="I142" s="79">
        <v>0.0</v>
      </c>
      <c r="J142" s="79">
        <v>0.0</v>
      </c>
      <c r="K142" s="79"/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/>
      <c r="R142" s="79"/>
      <c r="S142" s="79">
        <v>0.0</v>
      </c>
      <c r="T142" s="79"/>
      <c r="U142" s="79"/>
      <c r="V142" s="79">
        <v>0.0</v>
      </c>
      <c r="W142" s="79">
        <v>0.0</v>
      </c>
      <c r="X142" s="79">
        <v>0.0</v>
      </c>
      <c r="Y142" s="79">
        <v>0.0</v>
      </c>
      <c r="Z142" s="79">
        <v>0.0</v>
      </c>
      <c r="AA142" s="79">
        <v>0.0</v>
      </c>
      <c r="AB142" s="13">
        <f t="shared" si="30"/>
        <v>0</v>
      </c>
      <c r="AC142" s="55"/>
      <c r="AD142" s="55"/>
    </row>
    <row r="143" ht="12.75" customHeight="1">
      <c r="A143" s="18"/>
      <c r="B143" s="58"/>
      <c r="C143" s="53" t="s">
        <v>115</v>
      </c>
      <c r="D143" s="61"/>
      <c r="E143" s="79"/>
      <c r="F143" s="79"/>
      <c r="G143" s="79"/>
      <c r="H143" s="79">
        <v>0.0</v>
      </c>
      <c r="I143" s="79">
        <v>0.0</v>
      </c>
      <c r="J143" s="79">
        <v>0.0</v>
      </c>
      <c r="K143" s="79"/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/>
      <c r="R143" s="79"/>
      <c r="S143" s="79">
        <v>0.0</v>
      </c>
      <c r="T143" s="79"/>
      <c r="U143" s="79"/>
      <c r="V143" s="79">
        <v>0.0</v>
      </c>
      <c r="W143" s="79">
        <v>0.0</v>
      </c>
      <c r="X143" s="79">
        <v>0.0</v>
      </c>
      <c r="Y143" s="79">
        <v>0.0</v>
      </c>
      <c r="Z143" s="79">
        <v>0.0</v>
      </c>
      <c r="AA143" s="79">
        <v>0.0</v>
      </c>
      <c r="AB143" s="13">
        <f t="shared" si="30"/>
        <v>0</v>
      </c>
      <c r="AC143" s="5"/>
      <c r="AD143" s="5"/>
    </row>
    <row r="144" ht="12.75" customHeight="1">
      <c r="A144" s="18"/>
      <c r="B144" s="58"/>
      <c r="C144" s="53" t="s">
        <v>116</v>
      </c>
      <c r="D144" s="61"/>
      <c r="E144" s="79"/>
      <c r="F144" s="79"/>
      <c r="G144" s="79"/>
      <c r="H144" s="79">
        <v>0.0</v>
      </c>
      <c r="I144" s="79">
        <v>0.0</v>
      </c>
      <c r="J144" s="79">
        <v>0.0</v>
      </c>
      <c r="K144" s="79"/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/>
      <c r="R144" s="79"/>
      <c r="S144" s="79">
        <v>0.0</v>
      </c>
      <c r="T144" s="79"/>
      <c r="U144" s="79"/>
      <c r="V144" s="79">
        <v>0.0</v>
      </c>
      <c r="W144" s="79">
        <v>0.0</v>
      </c>
      <c r="X144" s="79">
        <v>0.0</v>
      </c>
      <c r="Y144" s="79">
        <v>0.0</v>
      </c>
      <c r="Z144" s="79">
        <v>0.0</v>
      </c>
      <c r="AA144" s="79">
        <v>0.0</v>
      </c>
      <c r="AB144" s="13">
        <f t="shared" si="30"/>
        <v>0</v>
      </c>
      <c r="AC144" s="5"/>
      <c r="AD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85"/>
      <c r="AC145" s="5"/>
      <c r="AD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85"/>
      <c r="AC146" s="5"/>
      <c r="AD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85"/>
      <c r="AC147" s="5"/>
      <c r="AD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85"/>
      <c r="AC148" s="5"/>
      <c r="AD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85"/>
      <c r="AC149" s="5"/>
      <c r="AD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85"/>
      <c r="AC150" s="5"/>
      <c r="AD150" s="5"/>
    </row>
    <row r="151" ht="12.75" customHeight="1">
      <c r="A151" s="19" t="s">
        <v>14</v>
      </c>
      <c r="B151" s="50" t="s">
        <v>48</v>
      </c>
      <c r="C151" s="15"/>
      <c r="D151" s="16"/>
      <c r="E151" s="13">
        <f t="shared" ref="E151:AA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1</v>
      </c>
      <c r="AA151" s="13">
        <f t="shared" si="31"/>
        <v>0</v>
      </c>
      <c r="AB151" s="13">
        <f>SUM(E151:AA151)</f>
        <v>2</v>
      </c>
      <c r="AC151" s="1"/>
      <c r="AD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13"/>
      <c r="AC152" s="55"/>
      <c r="AD152" s="55"/>
    </row>
    <row r="153" ht="12.75" customHeight="1">
      <c r="A153" s="31" t="s">
        <v>36</v>
      </c>
      <c r="B153" s="17" t="s">
        <v>117</v>
      </c>
      <c r="C153" s="68" t="s">
        <v>118</v>
      </c>
      <c r="D153" s="23"/>
      <c r="E153" s="79">
        <v>1.0</v>
      </c>
      <c r="F153" s="79"/>
      <c r="G153" s="79"/>
      <c r="H153" s="79">
        <v>1.0</v>
      </c>
      <c r="I153" s="79">
        <v>0.0</v>
      </c>
      <c r="J153" s="79">
        <v>0.0</v>
      </c>
      <c r="K153" s="79"/>
      <c r="L153" s="79"/>
      <c r="M153" s="79">
        <v>0.0</v>
      </c>
      <c r="N153" s="79">
        <v>0.0</v>
      </c>
      <c r="O153" s="79">
        <v>0.0</v>
      </c>
      <c r="P153" s="79">
        <v>0.0</v>
      </c>
      <c r="Q153" s="79"/>
      <c r="R153" s="79"/>
      <c r="S153" s="79"/>
      <c r="T153" s="79"/>
      <c r="U153" s="79"/>
      <c r="V153" s="79">
        <v>0.0</v>
      </c>
      <c r="W153" s="79">
        <v>0.0</v>
      </c>
      <c r="X153" s="79">
        <v>0.0</v>
      </c>
      <c r="Y153" s="79">
        <v>0.0</v>
      </c>
      <c r="Z153" s="79">
        <v>0.0</v>
      </c>
      <c r="AA153" s="79">
        <v>0.0</v>
      </c>
      <c r="AB153" s="13">
        <f t="shared" ref="AB153:AB156" si="32">SUM(E154:AA154)</f>
        <v>3</v>
      </c>
      <c r="AC153" s="5"/>
      <c r="AD153" s="5"/>
    </row>
    <row r="154" ht="12.75" customHeight="1">
      <c r="A154" s="69" t="s">
        <v>38</v>
      </c>
      <c r="B154" s="58"/>
      <c r="C154" s="53" t="s">
        <v>119</v>
      </c>
      <c r="D154" s="61"/>
      <c r="E154" s="87"/>
      <c r="F154" s="79"/>
      <c r="G154" s="79"/>
      <c r="H154" s="79">
        <v>1.0</v>
      </c>
      <c r="I154" s="79">
        <v>0.0</v>
      </c>
      <c r="J154" s="79">
        <v>0.0</v>
      </c>
      <c r="K154" s="79"/>
      <c r="L154" s="79"/>
      <c r="M154" s="79">
        <v>0.0</v>
      </c>
      <c r="N154" s="79">
        <v>1.0</v>
      </c>
      <c r="O154" s="79">
        <v>0.0</v>
      </c>
      <c r="P154" s="79">
        <v>0.0</v>
      </c>
      <c r="Q154" s="79"/>
      <c r="R154" s="79"/>
      <c r="S154" s="79"/>
      <c r="T154" s="79"/>
      <c r="U154" s="79"/>
      <c r="V154" s="79">
        <v>0.0</v>
      </c>
      <c r="W154" s="79">
        <v>1.0</v>
      </c>
      <c r="X154" s="79">
        <v>0.0</v>
      </c>
      <c r="Y154" s="79">
        <v>0.0</v>
      </c>
      <c r="Z154" s="79">
        <v>0.0</v>
      </c>
      <c r="AA154" s="79">
        <v>0.0</v>
      </c>
      <c r="AB154" s="13">
        <f t="shared" si="32"/>
        <v>3</v>
      </c>
      <c r="AC154" s="5"/>
      <c r="AD154" s="5"/>
    </row>
    <row r="155" ht="12.75" customHeight="1">
      <c r="A155" s="18"/>
      <c r="B155" s="58"/>
      <c r="C155" s="53" t="s">
        <v>120</v>
      </c>
      <c r="D155" s="61"/>
      <c r="E155" s="87"/>
      <c r="F155" s="79"/>
      <c r="G155" s="79"/>
      <c r="H155" s="79">
        <v>1.0</v>
      </c>
      <c r="I155" s="79">
        <v>0.0</v>
      </c>
      <c r="J155" s="79">
        <v>0.0</v>
      </c>
      <c r="K155" s="79"/>
      <c r="L155" s="79"/>
      <c r="M155" s="79">
        <v>0.0</v>
      </c>
      <c r="N155" s="79">
        <v>1.0</v>
      </c>
      <c r="O155" s="79">
        <v>0.0</v>
      </c>
      <c r="P155" s="79">
        <v>0.0</v>
      </c>
      <c r="Q155" s="79"/>
      <c r="R155" s="79"/>
      <c r="S155" s="79"/>
      <c r="T155" s="79"/>
      <c r="U155" s="79"/>
      <c r="V155" s="79">
        <v>0.0</v>
      </c>
      <c r="W155" s="79">
        <v>0.0</v>
      </c>
      <c r="X155" s="79">
        <v>0.0</v>
      </c>
      <c r="Y155" s="79">
        <v>1.0</v>
      </c>
      <c r="Z155" s="79">
        <v>0.0</v>
      </c>
      <c r="AA155" s="79">
        <v>0.0</v>
      </c>
      <c r="AB155" s="13">
        <f t="shared" si="32"/>
        <v>1</v>
      </c>
      <c r="AC155" s="5"/>
      <c r="AD155" s="5"/>
    </row>
    <row r="156" ht="12.75" customHeight="1">
      <c r="A156" s="18"/>
      <c r="B156" s="58"/>
      <c r="C156" s="53" t="s">
        <v>121</v>
      </c>
      <c r="D156" s="61"/>
      <c r="E156" s="87">
        <v>1.0</v>
      </c>
      <c r="F156" s="79"/>
      <c r="G156" s="79"/>
      <c r="H156" s="79">
        <v>0.0</v>
      </c>
      <c r="I156" s="79">
        <v>0.0</v>
      </c>
      <c r="J156" s="79">
        <v>0.0</v>
      </c>
      <c r="K156" s="79"/>
      <c r="L156" s="79"/>
      <c r="M156" s="79">
        <v>0.0</v>
      </c>
      <c r="N156" s="79">
        <v>0.0</v>
      </c>
      <c r="O156" s="79">
        <v>0.0</v>
      </c>
      <c r="P156" s="79">
        <v>0.0</v>
      </c>
      <c r="Q156" s="79"/>
      <c r="R156" s="79"/>
      <c r="S156" s="79"/>
      <c r="T156" s="79"/>
      <c r="U156" s="79"/>
      <c r="V156" s="79">
        <v>0.0</v>
      </c>
      <c r="W156" s="79">
        <v>0.0</v>
      </c>
      <c r="X156" s="79">
        <v>0.0</v>
      </c>
      <c r="Y156" s="79">
        <v>0.0</v>
      </c>
      <c r="Z156" s="79">
        <v>0.0</v>
      </c>
      <c r="AA156" s="79">
        <v>0.0</v>
      </c>
      <c r="AB156" s="13">
        <f t="shared" si="32"/>
        <v>0</v>
      </c>
      <c r="AC156" s="5"/>
      <c r="AD156" s="5"/>
    </row>
    <row r="157" ht="12.75" customHeight="1">
      <c r="A157" s="18"/>
      <c r="B157" s="58"/>
      <c r="C157" s="53" t="s">
        <v>122</v>
      </c>
      <c r="D157" s="61"/>
      <c r="E157" s="87"/>
      <c r="F157" s="79"/>
      <c r="G157" s="79"/>
      <c r="H157" s="79">
        <v>0.0</v>
      </c>
      <c r="I157" s="79">
        <v>0.0</v>
      </c>
      <c r="J157" s="79">
        <v>0.0</v>
      </c>
      <c r="K157" s="79"/>
      <c r="L157" s="79"/>
      <c r="M157" s="79">
        <v>0.0</v>
      </c>
      <c r="N157" s="79">
        <v>0.0</v>
      </c>
      <c r="O157" s="79">
        <v>0.0</v>
      </c>
      <c r="P157" s="79">
        <v>0.0</v>
      </c>
      <c r="Q157" s="79"/>
      <c r="R157" s="79"/>
      <c r="S157" s="79"/>
      <c r="T157" s="79"/>
      <c r="U157" s="79"/>
      <c r="V157" s="79">
        <v>0.0</v>
      </c>
      <c r="W157" s="79">
        <v>0.0</v>
      </c>
      <c r="X157" s="79">
        <v>0.0</v>
      </c>
      <c r="Y157" s="79">
        <v>0.0</v>
      </c>
      <c r="Z157" s="79">
        <v>0.0</v>
      </c>
      <c r="AA157" s="79">
        <v>0.0</v>
      </c>
      <c r="AB157" s="13">
        <f t="shared" ref="AB157:AB160" si="33">SUM(E163:AA163)</f>
        <v>10</v>
      </c>
      <c r="AC157" s="5"/>
      <c r="AD157" s="5"/>
    </row>
    <row r="158" ht="12.75" customHeight="1">
      <c r="A158" s="18"/>
      <c r="B158" s="58"/>
      <c r="C158" s="53" t="s">
        <v>123</v>
      </c>
      <c r="D158" s="61"/>
      <c r="E158" s="87"/>
      <c r="F158" s="79"/>
      <c r="G158" s="79"/>
      <c r="H158" s="79">
        <v>0.0</v>
      </c>
      <c r="I158" s="79">
        <v>0.0</v>
      </c>
      <c r="J158" s="79">
        <v>0.0</v>
      </c>
      <c r="K158" s="79"/>
      <c r="L158" s="79"/>
      <c r="M158" s="79">
        <v>0.0</v>
      </c>
      <c r="N158" s="79">
        <v>0.0</v>
      </c>
      <c r="O158" s="79">
        <v>0.0</v>
      </c>
      <c r="P158" s="79">
        <v>0.0</v>
      </c>
      <c r="Q158" s="79">
        <v>1.0</v>
      </c>
      <c r="R158" s="79"/>
      <c r="S158" s="79"/>
      <c r="T158" s="79"/>
      <c r="U158" s="79"/>
      <c r="V158" s="79">
        <v>0.0</v>
      </c>
      <c r="W158" s="79">
        <v>0.0</v>
      </c>
      <c r="X158" s="79">
        <v>0.0</v>
      </c>
      <c r="Y158" s="79">
        <v>0.0</v>
      </c>
      <c r="Z158" s="79">
        <v>0.0</v>
      </c>
      <c r="AA158" s="79">
        <v>0.0</v>
      </c>
      <c r="AB158" s="13">
        <f t="shared" si="33"/>
        <v>0</v>
      </c>
      <c r="AC158" s="5"/>
      <c r="AD158" s="5"/>
    </row>
    <row r="159" ht="12.75" customHeight="1">
      <c r="A159" s="18"/>
      <c r="B159" s="58"/>
      <c r="C159" s="53" t="s">
        <v>124</v>
      </c>
      <c r="D159" s="61"/>
      <c r="E159" s="87"/>
      <c r="F159" s="79"/>
      <c r="G159" s="79">
        <v>0.0</v>
      </c>
      <c r="H159" s="79">
        <v>0.0</v>
      </c>
      <c r="I159" s="79">
        <v>0.0</v>
      </c>
      <c r="J159" s="79">
        <v>0.0</v>
      </c>
      <c r="K159" s="79"/>
      <c r="L159" s="79"/>
      <c r="M159" s="79">
        <v>0.0</v>
      </c>
      <c r="N159" s="79">
        <v>0.0</v>
      </c>
      <c r="O159" s="79">
        <v>0.0</v>
      </c>
      <c r="P159" s="79">
        <v>0.0</v>
      </c>
      <c r="Q159" s="79"/>
      <c r="R159" s="79"/>
      <c r="S159" s="79"/>
      <c r="T159" s="79"/>
      <c r="U159" s="79"/>
      <c r="V159" s="79">
        <v>0.0</v>
      </c>
      <c r="W159" s="79">
        <v>0.0</v>
      </c>
      <c r="X159" s="79">
        <v>0.0</v>
      </c>
      <c r="Y159" s="79">
        <v>0.0</v>
      </c>
      <c r="Z159" s="79">
        <v>0.0</v>
      </c>
      <c r="AA159" s="79">
        <v>0.0</v>
      </c>
      <c r="AB159" s="13">
        <f t="shared" si="33"/>
        <v>11</v>
      </c>
      <c r="AC159" s="5"/>
      <c r="AD159" s="5"/>
    </row>
    <row r="160" ht="12.75" customHeight="1">
      <c r="A160" s="18"/>
      <c r="B160" s="58"/>
      <c r="C160" s="53" t="s">
        <v>125</v>
      </c>
      <c r="D160" s="61"/>
      <c r="E160" s="87"/>
      <c r="F160" s="79"/>
      <c r="G160" s="79">
        <v>0.0</v>
      </c>
      <c r="H160" s="79">
        <v>0.0</v>
      </c>
      <c r="I160" s="79">
        <v>0.0</v>
      </c>
      <c r="J160" s="79">
        <v>0.0</v>
      </c>
      <c r="K160" s="79"/>
      <c r="L160" s="79"/>
      <c r="M160" s="79">
        <v>0.0</v>
      </c>
      <c r="N160" s="79">
        <v>0.0</v>
      </c>
      <c r="O160" s="79">
        <v>0.0</v>
      </c>
      <c r="P160" s="79">
        <v>0.0</v>
      </c>
      <c r="Q160" s="79"/>
      <c r="R160" s="79"/>
      <c r="S160" s="79"/>
      <c r="T160" s="79"/>
      <c r="U160" s="79"/>
      <c r="V160" s="79">
        <v>0.0</v>
      </c>
      <c r="W160" s="79">
        <v>0.0</v>
      </c>
      <c r="X160" s="79">
        <v>0.0</v>
      </c>
      <c r="Y160" s="79">
        <v>0.0</v>
      </c>
      <c r="Z160" s="79">
        <v>0.0</v>
      </c>
      <c r="AA160" s="79">
        <v>0.0</v>
      </c>
      <c r="AB160" s="13">
        <f t="shared" si="33"/>
        <v>5</v>
      </c>
      <c r="AC160" s="5"/>
      <c r="AD160" s="5"/>
    </row>
    <row r="161" ht="12.75" customHeight="1">
      <c r="A161" s="18"/>
      <c r="B161" s="62"/>
      <c r="C161" s="70"/>
      <c r="D161" s="64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85"/>
      <c r="AC161" s="5"/>
      <c r="AD161" s="5"/>
    </row>
    <row r="162" ht="12.75" customHeight="1">
      <c r="A162" s="18"/>
      <c r="B162" s="62"/>
      <c r="C162" s="70"/>
      <c r="D162" s="64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85"/>
      <c r="AC162" s="5"/>
      <c r="AD162" s="5"/>
    </row>
    <row r="163" ht="12.75" customHeight="1">
      <c r="A163" s="19" t="s">
        <v>14</v>
      </c>
      <c r="B163" s="71" t="s">
        <v>48</v>
      </c>
      <c r="C163" s="47"/>
      <c r="D163" s="28"/>
      <c r="E163" s="13">
        <f t="shared" ref="E163:AA163" si="34">SUM(E153:E162)</f>
        <v>2</v>
      </c>
      <c r="F163" s="13">
        <f t="shared" si="34"/>
        <v>0</v>
      </c>
      <c r="G163" s="13">
        <f t="shared" si="34"/>
        <v>0</v>
      </c>
      <c r="H163" s="13">
        <f t="shared" si="34"/>
        <v>3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2</v>
      </c>
      <c r="O163" s="13">
        <f t="shared" si="34"/>
        <v>0</v>
      </c>
      <c r="P163" s="13">
        <f t="shared" si="34"/>
        <v>0</v>
      </c>
      <c r="Q163" s="13">
        <f t="shared" si="34"/>
        <v>1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 t="shared" si="34"/>
        <v>1</v>
      </c>
      <c r="X163" s="13">
        <f t="shared" si="34"/>
        <v>0</v>
      </c>
      <c r="Y163" s="13">
        <f t="shared" si="34"/>
        <v>1</v>
      </c>
      <c r="Z163" s="13">
        <f t="shared" si="34"/>
        <v>0</v>
      </c>
      <c r="AA163" s="13">
        <f t="shared" si="34"/>
        <v>0</v>
      </c>
      <c r="AB163" s="13">
        <f>SUM(E163:AA163)</f>
        <v>10</v>
      </c>
      <c r="AC163" s="5"/>
      <c r="AD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5"/>
      <c r="AD164" s="5"/>
    </row>
    <row r="165" ht="12.75" customHeight="1">
      <c r="A165" s="31" t="s">
        <v>36</v>
      </c>
      <c r="B165" s="50" t="s">
        <v>126</v>
      </c>
      <c r="C165" s="51" t="s">
        <v>127</v>
      </c>
      <c r="D165" s="16"/>
      <c r="E165" s="79"/>
      <c r="F165" s="79"/>
      <c r="G165" s="79"/>
      <c r="H165" s="79">
        <v>2.0</v>
      </c>
      <c r="I165" s="79">
        <v>0.0</v>
      </c>
      <c r="J165" s="79">
        <v>1.0</v>
      </c>
      <c r="K165" s="79">
        <v>1.0</v>
      </c>
      <c r="L165" s="79">
        <v>0.0</v>
      </c>
      <c r="M165" s="79">
        <v>0.0</v>
      </c>
      <c r="N165" s="79">
        <v>1.0</v>
      </c>
      <c r="O165" s="79">
        <v>1.0</v>
      </c>
      <c r="P165" s="79">
        <v>0.0</v>
      </c>
      <c r="Q165" s="79">
        <v>1.0</v>
      </c>
      <c r="R165" s="79"/>
      <c r="S165" s="79"/>
      <c r="T165" s="79">
        <v>2.0</v>
      </c>
      <c r="U165" s="79"/>
      <c r="V165" s="79">
        <v>0.0</v>
      </c>
      <c r="W165" s="79">
        <v>1.0</v>
      </c>
      <c r="X165" s="79">
        <v>0.0</v>
      </c>
      <c r="Y165" s="79">
        <v>1.0</v>
      </c>
      <c r="Z165" s="79">
        <v>0.0</v>
      </c>
      <c r="AA165" s="79">
        <v>0.0</v>
      </c>
      <c r="AB165" s="13">
        <f t="shared" ref="AB165:AB166" si="35">SUM(E165:AA165)</f>
        <v>11</v>
      </c>
      <c r="AC165" s="1"/>
      <c r="AD165" s="1"/>
    </row>
    <row r="166" ht="12.75" customHeight="1">
      <c r="A166" s="31" t="s">
        <v>38</v>
      </c>
      <c r="B166" s="58"/>
      <c r="C166" s="53" t="s">
        <v>128</v>
      </c>
      <c r="D166" s="61"/>
      <c r="E166" s="79"/>
      <c r="F166" s="79"/>
      <c r="G166" s="79"/>
      <c r="H166" s="79">
        <v>0.0</v>
      </c>
      <c r="I166" s="79">
        <v>0.0</v>
      </c>
      <c r="J166" s="79">
        <v>0.0</v>
      </c>
      <c r="K166" s="79">
        <v>1.0</v>
      </c>
      <c r="L166" s="79">
        <v>0.0</v>
      </c>
      <c r="M166" s="79">
        <v>0.0</v>
      </c>
      <c r="N166" s="79">
        <v>1.0</v>
      </c>
      <c r="O166" s="79">
        <v>0.0</v>
      </c>
      <c r="P166" s="79">
        <v>0.0</v>
      </c>
      <c r="Q166" s="79"/>
      <c r="R166" s="79"/>
      <c r="S166" s="79"/>
      <c r="T166" s="79"/>
      <c r="U166" s="79"/>
      <c r="V166" s="79">
        <v>1.0</v>
      </c>
      <c r="W166" s="79">
        <v>0.0</v>
      </c>
      <c r="X166" s="79">
        <v>1.0</v>
      </c>
      <c r="Y166" s="79">
        <v>1.0</v>
      </c>
      <c r="Z166" s="79">
        <v>0.0</v>
      </c>
      <c r="AA166" s="79">
        <v>0.0</v>
      </c>
      <c r="AB166" s="13">
        <f t="shared" si="35"/>
        <v>5</v>
      </c>
      <c r="AC166" s="55"/>
      <c r="AD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85"/>
      <c r="AC167" s="5"/>
      <c r="AD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85"/>
      <c r="AC168" s="5"/>
      <c r="AD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85"/>
      <c r="AC169" s="5"/>
      <c r="AD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85"/>
      <c r="AC170" s="5"/>
      <c r="AD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85"/>
      <c r="AC171" s="5"/>
      <c r="AD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85"/>
      <c r="AC172" s="5"/>
      <c r="AD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85"/>
      <c r="AC173" s="5"/>
      <c r="AD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85"/>
      <c r="AC174" s="5"/>
      <c r="AD174" s="5"/>
    </row>
    <row r="175" ht="12.75" customHeight="1">
      <c r="A175" s="19" t="s">
        <v>14</v>
      </c>
      <c r="B175" s="50" t="s">
        <v>48</v>
      </c>
      <c r="C175" s="15"/>
      <c r="D175" s="16"/>
      <c r="E175" s="13">
        <f t="shared" ref="E175:AA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2</v>
      </c>
      <c r="I175" s="13">
        <f t="shared" si="36"/>
        <v>0</v>
      </c>
      <c r="J175" s="13">
        <f t="shared" si="36"/>
        <v>1</v>
      </c>
      <c r="K175" s="13">
        <f t="shared" si="36"/>
        <v>2</v>
      </c>
      <c r="L175" s="13">
        <f t="shared" si="36"/>
        <v>0</v>
      </c>
      <c r="M175" s="13">
        <f t="shared" si="36"/>
        <v>0</v>
      </c>
      <c r="N175" s="13">
        <f t="shared" si="36"/>
        <v>2</v>
      </c>
      <c r="O175" s="13">
        <f t="shared" si="36"/>
        <v>1</v>
      </c>
      <c r="P175" s="13">
        <f t="shared" si="36"/>
        <v>0</v>
      </c>
      <c r="Q175" s="13">
        <f t="shared" si="36"/>
        <v>1</v>
      </c>
      <c r="R175" s="13">
        <f t="shared" si="36"/>
        <v>0</v>
      </c>
      <c r="S175" s="13">
        <f t="shared" si="36"/>
        <v>0</v>
      </c>
      <c r="T175" s="13">
        <f t="shared" si="36"/>
        <v>2</v>
      </c>
      <c r="U175" s="13">
        <f t="shared" si="36"/>
        <v>0</v>
      </c>
      <c r="V175" s="13">
        <f t="shared" si="36"/>
        <v>1</v>
      </c>
      <c r="W175" s="13">
        <f t="shared" si="36"/>
        <v>1</v>
      </c>
      <c r="X175" s="13">
        <f t="shared" si="36"/>
        <v>1</v>
      </c>
      <c r="Y175" s="13">
        <f t="shared" si="36"/>
        <v>2</v>
      </c>
      <c r="Z175" s="13">
        <f t="shared" si="36"/>
        <v>0</v>
      </c>
      <c r="AA175" s="13">
        <f t="shared" si="36"/>
        <v>0</v>
      </c>
      <c r="AB175" s="13">
        <f>SUM(E175:AA175)</f>
        <v>16</v>
      </c>
      <c r="AC175" s="5"/>
      <c r="AD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1"/>
      <c r="AD176" s="1"/>
    </row>
    <row r="177" ht="12.75" customHeight="1">
      <c r="A177" s="31" t="s">
        <v>36</v>
      </c>
      <c r="B177" s="50" t="s">
        <v>129</v>
      </c>
      <c r="C177" s="51" t="s">
        <v>130</v>
      </c>
      <c r="D177" s="16"/>
      <c r="E177" s="79">
        <v>1.0</v>
      </c>
      <c r="F177" s="79">
        <v>1.0</v>
      </c>
      <c r="G177" s="79"/>
      <c r="H177" s="79">
        <v>0.0</v>
      </c>
      <c r="I177" s="79">
        <v>0.0</v>
      </c>
      <c r="J177" s="79">
        <v>0.0</v>
      </c>
      <c r="K177" s="79">
        <v>1.0</v>
      </c>
      <c r="L177" s="79">
        <v>0.0</v>
      </c>
      <c r="M177" s="79">
        <v>0.0</v>
      </c>
      <c r="N177" s="79">
        <v>0.0</v>
      </c>
      <c r="O177" s="79">
        <v>0.0</v>
      </c>
      <c r="P177" s="79">
        <v>0.0</v>
      </c>
      <c r="Q177" s="79"/>
      <c r="R177" s="79"/>
      <c r="S177" s="79"/>
      <c r="T177" s="79"/>
      <c r="U177" s="79"/>
      <c r="V177" s="79">
        <v>1.0</v>
      </c>
      <c r="W177" s="79">
        <v>2.0</v>
      </c>
      <c r="X177" s="79">
        <v>0.0</v>
      </c>
      <c r="Y177" s="79">
        <v>0.0</v>
      </c>
      <c r="Z177" s="79">
        <v>0.0</v>
      </c>
      <c r="AA177" s="79">
        <v>1.0</v>
      </c>
      <c r="AB177" s="13">
        <f t="shared" ref="AB177:AB187" si="37">SUM(E177:AA177)</f>
        <v>7</v>
      </c>
    </row>
    <row r="178" ht="12.75" customHeight="1">
      <c r="A178" s="31" t="s">
        <v>38</v>
      </c>
      <c r="B178" s="58"/>
      <c r="C178" s="53" t="s">
        <v>131</v>
      </c>
      <c r="D178" s="61"/>
      <c r="E178" s="79"/>
      <c r="F178" s="79"/>
      <c r="G178" s="79"/>
      <c r="H178" s="79">
        <v>0.0</v>
      </c>
      <c r="I178" s="79">
        <v>1.0</v>
      </c>
      <c r="J178" s="79">
        <v>0.0</v>
      </c>
      <c r="K178" s="79"/>
      <c r="L178" s="79">
        <v>0.0</v>
      </c>
      <c r="M178" s="79">
        <v>0.0</v>
      </c>
      <c r="N178" s="79">
        <v>0.0</v>
      </c>
      <c r="O178" s="79">
        <v>1.0</v>
      </c>
      <c r="P178" s="79">
        <v>0.0</v>
      </c>
      <c r="Q178" s="79"/>
      <c r="R178" s="79"/>
      <c r="S178" s="79"/>
      <c r="T178" s="79">
        <v>2.0</v>
      </c>
      <c r="U178" s="79"/>
      <c r="V178" s="79">
        <v>0.0</v>
      </c>
      <c r="W178" s="79">
        <v>0.0</v>
      </c>
      <c r="X178" s="79">
        <v>1.0</v>
      </c>
      <c r="Y178" s="79">
        <v>0.0</v>
      </c>
      <c r="Z178" s="79">
        <v>0.0</v>
      </c>
      <c r="AA178" s="79">
        <v>1.0</v>
      </c>
      <c r="AB178" s="13">
        <f t="shared" si="37"/>
        <v>6</v>
      </c>
      <c r="AC178" s="5"/>
      <c r="AD178" s="5"/>
    </row>
    <row r="179" ht="12.75" customHeight="1">
      <c r="A179" s="18"/>
      <c r="B179" s="58"/>
      <c r="C179" s="53" t="s">
        <v>132</v>
      </c>
      <c r="D179" s="61"/>
      <c r="E179" s="79"/>
      <c r="F179" s="79"/>
      <c r="G179" s="79"/>
      <c r="H179" s="79">
        <v>0.0</v>
      </c>
      <c r="I179" s="79">
        <v>0.0</v>
      </c>
      <c r="J179" s="79">
        <v>0.0</v>
      </c>
      <c r="K179" s="79">
        <v>1.0</v>
      </c>
      <c r="L179" s="79">
        <v>0.0</v>
      </c>
      <c r="M179" s="79">
        <v>0.0</v>
      </c>
      <c r="N179" s="79">
        <v>1.0</v>
      </c>
      <c r="O179" s="79">
        <v>1.0</v>
      </c>
      <c r="P179" s="79">
        <v>0.0</v>
      </c>
      <c r="Q179" s="79"/>
      <c r="R179" s="79"/>
      <c r="S179" s="79">
        <v>1.0</v>
      </c>
      <c r="T179" s="79"/>
      <c r="U179" s="79"/>
      <c r="V179" s="79">
        <v>0.0</v>
      </c>
      <c r="W179" s="79">
        <v>0.0</v>
      </c>
      <c r="X179" s="79">
        <v>0.0</v>
      </c>
      <c r="Y179" s="79">
        <v>1.0</v>
      </c>
      <c r="Z179" s="79">
        <v>0.0</v>
      </c>
      <c r="AA179" s="79">
        <v>0.0</v>
      </c>
      <c r="AB179" s="13">
        <f t="shared" si="37"/>
        <v>5</v>
      </c>
      <c r="AC179" s="5"/>
      <c r="AD179" s="5"/>
    </row>
    <row r="180" ht="12.75" customHeight="1">
      <c r="A180" s="18"/>
      <c r="B180" s="58"/>
      <c r="C180" s="53" t="s">
        <v>133</v>
      </c>
      <c r="D180" s="61"/>
      <c r="E180" s="79"/>
      <c r="F180" s="79"/>
      <c r="G180" s="79">
        <v>1.0</v>
      </c>
      <c r="H180" s="79">
        <v>0.0</v>
      </c>
      <c r="I180" s="79">
        <v>0.0</v>
      </c>
      <c r="J180" s="79">
        <v>1.0</v>
      </c>
      <c r="K180" s="79">
        <v>1.0</v>
      </c>
      <c r="L180" s="79">
        <v>0.0</v>
      </c>
      <c r="M180" s="79">
        <v>0.0</v>
      </c>
      <c r="N180" s="79">
        <v>0.0</v>
      </c>
      <c r="O180" s="79">
        <v>0.0</v>
      </c>
      <c r="P180" s="79">
        <v>0.0</v>
      </c>
      <c r="Q180" s="79">
        <v>1.0</v>
      </c>
      <c r="R180" s="79"/>
      <c r="S180" s="79"/>
      <c r="T180" s="79"/>
      <c r="U180" s="79"/>
      <c r="V180" s="79">
        <v>0.0</v>
      </c>
      <c r="W180" s="79">
        <v>0.0</v>
      </c>
      <c r="X180" s="79">
        <v>0.0</v>
      </c>
      <c r="Y180" s="79">
        <v>0.0</v>
      </c>
      <c r="Z180" s="79">
        <v>0.0</v>
      </c>
      <c r="AA180" s="79">
        <v>1.0</v>
      </c>
      <c r="AB180" s="13">
        <f t="shared" si="37"/>
        <v>5</v>
      </c>
      <c r="AC180" s="5"/>
      <c r="AD180" s="5"/>
    </row>
    <row r="181" ht="12.75" customHeight="1">
      <c r="A181" s="18"/>
      <c r="B181" s="58"/>
      <c r="C181" s="53" t="s">
        <v>134</v>
      </c>
      <c r="D181" s="61"/>
      <c r="E181" s="79"/>
      <c r="F181" s="79"/>
      <c r="G181" s="79"/>
      <c r="H181" s="79">
        <v>0.0</v>
      </c>
      <c r="I181" s="79">
        <v>0.0</v>
      </c>
      <c r="J181" s="79">
        <v>0.0</v>
      </c>
      <c r="K181" s="79"/>
      <c r="L181" s="79">
        <v>0.0</v>
      </c>
      <c r="M181" s="79">
        <v>0.0</v>
      </c>
      <c r="N181" s="79">
        <v>1.0</v>
      </c>
      <c r="O181" s="79">
        <v>0.0</v>
      </c>
      <c r="P181" s="79">
        <v>0.0</v>
      </c>
      <c r="Q181" s="79">
        <v>1.0</v>
      </c>
      <c r="R181" s="79"/>
      <c r="S181" s="79"/>
      <c r="T181" s="79"/>
      <c r="U181" s="79"/>
      <c r="V181" s="79">
        <v>0.0</v>
      </c>
      <c r="W181" s="79">
        <v>0.0</v>
      </c>
      <c r="X181" s="79">
        <v>0.0</v>
      </c>
      <c r="Y181" s="79">
        <v>0.0</v>
      </c>
      <c r="Z181" s="79">
        <v>0.0</v>
      </c>
      <c r="AA181" s="79">
        <v>0.0</v>
      </c>
      <c r="AB181" s="13">
        <f t="shared" si="37"/>
        <v>2</v>
      </c>
      <c r="AC181" s="5"/>
      <c r="AD181" s="5"/>
    </row>
    <row r="182" ht="12.75" customHeight="1">
      <c r="A182" s="18"/>
      <c r="B182" s="58"/>
      <c r="C182" s="53" t="s">
        <v>135</v>
      </c>
      <c r="D182" s="61"/>
      <c r="E182" s="79"/>
      <c r="F182" s="79"/>
      <c r="G182" s="79"/>
      <c r="H182" s="79">
        <v>0.0</v>
      </c>
      <c r="I182" s="79">
        <v>0.0</v>
      </c>
      <c r="J182" s="79">
        <v>0.0</v>
      </c>
      <c r="K182" s="79"/>
      <c r="L182" s="79">
        <v>0.0</v>
      </c>
      <c r="M182" s="79">
        <v>0.0</v>
      </c>
      <c r="N182" s="79">
        <v>0.0</v>
      </c>
      <c r="O182" s="79">
        <v>0.0</v>
      </c>
      <c r="P182" s="79">
        <v>0.0</v>
      </c>
      <c r="Q182" s="79"/>
      <c r="R182" s="79"/>
      <c r="S182" s="79"/>
      <c r="T182" s="79"/>
      <c r="U182" s="79"/>
      <c r="V182" s="79">
        <v>0.0</v>
      </c>
      <c r="W182" s="79">
        <v>0.0</v>
      </c>
      <c r="X182" s="79">
        <v>0.0</v>
      </c>
      <c r="Y182" s="79">
        <v>0.0</v>
      </c>
      <c r="Z182" s="79">
        <v>1.0</v>
      </c>
      <c r="AA182" s="79">
        <v>0.0</v>
      </c>
      <c r="AB182" s="13">
        <f t="shared" si="37"/>
        <v>1</v>
      </c>
      <c r="AC182" s="5"/>
      <c r="AD182" s="5"/>
    </row>
    <row r="183" ht="12.75" customHeight="1">
      <c r="A183" s="18"/>
      <c r="B183" s="58"/>
      <c r="C183" s="53" t="s">
        <v>136</v>
      </c>
      <c r="D183" s="61"/>
      <c r="E183" s="79"/>
      <c r="F183" s="79"/>
      <c r="G183" s="79"/>
      <c r="H183" s="79">
        <v>0.0</v>
      </c>
      <c r="I183" s="79">
        <v>0.0</v>
      </c>
      <c r="J183" s="79">
        <v>0.0</v>
      </c>
      <c r="K183" s="79"/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/>
      <c r="R183" s="79"/>
      <c r="S183" s="79"/>
      <c r="T183" s="79"/>
      <c r="U183" s="79"/>
      <c r="V183" s="79">
        <v>0.0</v>
      </c>
      <c r="W183" s="79">
        <v>0.0</v>
      </c>
      <c r="X183" s="79">
        <v>0.0</v>
      </c>
      <c r="Y183" s="79">
        <v>0.0</v>
      </c>
      <c r="Z183" s="79">
        <v>0.0</v>
      </c>
      <c r="AA183" s="79">
        <v>0.0</v>
      </c>
      <c r="AB183" s="13">
        <f t="shared" si="37"/>
        <v>0</v>
      </c>
      <c r="AC183" s="5"/>
      <c r="AD183" s="5"/>
    </row>
    <row r="184" ht="12.75" customHeight="1">
      <c r="A184" s="18"/>
      <c r="B184" s="58"/>
      <c r="C184" s="53" t="s">
        <v>137</v>
      </c>
      <c r="D184" s="61"/>
      <c r="E184" s="79">
        <v>1.0</v>
      </c>
      <c r="F184" s="79"/>
      <c r="G184" s="79"/>
      <c r="H184" s="79">
        <v>0.0</v>
      </c>
      <c r="I184" s="79">
        <v>0.0</v>
      </c>
      <c r="J184" s="79">
        <v>0.0</v>
      </c>
      <c r="K184" s="79"/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/>
      <c r="R184" s="79"/>
      <c r="S184" s="79"/>
      <c r="T184" s="79"/>
      <c r="U184" s="79"/>
      <c r="V184" s="79">
        <v>0.0</v>
      </c>
      <c r="W184" s="79">
        <v>1.0</v>
      </c>
      <c r="X184" s="79">
        <v>0.0</v>
      </c>
      <c r="Y184" s="79">
        <v>0.0</v>
      </c>
      <c r="Z184" s="79">
        <v>0.0</v>
      </c>
      <c r="AA184" s="79">
        <v>0.0</v>
      </c>
      <c r="AB184" s="13">
        <f t="shared" si="37"/>
        <v>2</v>
      </c>
      <c r="AC184" s="5"/>
      <c r="AD184" s="5"/>
    </row>
    <row r="185" ht="12.75" customHeight="1">
      <c r="A185" s="18"/>
      <c r="B185" s="58"/>
      <c r="C185" s="53" t="s">
        <v>138</v>
      </c>
      <c r="D185" s="61"/>
      <c r="E185" s="79"/>
      <c r="F185" s="79"/>
      <c r="G185" s="79"/>
      <c r="H185" s="79">
        <v>0.0</v>
      </c>
      <c r="I185" s="79">
        <v>0.0</v>
      </c>
      <c r="J185" s="79">
        <v>0.0</v>
      </c>
      <c r="K185" s="79"/>
      <c r="L185" s="79">
        <v>0.0</v>
      </c>
      <c r="M185" s="79">
        <v>1.0</v>
      </c>
      <c r="N185" s="79">
        <v>0.0</v>
      </c>
      <c r="O185" s="79">
        <v>0.0</v>
      </c>
      <c r="P185" s="79">
        <v>0.0</v>
      </c>
      <c r="Q185" s="79"/>
      <c r="R185" s="79"/>
      <c r="S185" s="79"/>
      <c r="T185" s="79"/>
      <c r="U185" s="79"/>
      <c r="V185" s="79">
        <v>0.0</v>
      </c>
      <c r="W185" s="79">
        <v>0.0</v>
      </c>
      <c r="X185" s="79">
        <v>0.0</v>
      </c>
      <c r="Y185" s="79">
        <v>0.0</v>
      </c>
      <c r="Z185" s="79">
        <v>0.0</v>
      </c>
      <c r="AA185" s="79">
        <v>0.0</v>
      </c>
      <c r="AB185" s="13">
        <f t="shared" si="37"/>
        <v>1</v>
      </c>
      <c r="AC185" s="5"/>
      <c r="AD185" s="5"/>
    </row>
    <row r="186" ht="12.75" customHeight="1">
      <c r="A186" s="18"/>
      <c r="B186" s="58"/>
      <c r="C186" s="53" t="s">
        <v>139</v>
      </c>
      <c r="D186" s="61"/>
      <c r="E186" s="79"/>
      <c r="F186" s="79"/>
      <c r="G186" s="79"/>
      <c r="H186" s="79">
        <v>0.0</v>
      </c>
      <c r="I186" s="79">
        <v>0.0</v>
      </c>
      <c r="J186" s="79">
        <v>0.0</v>
      </c>
      <c r="K186" s="79"/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/>
      <c r="R186" s="79"/>
      <c r="S186" s="79"/>
      <c r="T186" s="79"/>
      <c r="U186" s="79"/>
      <c r="V186" s="79">
        <v>0.0</v>
      </c>
      <c r="W186" s="79">
        <v>0.0</v>
      </c>
      <c r="X186" s="79">
        <v>0.0</v>
      </c>
      <c r="Y186" s="79">
        <v>0.0</v>
      </c>
      <c r="Z186" s="79">
        <v>0.0</v>
      </c>
      <c r="AA186" s="79">
        <v>0.0</v>
      </c>
      <c r="AB186" s="13">
        <f t="shared" si="37"/>
        <v>0</v>
      </c>
      <c r="AC186" s="5"/>
      <c r="AD186" s="5"/>
    </row>
    <row r="187" ht="12.75" customHeight="1">
      <c r="A187" s="19" t="s">
        <v>14</v>
      </c>
      <c r="B187" s="50" t="s">
        <v>48</v>
      </c>
      <c r="C187" s="15"/>
      <c r="D187" s="16"/>
      <c r="E187" s="13">
        <f t="shared" ref="E187:AA187" si="38">SUM(E177:E186)</f>
        <v>2</v>
      </c>
      <c r="F187" s="13">
        <f t="shared" si="38"/>
        <v>1</v>
      </c>
      <c r="G187" s="13">
        <f t="shared" si="38"/>
        <v>1</v>
      </c>
      <c r="H187" s="13">
        <f t="shared" si="38"/>
        <v>0</v>
      </c>
      <c r="I187" s="13">
        <f t="shared" si="38"/>
        <v>1</v>
      </c>
      <c r="J187" s="13">
        <f t="shared" si="38"/>
        <v>1</v>
      </c>
      <c r="K187" s="13">
        <f t="shared" si="38"/>
        <v>3</v>
      </c>
      <c r="L187" s="13">
        <f t="shared" si="38"/>
        <v>0</v>
      </c>
      <c r="M187" s="13">
        <f t="shared" si="38"/>
        <v>1</v>
      </c>
      <c r="N187" s="13">
        <f t="shared" si="38"/>
        <v>2</v>
      </c>
      <c r="O187" s="13">
        <f t="shared" si="38"/>
        <v>2</v>
      </c>
      <c r="P187" s="13">
        <f t="shared" si="38"/>
        <v>0</v>
      </c>
      <c r="Q187" s="13">
        <f t="shared" si="38"/>
        <v>2</v>
      </c>
      <c r="R187" s="13">
        <f t="shared" si="38"/>
        <v>0</v>
      </c>
      <c r="S187" s="13">
        <f t="shared" si="38"/>
        <v>1</v>
      </c>
      <c r="T187" s="13">
        <f t="shared" si="38"/>
        <v>2</v>
      </c>
      <c r="U187" s="13">
        <f t="shared" si="38"/>
        <v>0</v>
      </c>
      <c r="V187" s="13">
        <f t="shared" si="38"/>
        <v>1</v>
      </c>
      <c r="W187" s="13">
        <f t="shared" si="38"/>
        <v>3</v>
      </c>
      <c r="X187" s="13">
        <f t="shared" si="38"/>
        <v>1</v>
      </c>
      <c r="Y187" s="13">
        <f t="shared" si="38"/>
        <v>1</v>
      </c>
      <c r="Z187" s="13">
        <f t="shared" si="38"/>
        <v>1</v>
      </c>
      <c r="AA187" s="13">
        <f t="shared" si="38"/>
        <v>3</v>
      </c>
      <c r="AB187" s="13">
        <f t="shared" si="37"/>
        <v>29</v>
      </c>
      <c r="AC187" s="1"/>
      <c r="AD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13"/>
    </row>
    <row r="189" ht="12.75" customHeight="1">
      <c r="A189" s="31" t="s">
        <v>36</v>
      </c>
      <c r="B189" s="50" t="s">
        <v>140</v>
      </c>
      <c r="C189" s="51" t="s">
        <v>141</v>
      </c>
      <c r="D189" s="16"/>
      <c r="E189" s="79"/>
      <c r="F189" s="79"/>
      <c r="G189" s="79"/>
      <c r="H189" s="79">
        <v>0.0</v>
      </c>
      <c r="I189" s="79">
        <v>0.0</v>
      </c>
      <c r="J189" s="79">
        <v>0.0</v>
      </c>
      <c r="K189" s="79"/>
      <c r="L189" s="79">
        <v>2.0</v>
      </c>
      <c r="M189" s="79">
        <v>0.0</v>
      </c>
      <c r="N189" s="79">
        <v>0.0</v>
      </c>
      <c r="O189" s="79">
        <v>0.0</v>
      </c>
      <c r="P189" s="79">
        <v>0.0</v>
      </c>
      <c r="Q189" s="79">
        <v>1.0</v>
      </c>
      <c r="R189" s="79"/>
      <c r="S189" s="79"/>
      <c r="T189" s="79"/>
      <c r="U189" s="79"/>
      <c r="V189" s="79">
        <v>0.0</v>
      </c>
      <c r="W189" s="79">
        <v>0.0</v>
      </c>
      <c r="X189" s="79">
        <v>0.0</v>
      </c>
      <c r="Y189" s="79">
        <v>0.0</v>
      </c>
      <c r="Z189" s="79">
        <v>0.0</v>
      </c>
      <c r="AA189" s="79">
        <v>0.0</v>
      </c>
      <c r="AB189" s="13">
        <f t="shared" ref="AB189:AB199" si="39">SUM(E189:AA189)</f>
        <v>3</v>
      </c>
      <c r="AC189" s="5"/>
      <c r="AD189" s="5"/>
    </row>
    <row r="190" ht="12.75" customHeight="1">
      <c r="A190" s="31" t="s">
        <v>38</v>
      </c>
      <c r="B190" s="58"/>
      <c r="C190" s="53" t="s">
        <v>142</v>
      </c>
      <c r="D190" s="61"/>
      <c r="E190" s="79"/>
      <c r="F190" s="79"/>
      <c r="G190" s="79"/>
      <c r="H190" s="79">
        <v>0.0</v>
      </c>
      <c r="I190" s="79">
        <v>0.0</v>
      </c>
      <c r="J190" s="79">
        <v>1.0</v>
      </c>
      <c r="K190" s="79"/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/>
      <c r="R190" s="79"/>
      <c r="S190" s="79"/>
      <c r="T190" s="79"/>
      <c r="U190" s="79"/>
      <c r="V190" s="79">
        <v>0.0</v>
      </c>
      <c r="W190" s="79">
        <v>0.0</v>
      </c>
      <c r="X190" s="79">
        <v>0.0</v>
      </c>
      <c r="Y190" s="79">
        <v>0.0</v>
      </c>
      <c r="Z190" s="79">
        <v>1.0</v>
      </c>
      <c r="AA190" s="79">
        <v>0.0</v>
      </c>
      <c r="AB190" s="13">
        <f t="shared" si="39"/>
        <v>2</v>
      </c>
      <c r="AC190" s="5"/>
      <c r="AD190" s="5"/>
    </row>
    <row r="191" ht="12.75" customHeight="1">
      <c r="A191" s="18"/>
      <c r="B191" s="58"/>
      <c r="C191" s="53" t="s">
        <v>143</v>
      </c>
      <c r="D191" s="61"/>
      <c r="E191" s="79"/>
      <c r="F191" s="79"/>
      <c r="G191" s="79"/>
      <c r="H191" s="79">
        <v>0.0</v>
      </c>
      <c r="I191" s="79">
        <v>0.0</v>
      </c>
      <c r="J191" s="79">
        <v>0.0</v>
      </c>
      <c r="K191" s="79"/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/>
      <c r="R191" s="79"/>
      <c r="S191" s="79"/>
      <c r="T191" s="79"/>
      <c r="U191" s="79"/>
      <c r="V191" s="79">
        <v>0.0</v>
      </c>
      <c r="W191" s="79">
        <v>0.0</v>
      </c>
      <c r="X191" s="79">
        <v>0.0</v>
      </c>
      <c r="Y191" s="79">
        <v>0.0</v>
      </c>
      <c r="Z191" s="79">
        <v>0.0</v>
      </c>
      <c r="AA191" s="79">
        <v>0.0</v>
      </c>
      <c r="AB191" s="13">
        <f t="shared" si="39"/>
        <v>0</v>
      </c>
      <c r="AC191" s="5"/>
      <c r="AD191" s="5"/>
    </row>
    <row r="192" ht="12.75" customHeight="1">
      <c r="A192" s="18"/>
      <c r="B192" s="58"/>
      <c r="C192" s="53" t="s">
        <v>144</v>
      </c>
      <c r="D192" s="61"/>
      <c r="E192" s="79"/>
      <c r="F192" s="79"/>
      <c r="G192" s="79"/>
      <c r="H192" s="79">
        <v>0.0</v>
      </c>
      <c r="I192" s="79">
        <v>0.0</v>
      </c>
      <c r="J192" s="79">
        <v>0.0</v>
      </c>
      <c r="K192" s="79"/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/>
      <c r="R192" s="79"/>
      <c r="S192" s="79"/>
      <c r="T192" s="79"/>
      <c r="U192" s="79"/>
      <c r="V192" s="79">
        <v>0.0</v>
      </c>
      <c r="W192" s="79">
        <v>0.0</v>
      </c>
      <c r="X192" s="79">
        <v>0.0</v>
      </c>
      <c r="Y192" s="79">
        <v>0.0</v>
      </c>
      <c r="Z192" s="79">
        <v>0.0</v>
      </c>
      <c r="AA192" s="79">
        <v>0.0</v>
      </c>
      <c r="AB192" s="13">
        <f t="shared" si="39"/>
        <v>0</v>
      </c>
      <c r="AC192" s="5"/>
      <c r="AD192" s="5"/>
    </row>
    <row r="193" ht="12.75" customHeight="1">
      <c r="A193" s="18"/>
      <c r="B193" s="58"/>
      <c r="C193" s="53" t="s">
        <v>145</v>
      </c>
      <c r="D193" s="61"/>
      <c r="E193" s="79"/>
      <c r="F193" s="79"/>
      <c r="G193" s="79"/>
      <c r="H193" s="79">
        <v>0.0</v>
      </c>
      <c r="I193" s="79">
        <v>0.0</v>
      </c>
      <c r="J193" s="79">
        <v>0.0</v>
      </c>
      <c r="K193" s="79"/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79"/>
      <c r="R193" s="79"/>
      <c r="S193" s="79"/>
      <c r="T193" s="79"/>
      <c r="U193" s="79"/>
      <c r="V193" s="79">
        <v>0.0</v>
      </c>
      <c r="W193" s="79">
        <v>0.0</v>
      </c>
      <c r="X193" s="79">
        <v>0.0</v>
      </c>
      <c r="Y193" s="79">
        <v>1.0</v>
      </c>
      <c r="Z193" s="79">
        <v>0.0</v>
      </c>
      <c r="AA193" s="79">
        <v>0.0</v>
      </c>
      <c r="AB193" s="13">
        <f t="shared" si="39"/>
        <v>1</v>
      </c>
      <c r="AC193" s="5"/>
      <c r="AD193" s="5"/>
    </row>
    <row r="194" ht="12.75" customHeight="1">
      <c r="A194" s="18"/>
      <c r="B194" s="58"/>
      <c r="C194" s="53" t="s">
        <v>146</v>
      </c>
      <c r="D194" s="61"/>
      <c r="E194" s="79"/>
      <c r="F194" s="79"/>
      <c r="G194" s="79"/>
      <c r="H194" s="79">
        <v>1.0</v>
      </c>
      <c r="I194" s="79">
        <v>0.0</v>
      </c>
      <c r="J194" s="79">
        <v>0.0</v>
      </c>
      <c r="K194" s="79"/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/>
      <c r="R194" s="79"/>
      <c r="S194" s="79"/>
      <c r="T194" s="79"/>
      <c r="U194" s="79"/>
      <c r="V194" s="79">
        <v>0.0</v>
      </c>
      <c r="W194" s="79">
        <v>0.0</v>
      </c>
      <c r="X194" s="79">
        <v>0.0</v>
      </c>
      <c r="Y194" s="79">
        <v>0.0</v>
      </c>
      <c r="Z194" s="79">
        <v>0.0</v>
      </c>
      <c r="AA194" s="79">
        <v>0.0</v>
      </c>
      <c r="AB194" s="13">
        <f t="shared" si="39"/>
        <v>1</v>
      </c>
      <c r="AC194" s="5"/>
      <c r="AD194" s="5"/>
    </row>
    <row r="195" ht="12.75" customHeight="1">
      <c r="A195" s="18"/>
      <c r="B195" s="58"/>
      <c r="C195" s="53" t="s">
        <v>147</v>
      </c>
      <c r="D195" s="61"/>
      <c r="E195" s="79"/>
      <c r="F195" s="79"/>
      <c r="G195" s="79"/>
      <c r="H195" s="79">
        <v>0.0</v>
      </c>
      <c r="I195" s="79">
        <v>0.0</v>
      </c>
      <c r="J195" s="79">
        <v>0.0</v>
      </c>
      <c r="K195" s="79"/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/>
      <c r="R195" s="79"/>
      <c r="S195" s="79"/>
      <c r="T195" s="79"/>
      <c r="U195" s="79"/>
      <c r="V195" s="79">
        <v>0.0</v>
      </c>
      <c r="W195" s="79">
        <v>0.0</v>
      </c>
      <c r="X195" s="79">
        <v>0.0</v>
      </c>
      <c r="Y195" s="79">
        <v>0.0</v>
      </c>
      <c r="Z195" s="79">
        <v>0.0</v>
      </c>
      <c r="AA195" s="79">
        <v>0.0</v>
      </c>
      <c r="AB195" s="13">
        <f t="shared" si="39"/>
        <v>0</v>
      </c>
      <c r="AC195" s="5"/>
      <c r="AD195" s="5"/>
    </row>
    <row r="196" ht="12.75" customHeight="1">
      <c r="A196" s="18"/>
      <c r="B196" s="58"/>
      <c r="C196" s="53" t="s">
        <v>148</v>
      </c>
      <c r="D196" s="61"/>
      <c r="E196" s="79"/>
      <c r="F196" s="79"/>
      <c r="G196" s="79"/>
      <c r="H196" s="79">
        <v>0.0</v>
      </c>
      <c r="I196" s="79">
        <v>0.0</v>
      </c>
      <c r="J196" s="79">
        <v>0.0</v>
      </c>
      <c r="K196" s="79"/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79"/>
      <c r="R196" s="79"/>
      <c r="S196" s="79"/>
      <c r="T196" s="79"/>
      <c r="U196" s="79"/>
      <c r="V196" s="79">
        <v>0.0</v>
      </c>
      <c r="W196" s="79">
        <v>0.0</v>
      </c>
      <c r="X196" s="79">
        <v>0.0</v>
      </c>
      <c r="Y196" s="79">
        <v>0.0</v>
      </c>
      <c r="Z196" s="79">
        <v>0.0</v>
      </c>
      <c r="AA196" s="79">
        <v>0.0</v>
      </c>
      <c r="AB196" s="13">
        <f t="shared" si="39"/>
        <v>0</v>
      </c>
      <c r="AC196" s="1"/>
      <c r="AD196" s="1"/>
    </row>
    <row r="197" ht="12.75" customHeight="1">
      <c r="A197" s="18"/>
      <c r="B197" s="58"/>
      <c r="C197" s="53" t="s">
        <v>149</v>
      </c>
      <c r="D197" s="61"/>
      <c r="E197" s="79"/>
      <c r="F197" s="79"/>
      <c r="G197" s="79"/>
      <c r="H197" s="79">
        <v>0.0</v>
      </c>
      <c r="I197" s="79">
        <v>0.0</v>
      </c>
      <c r="J197" s="79">
        <v>0.0</v>
      </c>
      <c r="K197" s="79"/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/>
      <c r="R197" s="79"/>
      <c r="S197" s="79"/>
      <c r="T197" s="79"/>
      <c r="U197" s="79"/>
      <c r="V197" s="79">
        <v>0.0</v>
      </c>
      <c r="W197" s="79">
        <v>0.0</v>
      </c>
      <c r="X197" s="79">
        <v>0.0</v>
      </c>
      <c r="Y197" s="79">
        <v>0.0</v>
      </c>
      <c r="Z197" s="79">
        <v>0.0</v>
      </c>
      <c r="AA197" s="79">
        <v>0.0</v>
      </c>
      <c r="AB197" s="13">
        <f t="shared" si="39"/>
        <v>0</v>
      </c>
      <c r="AC197" s="1"/>
      <c r="AD197" s="1"/>
    </row>
    <row r="198" ht="12.75" customHeight="1">
      <c r="A198" s="18"/>
      <c r="B198" s="58"/>
      <c r="C198" s="53" t="s">
        <v>150</v>
      </c>
      <c r="D198" s="61"/>
      <c r="E198" s="79"/>
      <c r="F198" s="79"/>
      <c r="G198" s="79"/>
      <c r="H198" s="79">
        <v>0.0</v>
      </c>
      <c r="I198" s="79">
        <v>0.0</v>
      </c>
      <c r="J198" s="79">
        <v>0.0</v>
      </c>
      <c r="K198" s="79"/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/>
      <c r="R198" s="79"/>
      <c r="S198" s="79"/>
      <c r="T198" s="79"/>
      <c r="U198" s="79"/>
      <c r="V198" s="79">
        <v>0.0</v>
      </c>
      <c r="W198" s="79">
        <v>0.0</v>
      </c>
      <c r="X198" s="79">
        <v>0.0</v>
      </c>
      <c r="Y198" s="79">
        <v>0.0</v>
      </c>
      <c r="Z198" s="79">
        <v>0.0</v>
      </c>
      <c r="AA198" s="79">
        <v>0.0</v>
      </c>
      <c r="AB198" s="13">
        <f t="shared" si="39"/>
        <v>0</v>
      </c>
      <c r="AC198" s="1"/>
      <c r="AD198" s="1"/>
    </row>
    <row r="199" ht="12.75" customHeight="1">
      <c r="A199" s="19" t="s">
        <v>14</v>
      </c>
      <c r="B199" s="50" t="s">
        <v>48</v>
      </c>
      <c r="C199" s="15"/>
      <c r="D199" s="16"/>
      <c r="E199" s="13">
        <f t="shared" ref="E199:AA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1</v>
      </c>
      <c r="I199" s="13">
        <f t="shared" si="40"/>
        <v>0</v>
      </c>
      <c r="J199" s="13">
        <f t="shared" si="40"/>
        <v>1</v>
      </c>
      <c r="K199" s="13">
        <f t="shared" si="40"/>
        <v>0</v>
      </c>
      <c r="L199" s="13">
        <f t="shared" si="40"/>
        <v>2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1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1</v>
      </c>
      <c r="Z199" s="13">
        <f t="shared" si="40"/>
        <v>1</v>
      </c>
      <c r="AA199" s="13">
        <f t="shared" si="40"/>
        <v>0</v>
      </c>
      <c r="AB199" s="13">
        <f t="shared" si="39"/>
        <v>7</v>
      </c>
      <c r="AC199" s="55"/>
      <c r="AD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5"/>
      <c r="AD200" s="5"/>
    </row>
    <row r="201" ht="12.75" customHeight="1">
      <c r="A201" s="31" t="s">
        <v>36</v>
      </c>
      <c r="B201" s="50" t="s">
        <v>151</v>
      </c>
      <c r="C201" s="51" t="s">
        <v>152</v>
      </c>
      <c r="D201" s="16"/>
      <c r="E201" s="79">
        <v>4.0</v>
      </c>
      <c r="F201" s="79">
        <v>0.0</v>
      </c>
      <c r="G201" s="79">
        <v>1.0</v>
      </c>
      <c r="H201" s="79">
        <v>2.0</v>
      </c>
      <c r="I201" s="79">
        <v>5.0</v>
      </c>
      <c r="J201" s="79">
        <v>12.0</v>
      </c>
      <c r="K201" s="79">
        <v>5.0</v>
      </c>
      <c r="L201" s="79">
        <v>1.0</v>
      </c>
      <c r="M201" s="79">
        <v>0.0</v>
      </c>
      <c r="N201" s="79">
        <v>1.0</v>
      </c>
      <c r="O201" s="79">
        <v>0.0</v>
      </c>
      <c r="P201" s="79">
        <v>6.0</v>
      </c>
      <c r="Q201" s="79">
        <v>6.0</v>
      </c>
      <c r="R201" s="79">
        <v>2.0</v>
      </c>
      <c r="S201" s="79"/>
      <c r="T201" s="79">
        <v>6.0</v>
      </c>
      <c r="U201" s="79"/>
      <c r="V201" s="79">
        <v>1.0</v>
      </c>
      <c r="W201" s="79">
        <v>4.0</v>
      </c>
      <c r="X201" s="79">
        <v>1.0</v>
      </c>
      <c r="Y201" s="79">
        <v>3.0</v>
      </c>
      <c r="Z201" s="79">
        <v>9.0</v>
      </c>
      <c r="AA201" s="79">
        <v>1.0</v>
      </c>
      <c r="AB201" s="13">
        <f t="shared" ref="AB201:AB211" si="41">SUM(E201:AA201)</f>
        <v>70</v>
      </c>
      <c r="AC201" s="5"/>
      <c r="AD201" s="5"/>
    </row>
    <row r="202" ht="12.75" customHeight="1">
      <c r="A202" s="31" t="s">
        <v>38</v>
      </c>
      <c r="B202" s="58"/>
      <c r="C202" s="53" t="s">
        <v>153</v>
      </c>
      <c r="D202" s="61"/>
      <c r="E202" s="79">
        <v>6.0</v>
      </c>
      <c r="F202" s="79">
        <v>2.0</v>
      </c>
      <c r="G202" s="79">
        <v>4.0</v>
      </c>
      <c r="H202" s="79">
        <v>2.0</v>
      </c>
      <c r="I202" s="79">
        <v>6.0</v>
      </c>
      <c r="J202" s="79">
        <v>26.0</v>
      </c>
      <c r="K202" s="79">
        <v>6.0</v>
      </c>
      <c r="L202" s="79">
        <v>7.0</v>
      </c>
      <c r="M202" s="79">
        <v>1.0</v>
      </c>
      <c r="N202" s="79">
        <v>3.0</v>
      </c>
      <c r="O202" s="79">
        <v>2.0</v>
      </c>
      <c r="P202" s="79">
        <v>23.0</v>
      </c>
      <c r="Q202" s="79">
        <v>14.0</v>
      </c>
      <c r="R202" s="79">
        <v>5.0</v>
      </c>
      <c r="S202" s="79">
        <v>2.0</v>
      </c>
      <c r="T202" s="79">
        <v>3.0</v>
      </c>
      <c r="U202" s="79"/>
      <c r="V202" s="79">
        <v>0.0</v>
      </c>
      <c r="W202" s="79">
        <v>7.0</v>
      </c>
      <c r="X202" s="79">
        <v>3.0</v>
      </c>
      <c r="Y202" s="79">
        <v>1.0</v>
      </c>
      <c r="Z202" s="79">
        <v>2.0</v>
      </c>
      <c r="AA202" s="79">
        <v>3.0</v>
      </c>
      <c r="AB202" s="13">
        <f t="shared" si="41"/>
        <v>128</v>
      </c>
      <c r="AC202" s="5"/>
      <c r="AD202" s="5"/>
    </row>
    <row r="203" ht="12.75" customHeight="1">
      <c r="A203" s="18"/>
      <c r="B203" s="58"/>
      <c r="C203" s="53" t="s">
        <v>154</v>
      </c>
      <c r="D203" s="61"/>
      <c r="E203" s="79">
        <v>2.0</v>
      </c>
      <c r="F203" s="79">
        <v>0.0</v>
      </c>
      <c r="G203" s="79">
        <v>2.0</v>
      </c>
      <c r="H203" s="79">
        <v>0.0</v>
      </c>
      <c r="I203" s="79">
        <v>3.0</v>
      </c>
      <c r="J203" s="79">
        <v>1.0</v>
      </c>
      <c r="K203" s="79">
        <v>3.0</v>
      </c>
      <c r="L203" s="79">
        <v>2.0</v>
      </c>
      <c r="M203" s="79">
        <v>1.0</v>
      </c>
      <c r="N203" s="79">
        <v>1.0</v>
      </c>
      <c r="O203" s="79">
        <v>1.0</v>
      </c>
      <c r="P203" s="79">
        <v>3.0</v>
      </c>
      <c r="Q203" s="79">
        <v>2.0</v>
      </c>
      <c r="R203" s="79">
        <v>2.0</v>
      </c>
      <c r="S203" s="79">
        <v>3.0</v>
      </c>
      <c r="T203" s="79">
        <v>0.0</v>
      </c>
      <c r="U203" s="79"/>
      <c r="V203" s="79">
        <v>0.0</v>
      </c>
      <c r="W203" s="79">
        <v>1.0</v>
      </c>
      <c r="X203" s="79">
        <v>1.0</v>
      </c>
      <c r="Y203" s="79">
        <v>1.0</v>
      </c>
      <c r="Z203" s="79">
        <v>1.0</v>
      </c>
      <c r="AA203" s="79">
        <v>0.0</v>
      </c>
      <c r="AB203" s="13">
        <f t="shared" si="41"/>
        <v>30</v>
      </c>
      <c r="AC203" s="5"/>
      <c r="AD203" s="5"/>
    </row>
    <row r="204" ht="12.75" customHeight="1">
      <c r="A204" s="18"/>
      <c r="B204" s="58"/>
      <c r="C204" s="53" t="s">
        <v>155</v>
      </c>
      <c r="D204" s="61"/>
      <c r="E204" s="79">
        <v>2.0</v>
      </c>
      <c r="F204" s="79"/>
      <c r="G204" s="79"/>
      <c r="H204" s="79">
        <v>0.0</v>
      </c>
      <c r="I204" s="79">
        <v>1.0</v>
      </c>
      <c r="J204" s="79">
        <v>0.0</v>
      </c>
      <c r="K204" s="79">
        <v>1.0</v>
      </c>
      <c r="L204" s="79">
        <v>1.0</v>
      </c>
      <c r="M204" s="79">
        <v>0.0</v>
      </c>
      <c r="N204" s="79">
        <v>0.0</v>
      </c>
      <c r="O204" s="79">
        <v>0.0</v>
      </c>
      <c r="P204" s="79">
        <v>1.0</v>
      </c>
      <c r="Q204" s="79">
        <v>0.0</v>
      </c>
      <c r="R204" s="79">
        <v>0.0</v>
      </c>
      <c r="S204" s="79">
        <v>1.0</v>
      </c>
      <c r="T204" s="79">
        <v>1.0</v>
      </c>
      <c r="U204" s="79">
        <v>1.0</v>
      </c>
      <c r="V204" s="79">
        <v>0.0</v>
      </c>
      <c r="W204" s="79">
        <v>1.0</v>
      </c>
      <c r="X204" s="79">
        <v>0.0</v>
      </c>
      <c r="Y204" s="79">
        <v>0.0</v>
      </c>
      <c r="Z204" s="79">
        <v>0.0</v>
      </c>
      <c r="AA204" s="79">
        <v>0.0</v>
      </c>
      <c r="AB204" s="13">
        <f t="shared" si="41"/>
        <v>10</v>
      </c>
      <c r="AC204" s="5"/>
      <c r="AD204" s="5"/>
    </row>
    <row r="205" ht="12.75" customHeight="1">
      <c r="A205" s="18"/>
      <c r="B205" s="58"/>
      <c r="C205" s="53" t="s">
        <v>156</v>
      </c>
      <c r="D205" s="61"/>
      <c r="E205" s="79">
        <v>0.0</v>
      </c>
      <c r="F205" s="79"/>
      <c r="G205" s="79">
        <v>1.0</v>
      </c>
      <c r="H205" s="79">
        <v>1.0</v>
      </c>
      <c r="I205" s="79">
        <v>0.0</v>
      </c>
      <c r="J205" s="79">
        <v>1.0</v>
      </c>
      <c r="K205" s="79">
        <v>4.0</v>
      </c>
      <c r="L205" s="79">
        <v>0.0</v>
      </c>
      <c r="M205" s="79">
        <v>0.0</v>
      </c>
      <c r="N205" s="79">
        <v>0.0</v>
      </c>
      <c r="O205" s="79">
        <v>0.0</v>
      </c>
      <c r="P205" s="79">
        <v>0.0</v>
      </c>
      <c r="Q205" s="79"/>
      <c r="R205" s="79"/>
      <c r="S205" s="79">
        <v>1.0</v>
      </c>
      <c r="T205" s="79"/>
      <c r="U205" s="79"/>
      <c r="V205" s="79">
        <v>0.0</v>
      </c>
      <c r="W205" s="79">
        <v>0.0</v>
      </c>
      <c r="X205" s="79">
        <v>0.0</v>
      </c>
      <c r="Y205" s="79">
        <v>0.0</v>
      </c>
      <c r="Z205" s="79">
        <v>0.0</v>
      </c>
      <c r="AA205" s="79">
        <v>0.0</v>
      </c>
      <c r="AB205" s="13">
        <f t="shared" si="41"/>
        <v>8</v>
      </c>
      <c r="AC205" s="5"/>
      <c r="AD205" s="5"/>
    </row>
    <row r="206" ht="12.75" customHeight="1">
      <c r="A206" s="18"/>
      <c r="B206" s="58"/>
      <c r="C206" s="53" t="s">
        <v>157</v>
      </c>
      <c r="D206" s="61"/>
      <c r="E206" s="79"/>
      <c r="F206" s="79"/>
      <c r="G206" s="79"/>
      <c r="H206" s="79">
        <v>0.0</v>
      </c>
      <c r="I206" s="79">
        <v>0.0</v>
      </c>
      <c r="J206" s="79">
        <v>0.0</v>
      </c>
      <c r="K206" s="79">
        <v>0.0</v>
      </c>
      <c r="L206" s="79">
        <v>0.0</v>
      </c>
      <c r="M206" s="79">
        <v>1.0</v>
      </c>
      <c r="N206" s="79">
        <v>0.0</v>
      </c>
      <c r="O206" s="79">
        <v>1.0</v>
      </c>
      <c r="P206" s="79">
        <v>0.0</v>
      </c>
      <c r="Q206" s="79"/>
      <c r="R206" s="79"/>
      <c r="S206" s="79"/>
      <c r="T206" s="79"/>
      <c r="U206" s="79"/>
      <c r="V206" s="79">
        <v>0.0</v>
      </c>
      <c r="W206" s="79">
        <v>0.0</v>
      </c>
      <c r="X206" s="79">
        <v>0.0</v>
      </c>
      <c r="Y206" s="79">
        <v>0.0</v>
      </c>
      <c r="Z206" s="79">
        <v>0.0</v>
      </c>
      <c r="AA206" s="79">
        <v>0.0</v>
      </c>
      <c r="AB206" s="13">
        <f t="shared" si="41"/>
        <v>2</v>
      </c>
      <c r="AC206" s="5"/>
      <c r="AD206" s="5"/>
    </row>
    <row r="207" ht="12.75" customHeight="1">
      <c r="A207" s="18"/>
      <c r="B207" s="58"/>
      <c r="C207" s="53" t="s">
        <v>158</v>
      </c>
      <c r="D207" s="61"/>
      <c r="E207" s="79"/>
      <c r="F207" s="79"/>
      <c r="G207" s="79"/>
      <c r="H207" s="79">
        <v>0.0</v>
      </c>
      <c r="I207" s="79">
        <v>0.0</v>
      </c>
      <c r="J207" s="79">
        <v>0.0</v>
      </c>
      <c r="K207" s="79"/>
      <c r="L207" s="79">
        <v>0.0</v>
      </c>
      <c r="M207" s="79">
        <v>0.0</v>
      </c>
      <c r="N207" s="79">
        <v>0.0</v>
      </c>
      <c r="O207" s="79">
        <v>0.0</v>
      </c>
      <c r="P207" s="79">
        <v>1.0</v>
      </c>
      <c r="Q207" s="79"/>
      <c r="R207" s="79"/>
      <c r="S207" s="79"/>
      <c r="T207" s="79"/>
      <c r="U207" s="79"/>
      <c r="V207" s="79">
        <v>0.0</v>
      </c>
      <c r="W207" s="79">
        <v>0.0</v>
      </c>
      <c r="X207" s="79">
        <v>0.0</v>
      </c>
      <c r="Y207" s="79">
        <v>0.0</v>
      </c>
      <c r="Z207" s="79">
        <v>0.0</v>
      </c>
      <c r="AA207" s="79">
        <v>0.0</v>
      </c>
      <c r="AB207" s="13">
        <f t="shared" si="41"/>
        <v>1</v>
      </c>
      <c r="AC207" s="1"/>
      <c r="AD207" s="1"/>
    </row>
    <row r="208" ht="12.75" customHeight="1">
      <c r="A208" s="18"/>
      <c r="B208" s="58"/>
      <c r="C208" s="53" t="s">
        <v>159</v>
      </c>
      <c r="D208" s="61"/>
      <c r="E208" s="79"/>
      <c r="F208" s="79"/>
      <c r="G208" s="79">
        <v>1.0</v>
      </c>
      <c r="H208" s="79">
        <v>0.0</v>
      </c>
      <c r="I208" s="79">
        <v>0.0</v>
      </c>
      <c r="J208" s="79">
        <v>0.0</v>
      </c>
      <c r="K208" s="79"/>
      <c r="L208" s="79">
        <v>0.0</v>
      </c>
      <c r="M208" s="79">
        <v>0.0</v>
      </c>
      <c r="N208" s="79">
        <v>0.0</v>
      </c>
      <c r="O208" s="79">
        <v>1.0</v>
      </c>
      <c r="P208" s="79">
        <v>0.0</v>
      </c>
      <c r="Q208" s="79"/>
      <c r="R208" s="79">
        <v>1.0</v>
      </c>
      <c r="S208" s="79"/>
      <c r="T208" s="79"/>
      <c r="U208" s="79"/>
      <c r="V208" s="79">
        <v>0.0</v>
      </c>
      <c r="W208" s="79">
        <v>0.0</v>
      </c>
      <c r="X208" s="79">
        <v>1.0</v>
      </c>
      <c r="Y208" s="79">
        <v>1.0</v>
      </c>
      <c r="Z208" s="79">
        <v>0.0</v>
      </c>
      <c r="AA208" s="79">
        <v>0.0</v>
      </c>
      <c r="AB208" s="13">
        <f t="shared" si="41"/>
        <v>5</v>
      </c>
      <c r="AC208" s="55"/>
      <c r="AD208" s="55"/>
    </row>
    <row r="209" ht="12.75" customHeight="1">
      <c r="A209" s="18"/>
      <c r="B209" s="58"/>
      <c r="C209" s="53" t="s">
        <v>160</v>
      </c>
      <c r="D209" s="61"/>
      <c r="E209" s="79"/>
      <c r="F209" s="79"/>
      <c r="G209" s="79"/>
      <c r="H209" s="79">
        <v>0.0</v>
      </c>
      <c r="I209" s="79">
        <v>0.0</v>
      </c>
      <c r="J209" s="79">
        <v>0.0</v>
      </c>
      <c r="K209" s="79">
        <v>1.0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/>
      <c r="R209" s="79"/>
      <c r="S209" s="79"/>
      <c r="T209" s="79"/>
      <c r="U209" s="79"/>
      <c r="V209" s="79">
        <v>0.0</v>
      </c>
      <c r="W209" s="79">
        <v>0.0</v>
      </c>
      <c r="X209" s="79">
        <v>0.0</v>
      </c>
      <c r="Y209" s="79">
        <v>0.0</v>
      </c>
      <c r="Z209" s="79">
        <v>0.0</v>
      </c>
      <c r="AA209" s="79">
        <v>0.0</v>
      </c>
      <c r="AB209" s="13">
        <f t="shared" si="41"/>
        <v>1</v>
      </c>
      <c r="AC209" s="55"/>
      <c r="AD209" s="55"/>
    </row>
    <row r="210" ht="12.75" customHeight="1">
      <c r="A210" s="18"/>
      <c r="B210" s="58"/>
      <c r="C210" s="53" t="s">
        <v>161</v>
      </c>
      <c r="D210" s="61"/>
      <c r="E210" s="79"/>
      <c r="F210" s="79"/>
      <c r="G210" s="79"/>
      <c r="H210" s="79">
        <v>0.0</v>
      </c>
      <c r="I210" s="79">
        <v>0.0</v>
      </c>
      <c r="J210" s="79">
        <v>0.0</v>
      </c>
      <c r="K210" s="79">
        <v>1.0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79"/>
      <c r="R210" s="79"/>
      <c r="S210" s="79"/>
      <c r="T210" s="79"/>
      <c r="U210" s="79"/>
      <c r="V210" s="79">
        <v>0.0</v>
      </c>
      <c r="W210" s="79">
        <v>0.0</v>
      </c>
      <c r="X210" s="79">
        <v>0.0</v>
      </c>
      <c r="Y210" s="79">
        <v>0.0</v>
      </c>
      <c r="Z210" s="79">
        <v>0.0</v>
      </c>
      <c r="AA210" s="79">
        <v>1.0</v>
      </c>
      <c r="AB210" s="13">
        <f t="shared" si="41"/>
        <v>2</v>
      </c>
      <c r="AC210" s="55"/>
      <c r="AD210" s="55"/>
    </row>
    <row r="211" ht="12.75" customHeight="1">
      <c r="A211" s="19" t="s">
        <v>14</v>
      </c>
      <c r="B211" s="50" t="s">
        <v>48</v>
      </c>
      <c r="C211" s="15"/>
      <c r="D211" s="16"/>
      <c r="E211" s="13">
        <f t="shared" ref="E211:AA211" si="42">SUM(E201:E210)</f>
        <v>14</v>
      </c>
      <c r="F211" s="13">
        <f t="shared" si="42"/>
        <v>2</v>
      </c>
      <c r="G211" s="13">
        <f t="shared" si="42"/>
        <v>9</v>
      </c>
      <c r="H211" s="13">
        <f t="shared" si="42"/>
        <v>5</v>
      </c>
      <c r="I211" s="13">
        <f t="shared" si="42"/>
        <v>15</v>
      </c>
      <c r="J211" s="13">
        <f t="shared" si="42"/>
        <v>40</v>
      </c>
      <c r="K211" s="13">
        <f t="shared" si="42"/>
        <v>21</v>
      </c>
      <c r="L211" s="13">
        <f t="shared" si="42"/>
        <v>11</v>
      </c>
      <c r="M211" s="13">
        <f t="shared" si="42"/>
        <v>3</v>
      </c>
      <c r="N211" s="13">
        <f t="shared" si="42"/>
        <v>5</v>
      </c>
      <c r="O211" s="13">
        <f t="shared" si="42"/>
        <v>5</v>
      </c>
      <c r="P211" s="13">
        <f t="shared" si="42"/>
        <v>34</v>
      </c>
      <c r="Q211" s="13">
        <f t="shared" si="42"/>
        <v>22</v>
      </c>
      <c r="R211" s="13">
        <f t="shared" si="42"/>
        <v>10</v>
      </c>
      <c r="S211" s="13">
        <f t="shared" si="42"/>
        <v>7</v>
      </c>
      <c r="T211" s="13">
        <f t="shared" si="42"/>
        <v>10</v>
      </c>
      <c r="U211" s="13">
        <f t="shared" si="42"/>
        <v>1</v>
      </c>
      <c r="V211" s="13">
        <f t="shared" si="42"/>
        <v>1</v>
      </c>
      <c r="W211" s="13">
        <f t="shared" si="42"/>
        <v>13</v>
      </c>
      <c r="X211" s="13">
        <f t="shared" si="42"/>
        <v>6</v>
      </c>
      <c r="Y211" s="13">
        <f t="shared" si="42"/>
        <v>6</v>
      </c>
      <c r="Z211" s="13">
        <f t="shared" si="42"/>
        <v>12</v>
      </c>
      <c r="AA211" s="13">
        <f t="shared" si="42"/>
        <v>5</v>
      </c>
      <c r="AB211" s="13">
        <f t="shared" si="41"/>
        <v>257</v>
      </c>
      <c r="AC211" s="5"/>
      <c r="AD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5"/>
      <c r="AD212" s="5"/>
    </row>
    <row r="213" ht="12.75" customHeight="1">
      <c r="A213" s="31" t="s">
        <v>36</v>
      </c>
      <c r="B213" s="50" t="s">
        <v>162</v>
      </c>
      <c r="C213" s="51" t="s">
        <v>163</v>
      </c>
      <c r="D213" s="16"/>
      <c r="E213" s="79"/>
      <c r="F213" s="79">
        <v>10.0</v>
      </c>
      <c r="G213" s="79">
        <v>0.0</v>
      </c>
      <c r="H213" s="79">
        <v>1.0</v>
      </c>
      <c r="I213" s="79">
        <v>0.0</v>
      </c>
      <c r="J213" s="79">
        <v>0.0</v>
      </c>
      <c r="K213" s="79">
        <v>4.0</v>
      </c>
      <c r="L213" s="79">
        <v>1.0</v>
      </c>
      <c r="M213" s="79">
        <v>1.0</v>
      </c>
      <c r="N213" s="79">
        <v>5.0</v>
      </c>
      <c r="O213" s="79">
        <v>1.0</v>
      </c>
      <c r="P213" s="79">
        <v>2.0</v>
      </c>
      <c r="Q213" s="79"/>
      <c r="R213" s="79">
        <v>1.0</v>
      </c>
      <c r="S213" s="79">
        <v>1.0</v>
      </c>
      <c r="T213" s="79">
        <v>1.0</v>
      </c>
      <c r="U213" s="79">
        <v>1.0</v>
      </c>
      <c r="V213" s="79">
        <v>1.0</v>
      </c>
      <c r="W213" s="79">
        <v>5.0</v>
      </c>
      <c r="X213" s="79">
        <v>7.0</v>
      </c>
      <c r="Y213" s="79">
        <v>0.0</v>
      </c>
      <c r="Z213" s="79">
        <v>4.0</v>
      </c>
      <c r="AA213" s="79">
        <v>2.0</v>
      </c>
      <c r="AB213" s="13">
        <f t="shared" ref="AB213:AB216" si="43">SUM(E213:AA213)</f>
        <v>48</v>
      </c>
      <c r="AC213" s="5"/>
      <c r="AD213" s="5"/>
    </row>
    <row r="214" ht="12.75" customHeight="1">
      <c r="A214" s="31" t="s">
        <v>38</v>
      </c>
      <c r="B214" s="58"/>
      <c r="C214" s="53" t="s">
        <v>164</v>
      </c>
      <c r="D214" s="60"/>
      <c r="E214" s="79"/>
      <c r="F214" s="79"/>
      <c r="G214" s="79">
        <v>1.0</v>
      </c>
      <c r="H214" s="79">
        <v>0.0</v>
      </c>
      <c r="I214" s="79">
        <v>1.0</v>
      </c>
      <c r="J214" s="79">
        <v>2.0</v>
      </c>
      <c r="K214" s="79">
        <v>1.0</v>
      </c>
      <c r="L214" s="79">
        <v>0.0</v>
      </c>
      <c r="M214" s="79">
        <v>0.0</v>
      </c>
      <c r="N214" s="79">
        <v>3.0</v>
      </c>
      <c r="O214" s="79">
        <v>0.0</v>
      </c>
      <c r="P214" s="79">
        <v>2.0</v>
      </c>
      <c r="Q214" s="79">
        <v>2.0</v>
      </c>
      <c r="R214" s="79"/>
      <c r="S214" s="79">
        <v>0.0</v>
      </c>
      <c r="T214" s="79"/>
      <c r="U214" s="79">
        <v>1.0</v>
      </c>
      <c r="V214" s="79">
        <v>0.0</v>
      </c>
      <c r="W214" s="79">
        <v>1.0</v>
      </c>
      <c r="X214" s="79">
        <v>1.0</v>
      </c>
      <c r="Y214" s="79">
        <v>2.0</v>
      </c>
      <c r="Z214" s="79">
        <v>0.0</v>
      </c>
      <c r="AA214" s="79">
        <v>3.0</v>
      </c>
      <c r="AB214" s="13">
        <f t="shared" si="43"/>
        <v>20</v>
      </c>
      <c r="AC214" s="5"/>
      <c r="AD214" s="5"/>
    </row>
    <row r="215" ht="12.75" customHeight="1">
      <c r="A215" s="18"/>
      <c r="B215" s="58"/>
      <c r="C215" s="53" t="s">
        <v>165</v>
      </c>
      <c r="D215" s="60"/>
      <c r="E215" s="79">
        <v>1.0</v>
      </c>
      <c r="F215" s="79">
        <v>1.0</v>
      </c>
      <c r="G215" s="79"/>
      <c r="H215" s="79">
        <v>0.0</v>
      </c>
      <c r="I215" s="79">
        <v>0.0</v>
      </c>
      <c r="J215" s="79">
        <v>0.0</v>
      </c>
      <c r="K215" s="79">
        <v>4.0</v>
      </c>
      <c r="L215" s="79">
        <v>1.0</v>
      </c>
      <c r="M215" s="79">
        <v>1.0</v>
      </c>
      <c r="N215" s="79">
        <v>1.0</v>
      </c>
      <c r="O215" s="79">
        <v>1.0</v>
      </c>
      <c r="P215" s="79">
        <v>0.0</v>
      </c>
      <c r="Q215" s="79"/>
      <c r="R215" s="79"/>
      <c r="S215" s="79">
        <v>0.0</v>
      </c>
      <c r="T215" s="79"/>
      <c r="U215" s="79">
        <v>1.0</v>
      </c>
      <c r="V215" s="79">
        <v>0.0</v>
      </c>
      <c r="W215" s="79">
        <v>1.0</v>
      </c>
      <c r="X215" s="79">
        <v>1.0</v>
      </c>
      <c r="Y215" s="79">
        <v>0.0</v>
      </c>
      <c r="Z215" s="79">
        <v>2.0</v>
      </c>
      <c r="AA215" s="79">
        <v>3.0</v>
      </c>
      <c r="AB215" s="13">
        <f t="shared" si="43"/>
        <v>18</v>
      </c>
      <c r="AC215" s="5"/>
      <c r="AD215" s="5"/>
    </row>
    <row r="216" ht="12.75" customHeight="1">
      <c r="A216" s="18"/>
      <c r="B216" s="58"/>
      <c r="C216" s="53" t="s">
        <v>166</v>
      </c>
      <c r="E216" s="79"/>
      <c r="F216" s="79"/>
      <c r="G216" s="79"/>
      <c r="H216" s="79">
        <v>0.0</v>
      </c>
      <c r="I216" s="79">
        <v>0.0</v>
      </c>
      <c r="J216" s="79">
        <v>0.0</v>
      </c>
      <c r="K216" s="79"/>
      <c r="L216" s="79">
        <v>0.0</v>
      </c>
      <c r="M216" s="79">
        <v>0.0</v>
      </c>
      <c r="N216" s="79">
        <v>0.0</v>
      </c>
      <c r="O216" s="79">
        <v>0.0</v>
      </c>
      <c r="P216" s="79">
        <v>2.0</v>
      </c>
      <c r="Q216" s="79"/>
      <c r="R216" s="79"/>
      <c r="S216" s="79">
        <v>0.0</v>
      </c>
      <c r="T216" s="79"/>
      <c r="U216" s="79">
        <v>1.0</v>
      </c>
      <c r="V216" s="79">
        <v>0.0</v>
      </c>
      <c r="W216" s="79">
        <v>0.0</v>
      </c>
      <c r="X216" s="79">
        <v>1.0</v>
      </c>
      <c r="Y216" s="79">
        <v>1.0</v>
      </c>
      <c r="Z216" s="79">
        <v>0.0</v>
      </c>
      <c r="AA216" s="79">
        <v>0.0</v>
      </c>
      <c r="AB216" s="13">
        <f t="shared" si="43"/>
        <v>5</v>
      </c>
      <c r="AC216" s="5"/>
      <c r="AD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85"/>
      <c r="AC217" s="5"/>
      <c r="AD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85"/>
      <c r="AC218" s="1"/>
      <c r="AD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85"/>
      <c r="AC219" s="55"/>
      <c r="AD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85"/>
      <c r="AC220" s="5"/>
      <c r="AD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85"/>
      <c r="AC221" s="5"/>
      <c r="AD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85"/>
      <c r="AC222" s="5"/>
      <c r="AD222" s="5"/>
    </row>
    <row r="223" ht="12.75" customHeight="1">
      <c r="A223" s="19" t="s">
        <v>14</v>
      </c>
      <c r="B223" s="50" t="s">
        <v>48</v>
      </c>
      <c r="C223" s="15"/>
      <c r="D223" s="16"/>
      <c r="E223" s="13">
        <f t="shared" ref="E223:AA223" si="44">SUM(E213:E222)</f>
        <v>1</v>
      </c>
      <c r="F223" s="13">
        <f t="shared" si="44"/>
        <v>11</v>
      </c>
      <c r="G223" s="13">
        <f t="shared" si="44"/>
        <v>1</v>
      </c>
      <c r="H223" s="13">
        <f t="shared" si="44"/>
        <v>1</v>
      </c>
      <c r="I223" s="13">
        <f t="shared" si="44"/>
        <v>1</v>
      </c>
      <c r="J223" s="13">
        <f t="shared" si="44"/>
        <v>2</v>
      </c>
      <c r="K223" s="13">
        <f t="shared" si="44"/>
        <v>9</v>
      </c>
      <c r="L223" s="13">
        <f t="shared" si="44"/>
        <v>2</v>
      </c>
      <c r="M223" s="13">
        <f t="shared" si="44"/>
        <v>2</v>
      </c>
      <c r="N223" s="13">
        <f t="shared" si="44"/>
        <v>9</v>
      </c>
      <c r="O223" s="13">
        <f t="shared" si="44"/>
        <v>2</v>
      </c>
      <c r="P223" s="13">
        <f t="shared" si="44"/>
        <v>6</v>
      </c>
      <c r="Q223" s="13">
        <f t="shared" si="44"/>
        <v>2</v>
      </c>
      <c r="R223" s="13">
        <f t="shared" si="44"/>
        <v>1</v>
      </c>
      <c r="S223" s="13">
        <f t="shared" si="44"/>
        <v>1</v>
      </c>
      <c r="T223" s="13">
        <f t="shared" si="44"/>
        <v>1</v>
      </c>
      <c r="U223" s="13">
        <f t="shared" si="44"/>
        <v>4</v>
      </c>
      <c r="V223" s="13">
        <f t="shared" si="44"/>
        <v>1</v>
      </c>
      <c r="W223" s="13">
        <f t="shared" si="44"/>
        <v>7</v>
      </c>
      <c r="X223" s="13">
        <f t="shared" si="44"/>
        <v>10</v>
      </c>
      <c r="Y223" s="13">
        <f t="shared" si="44"/>
        <v>3</v>
      </c>
      <c r="Z223" s="13">
        <f t="shared" si="44"/>
        <v>6</v>
      </c>
      <c r="AA223" s="13">
        <f t="shared" si="44"/>
        <v>8</v>
      </c>
      <c r="AB223" s="13">
        <f>SUM(E223:AA223)</f>
        <v>91</v>
      </c>
      <c r="AC223" s="5"/>
      <c r="AD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5"/>
      <c r="AD224" s="5"/>
    </row>
    <row r="225" ht="12.75" customHeight="1">
      <c r="A225" s="31" t="s">
        <v>36</v>
      </c>
      <c r="B225" s="50" t="s">
        <v>167</v>
      </c>
      <c r="C225" s="51" t="s">
        <v>168</v>
      </c>
      <c r="D225" s="16"/>
      <c r="E225" s="79">
        <v>1.0</v>
      </c>
      <c r="F225" s="79">
        <v>0.0</v>
      </c>
      <c r="G225" s="79">
        <v>2.0</v>
      </c>
      <c r="H225" s="79">
        <v>1.0</v>
      </c>
      <c r="I225" s="79">
        <v>1.0</v>
      </c>
      <c r="J225" s="79">
        <v>3.0</v>
      </c>
      <c r="K225" s="79">
        <v>1.0</v>
      </c>
      <c r="L225" s="79">
        <v>1.0</v>
      </c>
      <c r="M225" s="79">
        <v>0.0</v>
      </c>
      <c r="N225" s="79">
        <v>1.0</v>
      </c>
      <c r="O225" s="79">
        <v>0.0</v>
      </c>
      <c r="P225" s="79">
        <v>0.0</v>
      </c>
      <c r="Q225" s="79"/>
      <c r="R225" s="79">
        <v>1.0</v>
      </c>
      <c r="S225" s="79"/>
      <c r="T225" s="79"/>
      <c r="U225" s="79"/>
      <c r="V225" s="79">
        <v>0.0</v>
      </c>
      <c r="W225" s="79">
        <v>0.0</v>
      </c>
      <c r="X225" s="79">
        <v>0.0</v>
      </c>
      <c r="Y225" s="79">
        <v>1.0</v>
      </c>
      <c r="Z225" s="79">
        <v>0.0</v>
      </c>
      <c r="AA225" s="79">
        <v>0.0</v>
      </c>
      <c r="AB225" s="13">
        <f t="shared" ref="AB225:AB229" si="45">SUM(E225:AA225)</f>
        <v>13</v>
      </c>
      <c r="AC225" s="5"/>
      <c r="AD225" s="5"/>
    </row>
    <row r="226" ht="12.75" customHeight="1">
      <c r="A226" s="31" t="s">
        <v>38</v>
      </c>
      <c r="B226" s="58"/>
      <c r="C226" s="53" t="s">
        <v>169</v>
      </c>
      <c r="D226" s="61"/>
      <c r="E226" s="79"/>
      <c r="F226" s="79">
        <v>3.0</v>
      </c>
      <c r="G226" s="79">
        <v>3.0</v>
      </c>
      <c r="H226" s="79">
        <v>4.0</v>
      </c>
      <c r="I226" s="79">
        <v>20.0</v>
      </c>
      <c r="J226" s="79">
        <v>5.0</v>
      </c>
      <c r="K226" s="79">
        <v>6.0</v>
      </c>
      <c r="L226" s="79">
        <v>1.0</v>
      </c>
      <c r="M226" s="79">
        <v>0.0</v>
      </c>
      <c r="N226" s="79">
        <v>1.0</v>
      </c>
      <c r="O226" s="79">
        <v>0.0</v>
      </c>
      <c r="P226" s="79">
        <v>0.0</v>
      </c>
      <c r="Q226" s="79">
        <v>2.0</v>
      </c>
      <c r="R226" s="79"/>
      <c r="S226" s="79"/>
      <c r="T226" s="79">
        <v>1.0</v>
      </c>
      <c r="U226" s="79"/>
      <c r="V226" s="79">
        <v>0.0</v>
      </c>
      <c r="W226" s="79">
        <v>0.0</v>
      </c>
      <c r="X226" s="79">
        <v>0.0</v>
      </c>
      <c r="Y226" s="79">
        <v>0.0</v>
      </c>
      <c r="Z226" s="79">
        <v>0.0</v>
      </c>
      <c r="AA226" s="79">
        <v>0.0</v>
      </c>
      <c r="AB226" s="13">
        <f t="shared" si="45"/>
        <v>46</v>
      </c>
      <c r="AC226" s="5"/>
      <c r="AD226" s="5"/>
    </row>
    <row r="227" ht="12.75" customHeight="1">
      <c r="A227" s="18"/>
      <c r="B227" s="58"/>
      <c r="C227" s="53" t="s">
        <v>170</v>
      </c>
      <c r="D227" s="61"/>
      <c r="E227" s="79"/>
      <c r="F227" s="79"/>
      <c r="G227" s="79"/>
      <c r="H227" s="79">
        <v>0.0</v>
      </c>
      <c r="I227" s="79">
        <v>0.0</v>
      </c>
      <c r="J227" s="79">
        <v>0.0</v>
      </c>
      <c r="K227" s="79"/>
      <c r="L227" s="79">
        <v>1.0</v>
      </c>
      <c r="M227" s="79">
        <v>0.0</v>
      </c>
      <c r="N227" s="79">
        <v>0.0</v>
      </c>
      <c r="O227" s="79">
        <v>0.0</v>
      </c>
      <c r="P227" s="79">
        <v>0.0</v>
      </c>
      <c r="Q227" s="79"/>
      <c r="R227" s="79"/>
      <c r="S227" s="79"/>
      <c r="T227" s="79"/>
      <c r="U227" s="79"/>
      <c r="V227" s="79">
        <v>0.0</v>
      </c>
      <c r="W227" s="79">
        <v>0.0</v>
      </c>
      <c r="X227" s="79">
        <v>0.0</v>
      </c>
      <c r="Y227" s="79">
        <v>0.0</v>
      </c>
      <c r="Z227" s="79">
        <v>0.0</v>
      </c>
      <c r="AA227" s="79">
        <v>0.0</v>
      </c>
      <c r="AB227" s="13">
        <f t="shared" si="45"/>
        <v>1</v>
      </c>
      <c r="AC227" s="5"/>
      <c r="AD227" s="5"/>
    </row>
    <row r="228" ht="12.75" customHeight="1">
      <c r="A228" s="18"/>
      <c r="B228" s="58"/>
      <c r="C228" s="53" t="s">
        <v>171</v>
      </c>
      <c r="D228" s="61"/>
      <c r="E228" s="79"/>
      <c r="F228" s="79"/>
      <c r="G228" s="79"/>
      <c r="H228" s="79">
        <v>0.0</v>
      </c>
      <c r="I228" s="79">
        <v>0.0</v>
      </c>
      <c r="J228" s="79">
        <v>0.0</v>
      </c>
      <c r="K228" s="79"/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/>
      <c r="R228" s="79"/>
      <c r="S228" s="79"/>
      <c r="T228" s="79"/>
      <c r="U228" s="79"/>
      <c r="V228" s="79">
        <v>0.0</v>
      </c>
      <c r="W228" s="79">
        <v>0.0</v>
      </c>
      <c r="X228" s="79">
        <v>0.0</v>
      </c>
      <c r="Y228" s="79">
        <v>0.0</v>
      </c>
      <c r="Z228" s="79">
        <v>0.0</v>
      </c>
      <c r="AA228" s="79">
        <v>1.0</v>
      </c>
      <c r="AB228" s="13">
        <f t="shared" si="45"/>
        <v>1</v>
      </c>
      <c r="AC228" s="5"/>
      <c r="AD228" s="5"/>
    </row>
    <row r="229" ht="12.75" customHeight="1">
      <c r="A229" s="18"/>
      <c r="B229" s="58"/>
      <c r="C229" s="53" t="s">
        <v>172</v>
      </c>
      <c r="D229" s="61"/>
      <c r="E229" s="79"/>
      <c r="F229" s="79"/>
      <c r="G229" s="79"/>
      <c r="H229" s="79">
        <v>0.0</v>
      </c>
      <c r="I229" s="79">
        <v>0.0</v>
      </c>
      <c r="J229" s="79">
        <v>0.0</v>
      </c>
      <c r="K229" s="79"/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/>
      <c r="R229" s="79"/>
      <c r="S229" s="79"/>
      <c r="T229" s="79"/>
      <c r="U229" s="79"/>
      <c r="V229" s="79">
        <v>0.0</v>
      </c>
      <c r="W229" s="79">
        <v>0.0</v>
      </c>
      <c r="X229" s="79">
        <v>0.0</v>
      </c>
      <c r="Y229" s="79">
        <v>0.0</v>
      </c>
      <c r="Z229" s="79">
        <v>0.0</v>
      </c>
      <c r="AA229" s="79">
        <v>0.0</v>
      </c>
      <c r="AB229" s="13">
        <f t="shared" si="45"/>
        <v>0</v>
      </c>
      <c r="AC229" s="1"/>
      <c r="AD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85"/>
      <c r="AC230" s="55"/>
      <c r="AD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85"/>
      <c r="AC231" s="5"/>
      <c r="AD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85"/>
      <c r="AC232" s="5"/>
      <c r="AD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85"/>
      <c r="AC233" s="5"/>
      <c r="AD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85"/>
      <c r="AC234" s="5"/>
      <c r="AD234" s="5"/>
    </row>
    <row r="235" ht="12.75" customHeight="1">
      <c r="A235" s="19" t="s">
        <v>14</v>
      </c>
      <c r="B235" s="50" t="s">
        <v>48</v>
      </c>
      <c r="C235" s="15"/>
      <c r="D235" s="16"/>
      <c r="E235" s="13">
        <f t="shared" ref="E235:AA235" si="46">SUM(E225:E234)</f>
        <v>1</v>
      </c>
      <c r="F235" s="13">
        <f t="shared" si="46"/>
        <v>3</v>
      </c>
      <c r="G235" s="13">
        <f t="shared" si="46"/>
        <v>5</v>
      </c>
      <c r="H235" s="13">
        <f t="shared" si="46"/>
        <v>5</v>
      </c>
      <c r="I235" s="13">
        <f t="shared" si="46"/>
        <v>21</v>
      </c>
      <c r="J235" s="13">
        <f t="shared" si="46"/>
        <v>8</v>
      </c>
      <c r="K235" s="13">
        <f t="shared" si="46"/>
        <v>7</v>
      </c>
      <c r="L235" s="13">
        <f t="shared" si="46"/>
        <v>3</v>
      </c>
      <c r="M235" s="13">
        <f t="shared" si="46"/>
        <v>0</v>
      </c>
      <c r="N235" s="13">
        <f t="shared" si="46"/>
        <v>2</v>
      </c>
      <c r="O235" s="13">
        <f t="shared" si="46"/>
        <v>0</v>
      </c>
      <c r="P235" s="13">
        <f t="shared" si="46"/>
        <v>0</v>
      </c>
      <c r="Q235" s="13">
        <f t="shared" si="46"/>
        <v>2</v>
      </c>
      <c r="R235" s="13">
        <f t="shared" si="46"/>
        <v>1</v>
      </c>
      <c r="S235" s="13">
        <f t="shared" si="46"/>
        <v>0</v>
      </c>
      <c r="T235" s="13">
        <f t="shared" si="46"/>
        <v>1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1</v>
      </c>
      <c r="Z235" s="13">
        <f t="shared" si="46"/>
        <v>0</v>
      </c>
      <c r="AA235" s="13">
        <f t="shared" si="46"/>
        <v>1</v>
      </c>
      <c r="AB235" s="13">
        <f>SUM(E235:AA235)</f>
        <v>61</v>
      </c>
      <c r="AC235" s="5"/>
      <c r="AD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5"/>
      <c r="AD236" s="5"/>
    </row>
    <row r="237" ht="12.75" customHeight="1">
      <c r="A237" s="31" t="s">
        <v>36</v>
      </c>
      <c r="B237" s="50" t="s">
        <v>173</v>
      </c>
      <c r="C237" s="51" t="s">
        <v>174</v>
      </c>
      <c r="D237" s="16"/>
      <c r="E237" s="79"/>
      <c r="F237" s="79"/>
      <c r="G237" s="79"/>
      <c r="H237" s="79">
        <v>1.0</v>
      </c>
      <c r="I237" s="79">
        <v>0.0</v>
      </c>
      <c r="J237" s="79">
        <v>0.0</v>
      </c>
      <c r="K237" s="79"/>
      <c r="L237" s="79">
        <v>0.0</v>
      </c>
      <c r="M237" s="79">
        <v>0.0</v>
      </c>
      <c r="N237" s="79">
        <v>0.0</v>
      </c>
      <c r="O237" s="79">
        <v>0.0</v>
      </c>
      <c r="P237" s="79">
        <v>0.0</v>
      </c>
      <c r="Q237" s="79">
        <v>1.0</v>
      </c>
      <c r="R237" s="79">
        <v>1.0</v>
      </c>
      <c r="S237" s="79"/>
      <c r="T237" s="79"/>
      <c r="U237" s="79">
        <v>1.0</v>
      </c>
      <c r="V237" s="79">
        <v>1.0</v>
      </c>
      <c r="W237" s="79">
        <v>0.0</v>
      </c>
      <c r="X237" s="79">
        <v>1.0</v>
      </c>
      <c r="Y237" s="79">
        <v>0.0</v>
      </c>
      <c r="Z237" s="79">
        <v>1.0</v>
      </c>
      <c r="AA237" s="79">
        <v>2.0</v>
      </c>
      <c r="AB237" s="13">
        <f t="shared" ref="AB237:AB247" si="47">SUM(E237:AA237)</f>
        <v>9</v>
      </c>
      <c r="AC237" s="5"/>
      <c r="AD237" s="5"/>
    </row>
    <row r="238" ht="12.75" customHeight="1">
      <c r="A238" s="31" t="s">
        <v>38</v>
      </c>
      <c r="B238" s="58"/>
      <c r="C238" s="53" t="s">
        <v>175</v>
      </c>
      <c r="D238" s="61"/>
      <c r="E238" s="79"/>
      <c r="F238" s="79"/>
      <c r="G238" s="79"/>
      <c r="H238" s="79">
        <v>0.0</v>
      </c>
      <c r="I238" s="79">
        <v>1.0</v>
      </c>
      <c r="J238" s="79">
        <v>0.0</v>
      </c>
      <c r="K238" s="79"/>
      <c r="L238" s="79">
        <v>0.0</v>
      </c>
      <c r="M238" s="79">
        <v>1.0</v>
      </c>
      <c r="N238" s="79">
        <v>1.0</v>
      </c>
      <c r="O238" s="79">
        <v>1.0</v>
      </c>
      <c r="P238" s="79">
        <v>1.0</v>
      </c>
      <c r="Q238" s="79"/>
      <c r="R238" s="79"/>
      <c r="S238" s="79"/>
      <c r="T238" s="79"/>
      <c r="U238" s="79"/>
      <c r="V238" s="79">
        <v>0.0</v>
      </c>
      <c r="W238" s="79">
        <v>0.0</v>
      </c>
      <c r="X238" s="79">
        <v>0.0</v>
      </c>
      <c r="Y238" s="79">
        <v>2.0</v>
      </c>
      <c r="Z238" s="79">
        <v>2.0</v>
      </c>
      <c r="AA238" s="79">
        <v>1.0</v>
      </c>
      <c r="AB238" s="13">
        <f t="shared" si="47"/>
        <v>10</v>
      </c>
      <c r="AC238" s="5"/>
      <c r="AD238" s="5"/>
    </row>
    <row r="239" ht="12.75" customHeight="1">
      <c r="A239" s="18"/>
      <c r="B239" s="58"/>
      <c r="C239" s="53" t="s">
        <v>176</v>
      </c>
      <c r="D239" s="61"/>
      <c r="E239" s="79"/>
      <c r="F239" s="79"/>
      <c r="G239" s="79"/>
      <c r="H239" s="79">
        <v>0.0</v>
      </c>
      <c r="I239" s="79">
        <v>1.0</v>
      </c>
      <c r="J239" s="79">
        <v>0.0</v>
      </c>
      <c r="K239" s="79"/>
      <c r="L239" s="79">
        <v>0.0</v>
      </c>
      <c r="M239" s="79">
        <v>0.0</v>
      </c>
      <c r="N239" s="79">
        <v>0.0</v>
      </c>
      <c r="O239" s="79">
        <v>0.0</v>
      </c>
      <c r="P239" s="79">
        <v>0.0</v>
      </c>
      <c r="Q239" s="79"/>
      <c r="R239" s="79">
        <v>1.0</v>
      </c>
      <c r="S239" s="79"/>
      <c r="T239" s="79"/>
      <c r="U239" s="79">
        <v>3.0</v>
      </c>
      <c r="V239" s="79">
        <v>2.0</v>
      </c>
      <c r="W239" s="79">
        <v>6.0</v>
      </c>
      <c r="X239" s="79">
        <v>0.0</v>
      </c>
      <c r="Y239" s="79">
        <v>0.0</v>
      </c>
      <c r="Z239" s="79">
        <v>1.0</v>
      </c>
      <c r="AA239" s="79">
        <v>2.0</v>
      </c>
      <c r="AB239" s="13">
        <f t="shared" si="47"/>
        <v>16</v>
      </c>
      <c r="AC239" s="5"/>
      <c r="AD239" s="5"/>
    </row>
    <row r="240" ht="12.75" customHeight="1">
      <c r="A240" s="18"/>
      <c r="B240" s="58"/>
      <c r="C240" s="53" t="s">
        <v>177</v>
      </c>
      <c r="D240" s="61"/>
      <c r="E240" s="79"/>
      <c r="F240" s="79"/>
      <c r="G240" s="79"/>
      <c r="H240" s="79">
        <v>0.0</v>
      </c>
      <c r="I240" s="79">
        <v>0.0</v>
      </c>
      <c r="J240" s="79">
        <v>0.0</v>
      </c>
      <c r="K240" s="79"/>
      <c r="L240" s="79">
        <v>1.0</v>
      </c>
      <c r="M240" s="79">
        <v>0.0</v>
      </c>
      <c r="N240" s="79">
        <v>0.0</v>
      </c>
      <c r="O240" s="79">
        <v>0.0</v>
      </c>
      <c r="P240" s="79">
        <v>1.0</v>
      </c>
      <c r="Q240" s="79"/>
      <c r="R240" s="79"/>
      <c r="S240" s="79"/>
      <c r="T240" s="79"/>
      <c r="U240" s="79"/>
      <c r="V240" s="79">
        <v>0.0</v>
      </c>
      <c r="W240" s="79">
        <v>0.0</v>
      </c>
      <c r="X240" s="79">
        <v>2.0</v>
      </c>
      <c r="Y240" s="79">
        <v>0.0</v>
      </c>
      <c r="Z240" s="79">
        <v>0.0</v>
      </c>
      <c r="AA240" s="79">
        <v>0.0</v>
      </c>
      <c r="AB240" s="13">
        <f t="shared" si="47"/>
        <v>4</v>
      </c>
      <c r="AC240" s="1"/>
      <c r="AD240" s="1"/>
    </row>
    <row r="241" ht="12.75" customHeight="1">
      <c r="A241" s="18"/>
      <c r="B241" s="58"/>
      <c r="C241" s="53" t="s">
        <v>178</v>
      </c>
      <c r="D241" s="61"/>
      <c r="E241" s="79"/>
      <c r="F241" s="79"/>
      <c r="G241" s="79">
        <v>1.0</v>
      </c>
      <c r="H241" s="79">
        <v>0.0</v>
      </c>
      <c r="I241" s="79">
        <v>0.0</v>
      </c>
      <c r="J241" s="79">
        <v>1.0</v>
      </c>
      <c r="K241" s="79"/>
      <c r="L241" s="79">
        <v>0.0</v>
      </c>
      <c r="M241" s="79">
        <v>0.0</v>
      </c>
      <c r="N241" s="79">
        <v>0.0</v>
      </c>
      <c r="O241" s="79">
        <v>0.0</v>
      </c>
      <c r="P241" s="79">
        <v>0.0</v>
      </c>
      <c r="Q241" s="79"/>
      <c r="R241" s="79"/>
      <c r="S241" s="79"/>
      <c r="T241" s="79"/>
      <c r="U241" s="79"/>
      <c r="V241" s="79">
        <v>0.0</v>
      </c>
      <c r="W241" s="79">
        <v>0.0</v>
      </c>
      <c r="X241" s="79">
        <v>0.0</v>
      </c>
      <c r="Y241" s="79">
        <v>0.0</v>
      </c>
      <c r="Z241" s="79">
        <v>0.0</v>
      </c>
      <c r="AA241" s="79">
        <v>0.0</v>
      </c>
      <c r="AB241" s="13">
        <f t="shared" si="47"/>
        <v>2</v>
      </c>
    </row>
    <row r="242" ht="12.75" customHeight="1">
      <c r="A242" s="18"/>
      <c r="B242" s="58"/>
      <c r="C242" s="53" t="s">
        <v>179</v>
      </c>
      <c r="D242" s="61"/>
      <c r="E242" s="79"/>
      <c r="F242" s="79">
        <v>1.0</v>
      </c>
      <c r="G242" s="79"/>
      <c r="H242" s="79">
        <v>0.0</v>
      </c>
      <c r="I242" s="79">
        <v>0.0</v>
      </c>
      <c r="J242" s="79">
        <v>0.0</v>
      </c>
      <c r="K242" s="79"/>
      <c r="L242" s="79">
        <v>0.0</v>
      </c>
      <c r="M242" s="79">
        <v>0.0</v>
      </c>
      <c r="N242" s="79">
        <v>0.0</v>
      </c>
      <c r="O242" s="79">
        <v>0.0</v>
      </c>
      <c r="P242" s="79">
        <v>0.0</v>
      </c>
      <c r="Q242" s="79"/>
      <c r="R242" s="79"/>
      <c r="S242" s="79"/>
      <c r="T242" s="79">
        <v>1.0</v>
      </c>
      <c r="U242" s="79"/>
      <c r="V242" s="79">
        <v>0.0</v>
      </c>
      <c r="W242" s="79">
        <v>1.0</v>
      </c>
      <c r="X242" s="79">
        <v>0.0</v>
      </c>
      <c r="Y242" s="79">
        <v>1.0</v>
      </c>
      <c r="Z242" s="79">
        <v>0.0</v>
      </c>
      <c r="AA242" s="79">
        <v>0.0</v>
      </c>
      <c r="AB242" s="13">
        <f t="shared" si="47"/>
        <v>4</v>
      </c>
    </row>
    <row r="243" ht="12.75" customHeight="1">
      <c r="A243" s="18"/>
      <c r="B243" s="58"/>
      <c r="C243" s="53" t="s">
        <v>180</v>
      </c>
      <c r="D243" s="61"/>
      <c r="E243" s="79"/>
      <c r="F243" s="79"/>
      <c r="G243" s="79"/>
      <c r="H243" s="79">
        <v>0.0</v>
      </c>
      <c r="I243" s="79">
        <v>0.0</v>
      </c>
      <c r="J243" s="79">
        <v>0.0</v>
      </c>
      <c r="K243" s="79"/>
      <c r="L243" s="79">
        <v>0.0</v>
      </c>
      <c r="M243" s="79">
        <v>0.0</v>
      </c>
      <c r="N243" s="79">
        <v>0.0</v>
      </c>
      <c r="O243" s="79">
        <v>0.0</v>
      </c>
      <c r="P243" s="79">
        <v>0.0</v>
      </c>
      <c r="Q243" s="79"/>
      <c r="R243" s="79"/>
      <c r="S243" s="79"/>
      <c r="T243" s="79"/>
      <c r="U243" s="79"/>
      <c r="V243" s="79">
        <v>0.0</v>
      </c>
      <c r="W243" s="79">
        <v>0.0</v>
      </c>
      <c r="X243" s="79">
        <v>0.0</v>
      </c>
      <c r="Y243" s="79">
        <v>0.0</v>
      </c>
      <c r="Z243" s="79">
        <v>0.0</v>
      </c>
      <c r="AA243" s="79">
        <v>0.0</v>
      </c>
      <c r="AB243" s="13">
        <f t="shared" si="47"/>
        <v>0</v>
      </c>
    </row>
    <row r="244" ht="12.75" customHeight="1">
      <c r="A244" s="18"/>
      <c r="B244" s="58"/>
      <c r="C244" s="53" t="s">
        <v>181</v>
      </c>
      <c r="D244" s="61"/>
      <c r="E244" s="79"/>
      <c r="F244" s="79"/>
      <c r="G244" s="79"/>
      <c r="H244" s="79">
        <v>0.0</v>
      </c>
      <c r="I244" s="79">
        <v>0.0</v>
      </c>
      <c r="J244" s="79">
        <v>1.0</v>
      </c>
      <c r="K244" s="79"/>
      <c r="L244" s="79">
        <v>0.0</v>
      </c>
      <c r="M244" s="79">
        <v>0.0</v>
      </c>
      <c r="N244" s="79">
        <v>0.0</v>
      </c>
      <c r="O244" s="79">
        <v>0.0</v>
      </c>
      <c r="P244" s="79">
        <v>0.0</v>
      </c>
      <c r="Q244" s="79"/>
      <c r="R244" s="79"/>
      <c r="S244" s="79"/>
      <c r="T244" s="79"/>
      <c r="U244" s="79"/>
      <c r="V244" s="79">
        <v>0.0</v>
      </c>
      <c r="W244" s="79">
        <v>0.0</v>
      </c>
      <c r="X244" s="79">
        <v>0.0</v>
      </c>
      <c r="Y244" s="79">
        <v>1.0</v>
      </c>
      <c r="Z244" s="79">
        <v>0.0</v>
      </c>
      <c r="AA244" s="79">
        <v>0.0</v>
      </c>
      <c r="AB244" s="13">
        <f t="shared" si="47"/>
        <v>2</v>
      </c>
    </row>
    <row r="245" ht="12.75" customHeight="1">
      <c r="A245" s="18"/>
      <c r="B245" s="58"/>
      <c r="C245" s="53" t="s">
        <v>182</v>
      </c>
      <c r="D245" s="61"/>
      <c r="E245" s="79"/>
      <c r="F245" s="79"/>
      <c r="G245" s="79"/>
      <c r="H245" s="79">
        <v>0.0</v>
      </c>
      <c r="I245" s="79">
        <v>0.0</v>
      </c>
      <c r="J245" s="79">
        <v>0.0</v>
      </c>
      <c r="K245" s="79"/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79"/>
      <c r="R245" s="79"/>
      <c r="S245" s="79"/>
      <c r="T245" s="79"/>
      <c r="U245" s="79"/>
      <c r="V245" s="79">
        <v>0.0</v>
      </c>
      <c r="W245" s="79">
        <v>0.0</v>
      </c>
      <c r="X245" s="79">
        <v>0.0</v>
      </c>
      <c r="Y245" s="79">
        <v>0.0</v>
      </c>
      <c r="Z245" s="79">
        <v>0.0</v>
      </c>
      <c r="AA245" s="79">
        <v>0.0</v>
      </c>
      <c r="AB245" s="13">
        <f t="shared" si="47"/>
        <v>0</v>
      </c>
    </row>
    <row r="246" ht="12.75" customHeight="1">
      <c r="A246" s="18"/>
      <c r="B246" s="58"/>
      <c r="C246" s="53" t="s">
        <v>183</v>
      </c>
      <c r="D246" s="61"/>
      <c r="E246" s="79"/>
      <c r="F246" s="79"/>
      <c r="G246" s="79"/>
      <c r="H246" s="79">
        <v>0.0</v>
      </c>
      <c r="I246" s="79">
        <v>0.0</v>
      </c>
      <c r="J246" s="79">
        <v>0.0</v>
      </c>
      <c r="K246" s="79"/>
      <c r="L246" s="79">
        <v>0.0</v>
      </c>
      <c r="M246" s="79">
        <v>0.0</v>
      </c>
      <c r="N246" s="79">
        <v>0.0</v>
      </c>
      <c r="O246" s="79">
        <v>0.0</v>
      </c>
      <c r="P246" s="79">
        <v>0.0</v>
      </c>
      <c r="Q246" s="79"/>
      <c r="R246" s="79"/>
      <c r="S246" s="79"/>
      <c r="T246" s="79"/>
      <c r="U246" s="79"/>
      <c r="V246" s="79">
        <v>0.0</v>
      </c>
      <c r="W246" s="79">
        <v>0.0</v>
      </c>
      <c r="X246" s="79">
        <v>0.0</v>
      </c>
      <c r="Y246" s="79">
        <v>1.0</v>
      </c>
      <c r="Z246" s="79">
        <v>0.0</v>
      </c>
      <c r="AA246" s="79">
        <v>0.0</v>
      </c>
      <c r="AB246" s="13">
        <f t="shared" si="47"/>
        <v>1</v>
      </c>
    </row>
    <row r="247" ht="12.75" customHeight="1">
      <c r="A247" s="19" t="s">
        <v>14</v>
      </c>
      <c r="B247" s="50" t="s">
        <v>48</v>
      </c>
      <c r="C247" s="15"/>
      <c r="D247" s="16"/>
      <c r="E247" s="13">
        <f t="shared" ref="E247:AA247" si="48">SUM(E237:E246)</f>
        <v>0</v>
      </c>
      <c r="F247" s="13">
        <f t="shared" si="48"/>
        <v>1</v>
      </c>
      <c r="G247" s="13">
        <f t="shared" si="48"/>
        <v>1</v>
      </c>
      <c r="H247" s="13">
        <f t="shared" si="48"/>
        <v>1</v>
      </c>
      <c r="I247" s="13">
        <f t="shared" si="48"/>
        <v>2</v>
      </c>
      <c r="J247" s="13">
        <f t="shared" si="48"/>
        <v>2</v>
      </c>
      <c r="K247" s="13">
        <f t="shared" si="48"/>
        <v>0</v>
      </c>
      <c r="L247" s="13">
        <f t="shared" si="48"/>
        <v>1</v>
      </c>
      <c r="M247" s="13">
        <f t="shared" si="48"/>
        <v>1</v>
      </c>
      <c r="N247" s="13">
        <f t="shared" si="48"/>
        <v>1</v>
      </c>
      <c r="O247" s="13">
        <f t="shared" si="48"/>
        <v>1</v>
      </c>
      <c r="P247" s="13">
        <f t="shared" si="48"/>
        <v>2</v>
      </c>
      <c r="Q247" s="13">
        <f t="shared" si="48"/>
        <v>1</v>
      </c>
      <c r="R247" s="13">
        <f t="shared" si="48"/>
        <v>2</v>
      </c>
      <c r="S247" s="13">
        <f t="shared" si="48"/>
        <v>0</v>
      </c>
      <c r="T247" s="13">
        <f t="shared" si="48"/>
        <v>1</v>
      </c>
      <c r="U247" s="13">
        <f t="shared" si="48"/>
        <v>4</v>
      </c>
      <c r="V247" s="13">
        <f t="shared" si="48"/>
        <v>3</v>
      </c>
      <c r="W247" s="13">
        <f t="shared" si="48"/>
        <v>7</v>
      </c>
      <c r="X247" s="13">
        <f t="shared" si="48"/>
        <v>3</v>
      </c>
      <c r="Y247" s="13">
        <f t="shared" si="48"/>
        <v>5</v>
      </c>
      <c r="Z247" s="13">
        <f t="shared" si="48"/>
        <v>4</v>
      </c>
      <c r="AA247" s="13">
        <f t="shared" si="48"/>
        <v>5</v>
      </c>
      <c r="AB247" s="13">
        <f t="shared" si="47"/>
        <v>48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36</v>
      </c>
      <c r="B249" s="50" t="s">
        <v>184</v>
      </c>
      <c r="C249" s="51" t="s">
        <v>185</v>
      </c>
      <c r="D249" s="16"/>
      <c r="E249" s="79">
        <v>2.0</v>
      </c>
      <c r="F249" s="79"/>
      <c r="G249" s="79">
        <v>1.0</v>
      </c>
      <c r="H249" s="79">
        <v>0.0</v>
      </c>
      <c r="I249" s="79">
        <v>0.0</v>
      </c>
      <c r="J249" s="79">
        <v>0.0</v>
      </c>
      <c r="K249" s="79">
        <v>1.0</v>
      </c>
      <c r="L249" s="79"/>
      <c r="M249" s="79">
        <v>0.0</v>
      </c>
      <c r="N249" s="79">
        <v>0.0</v>
      </c>
      <c r="O249" s="79">
        <v>1.0</v>
      </c>
      <c r="P249" s="79">
        <v>0.0</v>
      </c>
      <c r="Q249" s="79"/>
      <c r="R249" s="79"/>
      <c r="S249" s="79"/>
      <c r="T249" s="79"/>
      <c r="U249" s="79"/>
      <c r="V249" s="79">
        <v>0.0</v>
      </c>
      <c r="W249" s="79">
        <v>0.0</v>
      </c>
      <c r="X249" s="79">
        <v>0.0</v>
      </c>
      <c r="Y249" s="79">
        <v>1.0</v>
      </c>
      <c r="Z249" s="79">
        <v>0.0</v>
      </c>
      <c r="AA249" s="79">
        <v>0.0</v>
      </c>
      <c r="AB249" s="13">
        <f t="shared" ref="AB249:AB252" si="49">SUM(E249:AA249)</f>
        <v>6</v>
      </c>
    </row>
    <row r="250" ht="12.75" customHeight="1">
      <c r="A250" s="31" t="s">
        <v>38</v>
      </c>
      <c r="B250" s="58"/>
      <c r="C250" s="53" t="s">
        <v>186</v>
      </c>
      <c r="D250" s="61"/>
      <c r="E250" s="79"/>
      <c r="F250" s="79"/>
      <c r="G250" s="79"/>
      <c r="H250" s="79">
        <v>0.0</v>
      </c>
      <c r="I250" s="79">
        <v>0.0</v>
      </c>
      <c r="J250" s="79">
        <v>0.0</v>
      </c>
      <c r="K250" s="79"/>
      <c r="L250" s="79"/>
      <c r="M250" s="79">
        <v>0.0</v>
      </c>
      <c r="N250" s="79">
        <v>0.0</v>
      </c>
      <c r="O250" s="79">
        <v>0.0</v>
      </c>
      <c r="P250" s="79">
        <v>0.0</v>
      </c>
      <c r="Q250" s="79"/>
      <c r="R250" s="79"/>
      <c r="S250" s="79"/>
      <c r="T250" s="79"/>
      <c r="U250" s="79"/>
      <c r="V250" s="79">
        <v>0.0</v>
      </c>
      <c r="W250" s="79">
        <v>0.0</v>
      </c>
      <c r="X250" s="79">
        <v>0.0</v>
      </c>
      <c r="Y250" s="79">
        <v>0.0</v>
      </c>
      <c r="Z250" s="79">
        <v>0.0</v>
      </c>
      <c r="AA250" s="79">
        <v>0.0</v>
      </c>
      <c r="AB250" s="13">
        <f t="shared" si="49"/>
        <v>0</v>
      </c>
    </row>
    <row r="251" ht="12.75" customHeight="1">
      <c r="A251" s="18"/>
      <c r="B251" s="58"/>
      <c r="C251" s="53" t="s">
        <v>187</v>
      </c>
      <c r="D251" s="61"/>
      <c r="E251" s="79"/>
      <c r="F251" s="79"/>
      <c r="G251" s="79"/>
      <c r="H251" s="79">
        <v>0.0</v>
      </c>
      <c r="I251" s="79">
        <v>0.0</v>
      </c>
      <c r="J251" s="79">
        <v>0.0</v>
      </c>
      <c r="K251" s="79"/>
      <c r="L251" s="79"/>
      <c r="M251" s="79">
        <v>0.0</v>
      </c>
      <c r="N251" s="79">
        <v>0.0</v>
      </c>
      <c r="O251" s="79">
        <v>0.0</v>
      </c>
      <c r="P251" s="79">
        <v>0.0</v>
      </c>
      <c r="Q251" s="79"/>
      <c r="R251" s="79"/>
      <c r="S251" s="79"/>
      <c r="T251" s="79"/>
      <c r="U251" s="79"/>
      <c r="V251" s="79">
        <v>0.0</v>
      </c>
      <c r="W251" s="79">
        <v>0.0</v>
      </c>
      <c r="X251" s="79">
        <v>0.0</v>
      </c>
      <c r="Y251" s="79">
        <v>0.0</v>
      </c>
      <c r="Z251" s="79">
        <v>0.0</v>
      </c>
      <c r="AA251" s="79">
        <v>0.0</v>
      </c>
      <c r="AB251" s="13">
        <f t="shared" si="49"/>
        <v>0</v>
      </c>
    </row>
    <row r="252" ht="12.75" customHeight="1">
      <c r="A252" s="18"/>
      <c r="B252" s="58"/>
      <c r="C252" s="53" t="s">
        <v>188</v>
      </c>
      <c r="D252" s="61"/>
      <c r="E252" s="79"/>
      <c r="F252" s="79"/>
      <c r="G252" s="79"/>
      <c r="H252" s="79">
        <v>0.0</v>
      </c>
      <c r="I252" s="79">
        <v>0.0</v>
      </c>
      <c r="J252" s="79">
        <v>0.0</v>
      </c>
      <c r="K252" s="79"/>
      <c r="L252" s="79"/>
      <c r="M252" s="79">
        <v>0.0</v>
      </c>
      <c r="N252" s="79">
        <v>0.0</v>
      </c>
      <c r="O252" s="79">
        <v>0.0</v>
      </c>
      <c r="P252" s="79">
        <v>0.0</v>
      </c>
      <c r="Q252" s="79"/>
      <c r="R252" s="79"/>
      <c r="S252" s="79"/>
      <c r="T252" s="79"/>
      <c r="U252" s="79"/>
      <c r="V252" s="79">
        <v>0.0</v>
      </c>
      <c r="W252" s="79">
        <v>0.0</v>
      </c>
      <c r="X252" s="79">
        <v>0.0</v>
      </c>
      <c r="Y252" s="79">
        <v>0.0</v>
      </c>
      <c r="Z252" s="79">
        <v>0.0</v>
      </c>
      <c r="AA252" s="79">
        <v>0.0</v>
      </c>
      <c r="AB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85"/>
    </row>
    <row r="259" ht="12.75" customHeight="1">
      <c r="A259" s="19" t="s">
        <v>14</v>
      </c>
      <c r="B259" s="50" t="s">
        <v>48</v>
      </c>
      <c r="C259" s="15"/>
      <c r="D259" s="16"/>
      <c r="E259" s="13">
        <f t="shared" ref="E259:AA259" si="50">SUM(E249:E258)</f>
        <v>2</v>
      </c>
      <c r="F259" s="13">
        <f t="shared" si="50"/>
        <v>0</v>
      </c>
      <c r="G259" s="13">
        <f t="shared" si="50"/>
        <v>1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1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1</v>
      </c>
      <c r="Z259" s="13">
        <f t="shared" si="50"/>
        <v>0</v>
      </c>
      <c r="AA259" s="13">
        <f t="shared" si="50"/>
        <v>0</v>
      </c>
      <c r="AB259" s="13">
        <f>SUM(E259:AA259)</f>
        <v>6</v>
      </c>
    </row>
    <row r="260" ht="12.75" customHeight="1"/>
    <row r="261" ht="12.75" customHeight="1">
      <c r="A261" s="45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2"/>
      <c r="O261" s="13"/>
      <c r="P261" s="13"/>
      <c r="Q261" s="13"/>
      <c r="R261" s="13"/>
      <c r="S261" s="82"/>
      <c r="T261" s="13"/>
      <c r="U261" s="13"/>
      <c r="V261" s="13"/>
      <c r="W261" s="13"/>
      <c r="X261" s="82"/>
      <c r="Y261" s="13"/>
      <c r="Z261" s="13"/>
      <c r="AA261" s="13"/>
      <c r="AB261" s="13"/>
    </row>
    <row r="262" ht="12.75" customHeight="1">
      <c r="A262" s="45"/>
      <c r="B262" s="74" t="s">
        <v>191</v>
      </c>
      <c r="C262" s="75" t="s">
        <v>192</v>
      </c>
      <c r="D262" s="16"/>
      <c r="E262" s="19">
        <f t="shared" ref="E262:AA262" si="51">E55+E67+E79+E91+E103+E115+E127+E139+E151+E163+E175+E187+E199+E211+E223+E235+E247+E259</f>
        <v>127</v>
      </c>
      <c r="F262" s="19">
        <f t="shared" si="51"/>
        <v>158</v>
      </c>
      <c r="G262" s="19">
        <f t="shared" si="51"/>
        <v>166</v>
      </c>
      <c r="H262" s="19">
        <f t="shared" si="51"/>
        <v>171</v>
      </c>
      <c r="I262" s="19">
        <f t="shared" si="51"/>
        <v>187</v>
      </c>
      <c r="J262" s="19">
        <f t="shared" si="51"/>
        <v>160</v>
      </c>
      <c r="K262" s="19">
        <f t="shared" si="51"/>
        <v>188</v>
      </c>
      <c r="L262" s="19">
        <f t="shared" si="51"/>
        <v>185</v>
      </c>
      <c r="M262" s="19">
        <f t="shared" si="51"/>
        <v>183</v>
      </c>
      <c r="N262" s="19">
        <f t="shared" si="51"/>
        <v>155</v>
      </c>
      <c r="O262" s="19">
        <f t="shared" si="51"/>
        <v>143</v>
      </c>
      <c r="P262" s="19">
        <f t="shared" si="51"/>
        <v>144</v>
      </c>
      <c r="Q262" s="19">
        <f t="shared" si="51"/>
        <v>157</v>
      </c>
      <c r="R262" s="19">
        <f t="shared" si="51"/>
        <v>173</v>
      </c>
      <c r="S262" s="19">
        <f t="shared" si="51"/>
        <v>143</v>
      </c>
      <c r="T262" s="19">
        <f t="shared" si="51"/>
        <v>183</v>
      </c>
      <c r="U262" s="19">
        <f t="shared" si="51"/>
        <v>176</v>
      </c>
      <c r="V262" s="19">
        <f t="shared" si="51"/>
        <v>196</v>
      </c>
      <c r="W262" s="19">
        <f t="shared" si="51"/>
        <v>175</v>
      </c>
      <c r="X262" s="19">
        <f t="shared" si="51"/>
        <v>192</v>
      </c>
      <c r="Y262" s="19">
        <f t="shared" si="51"/>
        <v>194</v>
      </c>
      <c r="Z262" s="19">
        <f t="shared" si="51"/>
        <v>187</v>
      </c>
      <c r="AA262" s="19">
        <f t="shared" si="51"/>
        <v>193</v>
      </c>
      <c r="AB262" s="13">
        <f t="shared" ref="AB262:AB264" si="52">SUM(E262:AA262)</f>
        <v>3936</v>
      </c>
    </row>
    <row r="263" ht="12.75" customHeight="1">
      <c r="A263" s="36"/>
      <c r="B263" s="74" t="s">
        <v>193</v>
      </c>
      <c r="C263" s="75" t="s">
        <v>194</v>
      </c>
      <c r="D263" s="16"/>
      <c r="E263" s="79">
        <v>64.0</v>
      </c>
      <c r="F263" s="79">
        <v>36.0</v>
      </c>
      <c r="G263" s="79">
        <v>32.0</v>
      </c>
      <c r="H263" s="79">
        <v>43.0</v>
      </c>
      <c r="I263" s="79">
        <v>28.0</v>
      </c>
      <c r="J263" s="79">
        <v>39.0</v>
      </c>
      <c r="K263" s="79">
        <v>17.0</v>
      </c>
      <c r="L263" s="79">
        <v>31.0</v>
      </c>
      <c r="M263" s="79">
        <v>19.0</v>
      </c>
      <c r="N263" s="79">
        <v>74.0</v>
      </c>
      <c r="O263" s="79">
        <v>56.0</v>
      </c>
      <c r="P263" s="79">
        <v>18.0</v>
      </c>
      <c r="Q263" s="79">
        <v>28.0</v>
      </c>
      <c r="R263" s="79">
        <v>27.0</v>
      </c>
      <c r="S263" s="79">
        <v>6.0</v>
      </c>
      <c r="T263" s="79">
        <v>20.0</v>
      </c>
      <c r="U263" s="79">
        <v>35.0</v>
      </c>
      <c r="V263" s="79">
        <v>24.0</v>
      </c>
      <c r="W263" s="79">
        <v>49.0</v>
      </c>
      <c r="X263" s="79">
        <v>36.0</v>
      </c>
      <c r="Y263" s="79">
        <v>44.0</v>
      </c>
      <c r="Z263" s="79">
        <v>42.0</v>
      </c>
      <c r="AA263" s="79">
        <v>24.0</v>
      </c>
      <c r="AB263" s="13">
        <f t="shared" si="52"/>
        <v>792</v>
      </c>
    </row>
    <row r="264" ht="12.75" customHeight="1">
      <c r="A264" s="44"/>
      <c r="B264" s="74" t="s">
        <v>195</v>
      </c>
      <c r="C264" s="75" t="s">
        <v>196</v>
      </c>
      <c r="D264" s="16"/>
      <c r="E264" s="13">
        <f t="shared" ref="E264:AA264" si="53">SUM(E262:E263)</f>
        <v>191</v>
      </c>
      <c r="F264" s="13">
        <f t="shared" si="53"/>
        <v>194</v>
      </c>
      <c r="G264" s="13">
        <f t="shared" si="53"/>
        <v>198</v>
      </c>
      <c r="H264" s="13">
        <f t="shared" si="53"/>
        <v>214</v>
      </c>
      <c r="I264" s="13">
        <f t="shared" si="53"/>
        <v>215</v>
      </c>
      <c r="J264" s="13">
        <f t="shared" si="53"/>
        <v>199</v>
      </c>
      <c r="K264" s="13">
        <f t="shared" si="53"/>
        <v>205</v>
      </c>
      <c r="L264" s="13">
        <f t="shared" si="53"/>
        <v>216</v>
      </c>
      <c r="M264" s="13">
        <f t="shared" si="53"/>
        <v>202</v>
      </c>
      <c r="N264" s="13">
        <f t="shared" si="53"/>
        <v>229</v>
      </c>
      <c r="O264" s="13">
        <f t="shared" si="53"/>
        <v>199</v>
      </c>
      <c r="P264" s="13">
        <f t="shared" si="53"/>
        <v>162</v>
      </c>
      <c r="Q264" s="13">
        <f t="shared" si="53"/>
        <v>185</v>
      </c>
      <c r="R264" s="13">
        <f t="shared" si="53"/>
        <v>200</v>
      </c>
      <c r="S264" s="13">
        <f t="shared" si="53"/>
        <v>149</v>
      </c>
      <c r="T264" s="13">
        <f t="shared" si="53"/>
        <v>203</v>
      </c>
      <c r="U264" s="13">
        <f t="shared" si="53"/>
        <v>211</v>
      </c>
      <c r="V264" s="13">
        <f t="shared" si="53"/>
        <v>220</v>
      </c>
      <c r="W264" s="13">
        <f t="shared" si="53"/>
        <v>224</v>
      </c>
      <c r="X264" s="13">
        <f t="shared" si="53"/>
        <v>228</v>
      </c>
      <c r="Y264" s="13">
        <f t="shared" si="53"/>
        <v>238</v>
      </c>
      <c r="Z264" s="13">
        <f t="shared" si="53"/>
        <v>229</v>
      </c>
      <c r="AA264" s="13">
        <f t="shared" si="53"/>
        <v>217</v>
      </c>
      <c r="AB264" s="13">
        <f t="shared" si="52"/>
        <v>4728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A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5</v>
      </c>
      <c r="B12" s="14" t="s">
        <v>6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13" t="s">
        <v>210</v>
      </c>
      <c r="R13" s="13" t="s">
        <v>211</v>
      </c>
      <c r="S13" s="13" t="s">
        <v>212</v>
      </c>
      <c r="T13" s="13" t="s">
        <v>213</v>
      </c>
      <c r="U13" s="13" t="s">
        <v>214</v>
      </c>
      <c r="V13" s="13" t="s">
        <v>215</v>
      </c>
      <c r="W13" s="13" t="s">
        <v>216</v>
      </c>
      <c r="X13" s="37"/>
    </row>
    <row r="14" ht="12.75" customHeight="1">
      <c r="A14" s="18"/>
      <c r="B14" s="22" t="s">
        <v>10</v>
      </c>
      <c r="C14" s="23"/>
      <c r="D14" s="19" t="s">
        <v>11</v>
      </c>
      <c r="E14" s="79">
        <v>141.0</v>
      </c>
      <c r="F14" s="79">
        <v>142.0</v>
      </c>
      <c r="G14" s="79">
        <v>143.0</v>
      </c>
      <c r="H14" s="79">
        <v>153.0</v>
      </c>
      <c r="I14" s="79">
        <v>149.0</v>
      </c>
      <c r="J14" s="79">
        <v>150.0</v>
      </c>
      <c r="K14" s="79">
        <v>144.0</v>
      </c>
      <c r="L14" s="79">
        <v>146.0</v>
      </c>
      <c r="M14" s="79">
        <v>145.0</v>
      </c>
      <c r="N14" s="79">
        <v>141.0</v>
      </c>
      <c r="O14" s="79">
        <v>79.0</v>
      </c>
      <c r="P14" s="79">
        <v>83.0</v>
      </c>
      <c r="Q14" s="79">
        <v>82.0</v>
      </c>
      <c r="R14" s="79">
        <v>83.0</v>
      </c>
      <c r="S14" s="79">
        <v>141.0</v>
      </c>
      <c r="T14" s="79">
        <v>129.0</v>
      </c>
      <c r="U14" s="79">
        <v>154.0</v>
      </c>
      <c r="V14" s="79">
        <v>101.0</v>
      </c>
      <c r="W14" s="79">
        <v>141.0</v>
      </c>
      <c r="X14" s="13">
        <f t="shared" ref="X14:X16" si="1">SUM(E14:W14)</f>
        <v>2447</v>
      </c>
    </row>
    <row r="15" ht="12.75" customHeight="1">
      <c r="A15" s="18"/>
      <c r="B15" s="26"/>
      <c r="C15" s="27"/>
      <c r="D15" s="19" t="s">
        <v>12</v>
      </c>
      <c r="E15" s="79">
        <v>141.0</v>
      </c>
      <c r="F15" s="79">
        <v>154.0</v>
      </c>
      <c r="G15" s="79">
        <v>147.0</v>
      </c>
      <c r="H15" s="79">
        <v>140.0</v>
      </c>
      <c r="I15" s="79">
        <v>142.0</v>
      </c>
      <c r="J15" s="79">
        <v>145.0</v>
      </c>
      <c r="K15" s="79">
        <v>148.0</v>
      </c>
      <c r="L15" s="79">
        <v>150.0</v>
      </c>
      <c r="M15" s="79">
        <v>149.0</v>
      </c>
      <c r="N15" s="79">
        <v>127.0</v>
      </c>
      <c r="O15" s="79">
        <v>84.0</v>
      </c>
      <c r="P15" s="79">
        <v>90.0</v>
      </c>
      <c r="Q15" s="79">
        <v>87.0</v>
      </c>
      <c r="R15" s="79">
        <v>89.0</v>
      </c>
      <c r="S15" s="79">
        <v>151.0</v>
      </c>
      <c r="T15" s="79">
        <v>157.0</v>
      </c>
      <c r="U15" s="79">
        <v>145.0</v>
      </c>
      <c r="V15" s="79">
        <v>112.0</v>
      </c>
      <c r="W15" s="79">
        <v>155.0</v>
      </c>
      <c r="X15" s="13">
        <f t="shared" si="1"/>
        <v>2513</v>
      </c>
    </row>
    <row r="16" ht="12.75" customHeight="1">
      <c r="A16" s="25"/>
      <c r="B16" s="21"/>
      <c r="C16" s="28"/>
      <c r="D16" s="13" t="s">
        <v>13</v>
      </c>
      <c r="E16" s="13">
        <f t="shared" ref="E16:W16" si="2">SUM(E14:E15)</f>
        <v>282</v>
      </c>
      <c r="F16" s="13">
        <f t="shared" si="2"/>
        <v>296</v>
      </c>
      <c r="G16" s="13">
        <f t="shared" si="2"/>
        <v>290</v>
      </c>
      <c r="H16" s="13">
        <f t="shared" si="2"/>
        <v>293</v>
      </c>
      <c r="I16" s="13">
        <f t="shared" si="2"/>
        <v>291</v>
      </c>
      <c r="J16" s="13">
        <f t="shared" si="2"/>
        <v>295</v>
      </c>
      <c r="K16" s="13">
        <f t="shared" si="2"/>
        <v>292</v>
      </c>
      <c r="L16" s="13">
        <f t="shared" si="2"/>
        <v>296</v>
      </c>
      <c r="M16" s="13">
        <f t="shared" si="2"/>
        <v>294</v>
      </c>
      <c r="N16" s="13">
        <f t="shared" si="2"/>
        <v>268</v>
      </c>
      <c r="O16" s="13">
        <f t="shared" si="2"/>
        <v>163</v>
      </c>
      <c r="P16" s="13">
        <f t="shared" si="2"/>
        <v>173</v>
      </c>
      <c r="Q16" s="13">
        <f t="shared" si="2"/>
        <v>169</v>
      </c>
      <c r="R16" s="13">
        <f t="shared" si="2"/>
        <v>172</v>
      </c>
      <c r="S16" s="13">
        <f t="shared" si="2"/>
        <v>292</v>
      </c>
      <c r="T16" s="13">
        <f t="shared" si="2"/>
        <v>286</v>
      </c>
      <c r="U16" s="13">
        <f t="shared" si="2"/>
        <v>299</v>
      </c>
      <c r="V16" s="13">
        <f t="shared" si="2"/>
        <v>213</v>
      </c>
      <c r="W16" s="13">
        <f t="shared" si="2"/>
        <v>296</v>
      </c>
      <c r="X16" s="13">
        <f t="shared" si="1"/>
        <v>4960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  <c r="O17" s="19"/>
      <c r="P17" s="19"/>
      <c r="Q17" s="19"/>
      <c r="R17" s="19"/>
      <c r="S17" s="80"/>
      <c r="T17" s="19"/>
      <c r="U17" s="19"/>
      <c r="V17" s="19"/>
      <c r="W17" s="19"/>
      <c r="X17" s="81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0"/>
      <c r="O18" s="19"/>
      <c r="P18" s="19"/>
      <c r="Q18" s="19"/>
      <c r="R18" s="19"/>
      <c r="S18" s="80"/>
      <c r="T18" s="19"/>
      <c r="U18" s="19"/>
      <c r="V18" s="19"/>
      <c r="W18" s="19"/>
      <c r="X18" s="81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79">
        <v>104.0</v>
      </c>
      <c r="F19" s="79">
        <v>109.0</v>
      </c>
      <c r="G19" s="79">
        <v>106.0</v>
      </c>
      <c r="H19" s="79">
        <v>110.0</v>
      </c>
      <c r="I19" s="79">
        <v>113.0</v>
      </c>
      <c r="J19" s="79">
        <v>117.0</v>
      </c>
      <c r="K19" s="79">
        <v>95.0</v>
      </c>
      <c r="L19" s="79">
        <v>120.0</v>
      </c>
      <c r="M19" s="79">
        <v>117.0</v>
      </c>
      <c r="N19" s="79">
        <v>102.0</v>
      </c>
      <c r="O19" s="79">
        <v>63.0</v>
      </c>
      <c r="P19" s="79">
        <v>64.0</v>
      </c>
      <c r="Q19" s="79">
        <v>69.0</v>
      </c>
      <c r="R19" s="79">
        <v>70.0</v>
      </c>
      <c r="S19" s="79">
        <v>123.0</v>
      </c>
      <c r="T19" s="79">
        <v>98.0</v>
      </c>
      <c r="U19" s="79">
        <v>119.0</v>
      </c>
      <c r="V19" s="79">
        <v>78.0</v>
      </c>
      <c r="W19" s="79">
        <v>83.0</v>
      </c>
      <c r="X19" s="13">
        <f t="shared" ref="X19:X30" si="3">SUM(E19:W19)</f>
        <v>1860</v>
      </c>
    </row>
    <row r="20" ht="12.75" customHeight="1">
      <c r="A20" s="34"/>
      <c r="B20" s="27"/>
      <c r="C20" s="35"/>
      <c r="D20" s="19" t="s">
        <v>12</v>
      </c>
      <c r="E20" s="79">
        <v>115.0</v>
      </c>
      <c r="F20" s="79">
        <v>123.0</v>
      </c>
      <c r="G20" s="79">
        <v>123.0</v>
      </c>
      <c r="H20" s="79">
        <v>116.0</v>
      </c>
      <c r="I20" s="79">
        <v>120.0</v>
      </c>
      <c r="J20" s="79">
        <v>112.0</v>
      </c>
      <c r="K20" s="79">
        <v>110.0</v>
      </c>
      <c r="L20" s="79">
        <v>122.0</v>
      </c>
      <c r="M20" s="79">
        <v>116.0</v>
      </c>
      <c r="N20" s="79">
        <v>101.0</v>
      </c>
      <c r="O20" s="79">
        <v>72.0</v>
      </c>
      <c r="P20" s="79">
        <v>79.0</v>
      </c>
      <c r="Q20" s="79">
        <v>73.0</v>
      </c>
      <c r="R20" s="79">
        <v>80.0</v>
      </c>
      <c r="S20" s="79">
        <v>136.0</v>
      </c>
      <c r="T20" s="79">
        <v>128.0</v>
      </c>
      <c r="U20" s="79">
        <v>108.0</v>
      </c>
      <c r="V20" s="79">
        <v>89.0</v>
      </c>
      <c r="W20" s="79">
        <v>104.0</v>
      </c>
      <c r="X20" s="13">
        <f t="shared" si="3"/>
        <v>2027</v>
      </c>
    </row>
    <row r="21" ht="12.75" customHeight="1">
      <c r="A21" s="36"/>
      <c r="B21" s="28"/>
      <c r="C21" s="37"/>
      <c r="D21" s="13" t="s">
        <v>13</v>
      </c>
      <c r="E21" s="13">
        <f t="shared" ref="E21:W21" si="4">SUM(E19:E20)</f>
        <v>219</v>
      </c>
      <c r="F21" s="13">
        <f t="shared" si="4"/>
        <v>232</v>
      </c>
      <c r="G21" s="13">
        <f t="shared" si="4"/>
        <v>229</v>
      </c>
      <c r="H21" s="13">
        <f t="shared" si="4"/>
        <v>226</v>
      </c>
      <c r="I21" s="13">
        <f t="shared" si="4"/>
        <v>233</v>
      </c>
      <c r="J21" s="13">
        <f t="shared" si="4"/>
        <v>229</v>
      </c>
      <c r="K21" s="13">
        <f t="shared" si="4"/>
        <v>205</v>
      </c>
      <c r="L21" s="13">
        <f t="shared" si="4"/>
        <v>242</v>
      </c>
      <c r="M21" s="13">
        <f t="shared" si="4"/>
        <v>233</v>
      </c>
      <c r="N21" s="13">
        <f t="shared" si="4"/>
        <v>203</v>
      </c>
      <c r="O21" s="13">
        <f t="shared" si="4"/>
        <v>135</v>
      </c>
      <c r="P21" s="13">
        <f t="shared" si="4"/>
        <v>143</v>
      </c>
      <c r="Q21" s="13">
        <f t="shared" si="4"/>
        <v>142</v>
      </c>
      <c r="R21" s="13">
        <f t="shared" si="4"/>
        <v>150</v>
      </c>
      <c r="S21" s="13">
        <f t="shared" si="4"/>
        <v>259</v>
      </c>
      <c r="T21" s="13">
        <f t="shared" si="4"/>
        <v>226</v>
      </c>
      <c r="U21" s="13">
        <f t="shared" si="4"/>
        <v>227</v>
      </c>
      <c r="V21" s="13">
        <f t="shared" si="4"/>
        <v>167</v>
      </c>
      <c r="W21" s="13">
        <f t="shared" si="4"/>
        <v>187</v>
      </c>
      <c r="X21" s="13">
        <f t="shared" si="3"/>
        <v>3887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79">
        <v>0.0</v>
      </c>
      <c r="P22" s="79">
        <v>0.0</v>
      </c>
      <c r="Q22" s="79">
        <v>0.0</v>
      </c>
      <c r="R22" s="79">
        <v>0.0</v>
      </c>
      <c r="S22" s="79">
        <v>0.0</v>
      </c>
      <c r="T22" s="79">
        <v>0.0</v>
      </c>
      <c r="U22" s="79">
        <v>1.0</v>
      </c>
      <c r="V22" s="79">
        <v>0.0</v>
      </c>
      <c r="W22" s="79">
        <v>0.0</v>
      </c>
      <c r="X22" s="13">
        <f t="shared" si="3"/>
        <v>1</v>
      </c>
    </row>
    <row r="23" ht="12.75" customHeight="1">
      <c r="A23" s="34"/>
      <c r="B23" s="27"/>
      <c r="C23" s="35"/>
      <c r="D23" s="19" t="s">
        <v>12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79">
        <v>0.0</v>
      </c>
      <c r="R23" s="79">
        <v>0.0</v>
      </c>
      <c r="S23" s="79">
        <v>0.0</v>
      </c>
      <c r="T23" s="79">
        <v>0.0</v>
      </c>
      <c r="U23" s="79">
        <v>1.0</v>
      </c>
      <c r="V23" s="79">
        <v>0.0</v>
      </c>
      <c r="W23" s="79">
        <v>0.0</v>
      </c>
      <c r="X23" s="13">
        <f t="shared" si="3"/>
        <v>1</v>
      </c>
    </row>
    <row r="24" ht="12.75" customHeight="1">
      <c r="A24" s="36"/>
      <c r="B24" s="28"/>
      <c r="C24" s="37"/>
      <c r="D24" s="13" t="s">
        <v>13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3"/>
        <v>2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79">
        <v>2.0</v>
      </c>
      <c r="F25" s="79">
        <v>0.0</v>
      </c>
      <c r="G25" s="79">
        <v>0.0</v>
      </c>
      <c r="H25" s="79">
        <v>3.0</v>
      </c>
      <c r="I25" s="79">
        <v>1.0</v>
      </c>
      <c r="J25" s="79">
        <v>0.0</v>
      </c>
      <c r="K25" s="79">
        <v>0.0</v>
      </c>
      <c r="L25" s="79">
        <v>0.0</v>
      </c>
      <c r="M25" s="79">
        <v>0.0</v>
      </c>
      <c r="N25" s="79">
        <v>0.0</v>
      </c>
      <c r="O25" s="79">
        <v>1.0</v>
      </c>
      <c r="P25" s="79">
        <v>0.0</v>
      </c>
      <c r="Q25" s="79">
        <v>0.0</v>
      </c>
      <c r="R25" s="79">
        <v>0.0</v>
      </c>
      <c r="S25" s="79">
        <v>2.0</v>
      </c>
      <c r="T25" s="79">
        <v>0.0</v>
      </c>
      <c r="U25" s="79">
        <v>2.0</v>
      </c>
      <c r="V25" s="79">
        <v>0.0</v>
      </c>
      <c r="W25" s="79">
        <v>0.0</v>
      </c>
      <c r="X25" s="13">
        <f t="shared" si="3"/>
        <v>11</v>
      </c>
    </row>
    <row r="26" ht="12.75" customHeight="1">
      <c r="A26" s="34"/>
      <c r="B26" s="27"/>
      <c r="C26" s="35"/>
      <c r="D26" s="19" t="s">
        <v>12</v>
      </c>
      <c r="E26" s="79">
        <v>3.0</v>
      </c>
      <c r="F26" s="79">
        <v>0.0</v>
      </c>
      <c r="G26" s="79">
        <v>0.0</v>
      </c>
      <c r="H26" s="79">
        <v>1.0</v>
      </c>
      <c r="I26" s="79">
        <v>0.0</v>
      </c>
      <c r="J26" s="79">
        <v>0.0</v>
      </c>
      <c r="K26" s="79">
        <v>0.0</v>
      </c>
      <c r="L26" s="79">
        <v>0.0</v>
      </c>
      <c r="M26" s="79">
        <v>0.0</v>
      </c>
      <c r="N26" s="79">
        <v>0.0</v>
      </c>
      <c r="O26" s="79">
        <v>0.0</v>
      </c>
      <c r="P26" s="79">
        <v>0.0</v>
      </c>
      <c r="Q26" s="79">
        <v>1.0</v>
      </c>
      <c r="R26" s="79">
        <v>0.0</v>
      </c>
      <c r="S26" s="79">
        <v>5.0</v>
      </c>
      <c r="T26" s="79">
        <v>0.0</v>
      </c>
      <c r="U26" s="79">
        <v>0.0</v>
      </c>
      <c r="V26" s="79">
        <v>0.0</v>
      </c>
      <c r="W26" s="79">
        <v>0.0</v>
      </c>
      <c r="X26" s="13">
        <f t="shared" si="3"/>
        <v>10</v>
      </c>
    </row>
    <row r="27" ht="12.75" customHeight="1">
      <c r="A27" s="36"/>
      <c r="B27" s="28"/>
      <c r="C27" s="37"/>
      <c r="D27" s="13" t="s">
        <v>13</v>
      </c>
      <c r="E27" s="13">
        <f t="shared" ref="E27:W27" si="6">SUM(E25:E26)</f>
        <v>5</v>
      </c>
      <c r="F27" s="13">
        <f t="shared" si="6"/>
        <v>0</v>
      </c>
      <c r="G27" s="13">
        <f t="shared" si="6"/>
        <v>0</v>
      </c>
      <c r="H27" s="13">
        <f t="shared" si="6"/>
        <v>4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0</v>
      </c>
      <c r="S27" s="13">
        <f t="shared" si="6"/>
        <v>7</v>
      </c>
      <c r="T27" s="13">
        <f t="shared" si="6"/>
        <v>0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3"/>
        <v>21</v>
      </c>
    </row>
    <row r="28" ht="12.75" customHeight="1">
      <c r="A28" s="36"/>
      <c r="B28" s="40" t="s">
        <v>22</v>
      </c>
      <c r="C28" s="41" t="s">
        <v>23</v>
      </c>
      <c r="D28" s="13" t="s">
        <v>11</v>
      </c>
      <c r="E28" s="13">
        <f t="shared" ref="E28:W28" si="7">SUM(E19,E22,E25)</f>
        <v>106</v>
      </c>
      <c r="F28" s="13">
        <f t="shared" si="7"/>
        <v>109</v>
      </c>
      <c r="G28" s="13">
        <f t="shared" si="7"/>
        <v>106</v>
      </c>
      <c r="H28" s="13">
        <f t="shared" si="7"/>
        <v>113</v>
      </c>
      <c r="I28" s="13">
        <f t="shared" si="7"/>
        <v>114</v>
      </c>
      <c r="J28" s="13">
        <f t="shared" si="7"/>
        <v>117</v>
      </c>
      <c r="K28" s="13">
        <f t="shared" si="7"/>
        <v>95</v>
      </c>
      <c r="L28" s="13">
        <f t="shared" si="7"/>
        <v>120</v>
      </c>
      <c r="M28" s="13">
        <f t="shared" si="7"/>
        <v>117</v>
      </c>
      <c r="N28" s="13">
        <f t="shared" si="7"/>
        <v>102</v>
      </c>
      <c r="O28" s="13">
        <f t="shared" si="7"/>
        <v>64</v>
      </c>
      <c r="P28" s="13">
        <f t="shared" si="7"/>
        <v>64</v>
      </c>
      <c r="Q28" s="13">
        <f t="shared" si="7"/>
        <v>69</v>
      </c>
      <c r="R28" s="13">
        <f t="shared" si="7"/>
        <v>70</v>
      </c>
      <c r="S28" s="13">
        <f t="shared" si="7"/>
        <v>125</v>
      </c>
      <c r="T28" s="13">
        <f t="shared" si="7"/>
        <v>98</v>
      </c>
      <c r="U28" s="13">
        <f t="shared" si="7"/>
        <v>122</v>
      </c>
      <c r="V28" s="13">
        <f t="shared" si="7"/>
        <v>78</v>
      </c>
      <c r="W28" s="13">
        <f t="shared" si="7"/>
        <v>83</v>
      </c>
      <c r="X28" s="13">
        <f t="shared" si="3"/>
        <v>1872</v>
      </c>
    </row>
    <row r="29" ht="12.75" customHeight="1">
      <c r="A29" s="36"/>
      <c r="B29" s="27"/>
      <c r="C29" s="35"/>
      <c r="D29" s="13" t="s">
        <v>12</v>
      </c>
      <c r="E29" s="13">
        <f t="shared" ref="E29:W29" si="8">SUM(E20,E23,E26)</f>
        <v>118</v>
      </c>
      <c r="F29" s="13">
        <f t="shared" si="8"/>
        <v>123</v>
      </c>
      <c r="G29" s="13">
        <f t="shared" si="8"/>
        <v>123</v>
      </c>
      <c r="H29" s="13">
        <f t="shared" si="8"/>
        <v>117</v>
      </c>
      <c r="I29" s="13">
        <f t="shared" si="8"/>
        <v>120</v>
      </c>
      <c r="J29" s="13">
        <f t="shared" si="8"/>
        <v>112</v>
      </c>
      <c r="K29" s="13">
        <f t="shared" si="8"/>
        <v>110</v>
      </c>
      <c r="L29" s="13">
        <f t="shared" si="8"/>
        <v>122</v>
      </c>
      <c r="M29" s="13">
        <f t="shared" si="8"/>
        <v>116</v>
      </c>
      <c r="N29" s="13">
        <f t="shared" si="8"/>
        <v>101</v>
      </c>
      <c r="O29" s="13">
        <f t="shared" si="8"/>
        <v>72</v>
      </c>
      <c r="P29" s="13">
        <f t="shared" si="8"/>
        <v>79</v>
      </c>
      <c r="Q29" s="13">
        <f t="shared" si="8"/>
        <v>74</v>
      </c>
      <c r="R29" s="13">
        <f t="shared" si="8"/>
        <v>80</v>
      </c>
      <c r="S29" s="13">
        <f t="shared" si="8"/>
        <v>141</v>
      </c>
      <c r="T29" s="13">
        <f t="shared" si="8"/>
        <v>128</v>
      </c>
      <c r="U29" s="13">
        <f t="shared" si="8"/>
        <v>109</v>
      </c>
      <c r="V29" s="13">
        <f t="shared" si="8"/>
        <v>89</v>
      </c>
      <c r="W29" s="13">
        <f t="shared" si="8"/>
        <v>104</v>
      </c>
      <c r="X29" s="13">
        <f t="shared" si="3"/>
        <v>2038</v>
      </c>
    </row>
    <row r="30" ht="12.75" customHeight="1">
      <c r="A30" s="36"/>
      <c r="B30" s="28"/>
      <c r="C30" s="37"/>
      <c r="D30" s="13" t="s">
        <v>13</v>
      </c>
      <c r="E30" s="13">
        <f t="shared" ref="E30:W30" si="9">SUM(E28:E29)</f>
        <v>224</v>
      </c>
      <c r="F30" s="13">
        <f t="shared" si="9"/>
        <v>232</v>
      </c>
      <c r="G30" s="13">
        <f t="shared" si="9"/>
        <v>229</v>
      </c>
      <c r="H30" s="13">
        <f t="shared" si="9"/>
        <v>230</v>
      </c>
      <c r="I30" s="13">
        <f t="shared" si="9"/>
        <v>234</v>
      </c>
      <c r="J30" s="13">
        <f t="shared" si="9"/>
        <v>229</v>
      </c>
      <c r="K30" s="13">
        <f t="shared" si="9"/>
        <v>205</v>
      </c>
      <c r="L30" s="13">
        <f t="shared" si="9"/>
        <v>242</v>
      </c>
      <c r="M30" s="13">
        <f t="shared" si="9"/>
        <v>233</v>
      </c>
      <c r="N30" s="13">
        <f t="shared" si="9"/>
        <v>203</v>
      </c>
      <c r="O30" s="13">
        <f t="shared" si="9"/>
        <v>136</v>
      </c>
      <c r="P30" s="13">
        <f t="shared" si="9"/>
        <v>143</v>
      </c>
      <c r="Q30" s="13">
        <f t="shared" si="9"/>
        <v>143</v>
      </c>
      <c r="R30" s="13">
        <f t="shared" si="9"/>
        <v>150</v>
      </c>
      <c r="S30" s="13">
        <f t="shared" si="9"/>
        <v>266</v>
      </c>
      <c r="T30" s="13">
        <f t="shared" si="9"/>
        <v>226</v>
      </c>
      <c r="U30" s="13">
        <f t="shared" si="9"/>
        <v>231</v>
      </c>
      <c r="V30" s="13">
        <f t="shared" si="9"/>
        <v>167</v>
      </c>
      <c r="W30" s="13">
        <f t="shared" si="9"/>
        <v>187</v>
      </c>
      <c r="X30" s="13">
        <f t="shared" si="3"/>
        <v>3910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  <c r="O31" s="19"/>
      <c r="P31" s="19"/>
      <c r="Q31" s="19"/>
      <c r="R31" s="19"/>
      <c r="S31" s="80"/>
      <c r="T31" s="19"/>
      <c r="U31" s="19"/>
      <c r="V31" s="19"/>
      <c r="W31" s="19"/>
      <c r="X31" s="81"/>
    </row>
    <row r="32" ht="12.75" customHeight="1">
      <c r="A32" s="44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2"/>
      <c r="O32" s="13"/>
      <c r="P32" s="13"/>
      <c r="Q32" s="13"/>
      <c r="R32" s="13"/>
      <c r="S32" s="82"/>
      <c r="T32" s="13"/>
      <c r="U32" s="13"/>
      <c r="V32" s="13"/>
      <c r="W32" s="13"/>
      <c r="X32" s="81"/>
    </row>
    <row r="33" ht="12.75" customHeight="1">
      <c r="A33" s="19">
        <v>1.0</v>
      </c>
      <c r="B33" s="20" t="s">
        <v>26</v>
      </c>
      <c r="C33" s="15"/>
      <c r="D33" s="16"/>
      <c r="E33" s="79">
        <v>285.0</v>
      </c>
      <c r="F33" s="79">
        <v>299.0</v>
      </c>
      <c r="G33" s="79">
        <v>293.0</v>
      </c>
      <c r="H33" s="79">
        <v>296.0</v>
      </c>
      <c r="I33" s="79">
        <v>293.0</v>
      </c>
      <c r="J33" s="79">
        <v>298.0</v>
      </c>
      <c r="K33" s="79">
        <v>286.0</v>
      </c>
      <c r="L33" s="79">
        <v>298.0</v>
      </c>
      <c r="M33" s="79">
        <v>297.0</v>
      </c>
      <c r="N33" s="79">
        <v>272.0</v>
      </c>
      <c r="O33" s="79">
        <v>164.0</v>
      </c>
      <c r="P33" s="79">
        <v>174.0</v>
      </c>
      <c r="Q33" s="79">
        <v>170.0</v>
      </c>
      <c r="R33" s="79">
        <v>173.0</v>
      </c>
      <c r="S33" s="79">
        <v>298.0</v>
      </c>
      <c r="T33" s="79">
        <v>288.0</v>
      </c>
      <c r="U33" s="79">
        <v>305.0</v>
      </c>
      <c r="V33" s="79">
        <v>215.0</v>
      </c>
      <c r="W33" s="79">
        <v>304.0</v>
      </c>
      <c r="X33" s="13">
        <f t="shared" ref="X33:X36" si="10">SUM(E33:W33)</f>
        <v>5008</v>
      </c>
    </row>
    <row r="34" ht="12.75" customHeight="1">
      <c r="A34" s="19">
        <v>2.0</v>
      </c>
      <c r="B34" s="20" t="s">
        <v>27</v>
      </c>
      <c r="C34" s="15"/>
      <c r="D34" s="16"/>
      <c r="E34" s="73">
        <v>224.0</v>
      </c>
      <c r="F34" s="73">
        <v>232.0</v>
      </c>
      <c r="G34" s="73">
        <v>229.0</v>
      </c>
      <c r="H34" s="73">
        <v>230.0</v>
      </c>
      <c r="I34" s="73">
        <v>234.0</v>
      </c>
      <c r="J34" s="73">
        <v>229.0</v>
      </c>
      <c r="K34" s="73">
        <v>205.0</v>
      </c>
      <c r="L34" s="73">
        <v>242.0</v>
      </c>
      <c r="M34" s="73">
        <v>233.0</v>
      </c>
      <c r="N34" s="73">
        <v>203.0</v>
      </c>
      <c r="O34" s="73">
        <v>136.0</v>
      </c>
      <c r="P34" s="73">
        <v>143.0</v>
      </c>
      <c r="Q34" s="73">
        <v>143.0</v>
      </c>
      <c r="R34" s="73">
        <v>150.0</v>
      </c>
      <c r="S34" s="73">
        <v>266.0</v>
      </c>
      <c r="T34" s="73">
        <v>226.0</v>
      </c>
      <c r="U34" s="73">
        <v>231.0</v>
      </c>
      <c r="V34" s="73">
        <v>167.0</v>
      </c>
      <c r="W34" s="73">
        <v>187.0</v>
      </c>
      <c r="X34" s="13">
        <f t="shared" si="10"/>
        <v>3910</v>
      </c>
    </row>
    <row r="35" ht="12.75" customHeight="1">
      <c r="A35" s="19">
        <v>3.0</v>
      </c>
      <c r="B35" s="20" t="s">
        <v>28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3.0</v>
      </c>
      <c r="J35" s="79">
        <v>0.0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2.0</v>
      </c>
      <c r="Q35" s="79">
        <v>0.0</v>
      </c>
      <c r="R35" s="79">
        <v>2.0</v>
      </c>
      <c r="S35" s="79">
        <v>0.0</v>
      </c>
      <c r="T35" s="79">
        <v>0.0</v>
      </c>
      <c r="U35" s="79">
        <v>0.0</v>
      </c>
      <c r="V35" s="79">
        <v>0.0</v>
      </c>
      <c r="W35" s="79">
        <v>15.0</v>
      </c>
      <c r="X35" s="13">
        <f t="shared" si="10"/>
        <v>22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W36" si="11">E33-(E34+E35)</f>
        <v>61</v>
      </c>
      <c r="F36" s="13">
        <f t="shared" si="11"/>
        <v>67</v>
      </c>
      <c r="G36" s="13">
        <f t="shared" si="11"/>
        <v>64</v>
      </c>
      <c r="H36" s="13">
        <f t="shared" si="11"/>
        <v>66</v>
      </c>
      <c r="I36" s="13">
        <f t="shared" si="11"/>
        <v>56</v>
      </c>
      <c r="J36" s="13">
        <f t="shared" si="11"/>
        <v>69</v>
      </c>
      <c r="K36" s="13">
        <f t="shared" si="11"/>
        <v>81</v>
      </c>
      <c r="L36" s="13">
        <f t="shared" si="11"/>
        <v>56</v>
      </c>
      <c r="M36" s="13">
        <f t="shared" si="11"/>
        <v>64</v>
      </c>
      <c r="N36" s="13">
        <f t="shared" si="11"/>
        <v>69</v>
      </c>
      <c r="O36" s="13">
        <f t="shared" si="11"/>
        <v>28</v>
      </c>
      <c r="P36" s="13">
        <f t="shared" si="11"/>
        <v>29</v>
      </c>
      <c r="Q36" s="13">
        <f t="shared" si="11"/>
        <v>27</v>
      </c>
      <c r="R36" s="13">
        <f t="shared" si="11"/>
        <v>21</v>
      </c>
      <c r="S36" s="13">
        <f t="shared" si="11"/>
        <v>32</v>
      </c>
      <c r="T36" s="13">
        <f t="shared" si="11"/>
        <v>62</v>
      </c>
      <c r="U36" s="13">
        <f t="shared" si="11"/>
        <v>74</v>
      </c>
      <c r="V36" s="13">
        <f t="shared" si="11"/>
        <v>48</v>
      </c>
      <c r="W36" s="13">
        <f t="shared" si="11"/>
        <v>102</v>
      </c>
      <c r="X36" s="13">
        <f t="shared" si="10"/>
        <v>1076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  <c r="O37" s="19"/>
      <c r="P37" s="19"/>
      <c r="Q37" s="19"/>
      <c r="R37" s="19"/>
      <c r="S37" s="80"/>
      <c r="T37" s="19"/>
      <c r="U37" s="19"/>
      <c r="V37" s="19"/>
      <c r="W37" s="19"/>
      <c r="X37" s="81"/>
    </row>
    <row r="38" ht="12.75" customHeight="1">
      <c r="A38" s="45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2"/>
      <c r="O38" s="13"/>
      <c r="P38" s="13"/>
      <c r="Q38" s="13"/>
      <c r="R38" s="13"/>
      <c r="S38" s="82"/>
      <c r="T38" s="13"/>
      <c r="U38" s="13"/>
      <c r="V38" s="13"/>
      <c r="W38" s="13"/>
      <c r="X38" s="81"/>
    </row>
    <row r="39" ht="12.75" customHeight="1">
      <c r="A39" s="31"/>
      <c r="B39" s="46" t="s">
        <v>32</v>
      </c>
      <c r="C39" s="23"/>
      <c r="D39" s="19" t="s">
        <v>11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79">
        <v>0.0</v>
      </c>
      <c r="P39" s="79">
        <v>0.0</v>
      </c>
      <c r="Q39" s="79">
        <v>0.0</v>
      </c>
      <c r="R39" s="79">
        <v>0.0</v>
      </c>
      <c r="S39" s="79">
        <v>0.0</v>
      </c>
      <c r="T39" s="79">
        <v>0.0</v>
      </c>
      <c r="U39" s="79">
        <v>2.0</v>
      </c>
      <c r="V39" s="79">
        <v>0.0</v>
      </c>
      <c r="W39" s="79">
        <v>0.0</v>
      </c>
      <c r="X39" s="13">
        <f t="shared" ref="X39:X41" si="12">SUM(E39:W39)</f>
        <v>2</v>
      </c>
    </row>
    <row r="40" ht="12.75" customHeight="1">
      <c r="A40" s="34"/>
      <c r="C40" s="27"/>
      <c r="D40" s="19" t="s">
        <v>12</v>
      </c>
      <c r="E40" s="79">
        <v>0.0</v>
      </c>
      <c r="F40" s="79">
        <v>0.0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79">
        <v>0.0</v>
      </c>
      <c r="R40" s="79">
        <v>0.0</v>
      </c>
      <c r="S40" s="79">
        <v>0.0</v>
      </c>
      <c r="T40" s="79">
        <v>0.0</v>
      </c>
      <c r="U40" s="79">
        <v>0.0</v>
      </c>
      <c r="V40" s="79">
        <v>0.0</v>
      </c>
      <c r="W40" s="79">
        <v>0.0</v>
      </c>
      <c r="X40" s="13">
        <f t="shared" si="12"/>
        <v>0</v>
      </c>
    </row>
    <row r="41" ht="12.75" customHeight="1">
      <c r="A41" s="44"/>
      <c r="B41" s="47"/>
      <c r="C41" s="28"/>
      <c r="D41" s="13" t="s">
        <v>13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2"/>
        <v>2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0"/>
      <c r="O42" s="19"/>
      <c r="P42" s="19"/>
      <c r="Q42" s="19"/>
      <c r="R42" s="19"/>
      <c r="S42" s="80"/>
      <c r="T42" s="19"/>
      <c r="U42" s="19"/>
      <c r="V42" s="19"/>
      <c r="W42" s="19"/>
      <c r="X42" s="13"/>
    </row>
    <row r="43" ht="12.75" customHeight="1">
      <c r="A43" s="45" t="s">
        <v>33</v>
      </c>
      <c r="B43" s="14" t="s">
        <v>34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82"/>
      <c r="O43" s="13"/>
      <c r="P43" s="13"/>
      <c r="Q43" s="13"/>
      <c r="R43" s="13"/>
      <c r="S43" s="82"/>
      <c r="T43" s="13"/>
      <c r="U43" s="13"/>
      <c r="V43" s="13"/>
      <c r="W43" s="13"/>
      <c r="X43" s="13"/>
    </row>
    <row r="44" ht="12.75" customHeight="1">
      <c r="A44" s="46" t="s">
        <v>35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0"/>
      <c r="O44" s="19"/>
      <c r="P44" s="19"/>
      <c r="Q44" s="19"/>
      <c r="R44" s="19"/>
      <c r="S44" s="80"/>
      <c r="T44" s="19"/>
      <c r="U44" s="19"/>
      <c r="V44" s="19"/>
      <c r="W44" s="19"/>
      <c r="X44" s="13"/>
    </row>
    <row r="45" ht="12.75" customHeight="1">
      <c r="A45" s="31" t="s">
        <v>36</v>
      </c>
      <c r="B45" s="50" t="s">
        <v>16</v>
      </c>
      <c r="C45" s="51" t="s">
        <v>37</v>
      </c>
      <c r="D45" s="16"/>
      <c r="E45" s="79">
        <v>17.0</v>
      </c>
      <c r="F45" s="79">
        <v>4.0</v>
      </c>
      <c r="G45" s="79">
        <v>2.0</v>
      </c>
      <c r="H45" s="79">
        <v>9.0</v>
      </c>
      <c r="I45" s="79">
        <v>12.0</v>
      </c>
      <c r="J45" s="79">
        <v>12.0</v>
      </c>
      <c r="K45" s="79">
        <v>6.0</v>
      </c>
      <c r="L45" s="79">
        <v>12.0</v>
      </c>
      <c r="M45" s="79">
        <v>21.0</v>
      </c>
      <c r="N45" s="79">
        <v>17.0</v>
      </c>
      <c r="O45" s="79">
        <v>6.0</v>
      </c>
      <c r="P45" s="79">
        <v>5.0</v>
      </c>
      <c r="Q45" s="79">
        <v>4.0</v>
      </c>
      <c r="R45" s="79">
        <v>3.0</v>
      </c>
      <c r="S45" s="79">
        <v>14.0</v>
      </c>
      <c r="T45" s="79">
        <v>15.0</v>
      </c>
      <c r="U45" s="79">
        <v>10.0</v>
      </c>
      <c r="V45" s="79">
        <v>7.0</v>
      </c>
      <c r="W45" s="79">
        <v>8.0</v>
      </c>
      <c r="X45" s="13">
        <f t="shared" ref="X45:X55" si="14">SUM(E45:W45)</f>
        <v>184</v>
      </c>
    </row>
    <row r="46" ht="12.75" customHeight="1">
      <c r="A46" s="31" t="s">
        <v>38</v>
      </c>
      <c r="B46" s="52"/>
      <c r="C46" s="53" t="s">
        <v>39</v>
      </c>
      <c r="D46" s="53"/>
      <c r="E46" s="79">
        <v>41.0</v>
      </c>
      <c r="F46" s="79">
        <v>18.0</v>
      </c>
      <c r="G46" s="79">
        <v>13.0</v>
      </c>
      <c r="H46" s="79">
        <v>23.0</v>
      </c>
      <c r="I46" s="79">
        <v>44.0</v>
      </c>
      <c r="J46" s="79">
        <v>19.0</v>
      </c>
      <c r="K46" s="79">
        <v>14.0</v>
      </c>
      <c r="L46" s="79">
        <v>35.0</v>
      </c>
      <c r="M46" s="79">
        <v>40.0</v>
      </c>
      <c r="N46" s="79">
        <v>26.0</v>
      </c>
      <c r="O46" s="79">
        <v>25.0</v>
      </c>
      <c r="P46" s="79">
        <v>4.0</v>
      </c>
      <c r="Q46" s="79">
        <v>11.0</v>
      </c>
      <c r="R46" s="79">
        <v>4.0</v>
      </c>
      <c r="S46" s="79">
        <v>21.0</v>
      </c>
      <c r="T46" s="79">
        <v>30.0</v>
      </c>
      <c r="U46" s="79">
        <v>12.0</v>
      </c>
      <c r="V46" s="79">
        <v>7.0</v>
      </c>
      <c r="W46" s="79">
        <v>13.0</v>
      </c>
      <c r="X46" s="13">
        <f t="shared" si="14"/>
        <v>400</v>
      </c>
    </row>
    <row r="47" ht="12.75" customHeight="1">
      <c r="A47" s="18"/>
      <c r="B47" s="58"/>
      <c r="C47" s="53" t="s">
        <v>40</v>
      </c>
      <c r="D47" s="53"/>
      <c r="E47" s="79">
        <v>6.0</v>
      </c>
      <c r="F47" s="79">
        <v>4.0</v>
      </c>
      <c r="G47" s="79">
        <v>8.0</v>
      </c>
      <c r="H47" s="79">
        <v>16.0</v>
      </c>
      <c r="I47" s="79">
        <v>13.0</v>
      </c>
      <c r="J47" s="79">
        <v>1.0</v>
      </c>
      <c r="K47" s="79">
        <v>31.0</v>
      </c>
      <c r="L47" s="79">
        <v>41.0</v>
      </c>
      <c r="M47" s="79">
        <v>23.0</v>
      </c>
      <c r="N47" s="79">
        <v>3.0</v>
      </c>
      <c r="O47" s="79">
        <v>3.0</v>
      </c>
      <c r="P47" s="79">
        <v>10.0</v>
      </c>
      <c r="Q47" s="79">
        <v>2.0</v>
      </c>
      <c r="R47" s="79">
        <v>30.0</v>
      </c>
      <c r="S47" s="79">
        <v>6.0</v>
      </c>
      <c r="T47" s="79">
        <v>7.0</v>
      </c>
      <c r="U47" s="79">
        <v>1.0</v>
      </c>
      <c r="V47" s="79">
        <v>14.0</v>
      </c>
      <c r="W47" s="79">
        <v>31.0</v>
      </c>
      <c r="X47" s="13">
        <f t="shared" si="14"/>
        <v>250</v>
      </c>
    </row>
    <row r="48" ht="12.75" customHeight="1">
      <c r="A48" s="18"/>
      <c r="B48" s="58"/>
      <c r="C48" s="53" t="s">
        <v>41</v>
      </c>
      <c r="D48" s="53"/>
      <c r="E48" s="79">
        <v>2.0</v>
      </c>
      <c r="F48" s="79">
        <v>3.0</v>
      </c>
      <c r="G48" s="79">
        <v>1.0</v>
      </c>
      <c r="H48" s="79">
        <v>0.0</v>
      </c>
      <c r="I48" s="79">
        <v>0.0</v>
      </c>
      <c r="J48" s="79">
        <v>2.0</v>
      </c>
      <c r="K48" s="79">
        <v>1.0</v>
      </c>
      <c r="L48" s="79">
        <v>1.0</v>
      </c>
      <c r="M48" s="79">
        <v>1.0</v>
      </c>
      <c r="N48" s="79">
        <v>1.0</v>
      </c>
      <c r="O48" s="79">
        <v>0.0</v>
      </c>
      <c r="P48" s="79">
        <v>0.0</v>
      </c>
      <c r="Q48" s="79">
        <v>0.0</v>
      </c>
      <c r="R48" s="79">
        <v>0.0</v>
      </c>
      <c r="S48" s="79">
        <v>1.0</v>
      </c>
      <c r="T48" s="79">
        <v>0.0</v>
      </c>
      <c r="U48" s="79">
        <v>0.0</v>
      </c>
      <c r="V48" s="79">
        <v>0.0</v>
      </c>
      <c r="W48" s="79">
        <v>0.0</v>
      </c>
      <c r="X48" s="13">
        <f t="shared" si="14"/>
        <v>13</v>
      </c>
    </row>
    <row r="49" ht="12.75" customHeight="1">
      <c r="A49" s="18"/>
      <c r="B49" s="58"/>
      <c r="C49" s="53" t="s">
        <v>42</v>
      </c>
      <c r="D49" s="53"/>
      <c r="E49" s="79">
        <v>1.0</v>
      </c>
      <c r="F49" s="79">
        <v>2.0</v>
      </c>
      <c r="G49" s="79">
        <v>1.0</v>
      </c>
      <c r="H49" s="79">
        <v>3.0</v>
      </c>
      <c r="I49" s="79">
        <v>1.0</v>
      </c>
      <c r="J49" s="79">
        <v>2.0</v>
      </c>
      <c r="K49" s="79">
        <v>1.0</v>
      </c>
      <c r="L49" s="79">
        <v>1.0</v>
      </c>
      <c r="M49" s="79">
        <v>10.0</v>
      </c>
      <c r="N49" s="79">
        <v>1.0</v>
      </c>
      <c r="O49" s="79">
        <v>2.0</v>
      </c>
      <c r="P49" s="79">
        <v>2.0</v>
      </c>
      <c r="Q49" s="79">
        <v>0.0</v>
      </c>
      <c r="R49" s="79">
        <v>1.0</v>
      </c>
      <c r="S49" s="79">
        <v>2.0</v>
      </c>
      <c r="T49" s="79">
        <v>4.0</v>
      </c>
      <c r="U49" s="79">
        <v>3.0</v>
      </c>
      <c r="V49" s="79">
        <v>3.0</v>
      </c>
      <c r="W49" s="79">
        <v>0.0</v>
      </c>
      <c r="X49" s="13">
        <f t="shared" si="14"/>
        <v>40</v>
      </c>
    </row>
    <row r="50" ht="12.75" customHeight="1">
      <c r="A50" s="18"/>
      <c r="B50" s="58"/>
      <c r="C50" s="53" t="s">
        <v>43</v>
      </c>
      <c r="D50" s="53"/>
      <c r="E50" s="79">
        <v>4.0</v>
      </c>
      <c r="F50" s="79">
        <v>1.0</v>
      </c>
      <c r="G50" s="79">
        <v>1.0</v>
      </c>
      <c r="H50" s="79">
        <v>0.0</v>
      </c>
      <c r="I50" s="79">
        <v>0.0</v>
      </c>
      <c r="J50" s="79">
        <v>0.0</v>
      </c>
      <c r="K50" s="79">
        <v>0.0</v>
      </c>
      <c r="L50" s="79">
        <v>1.0</v>
      </c>
      <c r="M50" s="79">
        <v>0.0</v>
      </c>
      <c r="N50" s="79">
        <v>0.0</v>
      </c>
      <c r="O50" s="79">
        <v>0.0</v>
      </c>
      <c r="P50" s="79">
        <v>0.0</v>
      </c>
      <c r="Q50" s="79">
        <v>0.0</v>
      </c>
      <c r="R50" s="79">
        <v>0.0</v>
      </c>
      <c r="S50" s="79">
        <v>0.0</v>
      </c>
      <c r="T50" s="79">
        <v>2.0</v>
      </c>
      <c r="U50" s="79">
        <v>0.0</v>
      </c>
      <c r="V50" s="79">
        <v>0.0</v>
      </c>
      <c r="W50" s="79">
        <v>0.0</v>
      </c>
      <c r="X50" s="13">
        <f t="shared" si="14"/>
        <v>9</v>
      </c>
    </row>
    <row r="51" ht="12.75" customHeight="1">
      <c r="A51" s="18"/>
      <c r="B51" s="58"/>
      <c r="C51" s="53" t="s">
        <v>44</v>
      </c>
      <c r="D51" s="53"/>
      <c r="E51" s="79">
        <v>1.0</v>
      </c>
      <c r="F51" s="79">
        <v>0.0</v>
      </c>
      <c r="G51" s="79">
        <v>0.0</v>
      </c>
      <c r="H51" s="79">
        <v>1.0</v>
      </c>
      <c r="I51" s="79">
        <v>1.0</v>
      </c>
      <c r="J51" s="79">
        <v>1.0</v>
      </c>
      <c r="K51" s="79">
        <v>0.0</v>
      </c>
      <c r="L51" s="79">
        <v>1.0</v>
      </c>
      <c r="M51" s="79">
        <v>0.0</v>
      </c>
      <c r="N51" s="79">
        <v>0.0</v>
      </c>
      <c r="O51" s="79">
        <v>0.0</v>
      </c>
      <c r="P51" s="79">
        <v>0.0</v>
      </c>
      <c r="Q51" s="79">
        <v>0.0</v>
      </c>
      <c r="R51" s="79">
        <v>1.0</v>
      </c>
      <c r="S51" s="79">
        <v>1.0</v>
      </c>
      <c r="T51" s="79">
        <v>1.0</v>
      </c>
      <c r="U51" s="79">
        <v>0.0</v>
      </c>
      <c r="V51" s="79">
        <v>0.0</v>
      </c>
      <c r="W51" s="79">
        <v>2.0</v>
      </c>
      <c r="X51" s="13">
        <f t="shared" si="14"/>
        <v>10</v>
      </c>
    </row>
    <row r="52" ht="12.75" customHeight="1">
      <c r="A52" s="18"/>
      <c r="B52" s="58"/>
      <c r="C52" s="53" t="s">
        <v>45</v>
      </c>
      <c r="D52" s="53"/>
      <c r="E52" s="79">
        <v>0.0</v>
      </c>
      <c r="F52" s="79">
        <v>0.0</v>
      </c>
      <c r="G52" s="79">
        <v>1.0</v>
      </c>
      <c r="H52" s="79">
        <v>1.0</v>
      </c>
      <c r="I52" s="79">
        <v>0.0</v>
      </c>
      <c r="J52" s="79">
        <v>0.0</v>
      </c>
      <c r="K52" s="79">
        <v>1.0</v>
      </c>
      <c r="L52" s="79">
        <v>2.0</v>
      </c>
      <c r="M52" s="79">
        <v>1.0</v>
      </c>
      <c r="N52" s="79">
        <v>1.0</v>
      </c>
      <c r="O52" s="79">
        <v>0.0</v>
      </c>
      <c r="P52" s="79">
        <v>0.0</v>
      </c>
      <c r="Q52" s="79">
        <v>0.0</v>
      </c>
      <c r="R52" s="79">
        <v>1.0</v>
      </c>
      <c r="S52" s="79">
        <v>0.0</v>
      </c>
      <c r="T52" s="79">
        <v>0.0</v>
      </c>
      <c r="U52" s="79">
        <v>0.0</v>
      </c>
      <c r="V52" s="79">
        <v>0.0</v>
      </c>
      <c r="W52" s="79">
        <v>0.0</v>
      </c>
      <c r="X52" s="13">
        <f t="shared" si="14"/>
        <v>8</v>
      </c>
    </row>
    <row r="53" ht="12.75" customHeight="1">
      <c r="A53" s="18"/>
      <c r="B53" s="58"/>
      <c r="C53" s="53" t="s">
        <v>46</v>
      </c>
      <c r="D53" s="53"/>
      <c r="E53" s="79">
        <v>2.0</v>
      </c>
      <c r="F53" s="79">
        <v>0.0</v>
      </c>
      <c r="G53" s="79">
        <v>2.0</v>
      </c>
      <c r="H53" s="79">
        <v>0.0</v>
      </c>
      <c r="I53" s="79">
        <v>1.0</v>
      </c>
      <c r="J53" s="79">
        <v>0.0</v>
      </c>
      <c r="K53" s="79">
        <v>0.0</v>
      </c>
      <c r="L53" s="79">
        <v>0.0</v>
      </c>
      <c r="M53" s="79">
        <v>1.0</v>
      </c>
      <c r="N53" s="79">
        <v>0.0</v>
      </c>
      <c r="O53" s="79">
        <v>0.0</v>
      </c>
      <c r="P53" s="79">
        <v>0.0</v>
      </c>
      <c r="Q53" s="79">
        <v>0.0</v>
      </c>
      <c r="R53" s="79">
        <v>0.0</v>
      </c>
      <c r="S53" s="79">
        <v>0.0</v>
      </c>
      <c r="T53" s="79">
        <v>1.0</v>
      </c>
      <c r="U53" s="79">
        <v>0.0</v>
      </c>
      <c r="V53" s="79">
        <v>0.0</v>
      </c>
      <c r="W53" s="79">
        <v>0.0</v>
      </c>
      <c r="X53" s="13">
        <f t="shared" si="14"/>
        <v>7</v>
      </c>
    </row>
    <row r="54" ht="12.75" customHeight="1">
      <c r="A54" s="18"/>
      <c r="B54" s="58"/>
      <c r="C54" s="53" t="s">
        <v>47</v>
      </c>
      <c r="D54" s="53"/>
      <c r="E54" s="79">
        <v>1.0</v>
      </c>
      <c r="F54" s="79">
        <v>0.0</v>
      </c>
      <c r="G54" s="79">
        <v>0.0</v>
      </c>
      <c r="H54" s="79">
        <v>0.0</v>
      </c>
      <c r="I54" s="79">
        <v>1.0</v>
      </c>
      <c r="J54" s="79">
        <v>0.0</v>
      </c>
      <c r="K54" s="79">
        <v>0.0</v>
      </c>
      <c r="L54" s="79">
        <v>0.0</v>
      </c>
      <c r="M54" s="79">
        <v>0.0</v>
      </c>
      <c r="N54" s="79">
        <v>1.0</v>
      </c>
      <c r="O54" s="79">
        <v>0.0</v>
      </c>
      <c r="P54" s="79">
        <v>0.0</v>
      </c>
      <c r="Q54" s="79">
        <v>0.0</v>
      </c>
      <c r="R54" s="79">
        <v>0.0</v>
      </c>
      <c r="S54" s="79">
        <v>0.0</v>
      </c>
      <c r="T54" s="79">
        <v>1.0</v>
      </c>
      <c r="U54" s="79">
        <v>0.0</v>
      </c>
      <c r="V54" s="79">
        <v>0.0</v>
      </c>
      <c r="W54" s="79">
        <v>0.0</v>
      </c>
      <c r="X54" s="13">
        <f t="shared" si="14"/>
        <v>4</v>
      </c>
    </row>
    <row r="55" ht="12.75" customHeight="1">
      <c r="A55" s="19" t="s">
        <v>14</v>
      </c>
      <c r="B55" s="50" t="s">
        <v>48</v>
      </c>
      <c r="C55" s="15"/>
      <c r="D55" s="16"/>
      <c r="E55" s="13">
        <f t="shared" ref="E55:W55" si="15">SUM(E45:E54)</f>
        <v>75</v>
      </c>
      <c r="F55" s="13">
        <f t="shared" si="15"/>
        <v>32</v>
      </c>
      <c r="G55" s="13">
        <f t="shared" si="15"/>
        <v>29</v>
      </c>
      <c r="H55" s="13">
        <f t="shared" si="15"/>
        <v>53</v>
      </c>
      <c r="I55" s="13">
        <f t="shared" si="15"/>
        <v>73</v>
      </c>
      <c r="J55" s="13">
        <f t="shared" si="15"/>
        <v>37</v>
      </c>
      <c r="K55" s="13">
        <f t="shared" si="15"/>
        <v>54</v>
      </c>
      <c r="L55" s="13">
        <f t="shared" si="15"/>
        <v>94</v>
      </c>
      <c r="M55" s="13">
        <f t="shared" si="15"/>
        <v>97</v>
      </c>
      <c r="N55" s="13">
        <f t="shared" si="15"/>
        <v>50</v>
      </c>
      <c r="O55" s="13">
        <f t="shared" si="15"/>
        <v>36</v>
      </c>
      <c r="P55" s="13">
        <f t="shared" si="15"/>
        <v>21</v>
      </c>
      <c r="Q55" s="13">
        <f t="shared" si="15"/>
        <v>17</v>
      </c>
      <c r="R55" s="13">
        <f t="shared" si="15"/>
        <v>40</v>
      </c>
      <c r="S55" s="13">
        <f t="shared" si="15"/>
        <v>45</v>
      </c>
      <c r="T55" s="13">
        <f t="shared" si="15"/>
        <v>61</v>
      </c>
      <c r="U55" s="13">
        <f t="shared" si="15"/>
        <v>26</v>
      </c>
      <c r="V55" s="13">
        <f t="shared" si="15"/>
        <v>31</v>
      </c>
      <c r="W55" s="13">
        <f t="shared" si="15"/>
        <v>54</v>
      </c>
      <c r="X55" s="13">
        <f t="shared" si="14"/>
        <v>925</v>
      </c>
    </row>
    <row r="56" ht="12.75" customHeight="1">
      <c r="A56" s="48"/>
      <c r="B56" s="47"/>
      <c r="C56" s="47"/>
      <c r="D56" s="47"/>
      <c r="E56" s="47"/>
      <c r="X56" s="13"/>
    </row>
    <row r="57" ht="12.75" customHeight="1">
      <c r="A57" s="31" t="s">
        <v>36</v>
      </c>
      <c r="B57" s="50" t="s">
        <v>18</v>
      </c>
      <c r="C57" s="51" t="s">
        <v>49</v>
      </c>
      <c r="D57" s="16"/>
      <c r="E57" s="79">
        <v>8.0</v>
      </c>
      <c r="F57" s="79">
        <v>15.0</v>
      </c>
      <c r="G57" s="79">
        <v>13.0</v>
      </c>
      <c r="H57" s="79">
        <v>14.0</v>
      </c>
      <c r="I57" s="79">
        <v>10.0</v>
      </c>
      <c r="J57" s="79">
        <v>20.0</v>
      </c>
      <c r="K57" s="79">
        <v>13.0</v>
      </c>
      <c r="L57" s="79">
        <v>4.0</v>
      </c>
      <c r="M57" s="79">
        <v>18.0</v>
      </c>
      <c r="N57" s="79">
        <v>13.0</v>
      </c>
      <c r="O57" s="79">
        <v>5.0</v>
      </c>
      <c r="P57" s="79">
        <v>6.0</v>
      </c>
      <c r="Q57" s="79">
        <v>7.0</v>
      </c>
      <c r="R57" s="79">
        <v>6.0</v>
      </c>
      <c r="S57" s="79">
        <v>7.0</v>
      </c>
      <c r="T57" s="79">
        <v>8.0</v>
      </c>
      <c r="U57" s="79">
        <v>7.0</v>
      </c>
      <c r="V57" s="79">
        <v>8.0</v>
      </c>
      <c r="W57" s="79">
        <v>12.0</v>
      </c>
      <c r="X57" s="13">
        <f t="shared" ref="X57:X67" si="16">SUM(E57:W57)</f>
        <v>194</v>
      </c>
    </row>
    <row r="58" ht="12.75" customHeight="1">
      <c r="A58" s="31" t="s">
        <v>38</v>
      </c>
      <c r="B58" s="58"/>
      <c r="C58" s="53" t="s">
        <v>50</v>
      </c>
      <c r="D58" s="60"/>
      <c r="E58" s="79">
        <v>4.0</v>
      </c>
      <c r="F58" s="79">
        <v>28.0</v>
      </c>
      <c r="G58" s="79">
        <v>27.0</v>
      </c>
      <c r="H58" s="79">
        <v>9.0</v>
      </c>
      <c r="I58" s="79">
        <v>9.0</v>
      </c>
      <c r="J58" s="79">
        <v>13.0</v>
      </c>
      <c r="K58" s="79">
        <v>5.0</v>
      </c>
      <c r="L58" s="79">
        <v>12.0</v>
      </c>
      <c r="M58" s="79">
        <v>32.0</v>
      </c>
      <c r="N58" s="79">
        <v>12.0</v>
      </c>
      <c r="O58" s="79">
        <v>27.0</v>
      </c>
      <c r="P58" s="79">
        <v>48.0</v>
      </c>
      <c r="Q58" s="79">
        <v>12.0</v>
      </c>
      <c r="R58" s="79">
        <v>3.0</v>
      </c>
      <c r="S58" s="79">
        <v>22.0</v>
      </c>
      <c r="T58" s="79">
        <v>10.0</v>
      </c>
      <c r="U58" s="79">
        <v>7.0</v>
      </c>
      <c r="V58" s="79">
        <v>11.0</v>
      </c>
      <c r="W58" s="79">
        <v>18.0</v>
      </c>
      <c r="X58" s="13">
        <f t="shared" si="16"/>
        <v>309</v>
      </c>
    </row>
    <row r="59" ht="12.75" customHeight="1">
      <c r="A59" s="18"/>
      <c r="B59" s="58"/>
      <c r="C59" s="53" t="s">
        <v>51</v>
      </c>
      <c r="D59" s="60"/>
      <c r="E59" s="79">
        <v>15.0</v>
      </c>
      <c r="F59" s="79">
        <v>18.0</v>
      </c>
      <c r="G59" s="79">
        <v>17.0</v>
      </c>
      <c r="H59" s="79">
        <v>19.0</v>
      </c>
      <c r="I59" s="79">
        <v>7.0</v>
      </c>
      <c r="J59" s="79">
        <v>8.0</v>
      </c>
      <c r="K59" s="79">
        <v>6.0</v>
      </c>
      <c r="L59" s="79">
        <v>17.0</v>
      </c>
      <c r="M59" s="79">
        <v>2.0</v>
      </c>
      <c r="N59" s="79">
        <v>3.0</v>
      </c>
      <c r="O59" s="79">
        <v>1.0</v>
      </c>
      <c r="P59" s="79">
        <v>0.0</v>
      </c>
      <c r="Q59" s="79">
        <v>5.0</v>
      </c>
      <c r="R59" s="79">
        <v>2.0</v>
      </c>
      <c r="S59" s="79">
        <v>0.0</v>
      </c>
      <c r="T59" s="79">
        <v>2.0</v>
      </c>
      <c r="U59" s="79">
        <v>1.0</v>
      </c>
      <c r="V59" s="79">
        <v>6.0</v>
      </c>
      <c r="W59" s="79">
        <v>25.0</v>
      </c>
      <c r="X59" s="13">
        <f t="shared" si="16"/>
        <v>154</v>
      </c>
    </row>
    <row r="60" ht="12.75" customHeight="1">
      <c r="A60" s="18"/>
      <c r="B60" s="58"/>
      <c r="C60" s="53" t="s">
        <v>52</v>
      </c>
      <c r="D60" s="60"/>
      <c r="E60" s="79">
        <v>1.0</v>
      </c>
      <c r="F60" s="79">
        <v>0.0</v>
      </c>
      <c r="G60" s="79">
        <v>2.0</v>
      </c>
      <c r="H60" s="79">
        <v>3.0</v>
      </c>
      <c r="I60" s="79">
        <v>3.0</v>
      </c>
      <c r="J60" s="79">
        <v>5.0</v>
      </c>
      <c r="K60" s="79">
        <v>6.0</v>
      </c>
      <c r="L60" s="79">
        <v>1.0</v>
      </c>
      <c r="M60" s="79">
        <v>1.0</v>
      </c>
      <c r="N60" s="79">
        <v>2.0</v>
      </c>
      <c r="O60" s="79">
        <v>4.0</v>
      </c>
      <c r="P60" s="79">
        <v>1.0</v>
      </c>
      <c r="Q60" s="79">
        <v>0.0</v>
      </c>
      <c r="R60" s="79">
        <v>0.0</v>
      </c>
      <c r="S60" s="79">
        <v>0.0</v>
      </c>
      <c r="T60" s="79">
        <v>4.0</v>
      </c>
      <c r="U60" s="79">
        <v>3.0</v>
      </c>
      <c r="V60" s="79">
        <v>3.0</v>
      </c>
      <c r="W60" s="79">
        <v>2.0</v>
      </c>
      <c r="X60" s="13">
        <f t="shared" si="16"/>
        <v>41</v>
      </c>
    </row>
    <row r="61" ht="12.75" customHeight="1">
      <c r="A61" s="18"/>
      <c r="B61" s="58"/>
      <c r="C61" s="53" t="s">
        <v>53</v>
      </c>
      <c r="D61" s="60"/>
      <c r="E61" s="79">
        <v>11.0</v>
      </c>
      <c r="F61" s="79">
        <v>12.0</v>
      </c>
      <c r="G61" s="79">
        <v>5.0</v>
      </c>
      <c r="H61" s="79">
        <v>3.0</v>
      </c>
      <c r="I61" s="79">
        <v>10.0</v>
      </c>
      <c r="J61" s="79">
        <v>11.0</v>
      </c>
      <c r="K61" s="79">
        <v>8.0</v>
      </c>
      <c r="L61" s="79">
        <v>3.0</v>
      </c>
      <c r="M61" s="79">
        <v>1.0</v>
      </c>
      <c r="N61" s="79">
        <v>9.0</v>
      </c>
      <c r="O61" s="79">
        <v>1.0</v>
      </c>
      <c r="P61" s="79">
        <v>1.0</v>
      </c>
      <c r="Q61" s="79">
        <v>13.0</v>
      </c>
      <c r="R61" s="79">
        <v>0.0</v>
      </c>
      <c r="S61" s="79">
        <v>1.0</v>
      </c>
      <c r="T61" s="79">
        <v>8.0</v>
      </c>
      <c r="U61" s="79">
        <v>4.0</v>
      </c>
      <c r="V61" s="79">
        <v>7.0</v>
      </c>
      <c r="W61" s="79">
        <v>5.0</v>
      </c>
      <c r="X61" s="13">
        <f t="shared" si="16"/>
        <v>113</v>
      </c>
    </row>
    <row r="62" ht="12.75" customHeight="1">
      <c r="A62" s="18"/>
      <c r="B62" s="58"/>
      <c r="C62" s="53" t="s">
        <v>54</v>
      </c>
      <c r="D62" s="60"/>
      <c r="E62" s="79">
        <v>3.0</v>
      </c>
      <c r="F62" s="79">
        <v>1.0</v>
      </c>
      <c r="G62" s="79">
        <v>2.0</v>
      </c>
      <c r="H62" s="79">
        <v>1.0</v>
      </c>
      <c r="I62" s="79">
        <v>0.0</v>
      </c>
      <c r="J62" s="79">
        <v>6.0</v>
      </c>
      <c r="K62" s="79">
        <v>3.0</v>
      </c>
      <c r="L62" s="79">
        <v>1.0</v>
      </c>
      <c r="M62" s="79">
        <v>0.0</v>
      </c>
      <c r="N62" s="79">
        <v>2.0</v>
      </c>
      <c r="O62" s="79">
        <v>0.0</v>
      </c>
      <c r="P62" s="79">
        <v>0.0</v>
      </c>
      <c r="Q62" s="79">
        <v>0.0</v>
      </c>
      <c r="R62" s="79">
        <v>0.0</v>
      </c>
      <c r="S62" s="79">
        <v>1.0</v>
      </c>
      <c r="T62" s="79">
        <v>0.0</v>
      </c>
      <c r="U62" s="79">
        <v>0.0</v>
      </c>
      <c r="V62" s="79">
        <v>3.0</v>
      </c>
      <c r="W62" s="79">
        <v>1.0</v>
      </c>
      <c r="X62" s="13">
        <f t="shared" si="16"/>
        <v>24</v>
      </c>
    </row>
    <row r="63" ht="12.75" customHeight="1">
      <c r="A63" s="18"/>
      <c r="B63" s="58"/>
      <c r="C63" s="53" t="s">
        <v>55</v>
      </c>
      <c r="D63" s="61"/>
      <c r="E63" s="79">
        <v>0.0</v>
      </c>
      <c r="F63" s="79">
        <v>2.0</v>
      </c>
      <c r="G63" s="79">
        <v>1.0</v>
      </c>
      <c r="H63" s="79">
        <v>0.0</v>
      </c>
      <c r="I63" s="79">
        <v>0.0</v>
      </c>
      <c r="J63" s="79">
        <v>1.0</v>
      </c>
      <c r="K63" s="79">
        <v>0.0</v>
      </c>
      <c r="L63" s="79">
        <v>0.0</v>
      </c>
      <c r="M63" s="79">
        <v>0.0</v>
      </c>
      <c r="N63" s="79">
        <v>0.0</v>
      </c>
      <c r="O63" s="79">
        <v>1.0</v>
      </c>
      <c r="P63" s="79">
        <v>0.0</v>
      </c>
      <c r="Q63" s="79">
        <v>0.0</v>
      </c>
      <c r="R63" s="79">
        <v>1.0</v>
      </c>
      <c r="S63" s="79">
        <v>0.0</v>
      </c>
      <c r="T63" s="79">
        <v>2.0</v>
      </c>
      <c r="U63" s="79">
        <v>0.0</v>
      </c>
      <c r="V63" s="79">
        <v>0.0</v>
      </c>
      <c r="W63" s="79">
        <v>0.0</v>
      </c>
      <c r="X63" s="13">
        <f t="shared" si="16"/>
        <v>8</v>
      </c>
    </row>
    <row r="64" ht="12.75" customHeight="1">
      <c r="A64" s="18"/>
      <c r="B64" s="58"/>
      <c r="C64" s="53" t="s">
        <v>56</v>
      </c>
      <c r="D64" s="60"/>
      <c r="E64" s="79">
        <v>0.0</v>
      </c>
      <c r="F64" s="79">
        <v>1.0</v>
      </c>
      <c r="G64" s="79">
        <v>1.0</v>
      </c>
      <c r="H64" s="79">
        <v>1.0</v>
      </c>
      <c r="I64" s="79">
        <v>0.0</v>
      </c>
      <c r="J64" s="79">
        <v>1.0</v>
      </c>
      <c r="K64" s="79">
        <v>2.0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79">
        <v>0.0</v>
      </c>
      <c r="R64" s="79">
        <v>0.0</v>
      </c>
      <c r="S64" s="79">
        <v>1.0</v>
      </c>
      <c r="T64" s="79">
        <v>0.0</v>
      </c>
      <c r="U64" s="79">
        <v>0.0</v>
      </c>
      <c r="V64" s="79">
        <v>0.0</v>
      </c>
      <c r="W64" s="79">
        <v>0.0</v>
      </c>
      <c r="X64" s="13">
        <f t="shared" si="16"/>
        <v>7</v>
      </c>
    </row>
    <row r="65" ht="12.75" customHeight="1">
      <c r="A65" s="18"/>
      <c r="B65" s="58"/>
      <c r="C65" s="53" t="s">
        <v>57</v>
      </c>
      <c r="D65" s="60"/>
      <c r="E65" s="79">
        <v>0.0</v>
      </c>
      <c r="F65" s="79">
        <v>1.0</v>
      </c>
      <c r="G65" s="79">
        <v>0.0</v>
      </c>
      <c r="H65" s="79">
        <v>0.0</v>
      </c>
      <c r="I65" s="79">
        <v>0.0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0.0</v>
      </c>
      <c r="Q65" s="79">
        <v>0.0</v>
      </c>
      <c r="R65" s="79">
        <v>0.0</v>
      </c>
      <c r="S65" s="79">
        <v>2.0</v>
      </c>
      <c r="T65" s="79">
        <v>0.0</v>
      </c>
      <c r="U65" s="79">
        <v>0.0</v>
      </c>
      <c r="V65" s="79">
        <v>0.0</v>
      </c>
      <c r="W65" s="79">
        <v>0.0</v>
      </c>
      <c r="X65" s="13">
        <f t="shared" si="16"/>
        <v>3</v>
      </c>
    </row>
    <row r="66" ht="12.75" customHeight="1">
      <c r="A66" s="18"/>
      <c r="B66" s="58"/>
      <c r="C66" s="53" t="s">
        <v>58</v>
      </c>
      <c r="D66" s="60"/>
      <c r="E66" s="79">
        <v>0.0</v>
      </c>
      <c r="F66" s="79">
        <v>0.0</v>
      </c>
      <c r="G66" s="79">
        <v>1.0</v>
      </c>
      <c r="H66" s="79">
        <v>0.0</v>
      </c>
      <c r="I66" s="79">
        <v>1.0</v>
      </c>
      <c r="J66" s="79">
        <v>0.0</v>
      </c>
      <c r="K66" s="79">
        <v>0.0</v>
      </c>
      <c r="L66" s="79">
        <v>0.0</v>
      </c>
      <c r="M66" s="79">
        <v>0.0</v>
      </c>
      <c r="N66" s="79">
        <v>0.0</v>
      </c>
      <c r="O66" s="79">
        <v>0.0</v>
      </c>
      <c r="P66" s="79">
        <v>0.0</v>
      </c>
      <c r="Q66" s="79">
        <v>0.0</v>
      </c>
      <c r="R66" s="79">
        <v>0.0</v>
      </c>
      <c r="S66" s="79">
        <v>0.0</v>
      </c>
      <c r="T66" s="79">
        <v>0.0</v>
      </c>
      <c r="U66" s="79">
        <v>0.0</v>
      </c>
      <c r="V66" s="79">
        <v>0.0</v>
      </c>
      <c r="W66" s="79">
        <v>0.0</v>
      </c>
      <c r="X66" s="13">
        <f t="shared" si="16"/>
        <v>2</v>
      </c>
    </row>
    <row r="67" ht="12.75" customHeight="1">
      <c r="A67" s="19" t="s">
        <v>14</v>
      </c>
      <c r="B67" s="50" t="s">
        <v>48</v>
      </c>
      <c r="C67" s="15"/>
      <c r="D67" s="16"/>
      <c r="E67" s="13">
        <f t="shared" ref="E67:W67" si="17">SUM(E57:E66)</f>
        <v>42</v>
      </c>
      <c r="F67" s="13">
        <f t="shared" si="17"/>
        <v>78</v>
      </c>
      <c r="G67" s="13">
        <f t="shared" si="17"/>
        <v>69</v>
      </c>
      <c r="H67" s="13">
        <f t="shared" si="17"/>
        <v>50</v>
      </c>
      <c r="I67" s="13">
        <f t="shared" si="17"/>
        <v>40</v>
      </c>
      <c r="J67" s="13">
        <f t="shared" si="17"/>
        <v>65</v>
      </c>
      <c r="K67" s="13">
        <f t="shared" si="17"/>
        <v>43</v>
      </c>
      <c r="L67" s="13">
        <f t="shared" si="17"/>
        <v>38</v>
      </c>
      <c r="M67" s="13">
        <f t="shared" si="17"/>
        <v>54</v>
      </c>
      <c r="N67" s="13">
        <f t="shared" si="17"/>
        <v>41</v>
      </c>
      <c r="O67" s="13">
        <f t="shared" si="17"/>
        <v>39</v>
      </c>
      <c r="P67" s="13">
        <f t="shared" si="17"/>
        <v>56</v>
      </c>
      <c r="Q67" s="13">
        <f t="shared" si="17"/>
        <v>37</v>
      </c>
      <c r="R67" s="13">
        <f t="shared" si="17"/>
        <v>12</v>
      </c>
      <c r="S67" s="13">
        <f t="shared" si="17"/>
        <v>34</v>
      </c>
      <c r="T67" s="13">
        <f t="shared" si="17"/>
        <v>34</v>
      </c>
      <c r="U67" s="13">
        <f t="shared" si="17"/>
        <v>22</v>
      </c>
      <c r="V67" s="13">
        <f t="shared" si="17"/>
        <v>38</v>
      </c>
      <c r="W67" s="13">
        <f t="shared" si="17"/>
        <v>63</v>
      </c>
      <c r="X67" s="13">
        <f t="shared" si="16"/>
        <v>855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36</v>
      </c>
      <c r="B69" s="50" t="s">
        <v>20</v>
      </c>
      <c r="C69" s="51" t="s">
        <v>59</v>
      </c>
      <c r="D69" s="16"/>
      <c r="E69" s="79">
        <v>10.0</v>
      </c>
      <c r="F69" s="79">
        <v>7.0</v>
      </c>
      <c r="G69" s="79">
        <v>9.0</v>
      </c>
      <c r="H69" s="79">
        <v>4.0</v>
      </c>
      <c r="I69" s="79">
        <v>10.0</v>
      </c>
      <c r="J69" s="79">
        <v>13.0</v>
      </c>
      <c r="K69" s="79">
        <v>15.0</v>
      </c>
      <c r="L69" s="79">
        <v>12.0</v>
      </c>
      <c r="M69" s="79">
        <v>6.0</v>
      </c>
      <c r="N69" s="79">
        <v>16.0</v>
      </c>
      <c r="O69" s="79">
        <v>2.0</v>
      </c>
      <c r="P69" s="79">
        <v>2.0</v>
      </c>
      <c r="Q69" s="79">
        <v>6.0</v>
      </c>
      <c r="R69" s="79">
        <v>0.0</v>
      </c>
      <c r="S69" s="79">
        <v>13.0</v>
      </c>
      <c r="T69" s="79">
        <v>19.0</v>
      </c>
      <c r="U69" s="79">
        <v>25.0</v>
      </c>
      <c r="V69" s="79">
        <v>5.0</v>
      </c>
      <c r="W69" s="79">
        <v>4.0</v>
      </c>
      <c r="X69" s="13">
        <f t="shared" ref="X69:X79" si="18">SUM(E69:W69)</f>
        <v>178</v>
      </c>
    </row>
    <row r="70" ht="12.75" customHeight="1">
      <c r="A70" s="31" t="s">
        <v>38</v>
      </c>
      <c r="B70" s="58"/>
      <c r="C70" s="53" t="s">
        <v>60</v>
      </c>
      <c r="D70" s="61"/>
      <c r="E70" s="79">
        <v>1.0</v>
      </c>
      <c r="F70" s="79">
        <v>4.0</v>
      </c>
      <c r="G70" s="79">
        <v>5.0</v>
      </c>
      <c r="H70" s="79">
        <v>5.0</v>
      </c>
      <c r="I70" s="79">
        <v>2.0</v>
      </c>
      <c r="J70" s="79">
        <v>4.0</v>
      </c>
      <c r="K70" s="79">
        <v>5.0</v>
      </c>
      <c r="L70" s="79">
        <v>1.0</v>
      </c>
      <c r="M70" s="79">
        <v>3.0</v>
      </c>
      <c r="N70" s="79">
        <v>9.0</v>
      </c>
      <c r="O70" s="79">
        <v>6.0</v>
      </c>
      <c r="P70" s="79">
        <v>6.0</v>
      </c>
      <c r="Q70" s="79">
        <v>4.0</v>
      </c>
      <c r="R70" s="79">
        <v>1.0</v>
      </c>
      <c r="S70" s="79">
        <v>5.0</v>
      </c>
      <c r="T70" s="79">
        <v>3.0</v>
      </c>
      <c r="U70" s="79">
        <v>9.0</v>
      </c>
      <c r="V70" s="79">
        <v>8.0</v>
      </c>
      <c r="W70" s="79">
        <v>2.0</v>
      </c>
      <c r="X70" s="13">
        <f t="shared" si="18"/>
        <v>83</v>
      </c>
    </row>
    <row r="71" ht="12.75" customHeight="1">
      <c r="A71" s="18"/>
      <c r="B71" s="58"/>
      <c r="C71" s="53" t="s">
        <v>61</v>
      </c>
      <c r="D71" s="61"/>
      <c r="E71" s="79">
        <v>3.0</v>
      </c>
      <c r="F71" s="79">
        <v>32.0</v>
      </c>
      <c r="G71" s="79">
        <v>26.0</v>
      </c>
      <c r="H71" s="79">
        <v>40.0</v>
      </c>
      <c r="I71" s="79">
        <v>39.0</v>
      </c>
      <c r="J71" s="79">
        <v>1.0</v>
      </c>
      <c r="K71" s="79">
        <v>5.0</v>
      </c>
      <c r="L71" s="79">
        <v>12.0</v>
      </c>
      <c r="M71" s="79">
        <v>13.0</v>
      </c>
      <c r="N71" s="79">
        <v>10.0</v>
      </c>
      <c r="O71" s="79">
        <v>4.0</v>
      </c>
      <c r="P71" s="79">
        <v>19.0</v>
      </c>
      <c r="Q71" s="79">
        <v>16.0</v>
      </c>
      <c r="R71" s="79">
        <v>1.0</v>
      </c>
      <c r="S71" s="79">
        <v>42.0</v>
      </c>
      <c r="T71" s="79">
        <v>20.0</v>
      </c>
      <c r="U71" s="79">
        <v>28.0</v>
      </c>
      <c r="V71" s="79">
        <v>4.0</v>
      </c>
      <c r="W71" s="79">
        <v>2.0</v>
      </c>
      <c r="X71" s="13">
        <f t="shared" si="18"/>
        <v>317</v>
      </c>
    </row>
    <row r="72" ht="12.75" customHeight="1">
      <c r="A72" s="18"/>
      <c r="B72" s="58"/>
      <c r="C72" s="53" t="s">
        <v>62</v>
      </c>
      <c r="D72" s="61"/>
      <c r="E72" s="79">
        <v>0.0</v>
      </c>
      <c r="F72" s="79">
        <v>1.0</v>
      </c>
      <c r="G72" s="79">
        <v>7.0</v>
      </c>
      <c r="H72" s="79">
        <v>5.0</v>
      </c>
      <c r="I72" s="79">
        <v>5.0</v>
      </c>
      <c r="J72" s="79">
        <v>5.0</v>
      </c>
      <c r="K72" s="79">
        <v>7.0</v>
      </c>
      <c r="L72" s="79">
        <v>0.0</v>
      </c>
      <c r="M72" s="79">
        <v>0.0</v>
      </c>
      <c r="N72" s="79">
        <v>5.0</v>
      </c>
      <c r="O72" s="79">
        <v>0.0</v>
      </c>
      <c r="P72" s="79">
        <v>0.0</v>
      </c>
      <c r="Q72" s="79">
        <v>3.0</v>
      </c>
      <c r="R72" s="79">
        <v>0.0</v>
      </c>
      <c r="S72" s="79">
        <v>4.0</v>
      </c>
      <c r="T72" s="79">
        <v>3.0</v>
      </c>
      <c r="U72" s="79">
        <v>15.0</v>
      </c>
      <c r="V72" s="79">
        <v>4.0</v>
      </c>
      <c r="W72" s="79">
        <v>2.0</v>
      </c>
      <c r="X72" s="13">
        <f t="shared" si="18"/>
        <v>66</v>
      </c>
    </row>
    <row r="73" ht="12.75" customHeight="1">
      <c r="A73" s="18"/>
      <c r="B73" s="58"/>
      <c r="C73" s="53" t="s">
        <v>63</v>
      </c>
      <c r="D73" s="61"/>
      <c r="E73" s="79">
        <v>3.0</v>
      </c>
      <c r="F73" s="79">
        <v>5.0</v>
      </c>
      <c r="G73" s="79">
        <v>6.0</v>
      </c>
      <c r="H73" s="79">
        <v>5.0</v>
      </c>
      <c r="I73" s="79">
        <v>0.0</v>
      </c>
      <c r="J73" s="79">
        <v>5.0</v>
      </c>
      <c r="K73" s="79">
        <v>2.0</v>
      </c>
      <c r="L73" s="79">
        <v>3.0</v>
      </c>
      <c r="M73" s="79">
        <v>5.0</v>
      </c>
      <c r="N73" s="79">
        <v>2.0</v>
      </c>
      <c r="O73" s="79">
        <v>0.0</v>
      </c>
      <c r="P73" s="79">
        <v>1.0</v>
      </c>
      <c r="Q73" s="79">
        <v>5.0</v>
      </c>
      <c r="R73" s="79">
        <v>2.0</v>
      </c>
      <c r="S73" s="79">
        <v>7.0</v>
      </c>
      <c r="T73" s="79">
        <v>4.0</v>
      </c>
      <c r="U73" s="79">
        <v>18.0</v>
      </c>
      <c r="V73" s="79">
        <v>0.0</v>
      </c>
      <c r="W73" s="79">
        <v>1.0</v>
      </c>
      <c r="X73" s="13">
        <f t="shared" si="18"/>
        <v>74</v>
      </c>
    </row>
    <row r="74" ht="12.75" customHeight="1">
      <c r="A74" s="18"/>
      <c r="B74" s="58"/>
      <c r="C74" s="53" t="s">
        <v>64</v>
      </c>
      <c r="D74" s="61"/>
      <c r="E74" s="79">
        <v>0.0</v>
      </c>
      <c r="F74" s="79">
        <v>0.0</v>
      </c>
      <c r="G74" s="79">
        <v>1.0</v>
      </c>
      <c r="H74" s="79">
        <v>2.0</v>
      </c>
      <c r="I74" s="79">
        <v>3.0</v>
      </c>
      <c r="J74" s="79">
        <v>0.0</v>
      </c>
      <c r="K74" s="79">
        <v>1.0</v>
      </c>
      <c r="L74" s="79">
        <v>3.0</v>
      </c>
      <c r="M74" s="79">
        <v>0.0</v>
      </c>
      <c r="N74" s="79">
        <v>0.0</v>
      </c>
      <c r="O74" s="79">
        <v>0.0</v>
      </c>
      <c r="P74" s="79">
        <v>0.0</v>
      </c>
      <c r="Q74" s="79">
        <v>1.0</v>
      </c>
      <c r="R74" s="79">
        <v>0.0</v>
      </c>
      <c r="S74" s="79">
        <v>2.0</v>
      </c>
      <c r="T74" s="79">
        <v>4.0</v>
      </c>
      <c r="U74" s="79">
        <v>3.0</v>
      </c>
      <c r="V74" s="79">
        <v>0.0</v>
      </c>
      <c r="W74" s="79">
        <v>1.0</v>
      </c>
      <c r="X74" s="13">
        <f t="shared" si="18"/>
        <v>21</v>
      </c>
    </row>
    <row r="75" ht="12.75" customHeight="1">
      <c r="A75" s="18"/>
      <c r="B75" s="58"/>
      <c r="C75" s="53" t="s">
        <v>65</v>
      </c>
      <c r="D75" s="61"/>
      <c r="E75" s="79">
        <v>1.0</v>
      </c>
      <c r="F75" s="79">
        <v>1.0</v>
      </c>
      <c r="G75" s="79">
        <v>3.0</v>
      </c>
      <c r="H75" s="79">
        <v>1.0</v>
      </c>
      <c r="I75" s="79">
        <v>0.0</v>
      </c>
      <c r="J75" s="79">
        <v>0.0</v>
      </c>
      <c r="K75" s="79">
        <v>3.0</v>
      </c>
      <c r="L75" s="79">
        <v>0.0</v>
      </c>
      <c r="M75" s="79">
        <v>0.0</v>
      </c>
      <c r="N75" s="79">
        <v>0.0</v>
      </c>
      <c r="O75" s="79">
        <v>0.0</v>
      </c>
      <c r="P75" s="79">
        <v>0.0</v>
      </c>
      <c r="Q75" s="79">
        <v>0.0</v>
      </c>
      <c r="R75" s="79">
        <v>0.0</v>
      </c>
      <c r="S75" s="79">
        <v>1.0</v>
      </c>
      <c r="T75" s="79">
        <v>0.0</v>
      </c>
      <c r="U75" s="79">
        <v>1.0</v>
      </c>
      <c r="V75" s="79">
        <v>0.0</v>
      </c>
      <c r="W75" s="79">
        <v>0.0</v>
      </c>
      <c r="X75" s="13">
        <f t="shared" si="18"/>
        <v>11</v>
      </c>
    </row>
    <row r="76" ht="12.75" customHeight="1">
      <c r="A76" s="18"/>
      <c r="B76" s="58"/>
      <c r="C76" s="53" t="s">
        <v>66</v>
      </c>
      <c r="D76" s="61"/>
      <c r="E76" s="79">
        <v>1.0</v>
      </c>
      <c r="F76" s="79">
        <v>0.0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1.0</v>
      </c>
      <c r="M76" s="79">
        <v>0.0</v>
      </c>
      <c r="N76" s="79">
        <v>3.0</v>
      </c>
      <c r="O76" s="79">
        <v>0.0</v>
      </c>
      <c r="P76" s="79">
        <v>0.0</v>
      </c>
      <c r="Q76" s="79">
        <v>0.0</v>
      </c>
      <c r="R76" s="79">
        <v>0.0</v>
      </c>
      <c r="S76" s="79">
        <v>1.0</v>
      </c>
      <c r="T76" s="79">
        <v>0.0</v>
      </c>
      <c r="U76" s="79">
        <v>0.0</v>
      </c>
      <c r="V76" s="79">
        <v>0.0</v>
      </c>
      <c r="W76" s="79">
        <v>0.0</v>
      </c>
      <c r="X76" s="13">
        <f t="shared" si="18"/>
        <v>6</v>
      </c>
    </row>
    <row r="77" ht="12.75" customHeight="1">
      <c r="A77" s="18"/>
      <c r="B77" s="58"/>
      <c r="C77" s="53" t="s">
        <v>67</v>
      </c>
      <c r="D77" s="61"/>
      <c r="E77" s="79">
        <v>0.0</v>
      </c>
      <c r="F77" s="79">
        <v>1.0</v>
      </c>
      <c r="G77" s="79">
        <v>1.0</v>
      </c>
      <c r="H77" s="79">
        <v>0.0</v>
      </c>
      <c r="I77" s="79">
        <v>1.0</v>
      </c>
      <c r="J77" s="79">
        <v>1.0</v>
      </c>
      <c r="K77" s="79">
        <v>0.0</v>
      </c>
      <c r="L77" s="79">
        <v>1.0</v>
      </c>
      <c r="M77" s="79">
        <v>0.0</v>
      </c>
      <c r="N77" s="79">
        <v>0.0</v>
      </c>
      <c r="O77" s="79">
        <v>0.0</v>
      </c>
      <c r="P77" s="79">
        <v>0.0</v>
      </c>
      <c r="Q77" s="79">
        <v>1.0</v>
      </c>
      <c r="R77" s="79">
        <v>0.0</v>
      </c>
      <c r="S77" s="79">
        <v>1.0</v>
      </c>
      <c r="T77" s="79">
        <v>1.0</v>
      </c>
      <c r="U77" s="79">
        <v>1.0</v>
      </c>
      <c r="V77" s="79">
        <v>1.0</v>
      </c>
      <c r="W77" s="79">
        <v>0.0</v>
      </c>
      <c r="X77" s="13">
        <f t="shared" si="18"/>
        <v>10</v>
      </c>
    </row>
    <row r="78" ht="12.75" customHeight="1">
      <c r="A78" s="18"/>
      <c r="B78" s="58"/>
      <c r="C78" s="53" t="s">
        <v>68</v>
      </c>
      <c r="D78" s="61"/>
      <c r="E78" s="79">
        <v>0.0</v>
      </c>
      <c r="F78" s="79">
        <v>0.0</v>
      </c>
      <c r="G78" s="79">
        <v>0.0</v>
      </c>
      <c r="H78" s="79">
        <v>0.0</v>
      </c>
      <c r="I78" s="79">
        <v>0.0</v>
      </c>
      <c r="J78" s="79">
        <v>1.0</v>
      </c>
      <c r="K78" s="79">
        <v>0.0</v>
      </c>
      <c r="L78" s="79">
        <v>0.0</v>
      </c>
      <c r="M78" s="79">
        <v>0.0</v>
      </c>
      <c r="N78" s="79">
        <v>0.0</v>
      </c>
      <c r="O78" s="79">
        <v>0.0</v>
      </c>
      <c r="P78" s="79">
        <v>0.0</v>
      </c>
      <c r="Q78" s="79">
        <v>0.0</v>
      </c>
      <c r="R78" s="79">
        <v>0.0</v>
      </c>
      <c r="S78" s="79">
        <v>0.0</v>
      </c>
      <c r="T78" s="79">
        <v>0.0</v>
      </c>
      <c r="U78" s="79">
        <v>0.0</v>
      </c>
      <c r="V78" s="79">
        <v>0.0</v>
      </c>
      <c r="W78" s="79">
        <v>0.0</v>
      </c>
      <c r="X78" s="13">
        <f t="shared" si="18"/>
        <v>1</v>
      </c>
    </row>
    <row r="79" ht="12.75" customHeight="1">
      <c r="A79" s="19" t="s">
        <v>14</v>
      </c>
      <c r="B79" s="50" t="s">
        <v>48</v>
      </c>
      <c r="C79" s="15"/>
      <c r="D79" s="16"/>
      <c r="E79" s="13">
        <f t="shared" ref="E79:W79" si="19">SUM(E69:E78)</f>
        <v>19</v>
      </c>
      <c r="F79" s="13">
        <f t="shared" si="19"/>
        <v>51</v>
      </c>
      <c r="G79" s="13">
        <f t="shared" si="19"/>
        <v>58</v>
      </c>
      <c r="H79" s="13">
        <f t="shared" si="19"/>
        <v>62</v>
      </c>
      <c r="I79" s="13">
        <f t="shared" si="19"/>
        <v>60</v>
      </c>
      <c r="J79" s="13">
        <f t="shared" si="19"/>
        <v>30</v>
      </c>
      <c r="K79" s="13">
        <f t="shared" si="19"/>
        <v>38</v>
      </c>
      <c r="L79" s="13">
        <f t="shared" si="19"/>
        <v>33</v>
      </c>
      <c r="M79" s="13">
        <f t="shared" si="19"/>
        <v>27</v>
      </c>
      <c r="N79" s="13">
        <f t="shared" si="19"/>
        <v>45</v>
      </c>
      <c r="O79" s="13">
        <f t="shared" si="19"/>
        <v>12</v>
      </c>
      <c r="P79" s="13">
        <f t="shared" si="19"/>
        <v>28</v>
      </c>
      <c r="Q79" s="13">
        <f t="shared" si="19"/>
        <v>36</v>
      </c>
      <c r="R79" s="13">
        <f t="shared" si="19"/>
        <v>4</v>
      </c>
      <c r="S79" s="13">
        <f t="shared" si="19"/>
        <v>76</v>
      </c>
      <c r="T79" s="13">
        <f t="shared" si="19"/>
        <v>54</v>
      </c>
      <c r="U79" s="13">
        <f t="shared" si="19"/>
        <v>100</v>
      </c>
      <c r="V79" s="13">
        <f t="shared" si="19"/>
        <v>22</v>
      </c>
      <c r="W79" s="13">
        <f t="shared" si="19"/>
        <v>12</v>
      </c>
      <c r="X79" s="13">
        <f t="shared" si="18"/>
        <v>767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36</v>
      </c>
      <c r="B81" s="50" t="s">
        <v>22</v>
      </c>
      <c r="C81" s="51" t="s">
        <v>69</v>
      </c>
      <c r="D81" s="16"/>
      <c r="E81" s="79">
        <v>4.0</v>
      </c>
      <c r="F81" s="79">
        <v>6.0</v>
      </c>
      <c r="G81" s="79">
        <v>0.0</v>
      </c>
      <c r="H81" s="79">
        <v>3.0</v>
      </c>
      <c r="I81" s="79">
        <v>1.0</v>
      </c>
      <c r="J81" s="79">
        <v>11.0</v>
      </c>
      <c r="K81" s="79">
        <v>6.0</v>
      </c>
      <c r="L81" s="79">
        <v>3.0</v>
      </c>
      <c r="M81" s="79">
        <v>3.0</v>
      </c>
      <c r="N81" s="79">
        <v>1.0</v>
      </c>
      <c r="O81" s="79">
        <v>2.0</v>
      </c>
      <c r="P81" s="79">
        <v>1.0</v>
      </c>
      <c r="Q81" s="79">
        <v>4.0</v>
      </c>
      <c r="R81" s="79">
        <v>4.0</v>
      </c>
      <c r="S81" s="79">
        <v>3.0</v>
      </c>
      <c r="T81" s="79">
        <v>2.0</v>
      </c>
      <c r="U81" s="79">
        <v>10.0</v>
      </c>
      <c r="V81" s="79">
        <v>3.0</v>
      </c>
      <c r="W81" s="79">
        <v>1.0</v>
      </c>
      <c r="X81" s="13">
        <f t="shared" ref="X81:X91" si="20">SUM(E81:W81)</f>
        <v>68</v>
      </c>
    </row>
    <row r="82" ht="12.75" customHeight="1">
      <c r="A82" s="31" t="s">
        <v>38</v>
      </c>
      <c r="B82" s="58"/>
      <c r="C82" s="53" t="s">
        <v>70</v>
      </c>
      <c r="D82" s="61"/>
      <c r="E82" s="79">
        <v>13.0</v>
      </c>
      <c r="F82" s="79">
        <v>5.0</v>
      </c>
      <c r="G82" s="79">
        <v>5.0</v>
      </c>
      <c r="H82" s="79">
        <v>2.0</v>
      </c>
      <c r="I82" s="79">
        <v>3.0</v>
      </c>
      <c r="J82" s="79">
        <v>4.0</v>
      </c>
      <c r="K82" s="79">
        <v>5.0</v>
      </c>
      <c r="L82" s="79">
        <v>7.0</v>
      </c>
      <c r="M82" s="79">
        <v>5.0</v>
      </c>
      <c r="N82" s="79">
        <v>6.0</v>
      </c>
      <c r="O82" s="79">
        <v>0.0</v>
      </c>
      <c r="P82" s="79">
        <v>0.0</v>
      </c>
      <c r="Q82" s="79">
        <v>7.0</v>
      </c>
      <c r="R82" s="79">
        <v>4.0</v>
      </c>
      <c r="S82" s="79">
        <v>1.0</v>
      </c>
      <c r="T82" s="79">
        <v>6.0</v>
      </c>
      <c r="U82" s="79">
        <v>8.0</v>
      </c>
      <c r="V82" s="79">
        <v>3.0</v>
      </c>
      <c r="W82" s="79">
        <v>8.0</v>
      </c>
      <c r="X82" s="13">
        <f t="shared" si="20"/>
        <v>92</v>
      </c>
    </row>
    <row r="83" ht="12.75" customHeight="1">
      <c r="A83" s="18"/>
      <c r="B83" s="58"/>
      <c r="C83" s="53" t="s">
        <v>71</v>
      </c>
      <c r="D83" s="61"/>
      <c r="E83" s="79">
        <v>3.0</v>
      </c>
      <c r="F83" s="79">
        <v>1.0</v>
      </c>
      <c r="G83" s="79">
        <v>4.0</v>
      </c>
      <c r="H83" s="79">
        <v>0.0</v>
      </c>
      <c r="I83" s="79">
        <v>1.0</v>
      </c>
      <c r="J83" s="79">
        <v>1.0</v>
      </c>
      <c r="K83" s="79">
        <v>1.0</v>
      </c>
      <c r="L83" s="79">
        <v>1.0</v>
      </c>
      <c r="M83" s="79">
        <v>0.0</v>
      </c>
      <c r="N83" s="79">
        <v>2.0</v>
      </c>
      <c r="O83" s="79">
        <v>0.0</v>
      </c>
      <c r="P83" s="79">
        <v>0.0</v>
      </c>
      <c r="Q83" s="79">
        <v>0.0</v>
      </c>
      <c r="R83" s="79">
        <v>0.0</v>
      </c>
      <c r="S83" s="79">
        <v>1.0</v>
      </c>
      <c r="T83" s="79">
        <v>1.0</v>
      </c>
      <c r="U83" s="79">
        <v>1.0</v>
      </c>
      <c r="V83" s="79">
        <v>2.0</v>
      </c>
      <c r="W83" s="79">
        <v>0.0</v>
      </c>
      <c r="X83" s="13">
        <f t="shared" si="20"/>
        <v>19</v>
      </c>
    </row>
    <row r="84" ht="12.75" customHeight="1">
      <c r="A84" s="18"/>
      <c r="B84" s="58"/>
      <c r="C84" s="53" t="s">
        <v>72</v>
      </c>
      <c r="D84" s="61"/>
      <c r="E84" s="79">
        <v>1.0</v>
      </c>
      <c r="F84" s="79">
        <v>2.0</v>
      </c>
      <c r="G84" s="79">
        <v>0.0</v>
      </c>
      <c r="H84" s="79">
        <v>0.0</v>
      </c>
      <c r="I84" s="79">
        <v>1.0</v>
      </c>
      <c r="J84" s="79">
        <v>3.0</v>
      </c>
      <c r="K84" s="79">
        <v>3.0</v>
      </c>
      <c r="L84" s="79">
        <v>1.0</v>
      </c>
      <c r="M84" s="79">
        <v>1.0</v>
      </c>
      <c r="N84" s="79">
        <v>0.0</v>
      </c>
      <c r="O84" s="79">
        <v>1.0</v>
      </c>
      <c r="P84" s="79">
        <v>0.0</v>
      </c>
      <c r="Q84" s="79">
        <v>1.0</v>
      </c>
      <c r="R84" s="79">
        <v>0.0</v>
      </c>
      <c r="S84" s="79">
        <v>0.0</v>
      </c>
      <c r="T84" s="79">
        <v>1.0</v>
      </c>
      <c r="U84" s="79">
        <v>4.0</v>
      </c>
      <c r="V84" s="79">
        <v>2.0</v>
      </c>
      <c r="W84" s="79">
        <v>1.0</v>
      </c>
      <c r="X84" s="13">
        <f t="shared" si="20"/>
        <v>22</v>
      </c>
    </row>
    <row r="85" ht="12.75" customHeight="1">
      <c r="A85" s="18"/>
      <c r="B85" s="58"/>
      <c r="C85" s="53" t="s">
        <v>73</v>
      </c>
      <c r="D85" s="61"/>
      <c r="E85" s="79">
        <v>1.0</v>
      </c>
      <c r="F85" s="79">
        <v>1.0</v>
      </c>
      <c r="G85" s="79">
        <v>0.0</v>
      </c>
      <c r="H85" s="79">
        <v>0.0</v>
      </c>
      <c r="I85" s="79">
        <v>0.0</v>
      </c>
      <c r="J85" s="79">
        <v>1.0</v>
      </c>
      <c r="K85" s="79">
        <v>1.0</v>
      </c>
      <c r="L85" s="79">
        <v>1.0</v>
      </c>
      <c r="M85" s="79">
        <v>4.0</v>
      </c>
      <c r="N85" s="79">
        <v>1.0</v>
      </c>
      <c r="O85" s="79">
        <v>1.0</v>
      </c>
      <c r="P85" s="79">
        <v>0.0</v>
      </c>
      <c r="Q85" s="79">
        <v>1.0</v>
      </c>
      <c r="R85" s="79">
        <v>2.0</v>
      </c>
      <c r="S85" s="79">
        <v>2.0</v>
      </c>
      <c r="T85" s="79">
        <v>0.0</v>
      </c>
      <c r="U85" s="79">
        <v>5.0</v>
      </c>
      <c r="V85" s="79">
        <v>4.0</v>
      </c>
      <c r="W85" s="79">
        <v>1.0</v>
      </c>
      <c r="X85" s="13">
        <f t="shared" si="20"/>
        <v>26</v>
      </c>
    </row>
    <row r="86" ht="12.75" customHeight="1">
      <c r="A86" s="18"/>
      <c r="B86" s="58"/>
      <c r="C86" s="53" t="s">
        <v>74</v>
      </c>
      <c r="D86" s="61"/>
      <c r="E86" s="79">
        <v>16.0</v>
      </c>
      <c r="F86" s="79">
        <v>9.0</v>
      </c>
      <c r="G86" s="79">
        <v>6.0</v>
      </c>
      <c r="H86" s="79">
        <v>2.0</v>
      </c>
      <c r="I86" s="79">
        <v>3.0</v>
      </c>
      <c r="J86" s="79">
        <v>2.0</v>
      </c>
      <c r="K86" s="79">
        <v>3.0</v>
      </c>
      <c r="L86" s="79">
        <v>4.0</v>
      </c>
      <c r="M86" s="79">
        <v>0.0</v>
      </c>
      <c r="N86" s="79">
        <v>0.0</v>
      </c>
      <c r="O86" s="79">
        <v>1.0</v>
      </c>
      <c r="P86" s="79">
        <v>1.0</v>
      </c>
      <c r="Q86" s="79">
        <v>0.0</v>
      </c>
      <c r="R86" s="79">
        <v>0.0</v>
      </c>
      <c r="S86" s="79">
        <v>0.0</v>
      </c>
      <c r="T86" s="79">
        <v>7.0</v>
      </c>
      <c r="U86" s="79">
        <v>0.0</v>
      </c>
      <c r="V86" s="79">
        <v>3.0</v>
      </c>
      <c r="W86" s="79">
        <v>0.0</v>
      </c>
      <c r="X86" s="13">
        <f t="shared" si="20"/>
        <v>57</v>
      </c>
    </row>
    <row r="87" ht="12.75" customHeight="1">
      <c r="A87" s="18"/>
      <c r="B87" s="58"/>
      <c r="C87" s="53" t="s">
        <v>75</v>
      </c>
      <c r="D87" s="61"/>
      <c r="E87" s="79">
        <v>0.0</v>
      </c>
      <c r="F87" s="79">
        <v>0.0</v>
      </c>
      <c r="G87" s="79">
        <v>1.0</v>
      </c>
      <c r="H87" s="79">
        <v>0.0</v>
      </c>
      <c r="I87" s="79">
        <v>0.0</v>
      </c>
      <c r="J87" s="79">
        <v>0.0</v>
      </c>
      <c r="K87" s="79">
        <v>0.0</v>
      </c>
      <c r="L87" s="79">
        <v>1.0</v>
      </c>
      <c r="M87" s="79">
        <v>0.0</v>
      </c>
      <c r="N87" s="79">
        <v>0.0</v>
      </c>
      <c r="O87" s="79">
        <v>0.0</v>
      </c>
      <c r="P87" s="79">
        <v>0.0</v>
      </c>
      <c r="Q87" s="79">
        <v>0.0</v>
      </c>
      <c r="R87" s="79">
        <v>0.0</v>
      </c>
      <c r="S87" s="79">
        <v>0.0</v>
      </c>
      <c r="T87" s="79">
        <v>0.0</v>
      </c>
      <c r="U87" s="79">
        <v>0.0</v>
      </c>
      <c r="V87" s="79">
        <v>0.0</v>
      </c>
      <c r="W87" s="79">
        <v>0.0</v>
      </c>
      <c r="X87" s="13">
        <f t="shared" si="20"/>
        <v>2</v>
      </c>
    </row>
    <row r="88" ht="12.75" customHeight="1">
      <c r="A88" s="18"/>
      <c r="B88" s="58"/>
      <c r="C88" s="53" t="s">
        <v>76</v>
      </c>
      <c r="D88" s="61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</v>
      </c>
      <c r="P88" s="79">
        <v>0.0</v>
      </c>
      <c r="Q88" s="79">
        <v>0.0</v>
      </c>
      <c r="R88" s="79">
        <v>0.0</v>
      </c>
      <c r="S88" s="79">
        <v>0.0</v>
      </c>
      <c r="T88" s="79">
        <v>0.0</v>
      </c>
      <c r="U88" s="79">
        <v>0.0</v>
      </c>
      <c r="V88" s="79">
        <v>0.0</v>
      </c>
      <c r="W88" s="79">
        <v>0.0</v>
      </c>
      <c r="X88" s="13">
        <f t="shared" si="20"/>
        <v>0</v>
      </c>
    </row>
    <row r="89" ht="12.75" customHeight="1">
      <c r="A89" s="18"/>
      <c r="B89" s="58"/>
      <c r="C89" s="53" t="s">
        <v>77</v>
      </c>
      <c r="D89" s="61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1.0</v>
      </c>
      <c r="M89" s="79">
        <v>0.0</v>
      </c>
      <c r="N89" s="79">
        <v>0.0</v>
      </c>
      <c r="O89" s="79">
        <v>0.0</v>
      </c>
      <c r="P89" s="79">
        <v>0.0</v>
      </c>
      <c r="Q89" s="79">
        <v>0.0</v>
      </c>
      <c r="R89" s="79">
        <v>0.0</v>
      </c>
      <c r="S89" s="79">
        <v>0.0</v>
      </c>
      <c r="T89" s="79">
        <v>0.0</v>
      </c>
      <c r="U89" s="79">
        <v>0.0</v>
      </c>
      <c r="V89" s="79">
        <v>0.0</v>
      </c>
      <c r="W89" s="79">
        <v>0.0</v>
      </c>
      <c r="X89" s="13">
        <f t="shared" si="20"/>
        <v>1</v>
      </c>
    </row>
    <row r="90" ht="12.75" customHeight="1">
      <c r="A90" s="18"/>
      <c r="B90" s="58"/>
      <c r="C90" s="53" t="s">
        <v>78</v>
      </c>
      <c r="D90" s="61"/>
      <c r="E90" s="79">
        <v>0.0</v>
      </c>
      <c r="F90" s="79">
        <v>1.0</v>
      </c>
      <c r="G90" s="79">
        <v>0.0</v>
      </c>
      <c r="H90" s="79">
        <v>0.0</v>
      </c>
      <c r="I90" s="79">
        <v>0.0</v>
      </c>
      <c r="J90" s="79">
        <v>2.0</v>
      </c>
      <c r="K90" s="79">
        <v>2.0</v>
      </c>
      <c r="L90" s="79">
        <v>1.0</v>
      </c>
      <c r="M90" s="79">
        <v>0.0</v>
      </c>
      <c r="N90" s="79">
        <v>0.0</v>
      </c>
      <c r="O90" s="79">
        <v>0.0</v>
      </c>
      <c r="P90" s="79">
        <v>0.0</v>
      </c>
      <c r="Q90" s="79">
        <v>0.0</v>
      </c>
      <c r="R90" s="79">
        <v>0.0</v>
      </c>
      <c r="S90" s="79">
        <v>0.0</v>
      </c>
      <c r="T90" s="79">
        <v>0.0</v>
      </c>
      <c r="U90" s="79">
        <v>0.0</v>
      </c>
      <c r="V90" s="79">
        <v>0.0</v>
      </c>
      <c r="W90" s="79">
        <v>0.0</v>
      </c>
      <c r="X90" s="13">
        <f t="shared" si="20"/>
        <v>6</v>
      </c>
    </row>
    <row r="91" ht="12.75" customHeight="1">
      <c r="A91" s="19" t="s">
        <v>14</v>
      </c>
      <c r="B91" s="50" t="s">
        <v>48</v>
      </c>
      <c r="C91" s="15"/>
      <c r="D91" s="16"/>
      <c r="E91" s="13">
        <f t="shared" ref="E91:W91" si="21">SUM(E81:E90)</f>
        <v>38</v>
      </c>
      <c r="F91" s="13">
        <f t="shared" si="21"/>
        <v>25</v>
      </c>
      <c r="G91" s="13">
        <f t="shared" si="21"/>
        <v>16</v>
      </c>
      <c r="H91" s="13">
        <f t="shared" si="21"/>
        <v>7</v>
      </c>
      <c r="I91" s="13">
        <f t="shared" si="21"/>
        <v>9</v>
      </c>
      <c r="J91" s="13">
        <f t="shared" si="21"/>
        <v>24</v>
      </c>
      <c r="K91" s="13">
        <f t="shared" si="21"/>
        <v>21</v>
      </c>
      <c r="L91" s="13">
        <f t="shared" si="21"/>
        <v>20</v>
      </c>
      <c r="M91" s="13">
        <f t="shared" si="21"/>
        <v>13</v>
      </c>
      <c r="N91" s="13">
        <f t="shared" si="21"/>
        <v>10</v>
      </c>
      <c r="O91" s="13">
        <f t="shared" si="21"/>
        <v>5</v>
      </c>
      <c r="P91" s="13">
        <f t="shared" si="21"/>
        <v>2</v>
      </c>
      <c r="Q91" s="13">
        <f t="shared" si="21"/>
        <v>13</v>
      </c>
      <c r="R91" s="13">
        <f t="shared" si="21"/>
        <v>10</v>
      </c>
      <c r="S91" s="13">
        <f t="shared" si="21"/>
        <v>7</v>
      </c>
      <c r="T91" s="13">
        <f t="shared" si="21"/>
        <v>17</v>
      </c>
      <c r="U91" s="13">
        <f t="shared" si="21"/>
        <v>28</v>
      </c>
      <c r="V91" s="13">
        <f t="shared" si="21"/>
        <v>17</v>
      </c>
      <c r="W91" s="13">
        <f t="shared" si="21"/>
        <v>11</v>
      </c>
      <c r="X91" s="13">
        <f t="shared" si="20"/>
        <v>293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36</v>
      </c>
      <c r="B93" s="50" t="s">
        <v>79</v>
      </c>
      <c r="C93" s="51" t="s">
        <v>80</v>
      </c>
      <c r="D93" s="16"/>
      <c r="E93" s="79">
        <v>1.0</v>
      </c>
      <c r="F93" s="79">
        <v>0.0</v>
      </c>
      <c r="G93" s="79">
        <v>0.0</v>
      </c>
      <c r="H93" s="79">
        <v>1.0</v>
      </c>
      <c r="I93" s="79">
        <v>1.0</v>
      </c>
      <c r="J93" s="79">
        <v>1.0</v>
      </c>
      <c r="K93" s="79">
        <v>1.0</v>
      </c>
      <c r="L93" s="79">
        <v>1.0</v>
      </c>
      <c r="M93" s="79">
        <v>0.0</v>
      </c>
      <c r="N93" s="79">
        <v>1.0</v>
      </c>
      <c r="O93" s="79">
        <v>0.0</v>
      </c>
      <c r="P93" s="79">
        <v>0.0</v>
      </c>
      <c r="Q93" s="79">
        <v>0.0</v>
      </c>
      <c r="R93" s="79">
        <v>15.0</v>
      </c>
      <c r="S93" s="79">
        <v>0.0</v>
      </c>
      <c r="T93" s="79">
        <v>1.0</v>
      </c>
      <c r="U93" s="79">
        <v>0.0</v>
      </c>
      <c r="V93" s="79">
        <v>2.0</v>
      </c>
      <c r="W93" s="79">
        <v>3.0</v>
      </c>
      <c r="X93" s="13">
        <f t="shared" ref="X93:X103" si="22">SUM(E93:W93)</f>
        <v>28</v>
      </c>
    </row>
    <row r="94" ht="12.75" customHeight="1">
      <c r="A94" s="31" t="s">
        <v>38</v>
      </c>
      <c r="B94" s="58"/>
      <c r="C94" s="53" t="s">
        <v>81</v>
      </c>
      <c r="D94" s="61"/>
      <c r="E94" s="79">
        <v>0.0</v>
      </c>
      <c r="F94" s="79">
        <v>0.0</v>
      </c>
      <c r="G94" s="79">
        <v>1.0</v>
      </c>
      <c r="H94" s="79">
        <v>0.0</v>
      </c>
      <c r="I94" s="79">
        <v>1.0</v>
      </c>
      <c r="J94" s="79">
        <v>0.0</v>
      </c>
      <c r="K94" s="79">
        <v>0.0</v>
      </c>
      <c r="L94" s="79">
        <v>0.0</v>
      </c>
      <c r="M94" s="79">
        <v>0.0</v>
      </c>
      <c r="N94" s="79">
        <v>0.0</v>
      </c>
      <c r="O94" s="79">
        <v>0.0</v>
      </c>
      <c r="P94" s="79">
        <v>0.0</v>
      </c>
      <c r="Q94" s="79">
        <v>0.0</v>
      </c>
      <c r="R94" s="79">
        <v>8.0</v>
      </c>
      <c r="S94" s="79">
        <v>1.0</v>
      </c>
      <c r="T94" s="79">
        <v>0.0</v>
      </c>
      <c r="U94" s="79">
        <v>1.0</v>
      </c>
      <c r="V94" s="79">
        <v>1.0</v>
      </c>
      <c r="W94" s="79">
        <v>8.0</v>
      </c>
      <c r="X94" s="13">
        <f t="shared" si="22"/>
        <v>21</v>
      </c>
    </row>
    <row r="95" ht="12.75" customHeight="1">
      <c r="A95" s="18"/>
      <c r="B95" s="58"/>
      <c r="C95" s="53" t="s">
        <v>82</v>
      </c>
      <c r="D95" s="61"/>
      <c r="E95" s="79">
        <v>0.0</v>
      </c>
      <c r="F95" s="79">
        <v>0.0</v>
      </c>
      <c r="G95" s="79">
        <v>0.0</v>
      </c>
      <c r="H95" s="79">
        <v>0.0</v>
      </c>
      <c r="I95" s="79">
        <v>1.0</v>
      </c>
      <c r="J95" s="79">
        <v>0.0</v>
      </c>
      <c r="K95" s="79">
        <v>0.0</v>
      </c>
      <c r="L95" s="79">
        <v>0.0</v>
      </c>
      <c r="M95" s="79">
        <v>0.0</v>
      </c>
      <c r="N95" s="79">
        <v>0.0</v>
      </c>
      <c r="O95" s="79">
        <v>0.0</v>
      </c>
      <c r="P95" s="79">
        <v>0.0</v>
      </c>
      <c r="Q95" s="79">
        <v>0.0</v>
      </c>
      <c r="R95" s="79">
        <v>0.0</v>
      </c>
      <c r="S95" s="79">
        <v>0.0</v>
      </c>
      <c r="T95" s="79">
        <v>0.0</v>
      </c>
      <c r="U95" s="79">
        <v>0.0</v>
      </c>
      <c r="V95" s="79">
        <v>0.0</v>
      </c>
      <c r="W95" s="79">
        <v>1.0</v>
      </c>
      <c r="X95" s="13">
        <f t="shared" si="22"/>
        <v>2</v>
      </c>
    </row>
    <row r="96" ht="12.75" customHeight="1">
      <c r="A96" s="18"/>
      <c r="B96" s="58"/>
      <c r="C96" s="53" t="s">
        <v>83</v>
      </c>
      <c r="D96" s="61"/>
      <c r="E96" s="79">
        <v>0.0</v>
      </c>
      <c r="F96" s="79">
        <v>0.0</v>
      </c>
      <c r="G96" s="79">
        <v>0.0</v>
      </c>
      <c r="H96" s="79">
        <v>0.0</v>
      </c>
      <c r="I96" s="79">
        <v>1.0</v>
      </c>
      <c r="J96" s="79">
        <v>0.0</v>
      </c>
      <c r="K96" s="79">
        <v>1.0</v>
      </c>
      <c r="L96" s="79">
        <v>0.0</v>
      </c>
      <c r="M96" s="79">
        <v>0.0</v>
      </c>
      <c r="N96" s="79">
        <v>0.0</v>
      </c>
      <c r="O96" s="79">
        <v>0.0</v>
      </c>
      <c r="P96" s="79">
        <v>0.0</v>
      </c>
      <c r="Q96" s="79">
        <v>0.0</v>
      </c>
      <c r="R96" s="79">
        <v>0.0</v>
      </c>
      <c r="S96" s="79">
        <v>0.0</v>
      </c>
      <c r="T96" s="79">
        <v>0.0</v>
      </c>
      <c r="U96" s="79">
        <v>0.0</v>
      </c>
      <c r="V96" s="79">
        <v>2.0</v>
      </c>
      <c r="W96" s="79">
        <v>1.0</v>
      </c>
      <c r="X96" s="13">
        <f t="shared" si="22"/>
        <v>5</v>
      </c>
    </row>
    <row r="97" ht="12.75" customHeight="1">
      <c r="A97" s="18"/>
      <c r="B97" s="58"/>
      <c r="C97" s="53" t="s">
        <v>84</v>
      </c>
      <c r="D97" s="61"/>
      <c r="E97" s="79">
        <v>0.0</v>
      </c>
      <c r="F97" s="79">
        <v>0.0</v>
      </c>
      <c r="G97" s="79">
        <v>0.0</v>
      </c>
      <c r="H97" s="79">
        <v>0.0</v>
      </c>
      <c r="I97" s="79">
        <v>0.0</v>
      </c>
      <c r="J97" s="79">
        <v>0.0</v>
      </c>
      <c r="K97" s="79">
        <v>0.0</v>
      </c>
      <c r="L97" s="79">
        <v>0.0</v>
      </c>
      <c r="M97" s="79">
        <v>0.0</v>
      </c>
      <c r="N97" s="79">
        <v>0.0</v>
      </c>
      <c r="O97" s="79">
        <v>0.0</v>
      </c>
      <c r="P97" s="79">
        <v>0.0</v>
      </c>
      <c r="Q97" s="79">
        <v>0.0</v>
      </c>
      <c r="R97" s="79">
        <v>2.0</v>
      </c>
      <c r="S97" s="79">
        <v>0.0</v>
      </c>
      <c r="T97" s="79">
        <v>0.0</v>
      </c>
      <c r="U97" s="79">
        <v>0.0</v>
      </c>
      <c r="V97" s="79">
        <v>1.0</v>
      </c>
      <c r="W97" s="79">
        <v>0.0</v>
      </c>
      <c r="X97" s="13">
        <f t="shared" si="22"/>
        <v>3</v>
      </c>
    </row>
    <row r="98" ht="12.75" customHeight="1">
      <c r="A98" s="18"/>
      <c r="B98" s="58"/>
      <c r="C98" s="53" t="s">
        <v>85</v>
      </c>
      <c r="D98" s="61"/>
      <c r="E98" s="79">
        <v>1.0</v>
      </c>
      <c r="F98" s="79">
        <v>0.0</v>
      </c>
      <c r="G98" s="79">
        <v>0.0</v>
      </c>
      <c r="H98" s="79">
        <v>0.0</v>
      </c>
      <c r="I98" s="79">
        <v>0.0</v>
      </c>
      <c r="J98" s="79">
        <v>0.0</v>
      </c>
      <c r="K98" s="79">
        <v>0.0</v>
      </c>
      <c r="L98" s="79">
        <v>0.0</v>
      </c>
      <c r="M98" s="79">
        <v>0.0</v>
      </c>
      <c r="N98" s="79">
        <v>0.0</v>
      </c>
      <c r="O98" s="79">
        <v>0.0</v>
      </c>
      <c r="P98" s="79">
        <v>0.0</v>
      </c>
      <c r="Q98" s="79">
        <v>0.0</v>
      </c>
      <c r="R98" s="79">
        <v>0.0</v>
      </c>
      <c r="S98" s="79">
        <v>0.0</v>
      </c>
      <c r="T98" s="79">
        <v>0.0</v>
      </c>
      <c r="U98" s="79">
        <v>0.0</v>
      </c>
      <c r="V98" s="79">
        <v>0.0</v>
      </c>
      <c r="W98" s="79">
        <v>0.0</v>
      </c>
      <c r="X98" s="13">
        <f t="shared" si="22"/>
        <v>1</v>
      </c>
    </row>
    <row r="99" ht="12.75" customHeight="1">
      <c r="A99" s="18"/>
      <c r="B99" s="58"/>
      <c r="C99" s="53" t="s">
        <v>86</v>
      </c>
      <c r="D99" s="61"/>
      <c r="E99" s="79">
        <v>0.0</v>
      </c>
      <c r="F99" s="79">
        <v>1.0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0.0</v>
      </c>
      <c r="Q99" s="79">
        <v>0.0</v>
      </c>
      <c r="R99" s="79">
        <v>0.0</v>
      </c>
      <c r="S99" s="79">
        <v>0.0</v>
      </c>
      <c r="T99" s="79">
        <v>0.0</v>
      </c>
      <c r="U99" s="79">
        <v>0.0</v>
      </c>
      <c r="V99" s="79">
        <v>0.0</v>
      </c>
      <c r="W99" s="79">
        <v>0.0</v>
      </c>
      <c r="X99" s="13">
        <f t="shared" si="22"/>
        <v>1</v>
      </c>
    </row>
    <row r="100" ht="12.75" customHeight="1">
      <c r="A100" s="18"/>
      <c r="B100" s="58"/>
      <c r="C100" s="53" t="s">
        <v>87</v>
      </c>
      <c r="D100" s="61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0.0</v>
      </c>
      <c r="Q100" s="79">
        <v>0.0</v>
      </c>
      <c r="R100" s="79">
        <v>0.0</v>
      </c>
      <c r="S100" s="79">
        <v>0.0</v>
      </c>
      <c r="T100" s="79">
        <v>0.0</v>
      </c>
      <c r="U100" s="79">
        <v>0.0</v>
      </c>
      <c r="V100" s="79">
        <v>0.0</v>
      </c>
      <c r="W100" s="79">
        <v>0.0</v>
      </c>
      <c r="X100" s="13">
        <f t="shared" si="22"/>
        <v>0</v>
      </c>
    </row>
    <row r="101" ht="12.75" customHeight="1">
      <c r="A101" s="18"/>
      <c r="B101" s="58"/>
      <c r="C101" s="53" t="s">
        <v>88</v>
      </c>
      <c r="D101" s="61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79">
        <v>0.0</v>
      </c>
      <c r="R101" s="79">
        <v>0.0</v>
      </c>
      <c r="S101" s="79">
        <v>0.0</v>
      </c>
      <c r="T101" s="79">
        <v>0.0</v>
      </c>
      <c r="U101" s="79">
        <v>0.0</v>
      </c>
      <c r="V101" s="79">
        <v>0.0</v>
      </c>
      <c r="W101" s="79">
        <v>0.0</v>
      </c>
      <c r="X101" s="13">
        <f t="shared" si="22"/>
        <v>0</v>
      </c>
    </row>
    <row r="102" ht="12.75" customHeight="1">
      <c r="A102" s="18"/>
      <c r="B102" s="58"/>
      <c r="C102" s="53" t="s">
        <v>89</v>
      </c>
      <c r="D102" s="61"/>
      <c r="E102" s="79">
        <v>1.0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79">
        <v>0.0</v>
      </c>
      <c r="R102" s="79">
        <v>0.0</v>
      </c>
      <c r="S102" s="79">
        <v>0.0</v>
      </c>
      <c r="T102" s="79">
        <v>0.0</v>
      </c>
      <c r="U102" s="79">
        <v>0.0</v>
      </c>
      <c r="V102" s="79">
        <v>0.0</v>
      </c>
      <c r="W102" s="79">
        <v>0.0</v>
      </c>
      <c r="X102" s="13">
        <f t="shared" si="22"/>
        <v>1</v>
      </c>
    </row>
    <row r="103" ht="12.75" customHeight="1">
      <c r="A103" s="19" t="s">
        <v>14</v>
      </c>
      <c r="B103" s="50" t="s">
        <v>48</v>
      </c>
      <c r="C103" s="15"/>
      <c r="D103" s="16"/>
      <c r="E103" s="13">
        <f t="shared" ref="E103:W103" si="23">SUM(E93:E102)</f>
        <v>3</v>
      </c>
      <c r="F103" s="13">
        <f t="shared" si="23"/>
        <v>1</v>
      </c>
      <c r="G103" s="13">
        <f t="shared" si="23"/>
        <v>1</v>
      </c>
      <c r="H103" s="13">
        <f t="shared" si="23"/>
        <v>1</v>
      </c>
      <c r="I103" s="13">
        <f t="shared" si="23"/>
        <v>4</v>
      </c>
      <c r="J103" s="13">
        <f t="shared" si="23"/>
        <v>1</v>
      </c>
      <c r="K103" s="13">
        <f t="shared" si="23"/>
        <v>2</v>
      </c>
      <c r="L103" s="13">
        <f t="shared" si="23"/>
        <v>1</v>
      </c>
      <c r="M103" s="13">
        <f t="shared" si="23"/>
        <v>0</v>
      </c>
      <c r="N103" s="13">
        <f t="shared" si="23"/>
        <v>1</v>
      </c>
      <c r="O103" s="13">
        <f t="shared" si="23"/>
        <v>0</v>
      </c>
      <c r="P103" s="13">
        <f t="shared" si="23"/>
        <v>0</v>
      </c>
      <c r="Q103" s="13">
        <f t="shared" si="23"/>
        <v>0</v>
      </c>
      <c r="R103" s="13">
        <f t="shared" si="23"/>
        <v>25</v>
      </c>
      <c r="S103" s="13">
        <f t="shared" si="23"/>
        <v>1</v>
      </c>
      <c r="T103" s="13">
        <f t="shared" si="23"/>
        <v>1</v>
      </c>
      <c r="U103" s="13">
        <f t="shared" si="23"/>
        <v>1</v>
      </c>
      <c r="V103" s="13">
        <f t="shared" si="23"/>
        <v>6</v>
      </c>
      <c r="W103" s="13">
        <f t="shared" si="23"/>
        <v>13</v>
      </c>
      <c r="X103" s="13">
        <f t="shared" si="22"/>
        <v>62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</row>
    <row r="105" ht="12.75" customHeight="1">
      <c r="A105" s="31" t="s">
        <v>36</v>
      </c>
      <c r="B105" s="50" t="s">
        <v>90</v>
      </c>
      <c r="C105" s="51" t="s">
        <v>91</v>
      </c>
      <c r="D105" s="16"/>
      <c r="E105" s="79">
        <v>0.0</v>
      </c>
      <c r="F105" s="79">
        <v>0.0</v>
      </c>
      <c r="G105" s="79">
        <v>1.0</v>
      </c>
      <c r="H105" s="79">
        <v>1.0</v>
      </c>
      <c r="I105" s="79">
        <v>1.0</v>
      </c>
      <c r="J105" s="79">
        <v>3.0</v>
      </c>
      <c r="K105" s="79">
        <v>1.0</v>
      </c>
      <c r="L105" s="79">
        <v>0.0</v>
      </c>
      <c r="M105" s="79">
        <v>1.0</v>
      </c>
      <c r="N105" s="79">
        <v>0.0</v>
      </c>
      <c r="O105" s="79">
        <v>0.0</v>
      </c>
      <c r="P105" s="79">
        <v>0.0</v>
      </c>
      <c r="Q105" s="79">
        <v>0.0</v>
      </c>
      <c r="R105" s="79">
        <v>0.0</v>
      </c>
      <c r="S105" s="79">
        <v>2.0</v>
      </c>
      <c r="T105" s="79">
        <v>1.0</v>
      </c>
      <c r="U105" s="79">
        <v>2.0</v>
      </c>
      <c r="V105" s="79">
        <v>0.0</v>
      </c>
      <c r="W105" s="79">
        <v>1.0</v>
      </c>
      <c r="X105" s="13">
        <f t="shared" ref="X105:X107" si="24">SUM(E105:W105)</f>
        <v>14</v>
      </c>
    </row>
    <row r="106" ht="12.75" customHeight="1">
      <c r="A106" s="31" t="s">
        <v>38</v>
      </c>
      <c r="B106" s="58"/>
      <c r="C106" s="53" t="s">
        <v>92</v>
      </c>
      <c r="D106" s="61"/>
      <c r="E106" s="79">
        <v>0.0</v>
      </c>
      <c r="F106" s="79">
        <v>0.0</v>
      </c>
      <c r="G106" s="79">
        <v>0.0</v>
      </c>
      <c r="H106" s="79">
        <v>1.0</v>
      </c>
      <c r="I106" s="79">
        <v>0.0</v>
      </c>
      <c r="J106" s="79">
        <v>0.0</v>
      </c>
      <c r="K106" s="79">
        <v>1.0</v>
      </c>
      <c r="L106" s="79">
        <v>0.0</v>
      </c>
      <c r="M106" s="79">
        <v>1.0</v>
      </c>
      <c r="N106" s="79">
        <v>1.0</v>
      </c>
      <c r="O106" s="79">
        <v>0.0</v>
      </c>
      <c r="P106" s="79">
        <v>0.0</v>
      </c>
      <c r="Q106" s="79">
        <v>0.0</v>
      </c>
      <c r="R106" s="79">
        <v>1.0</v>
      </c>
      <c r="S106" s="79">
        <v>0.0</v>
      </c>
      <c r="T106" s="79">
        <v>0.0</v>
      </c>
      <c r="U106" s="79">
        <v>1.0</v>
      </c>
      <c r="V106" s="79">
        <v>1.0</v>
      </c>
      <c r="W106" s="79">
        <v>0.0</v>
      </c>
      <c r="X106" s="13">
        <f t="shared" si="24"/>
        <v>7</v>
      </c>
    </row>
    <row r="107" ht="12.75" customHeight="1">
      <c r="A107" s="18"/>
      <c r="B107" s="58"/>
      <c r="C107" s="53" t="s">
        <v>93</v>
      </c>
      <c r="D107" s="61"/>
      <c r="E107" s="79">
        <v>0.0</v>
      </c>
      <c r="F107" s="79">
        <v>0.0</v>
      </c>
      <c r="G107" s="79">
        <v>0.0</v>
      </c>
      <c r="H107" s="79">
        <v>1.0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0.0</v>
      </c>
      <c r="O107" s="79">
        <v>0.0</v>
      </c>
      <c r="P107" s="79">
        <v>0.0</v>
      </c>
      <c r="Q107" s="79">
        <v>0.0</v>
      </c>
      <c r="R107" s="79">
        <v>1.0</v>
      </c>
      <c r="S107" s="79">
        <v>0.0</v>
      </c>
      <c r="T107" s="79">
        <v>0.0</v>
      </c>
      <c r="U107" s="79">
        <v>0.0</v>
      </c>
      <c r="V107" s="79">
        <v>0.0</v>
      </c>
      <c r="W107" s="79">
        <v>0.0</v>
      </c>
      <c r="X107" s="13">
        <f t="shared" si="24"/>
        <v>2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85"/>
    </row>
    <row r="115" ht="12.75" customHeight="1">
      <c r="A115" s="19" t="s">
        <v>14</v>
      </c>
      <c r="B115" s="50" t="s">
        <v>48</v>
      </c>
      <c r="C115" s="15"/>
      <c r="D115" s="16"/>
      <c r="E115" s="13">
        <f t="shared" ref="E115:W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3</v>
      </c>
      <c r="I115" s="13">
        <f t="shared" si="25"/>
        <v>1</v>
      </c>
      <c r="J115" s="13">
        <f t="shared" si="25"/>
        <v>3</v>
      </c>
      <c r="K115" s="13">
        <f t="shared" si="25"/>
        <v>2</v>
      </c>
      <c r="L115" s="13">
        <f t="shared" si="25"/>
        <v>0</v>
      </c>
      <c r="M115" s="13">
        <f t="shared" si="25"/>
        <v>2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2</v>
      </c>
      <c r="S115" s="13">
        <f t="shared" si="25"/>
        <v>2</v>
      </c>
      <c r="T115" s="13">
        <f t="shared" si="25"/>
        <v>1</v>
      </c>
      <c r="U115" s="13">
        <f t="shared" si="25"/>
        <v>3</v>
      </c>
      <c r="V115" s="13">
        <f t="shared" si="25"/>
        <v>1</v>
      </c>
      <c r="W115" s="13">
        <f t="shared" si="25"/>
        <v>1</v>
      </c>
      <c r="X115" s="13">
        <f>SUM(E115:W115)</f>
        <v>23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13"/>
    </row>
    <row r="117" ht="12.75" customHeight="1">
      <c r="A117" s="31" t="s">
        <v>36</v>
      </c>
      <c r="B117" s="50" t="s">
        <v>94</v>
      </c>
      <c r="C117" s="51" t="s">
        <v>95</v>
      </c>
      <c r="D117" s="16"/>
      <c r="E117" s="79">
        <v>0.0</v>
      </c>
      <c r="F117" s="79">
        <v>0.0</v>
      </c>
      <c r="G117" s="79">
        <v>0.0</v>
      </c>
      <c r="H117" s="79">
        <v>0.0</v>
      </c>
      <c r="I117" s="79">
        <v>1.0</v>
      </c>
      <c r="J117" s="79">
        <v>0.0</v>
      </c>
      <c r="K117" s="79">
        <v>2.0</v>
      </c>
      <c r="L117" s="79">
        <v>1.0</v>
      </c>
      <c r="M117" s="79">
        <v>0.0</v>
      </c>
      <c r="N117" s="79">
        <v>0.0</v>
      </c>
      <c r="O117" s="79">
        <v>0.0</v>
      </c>
      <c r="P117" s="79">
        <v>1.0</v>
      </c>
      <c r="Q117" s="79">
        <v>1.0</v>
      </c>
      <c r="R117" s="79">
        <v>0.0</v>
      </c>
      <c r="S117" s="79">
        <v>3.0</v>
      </c>
      <c r="T117" s="79">
        <v>4.0</v>
      </c>
      <c r="U117" s="79">
        <v>0.0</v>
      </c>
      <c r="V117" s="79">
        <v>1.0</v>
      </c>
      <c r="W117" s="79">
        <v>1.0</v>
      </c>
      <c r="X117" s="13">
        <f t="shared" ref="X117:X122" si="26">SUM(E117:W117)</f>
        <v>15</v>
      </c>
      <c r="Y117" s="5"/>
      <c r="Z117" s="5"/>
    </row>
    <row r="118" ht="12.75" customHeight="1">
      <c r="A118" s="31" t="s">
        <v>38</v>
      </c>
      <c r="B118" s="58"/>
      <c r="C118" s="53" t="s">
        <v>96</v>
      </c>
      <c r="D118" s="61"/>
      <c r="E118" s="79">
        <v>0.0</v>
      </c>
      <c r="F118" s="79">
        <v>0.0</v>
      </c>
      <c r="G118" s="79">
        <v>0.0</v>
      </c>
      <c r="H118" s="79">
        <v>0.0</v>
      </c>
      <c r="I118" s="79">
        <v>1.0</v>
      </c>
      <c r="J118" s="79">
        <v>0.0</v>
      </c>
      <c r="K118" s="79">
        <v>0.0</v>
      </c>
      <c r="L118" s="79">
        <v>1.0</v>
      </c>
      <c r="M118" s="79">
        <v>0.0</v>
      </c>
      <c r="N118" s="79">
        <v>0.0</v>
      </c>
      <c r="O118" s="79">
        <v>0.0</v>
      </c>
      <c r="P118" s="79">
        <v>1.0</v>
      </c>
      <c r="Q118" s="79">
        <v>0.0</v>
      </c>
      <c r="R118" s="79">
        <v>2.0</v>
      </c>
      <c r="S118" s="79">
        <v>0.0</v>
      </c>
      <c r="T118" s="79">
        <v>0.0</v>
      </c>
      <c r="U118" s="79">
        <v>0.0</v>
      </c>
      <c r="V118" s="79">
        <v>0.0</v>
      </c>
      <c r="W118" s="79">
        <v>0.0</v>
      </c>
      <c r="X118" s="13">
        <f t="shared" si="26"/>
        <v>5</v>
      </c>
      <c r="Y118" s="5"/>
      <c r="Z118" s="5"/>
    </row>
    <row r="119" ht="12.75" customHeight="1">
      <c r="A119" s="18"/>
      <c r="B119" s="58"/>
      <c r="C119" s="53" t="s">
        <v>97</v>
      </c>
      <c r="D119" s="61"/>
      <c r="E119" s="79">
        <v>0.0</v>
      </c>
      <c r="F119" s="79">
        <v>0.0</v>
      </c>
      <c r="G119" s="79">
        <v>0.0</v>
      </c>
      <c r="H119" s="79">
        <v>0.0</v>
      </c>
      <c r="I119" s="79">
        <v>0.0</v>
      </c>
      <c r="J119" s="79">
        <v>0.0</v>
      </c>
      <c r="K119" s="79">
        <v>0.0</v>
      </c>
      <c r="L119" s="79">
        <v>0.0</v>
      </c>
      <c r="M119" s="79">
        <v>0.0</v>
      </c>
      <c r="N119" s="79">
        <v>0.0</v>
      </c>
      <c r="O119" s="79">
        <v>0.0</v>
      </c>
      <c r="P119" s="79">
        <v>0.0</v>
      </c>
      <c r="Q119" s="79">
        <v>0.0</v>
      </c>
      <c r="R119" s="79">
        <v>0.0</v>
      </c>
      <c r="S119" s="79">
        <v>0.0</v>
      </c>
      <c r="T119" s="79">
        <v>0.0</v>
      </c>
      <c r="U119" s="79">
        <v>0.0</v>
      </c>
      <c r="V119" s="79">
        <v>0.0</v>
      </c>
      <c r="W119" s="79">
        <v>1.0</v>
      </c>
      <c r="X119" s="13">
        <f t="shared" si="26"/>
        <v>1</v>
      </c>
      <c r="Y119" s="5"/>
      <c r="Z119" s="5"/>
    </row>
    <row r="120" ht="12.75" customHeight="1">
      <c r="A120" s="18"/>
      <c r="B120" s="58"/>
      <c r="C120" s="53" t="s">
        <v>98</v>
      </c>
      <c r="D120" s="61"/>
      <c r="E120" s="79">
        <v>1.0</v>
      </c>
      <c r="F120" s="79">
        <v>0.0</v>
      </c>
      <c r="G120" s="79">
        <v>1.0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79">
        <v>0.0</v>
      </c>
      <c r="O120" s="79">
        <v>0.0</v>
      </c>
      <c r="P120" s="79">
        <v>1.0</v>
      </c>
      <c r="Q120" s="79">
        <v>0.0</v>
      </c>
      <c r="R120" s="79">
        <v>1.0</v>
      </c>
      <c r="S120" s="79">
        <v>0.0</v>
      </c>
      <c r="T120" s="79">
        <v>0.0</v>
      </c>
      <c r="U120" s="79">
        <v>0.0</v>
      </c>
      <c r="V120" s="79">
        <v>0.0</v>
      </c>
      <c r="W120" s="79">
        <v>0.0</v>
      </c>
      <c r="X120" s="13">
        <f t="shared" si="26"/>
        <v>4</v>
      </c>
      <c r="Y120" s="5"/>
      <c r="Z120" s="5"/>
    </row>
    <row r="121" ht="12.75" customHeight="1">
      <c r="A121" s="18"/>
      <c r="B121" s="58"/>
      <c r="C121" s="53" t="s">
        <v>99</v>
      </c>
      <c r="D121" s="61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79">
        <v>0.0</v>
      </c>
      <c r="Q121" s="79">
        <v>2.0</v>
      </c>
      <c r="R121" s="79">
        <v>0.0</v>
      </c>
      <c r="S121" s="79">
        <v>0.0</v>
      </c>
      <c r="T121" s="79">
        <v>0.0</v>
      </c>
      <c r="U121" s="79">
        <v>1.0</v>
      </c>
      <c r="V121" s="79">
        <v>2.0</v>
      </c>
      <c r="W121" s="79">
        <v>0.0</v>
      </c>
      <c r="X121" s="13">
        <f t="shared" si="26"/>
        <v>5</v>
      </c>
      <c r="Y121" s="5"/>
      <c r="Z121" s="5"/>
    </row>
    <row r="122" ht="12.75" customHeight="1">
      <c r="A122" s="18"/>
      <c r="B122" s="58"/>
      <c r="C122" s="53" t="s">
        <v>100</v>
      </c>
      <c r="D122" s="61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1.0</v>
      </c>
      <c r="M122" s="79">
        <v>0.0</v>
      </c>
      <c r="N122" s="79">
        <v>0.0</v>
      </c>
      <c r="O122" s="79">
        <v>0.0</v>
      </c>
      <c r="P122" s="79">
        <v>0.0</v>
      </c>
      <c r="Q122" s="79">
        <v>0.0</v>
      </c>
      <c r="R122" s="79">
        <v>0.0</v>
      </c>
      <c r="S122" s="79">
        <v>0.0</v>
      </c>
      <c r="T122" s="79">
        <v>0.0</v>
      </c>
      <c r="U122" s="79">
        <v>0.0</v>
      </c>
      <c r="V122" s="79">
        <v>0.0</v>
      </c>
      <c r="W122" s="79">
        <v>0.0</v>
      </c>
      <c r="X122" s="13">
        <f t="shared" si="26"/>
        <v>1</v>
      </c>
      <c r="Y122" s="5"/>
      <c r="Z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85"/>
      <c r="Y123" s="5"/>
      <c r="Z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85"/>
      <c r="Y124" s="5"/>
      <c r="Z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85"/>
      <c r="Y125" s="5"/>
      <c r="Z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85"/>
      <c r="Y126" s="5"/>
      <c r="Z126" s="5"/>
    </row>
    <row r="127" ht="12.75" customHeight="1">
      <c r="A127" s="19" t="s">
        <v>14</v>
      </c>
      <c r="B127" s="50" t="s">
        <v>48</v>
      </c>
      <c r="C127" s="15"/>
      <c r="D127" s="16"/>
      <c r="E127" s="67">
        <f t="shared" ref="E127:W127" si="27">SUM(E117:E126)</f>
        <v>1</v>
      </c>
      <c r="F127" s="67">
        <f t="shared" si="27"/>
        <v>0</v>
      </c>
      <c r="G127" s="67">
        <f t="shared" si="27"/>
        <v>1</v>
      </c>
      <c r="H127" s="67">
        <f t="shared" si="27"/>
        <v>0</v>
      </c>
      <c r="I127" s="67">
        <f t="shared" si="27"/>
        <v>2</v>
      </c>
      <c r="J127" s="67">
        <f t="shared" si="27"/>
        <v>0</v>
      </c>
      <c r="K127" s="67">
        <f t="shared" si="27"/>
        <v>2</v>
      </c>
      <c r="L127" s="67">
        <f t="shared" si="27"/>
        <v>3</v>
      </c>
      <c r="M127" s="67">
        <f t="shared" si="27"/>
        <v>0</v>
      </c>
      <c r="N127" s="67">
        <f t="shared" si="27"/>
        <v>0</v>
      </c>
      <c r="O127" s="67">
        <f t="shared" si="27"/>
        <v>0</v>
      </c>
      <c r="P127" s="67">
        <f t="shared" si="27"/>
        <v>3</v>
      </c>
      <c r="Q127" s="67">
        <f t="shared" si="27"/>
        <v>3</v>
      </c>
      <c r="R127" s="67">
        <f t="shared" si="27"/>
        <v>3</v>
      </c>
      <c r="S127" s="67">
        <f t="shared" si="27"/>
        <v>3</v>
      </c>
      <c r="T127" s="67">
        <f t="shared" si="27"/>
        <v>4</v>
      </c>
      <c r="U127" s="67">
        <f t="shared" si="27"/>
        <v>1</v>
      </c>
      <c r="V127" s="67">
        <f t="shared" si="27"/>
        <v>3</v>
      </c>
      <c r="W127" s="67">
        <f t="shared" si="27"/>
        <v>2</v>
      </c>
      <c r="X127" s="13">
        <f>SUM(E127:W127)</f>
        <v>31</v>
      </c>
      <c r="Y127" s="5"/>
      <c r="Z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5"/>
      <c r="Z128" s="5"/>
    </row>
    <row r="129" ht="12.75" customHeight="1">
      <c r="A129" s="31" t="s">
        <v>36</v>
      </c>
      <c r="B129" s="50" t="s">
        <v>101</v>
      </c>
      <c r="C129" s="51" t="s">
        <v>102</v>
      </c>
      <c r="D129" s="16"/>
      <c r="E129" s="79">
        <v>2.0</v>
      </c>
      <c r="F129" s="79">
        <v>1.0</v>
      </c>
      <c r="G129" s="79">
        <v>1.0</v>
      </c>
      <c r="H129" s="79">
        <v>0.0</v>
      </c>
      <c r="I129" s="79">
        <v>0.0</v>
      </c>
      <c r="J129" s="79">
        <v>1.0</v>
      </c>
      <c r="K129" s="79">
        <v>0.0</v>
      </c>
      <c r="L129" s="79">
        <v>0.0</v>
      </c>
      <c r="M129" s="79">
        <v>0.0</v>
      </c>
      <c r="N129" s="79">
        <v>0.0</v>
      </c>
      <c r="O129" s="79">
        <v>0.0</v>
      </c>
      <c r="P129" s="79">
        <v>0.0</v>
      </c>
      <c r="Q129" s="79">
        <v>0.0</v>
      </c>
      <c r="R129" s="79">
        <v>0.0</v>
      </c>
      <c r="S129" s="79">
        <v>1.0</v>
      </c>
      <c r="T129" s="79">
        <v>0.0</v>
      </c>
      <c r="U129" s="79">
        <v>1.0</v>
      </c>
      <c r="V129" s="79">
        <v>0.0</v>
      </c>
      <c r="W129" s="79">
        <v>0.0</v>
      </c>
      <c r="X129" s="13">
        <f t="shared" ref="X129:X139" si="28">SUM(E129:W129)</f>
        <v>7</v>
      </c>
      <c r="Y129" s="5"/>
      <c r="Z129" s="5"/>
    </row>
    <row r="130" ht="12.75" customHeight="1">
      <c r="A130" s="31" t="s">
        <v>38</v>
      </c>
      <c r="B130" s="58"/>
      <c r="C130" s="53" t="s">
        <v>103</v>
      </c>
      <c r="D130" s="60"/>
      <c r="E130" s="79">
        <v>1.0</v>
      </c>
      <c r="F130" s="79">
        <v>5.0</v>
      </c>
      <c r="G130" s="79">
        <v>3.0</v>
      </c>
      <c r="H130" s="79">
        <v>1.0</v>
      </c>
      <c r="I130" s="79">
        <v>0.0</v>
      </c>
      <c r="J130" s="79">
        <v>5.0</v>
      </c>
      <c r="K130" s="79">
        <v>2.0</v>
      </c>
      <c r="L130" s="79">
        <v>6.0</v>
      </c>
      <c r="M130" s="79">
        <v>1.0</v>
      </c>
      <c r="N130" s="79">
        <v>1.0</v>
      </c>
      <c r="O130" s="79">
        <v>0.0</v>
      </c>
      <c r="P130" s="79">
        <v>1.0</v>
      </c>
      <c r="Q130" s="79">
        <v>0.0</v>
      </c>
      <c r="R130" s="79">
        <v>0.0</v>
      </c>
      <c r="S130" s="79">
        <v>3.0</v>
      </c>
      <c r="T130" s="79">
        <v>2.0</v>
      </c>
      <c r="U130" s="79">
        <v>0.0</v>
      </c>
      <c r="V130" s="79">
        <v>0.0</v>
      </c>
      <c r="W130" s="79">
        <v>0.0</v>
      </c>
      <c r="X130" s="13">
        <f t="shared" si="28"/>
        <v>31</v>
      </c>
      <c r="Y130" s="1"/>
      <c r="Z130" s="1"/>
    </row>
    <row r="131" ht="12.75" customHeight="1">
      <c r="A131" s="18"/>
      <c r="B131" s="58"/>
      <c r="C131" s="53" t="s">
        <v>104</v>
      </c>
      <c r="D131" s="60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0.0</v>
      </c>
      <c r="N131" s="79">
        <v>0.0</v>
      </c>
      <c r="O131" s="79">
        <v>0.0</v>
      </c>
      <c r="P131" s="79">
        <v>1.0</v>
      </c>
      <c r="Q131" s="79">
        <v>0.0</v>
      </c>
      <c r="R131" s="79">
        <v>0.0</v>
      </c>
      <c r="S131" s="79">
        <v>0.0</v>
      </c>
      <c r="T131" s="79">
        <v>0.0</v>
      </c>
      <c r="U131" s="79">
        <v>0.0</v>
      </c>
      <c r="V131" s="79">
        <v>0.0</v>
      </c>
      <c r="W131" s="79">
        <v>0.0</v>
      </c>
      <c r="X131" s="13">
        <f t="shared" si="28"/>
        <v>1</v>
      </c>
      <c r="Y131" s="55"/>
      <c r="Z131" s="55"/>
    </row>
    <row r="132" ht="12.75" customHeight="1">
      <c r="A132" s="18"/>
      <c r="B132" s="58"/>
      <c r="C132" s="53" t="s">
        <v>105</v>
      </c>
      <c r="D132" s="60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0.0</v>
      </c>
      <c r="L132" s="79">
        <v>0.0</v>
      </c>
      <c r="M132" s="79">
        <v>0.0</v>
      </c>
      <c r="N132" s="79">
        <v>0.0</v>
      </c>
      <c r="O132" s="79">
        <v>0.0</v>
      </c>
      <c r="P132" s="79">
        <v>0.0</v>
      </c>
      <c r="Q132" s="79">
        <v>0.0</v>
      </c>
      <c r="R132" s="79">
        <v>0.0</v>
      </c>
      <c r="S132" s="79">
        <v>0.0</v>
      </c>
      <c r="T132" s="79">
        <v>0.0</v>
      </c>
      <c r="U132" s="79">
        <v>0.0</v>
      </c>
      <c r="V132" s="79">
        <v>0.0</v>
      </c>
      <c r="W132" s="79">
        <v>0.0</v>
      </c>
      <c r="X132" s="13">
        <f t="shared" si="28"/>
        <v>0</v>
      </c>
      <c r="Y132" s="5"/>
      <c r="Z132" s="5"/>
    </row>
    <row r="133" ht="12.75" customHeight="1">
      <c r="A133" s="18"/>
      <c r="B133" s="58"/>
      <c r="C133" s="53" t="s">
        <v>106</v>
      </c>
      <c r="D133" s="60"/>
      <c r="E133" s="79">
        <v>1.0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79">
        <v>0.0</v>
      </c>
      <c r="R133" s="79">
        <v>0.0</v>
      </c>
      <c r="S133" s="79">
        <v>0.0</v>
      </c>
      <c r="T133" s="79">
        <v>0.0</v>
      </c>
      <c r="U133" s="79">
        <v>0.0</v>
      </c>
      <c r="V133" s="79">
        <v>0.0</v>
      </c>
      <c r="W133" s="79">
        <v>0.0</v>
      </c>
      <c r="X133" s="13">
        <f t="shared" si="28"/>
        <v>1</v>
      </c>
      <c r="Y133" s="5"/>
      <c r="Z133" s="5"/>
    </row>
    <row r="134" ht="12.75" customHeight="1">
      <c r="A134" s="18"/>
      <c r="B134" s="58"/>
      <c r="C134" s="53" t="s">
        <v>107</v>
      </c>
      <c r="D134" s="60"/>
      <c r="E134" s="79">
        <v>0.0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79">
        <v>0.0</v>
      </c>
      <c r="R134" s="79">
        <v>0.0</v>
      </c>
      <c r="S134" s="79">
        <v>0.0</v>
      </c>
      <c r="T134" s="79">
        <v>0.0</v>
      </c>
      <c r="U134" s="79">
        <v>0.0</v>
      </c>
      <c r="V134" s="79">
        <v>0.0</v>
      </c>
      <c r="W134" s="79">
        <v>0.0</v>
      </c>
      <c r="X134" s="13">
        <f t="shared" si="28"/>
        <v>0</v>
      </c>
      <c r="Y134" s="5"/>
      <c r="Z134" s="5"/>
    </row>
    <row r="135" ht="12.75" customHeight="1">
      <c r="A135" s="18"/>
      <c r="B135" s="58"/>
      <c r="C135" s="53" t="s">
        <v>108</v>
      </c>
      <c r="D135" s="61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79">
        <v>0.0</v>
      </c>
      <c r="N135" s="79">
        <v>0.0</v>
      </c>
      <c r="O135" s="79">
        <v>0.0</v>
      </c>
      <c r="P135" s="79">
        <v>1.0</v>
      </c>
      <c r="Q135" s="79">
        <v>0.0</v>
      </c>
      <c r="R135" s="79">
        <v>0.0</v>
      </c>
      <c r="S135" s="79">
        <v>1.0</v>
      </c>
      <c r="T135" s="79">
        <v>0.0</v>
      </c>
      <c r="U135" s="79">
        <v>2.0</v>
      </c>
      <c r="V135" s="79">
        <v>0.0</v>
      </c>
      <c r="W135" s="79">
        <v>0.0</v>
      </c>
      <c r="X135" s="13">
        <f t="shared" si="28"/>
        <v>4</v>
      </c>
      <c r="Y135" s="5"/>
      <c r="Z135" s="5"/>
    </row>
    <row r="136" ht="12.75" customHeight="1">
      <c r="A136" s="18"/>
      <c r="B136" s="58"/>
      <c r="C136" s="53" t="s">
        <v>109</v>
      </c>
      <c r="D136" s="60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79">
        <v>0.0</v>
      </c>
      <c r="R136" s="79">
        <v>0.0</v>
      </c>
      <c r="S136" s="79">
        <v>1.0</v>
      </c>
      <c r="T136" s="79">
        <v>0.0</v>
      </c>
      <c r="U136" s="79">
        <v>0.0</v>
      </c>
      <c r="V136" s="79">
        <v>0.0</v>
      </c>
      <c r="W136" s="79">
        <v>0.0</v>
      </c>
      <c r="X136" s="13">
        <f t="shared" si="28"/>
        <v>1</v>
      </c>
      <c r="Y136" s="5"/>
      <c r="Z136" s="5"/>
    </row>
    <row r="137" ht="12.75" customHeight="1">
      <c r="A137" s="18"/>
      <c r="B137" s="58"/>
      <c r="C137" s="53" t="s">
        <v>110</v>
      </c>
      <c r="D137" s="60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1.0</v>
      </c>
      <c r="K137" s="79">
        <v>0.0</v>
      </c>
      <c r="L137" s="79">
        <v>0.0</v>
      </c>
      <c r="M137" s="79">
        <v>0.0</v>
      </c>
      <c r="N137" s="79">
        <v>0.0</v>
      </c>
      <c r="O137" s="79">
        <v>0.0</v>
      </c>
      <c r="P137" s="79">
        <v>0.0</v>
      </c>
      <c r="Q137" s="79">
        <v>0.0</v>
      </c>
      <c r="R137" s="79">
        <v>0.0</v>
      </c>
      <c r="S137" s="79">
        <v>0.0</v>
      </c>
      <c r="T137" s="79">
        <v>0.0</v>
      </c>
      <c r="U137" s="79">
        <v>0.0</v>
      </c>
      <c r="V137" s="79">
        <v>0.0</v>
      </c>
      <c r="W137" s="79">
        <v>0.0</v>
      </c>
      <c r="X137" s="13">
        <f t="shared" si="28"/>
        <v>1</v>
      </c>
      <c r="Y137" s="5"/>
      <c r="Z137" s="5"/>
    </row>
    <row r="138" ht="12.75" customHeight="1">
      <c r="A138" s="18"/>
      <c r="B138" s="58"/>
      <c r="C138" s="53" t="s">
        <v>111</v>
      </c>
      <c r="D138" s="60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2.0</v>
      </c>
      <c r="M138" s="79">
        <v>0.0</v>
      </c>
      <c r="N138" s="79">
        <v>0.0</v>
      </c>
      <c r="O138" s="79">
        <v>0.0</v>
      </c>
      <c r="P138" s="79">
        <v>0.0</v>
      </c>
      <c r="Q138" s="79">
        <v>0.0</v>
      </c>
      <c r="R138" s="79">
        <v>0.0</v>
      </c>
      <c r="S138" s="79">
        <v>0.0</v>
      </c>
      <c r="T138" s="79">
        <v>0.0</v>
      </c>
      <c r="U138" s="79">
        <v>0.0</v>
      </c>
      <c r="V138" s="79">
        <v>0.0</v>
      </c>
      <c r="W138" s="79">
        <v>0.0</v>
      </c>
      <c r="X138" s="13">
        <f t="shared" si="28"/>
        <v>2</v>
      </c>
      <c r="Y138" s="5"/>
      <c r="Z138" s="5"/>
    </row>
    <row r="139" ht="12.75" customHeight="1">
      <c r="A139" s="19" t="s">
        <v>14</v>
      </c>
      <c r="B139" s="50" t="s">
        <v>48</v>
      </c>
      <c r="C139" s="15"/>
      <c r="D139" s="16"/>
      <c r="E139" s="13">
        <f t="shared" ref="E139:W139" si="29">SUM(E129:E138)</f>
        <v>4</v>
      </c>
      <c r="F139" s="13">
        <f t="shared" si="29"/>
        <v>6</v>
      </c>
      <c r="G139" s="13">
        <f t="shared" si="29"/>
        <v>4</v>
      </c>
      <c r="H139" s="13">
        <f t="shared" si="29"/>
        <v>1</v>
      </c>
      <c r="I139" s="13">
        <f t="shared" si="29"/>
        <v>0</v>
      </c>
      <c r="J139" s="13">
        <f t="shared" si="29"/>
        <v>7</v>
      </c>
      <c r="K139" s="13">
        <f t="shared" si="29"/>
        <v>2</v>
      </c>
      <c r="L139" s="13">
        <f t="shared" si="29"/>
        <v>8</v>
      </c>
      <c r="M139" s="13">
        <f t="shared" si="29"/>
        <v>1</v>
      </c>
      <c r="N139" s="13">
        <f t="shared" si="29"/>
        <v>1</v>
      </c>
      <c r="O139" s="13">
        <f t="shared" si="29"/>
        <v>0</v>
      </c>
      <c r="P139" s="13">
        <f t="shared" si="29"/>
        <v>3</v>
      </c>
      <c r="Q139" s="13">
        <f t="shared" si="29"/>
        <v>0</v>
      </c>
      <c r="R139" s="13">
        <f t="shared" si="29"/>
        <v>0</v>
      </c>
      <c r="S139" s="13">
        <f t="shared" si="29"/>
        <v>6</v>
      </c>
      <c r="T139" s="13">
        <f t="shared" si="29"/>
        <v>2</v>
      </c>
      <c r="U139" s="13">
        <f t="shared" si="29"/>
        <v>3</v>
      </c>
      <c r="V139" s="13">
        <f t="shared" si="29"/>
        <v>0</v>
      </c>
      <c r="W139" s="13">
        <f t="shared" si="29"/>
        <v>0</v>
      </c>
      <c r="X139" s="13">
        <f t="shared" si="28"/>
        <v>48</v>
      </c>
      <c r="Y139" s="5"/>
      <c r="Z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5"/>
      <c r="Z140" s="5"/>
    </row>
    <row r="141" ht="12.75" customHeight="1">
      <c r="A141" s="31" t="s">
        <v>36</v>
      </c>
      <c r="B141" s="50" t="s">
        <v>112</v>
      </c>
      <c r="C141" s="51" t="s">
        <v>113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79">
        <v>0.0</v>
      </c>
      <c r="R141" s="79">
        <v>0.0</v>
      </c>
      <c r="S141" s="79">
        <v>0.0</v>
      </c>
      <c r="T141" s="79">
        <v>0.0</v>
      </c>
      <c r="U141" s="79">
        <v>0.0</v>
      </c>
      <c r="V141" s="79">
        <v>0.0</v>
      </c>
      <c r="W141" s="79">
        <v>0.0</v>
      </c>
      <c r="X141" s="13">
        <f t="shared" ref="X141:X144" si="30">SUM(E141:W141)</f>
        <v>0</v>
      </c>
      <c r="Y141" s="1"/>
      <c r="Z141" s="1"/>
    </row>
    <row r="142" ht="12.75" customHeight="1">
      <c r="A142" s="31" t="s">
        <v>38</v>
      </c>
      <c r="B142" s="58"/>
      <c r="C142" s="53" t="s">
        <v>114</v>
      </c>
      <c r="D142" s="61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0.0</v>
      </c>
      <c r="O142" s="79">
        <v>0.0</v>
      </c>
      <c r="P142" s="79">
        <v>0.0</v>
      </c>
      <c r="Q142" s="79">
        <v>0.0</v>
      </c>
      <c r="R142" s="79">
        <v>0.0</v>
      </c>
      <c r="S142" s="79">
        <v>0.0</v>
      </c>
      <c r="T142" s="79">
        <v>0.0</v>
      </c>
      <c r="U142" s="79">
        <v>0.0</v>
      </c>
      <c r="V142" s="79">
        <v>0.0</v>
      </c>
      <c r="W142" s="79">
        <v>0.0</v>
      </c>
      <c r="X142" s="13">
        <f t="shared" si="30"/>
        <v>0</v>
      </c>
      <c r="Y142" s="55"/>
      <c r="Z142" s="55"/>
    </row>
    <row r="143" ht="12.75" customHeight="1">
      <c r="A143" s="18"/>
      <c r="B143" s="58"/>
      <c r="C143" s="53" t="s">
        <v>115</v>
      </c>
      <c r="D143" s="61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79">
        <v>0.0</v>
      </c>
      <c r="R143" s="79">
        <v>0.0</v>
      </c>
      <c r="S143" s="79">
        <v>0.0</v>
      </c>
      <c r="T143" s="79">
        <v>0.0</v>
      </c>
      <c r="U143" s="79">
        <v>0.0</v>
      </c>
      <c r="V143" s="79">
        <v>0.0</v>
      </c>
      <c r="W143" s="79">
        <v>0.0</v>
      </c>
      <c r="X143" s="13">
        <f t="shared" si="30"/>
        <v>0</v>
      </c>
      <c r="Y143" s="5"/>
      <c r="Z143" s="5"/>
    </row>
    <row r="144" ht="12.75" customHeight="1">
      <c r="A144" s="18"/>
      <c r="B144" s="58"/>
      <c r="C144" s="53" t="s">
        <v>116</v>
      </c>
      <c r="D144" s="61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79">
        <v>0.0</v>
      </c>
      <c r="R144" s="79">
        <v>0.0</v>
      </c>
      <c r="S144" s="79">
        <v>0.0</v>
      </c>
      <c r="T144" s="79">
        <v>0.0</v>
      </c>
      <c r="U144" s="79">
        <v>0.0</v>
      </c>
      <c r="V144" s="79">
        <v>0.0</v>
      </c>
      <c r="W144" s="79">
        <v>0.0</v>
      </c>
      <c r="X144" s="13">
        <f t="shared" si="30"/>
        <v>0</v>
      </c>
      <c r="Y144" s="5"/>
      <c r="Z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85"/>
      <c r="Y145" s="5"/>
      <c r="Z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85"/>
      <c r="Y146" s="5"/>
      <c r="Z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85"/>
      <c r="Y147" s="5"/>
      <c r="Z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85"/>
      <c r="Y148" s="5"/>
      <c r="Z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85"/>
      <c r="Y149" s="5"/>
      <c r="Z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85"/>
      <c r="Y150" s="5"/>
      <c r="Z150" s="5"/>
    </row>
    <row r="151" ht="12.75" customHeight="1">
      <c r="A151" s="19" t="s">
        <v>14</v>
      </c>
      <c r="B151" s="50" t="s">
        <v>48</v>
      </c>
      <c r="C151" s="15"/>
      <c r="D151" s="16"/>
      <c r="E151" s="13">
        <f t="shared" ref="E151:W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>SUM(E151:W151)</f>
        <v>0</v>
      </c>
      <c r="Y151" s="1"/>
      <c r="Z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13"/>
      <c r="Y152" s="55"/>
      <c r="Z152" s="55"/>
    </row>
    <row r="153" ht="12.75" customHeight="1">
      <c r="A153" s="31" t="s">
        <v>36</v>
      </c>
      <c r="B153" s="17" t="s">
        <v>117</v>
      </c>
      <c r="C153" s="68" t="s">
        <v>118</v>
      </c>
      <c r="D153" s="23"/>
      <c r="E153" s="79">
        <v>0.0</v>
      </c>
      <c r="F153" s="79">
        <v>0.0</v>
      </c>
      <c r="G153" s="79">
        <v>0.0</v>
      </c>
      <c r="H153" s="79">
        <v>0.0</v>
      </c>
      <c r="I153" s="79">
        <v>0.0</v>
      </c>
      <c r="J153" s="79">
        <v>0.0</v>
      </c>
      <c r="K153" s="79">
        <v>0.0</v>
      </c>
      <c r="L153" s="79">
        <v>0.0</v>
      </c>
      <c r="M153" s="79">
        <v>0.0</v>
      </c>
      <c r="N153" s="79">
        <v>0.0</v>
      </c>
      <c r="O153" s="79">
        <v>0.0</v>
      </c>
      <c r="P153" s="79">
        <v>0.0</v>
      </c>
      <c r="Q153" s="79">
        <v>0.0</v>
      </c>
      <c r="R153" s="79">
        <v>0.0</v>
      </c>
      <c r="S153" s="79">
        <v>0.0</v>
      </c>
      <c r="T153" s="79">
        <v>0.0</v>
      </c>
      <c r="U153" s="79">
        <v>1.0</v>
      </c>
      <c r="V153" s="79">
        <v>0.0</v>
      </c>
      <c r="W153" s="79">
        <v>0.0</v>
      </c>
      <c r="X153" s="13">
        <f t="shared" ref="X153:X156" si="32">SUM(E154:W154)</f>
        <v>1</v>
      </c>
      <c r="Y153" s="5"/>
      <c r="Z153" s="5"/>
    </row>
    <row r="154" ht="12.75" customHeight="1">
      <c r="A154" s="69" t="s">
        <v>38</v>
      </c>
      <c r="B154" s="58"/>
      <c r="C154" s="53" t="s">
        <v>119</v>
      </c>
      <c r="D154" s="61"/>
      <c r="E154" s="87">
        <v>0.0</v>
      </c>
      <c r="F154" s="79">
        <v>0.0</v>
      </c>
      <c r="G154" s="79">
        <v>0.0</v>
      </c>
      <c r="H154" s="79">
        <v>1.0</v>
      </c>
      <c r="I154" s="79">
        <v>0.0</v>
      </c>
      <c r="J154" s="79">
        <v>0.0</v>
      </c>
      <c r="K154" s="79">
        <v>0.0</v>
      </c>
      <c r="L154" s="79">
        <v>0.0</v>
      </c>
      <c r="M154" s="79">
        <v>0.0</v>
      </c>
      <c r="N154" s="79">
        <v>0.0</v>
      </c>
      <c r="O154" s="79">
        <v>0.0</v>
      </c>
      <c r="P154" s="79">
        <v>0.0</v>
      </c>
      <c r="Q154" s="79">
        <v>0.0</v>
      </c>
      <c r="R154" s="79">
        <v>0.0</v>
      </c>
      <c r="S154" s="79">
        <v>0.0</v>
      </c>
      <c r="T154" s="79">
        <v>0.0</v>
      </c>
      <c r="U154" s="79">
        <v>0.0</v>
      </c>
      <c r="V154" s="79">
        <v>0.0</v>
      </c>
      <c r="W154" s="79">
        <v>0.0</v>
      </c>
      <c r="X154" s="13">
        <f t="shared" si="32"/>
        <v>1</v>
      </c>
      <c r="Y154" s="5"/>
      <c r="Z154" s="5"/>
    </row>
    <row r="155" ht="12.75" customHeight="1">
      <c r="A155" s="18"/>
      <c r="B155" s="58"/>
      <c r="C155" s="53" t="s">
        <v>120</v>
      </c>
      <c r="D155" s="61"/>
      <c r="E155" s="87">
        <v>0.0</v>
      </c>
      <c r="F155" s="79">
        <v>0.0</v>
      </c>
      <c r="G155" s="79">
        <v>0.0</v>
      </c>
      <c r="H155" s="79">
        <v>0.0</v>
      </c>
      <c r="I155" s="79">
        <v>0.0</v>
      </c>
      <c r="J155" s="79">
        <v>1.0</v>
      </c>
      <c r="K155" s="79">
        <v>0.0</v>
      </c>
      <c r="L155" s="79">
        <v>0.0</v>
      </c>
      <c r="M155" s="79">
        <v>0.0</v>
      </c>
      <c r="N155" s="79">
        <v>0.0</v>
      </c>
      <c r="O155" s="79">
        <v>0.0</v>
      </c>
      <c r="P155" s="79">
        <v>0.0</v>
      </c>
      <c r="Q155" s="79">
        <v>0.0</v>
      </c>
      <c r="R155" s="79">
        <v>0.0</v>
      </c>
      <c r="S155" s="79">
        <v>0.0</v>
      </c>
      <c r="T155" s="79">
        <v>0.0</v>
      </c>
      <c r="U155" s="79">
        <v>0.0</v>
      </c>
      <c r="V155" s="79">
        <v>0.0</v>
      </c>
      <c r="W155" s="79">
        <v>0.0</v>
      </c>
      <c r="X155" s="13">
        <f t="shared" si="32"/>
        <v>0</v>
      </c>
      <c r="Y155" s="5"/>
      <c r="Z155" s="5"/>
    </row>
    <row r="156" ht="12.75" customHeight="1">
      <c r="A156" s="18"/>
      <c r="B156" s="58"/>
      <c r="C156" s="53" t="s">
        <v>121</v>
      </c>
      <c r="D156" s="61"/>
      <c r="E156" s="87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0.0</v>
      </c>
      <c r="O156" s="79">
        <v>0.0</v>
      </c>
      <c r="P156" s="79">
        <v>0.0</v>
      </c>
      <c r="Q156" s="79">
        <v>0.0</v>
      </c>
      <c r="R156" s="79">
        <v>0.0</v>
      </c>
      <c r="S156" s="79">
        <v>0.0</v>
      </c>
      <c r="T156" s="79">
        <v>0.0</v>
      </c>
      <c r="U156" s="79">
        <v>0.0</v>
      </c>
      <c r="V156" s="79">
        <v>0.0</v>
      </c>
      <c r="W156" s="79">
        <v>0.0</v>
      </c>
      <c r="X156" s="13">
        <f t="shared" si="32"/>
        <v>0</v>
      </c>
      <c r="Y156" s="5"/>
      <c r="Z156" s="5"/>
    </row>
    <row r="157" ht="12.75" customHeight="1">
      <c r="A157" s="18"/>
      <c r="B157" s="58"/>
      <c r="C157" s="53" t="s">
        <v>122</v>
      </c>
      <c r="D157" s="61"/>
      <c r="E157" s="87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0.0</v>
      </c>
      <c r="P157" s="79">
        <v>0.0</v>
      </c>
      <c r="Q157" s="79">
        <v>0.0</v>
      </c>
      <c r="R157" s="79">
        <v>0.0</v>
      </c>
      <c r="S157" s="79">
        <v>0.0</v>
      </c>
      <c r="T157" s="79">
        <v>0.0</v>
      </c>
      <c r="U157" s="79">
        <v>0.0</v>
      </c>
      <c r="V157" s="79">
        <v>0.0</v>
      </c>
      <c r="W157" s="79">
        <v>0.0</v>
      </c>
      <c r="X157" s="13">
        <f t="shared" ref="X157:X160" si="33">SUM(E163:W163)</f>
        <v>4</v>
      </c>
      <c r="Y157" s="5"/>
      <c r="Z157" s="5"/>
    </row>
    <row r="158" ht="12.75" customHeight="1">
      <c r="A158" s="18"/>
      <c r="B158" s="58"/>
      <c r="C158" s="53" t="s">
        <v>123</v>
      </c>
      <c r="D158" s="61"/>
      <c r="E158" s="87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1.0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79">
        <v>0.0</v>
      </c>
      <c r="R158" s="79">
        <v>0.0</v>
      </c>
      <c r="S158" s="79">
        <v>0.0</v>
      </c>
      <c r="T158" s="79">
        <v>0.0</v>
      </c>
      <c r="U158" s="79">
        <v>0.0</v>
      </c>
      <c r="V158" s="79">
        <v>0.0</v>
      </c>
      <c r="W158" s="79">
        <v>0.0</v>
      </c>
      <c r="X158" s="13">
        <f t="shared" si="33"/>
        <v>0</v>
      </c>
      <c r="Y158" s="5"/>
      <c r="Z158" s="5"/>
    </row>
    <row r="159" ht="12.75" customHeight="1">
      <c r="A159" s="18"/>
      <c r="B159" s="58"/>
      <c r="C159" s="53" t="s">
        <v>124</v>
      </c>
      <c r="D159" s="61"/>
      <c r="E159" s="87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79">
        <v>0.0</v>
      </c>
      <c r="R159" s="79">
        <v>0.0</v>
      </c>
      <c r="S159" s="79">
        <v>0.0</v>
      </c>
      <c r="T159" s="79">
        <v>0.0</v>
      </c>
      <c r="U159" s="79">
        <v>0.0</v>
      </c>
      <c r="V159" s="79">
        <v>0.0</v>
      </c>
      <c r="W159" s="79">
        <v>0.0</v>
      </c>
      <c r="X159" s="13">
        <f t="shared" si="33"/>
        <v>4</v>
      </c>
      <c r="Y159" s="5"/>
      <c r="Z159" s="5"/>
    </row>
    <row r="160" ht="12.75" customHeight="1">
      <c r="A160" s="18"/>
      <c r="B160" s="58"/>
      <c r="C160" s="53" t="s">
        <v>125</v>
      </c>
      <c r="D160" s="61"/>
      <c r="E160" s="87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79">
        <v>0.0</v>
      </c>
      <c r="R160" s="79">
        <v>0.0</v>
      </c>
      <c r="S160" s="79">
        <v>0.0</v>
      </c>
      <c r="T160" s="79">
        <v>0.0</v>
      </c>
      <c r="U160" s="79">
        <v>0.0</v>
      </c>
      <c r="V160" s="79">
        <v>0.0</v>
      </c>
      <c r="W160" s="79">
        <v>0.0</v>
      </c>
      <c r="X160" s="13">
        <f t="shared" si="33"/>
        <v>2</v>
      </c>
      <c r="Y160" s="5"/>
      <c r="Z160" s="5"/>
    </row>
    <row r="161" ht="12.75" customHeight="1">
      <c r="A161" s="18"/>
      <c r="B161" s="62"/>
      <c r="C161" s="70"/>
      <c r="D161" s="64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85"/>
      <c r="Y161" s="5"/>
      <c r="Z161" s="5"/>
    </row>
    <row r="162" ht="12.75" customHeight="1">
      <c r="A162" s="18"/>
      <c r="B162" s="62"/>
      <c r="C162" s="70"/>
      <c r="D162" s="64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85"/>
      <c r="Y162" s="5"/>
      <c r="Z162" s="5"/>
    </row>
    <row r="163" ht="12.75" customHeight="1">
      <c r="A163" s="19" t="s">
        <v>14</v>
      </c>
      <c r="B163" s="71" t="s">
        <v>48</v>
      </c>
      <c r="C163" s="47"/>
      <c r="D163" s="28"/>
      <c r="E163" s="13">
        <f t="shared" ref="E163:W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1</v>
      </c>
      <c r="I163" s="13">
        <f t="shared" si="34"/>
        <v>0</v>
      </c>
      <c r="J163" s="13">
        <f t="shared" si="34"/>
        <v>1</v>
      </c>
      <c r="K163" s="13">
        <f t="shared" si="34"/>
        <v>1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1</v>
      </c>
      <c r="V163" s="13">
        <f t="shared" si="34"/>
        <v>0</v>
      </c>
      <c r="W163" s="13">
        <f t="shared" si="34"/>
        <v>0</v>
      </c>
      <c r="X163" s="13">
        <f>SUM(E163:W163)</f>
        <v>4</v>
      </c>
      <c r="Y163" s="5"/>
      <c r="Z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5"/>
      <c r="Z164" s="5"/>
    </row>
    <row r="165" ht="12.75" customHeight="1">
      <c r="A165" s="31" t="s">
        <v>36</v>
      </c>
      <c r="B165" s="50" t="s">
        <v>126</v>
      </c>
      <c r="C165" s="51" t="s">
        <v>127</v>
      </c>
      <c r="D165" s="16"/>
      <c r="E165" s="79">
        <v>0.0</v>
      </c>
      <c r="F165" s="79">
        <v>0.0</v>
      </c>
      <c r="G165" s="79">
        <v>0.0</v>
      </c>
      <c r="H165" s="79">
        <v>0.0</v>
      </c>
      <c r="I165" s="79">
        <v>1.0</v>
      </c>
      <c r="J165" s="79">
        <v>0.0</v>
      </c>
      <c r="K165" s="79">
        <v>0.0</v>
      </c>
      <c r="L165" s="79">
        <v>0.0</v>
      </c>
      <c r="M165" s="79">
        <v>0.0</v>
      </c>
      <c r="N165" s="79">
        <v>0.0</v>
      </c>
      <c r="O165" s="79">
        <v>0.0</v>
      </c>
      <c r="P165" s="79">
        <v>0.0</v>
      </c>
      <c r="Q165" s="79">
        <v>0.0</v>
      </c>
      <c r="R165" s="79">
        <v>1.0</v>
      </c>
      <c r="S165" s="79">
        <v>1.0</v>
      </c>
      <c r="T165" s="79">
        <v>1.0</v>
      </c>
      <c r="U165" s="79">
        <v>0.0</v>
      </c>
      <c r="V165" s="79">
        <v>0.0</v>
      </c>
      <c r="W165" s="79">
        <v>0.0</v>
      </c>
      <c r="X165" s="13">
        <f t="shared" ref="X165:X166" si="35">SUM(E165:W165)</f>
        <v>4</v>
      </c>
      <c r="Y165" s="1"/>
      <c r="Z165" s="1"/>
    </row>
    <row r="166" ht="12.75" customHeight="1">
      <c r="A166" s="31" t="s">
        <v>38</v>
      </c>
      <c r="B166" s="58"/>
      <c r="C166" s="53" t="s">
        <v>128</v>
      </c>
      <c r="D166" s="61"/>
      <c r="E166" s="79">
        <v>0.0</v>
      </c>
      <c r="F166" s="79">
        <v>0.0</v>
      </c>
      <c r="G166" s="79">
        <v>1.0</v>
      </c>
      <c r="H166" s="79">
        <v>0.0</v>
      </c>
      <c r="I166" s="79">
        <v>0.0</v>
      </c>
      <c r="J166" s="79">
        <v>1.0</v>
      </c>
      <c r="K166" s="79">
        <v>0.0</v>
      </c>
      <c r="L166" s="79">
        <v>0.0</v>
      </c>
      <c r="M166" s="79">
        <v>0.0</v>
      </c>
      <c r="N166" s="79">
        <v>0.0</v>
      </c>
      <c r="O166" s="79">
        <v>0.0</v>
      </c>
      <c r="P166" s="79">
        <v>0.0</v>
      </c>
      <c r="Q166" s="79">
        <v>0.0</v>
      </c>
      <c r="R166" s="79">
        <v>0.0</v>
      </c>
      <c r="S166" s="79">
        <v>0.0</v>
      </c>
      <c r="T166" s="79">
        <v>0.0</v>
      </c>
      <c r="U166" s="79">
        <v>0.0</v>
      </c>
      <c r="V166" s="79">
        <v>0.0</v>
      </c>
      <c r="W166" s="79">
        <v>0.0</v>
      </c>
      <c r="X166" s="13">
        <f t="shared" si="35"/>
        <v>2</v>
      </c>
      <c r="Y166" s="55"/>
      <c r="Z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85"/>
      <c r="Y167" s="5"/>
      <c r="Z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85"/>
      <c r="Y168" s="5"/>
      <c r="Z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85"/>
      <c r="Y169" s="5"/>
      <c r="Z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85"/>
      <c r="Y170" s="5"/>
      <c r="Z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85"/>
      <c r="Y171" s="5"/>
      <c r="Z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85"/>
      <c r="Y172" s="5"/>
      <c r="Z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85"/>
      <c r="Y173" s="5"/>
      <c r="Z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85"/>
      <c r="Y174" s="5"/>
      <c r="Z174" s="5"/>
    </row>
    <row r="175" ht="12.75" customHeight="1">
      <c r="A175" s="19" t="s">
        <v>14</v>
      </c>
      <c r="B175" s="50" t="s">
        <v>48</v>
      </c>
      <c r="C175" s="15"/>
      <c r="D175" s="16"/>
      <c r="E175" s="13">
        <f t="shared" ref="E175:W175" si="36">SUM(E165:E174)</f>
        <v>0</v>
      </c>
      <c r="F175" s="13">
        <f t="shared" si="36"/>
        <v>0</v>
      </c>
      <c r="G175" s="13">
        <f t="shared" si="36"/>
        <v>1</v>
      </c>
      <c r="H175" s="13">
        <f t="shared" si="36"/>
        <v>0</v>
      </c>
      <c r="I175" s="13">
        <f t="shared" si="36"/>
        <v>1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1</v>
      </c>
      <c r="T175" s="13">
        <f t="shared" si="36"/>
        <v>1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>SUM(E175:W175)</f>
        <v>6</v>
      </c>
      <c r="Y175" s="5"/>
      <c r="Z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1"/>
      <c r="Z176" s="1"/>
    </row>
    <row r="177" ht="12.75" customHeight="1">
      <c r="A177" s="31" t="s">
        <v>36</v>
      </c>
      <c r="B177" s="50" t="s">
        <v>129</v>
      </c>
      <c r="C177" s="51" t="s">
        <v>130</v>
      </c>
      <c r="D177" s="16"/>
      <c r="E177" s="79">
        <v>1.0</v>
      </c>
      <c r="F177" s="79">
        <v>1.0</v>
      </c>
      <c r="G177" s="79">
        <v>0.0</v>
      </c>
      <c r="H177" s="79">
        <v>3.0</v>
      </c>
      <c r="I177" s="79">
        <v>0.0</v>
      </c>
      <c r="J177" s="79">
        <v>0.0</v>
      </c>
      <c r="K177" s="79">
        <v>1.0</v>
      </c>
      <c r="L177" s="79">
        <v>0.0</v>
      </c>
      <c r="M177" s="79">
        <v>0.0</v>
      </c>
      <c r="N177" s="79">
        <v>0.0</v>
      </c>
      <c r="O177" s="79">
        <v>0.0</v>
      </c>
      <c r="P177" s="79">
        <v>0.0</v>
      </c>
      <c r="Q177" s="79">
        <v>1.0</v>
      </c>
      <c r="R177" s="79">
        <v>0.0</v>
      </c>
      <c r="S177" s="79">
        <v>0.0</v>
      </c>
      <c r="T177" s="79">
        <v>0.0</v>
      </c>
      <c r="U177" s="79">
        <v>0.0</v>
      </c>
      <c r="V177" s="79">
        <v>0.0</v>
      </c>
      <c r="W177" s="79">
        <v>0.0</v>
      </c>
      <c r="X177" s="13">
        <f t="shared" ref="X177:X187" si="37">SUM(E177:W177)</f>
        <v>7</v>
      </c>
    </row>
    <row r="178" ht="12.75" customHeight="1">
      <c r="A178" s="31" t="s">
        <v>38</v>
      </c>
      <c r="B178" s="58"/>
      <c r="C178" s="53" t="s">
        <v>131</v>
      </c>
      <c r="D178" s="61"/>
      <c r="E178" s="79">
        <v>0.0</v>
      </c>
      <c r="F178" s="79">
        <v>0.0</v>
      </c>
      <c r="G178" s="79">
        <v>0.0</v>
      </c>
      <c r="H178" s="79">
        <v>0.0</v>
      </c>
      <c r="I178" s="79">
        <v>0.0</v>
      </c>
      <c r="J178" s="79">
        <v>0.0</v>
      </c>
      <c r="K178" s="79">
        <v>1.0</v>
      </c>
      <c r="L178" s="79">
        <v>0.0</v>
      </c>
      <c r="M178" s="79">
        <v>0.0</v>
      </c>
      <c r="N178" s="79">
        <v>0.0</v>
      </c>
      <c r="O178" s="79">
        <v>0.0</v>
      </c>
      <c r="P178" s="79">
        <v>0.0</v>
      </c>
      <c r="Q178" s="79">
        <v>0.0</v>
      </c>
      <c r="R178" s="79">
        <v>0.0</v>
      </c>
      <c r="S178" s="79">
        <v>0.0</v>
      </c>
      <c r="T178" s="79">
        <v>0.0</v>
      </c>
      <c r="U178" s="79">
        <v>0.0</v>
      </c>
      <c r="V178" s="79">
        <v>0.0</v>
      </c>
      <c r="W178" s="79">
        <v>1.0</v>
      </c>
      <c r="X178" s="13">
        <f t="shared" si="37"/>
        <v>2</v>
      </c>
      <c r="Y178" s="5"/>
      <c r="Z178" s="5"/>
    </row>
    <row r="179" ht="12.75" customHeight="1">
      <c r="A179" s="18"/>
      <c r="B179" s="58"/>
      <c r="C179" s="53" t="s">
        <v>132</v>
      </c>
      <c r="D179" s="61"/>
      <c r="E179" s="79">
        <v>0.0</v>
      </c>
      <c r="F179" s="79">
        <v>2.0</v>
      </c>
      <c r="G179" s="79">
        <v>0.0</v>
      </c>
      <c r="H179" s="79">
        <v>0.0</v>
      </c>
      <c r="I179" s="79">
        <v>0.0</v>
      </c>
      <c r="J179" s="79">
        <v>0.0</v>
      </c>
      <c r="K179" s="79">
        <v>0.0</v>
      </c>
      <c r="L179" s="79">
        <v>0.0</v>
      </c>
      <c r="M179" s="79">
        <v>0.0</v>
      </c>
      <c r="N179" s="79">
        <v>0.0</v>
      </c>
      <c r="O179" s="79">
        <v>0.0</v>
      </c>
      <c r="P179" s="79">
        <v>0.0</v>
      </c>
      <c r="Q179" s="79">
        <v>0.0</v>
      </c>
      <c r="R179" s="79">
        <v>1.0</v>
      </c>
      <c r="S179" s="79">
        <v>0.0</v>
      </c>
      <c r="T179" s="79">
        <v>0.0</v>
      </c>
      <c r="U179" s="79">
        <v>0.0</v>
      </c>
      <c r="V179" s="79">
        <v>0.0</v>
      </c>
      <c r="W179" s="79">
        <v>0.0</v>
      </c>
      <c r="X179" s="13">
        <f t="shared" si="37"/>
        <v>3</v>
      </c>
      <c r="Y179" s="5"/>
      <c r="Z179" s="5"/>
    </row>
    <row r="180" ht="12.75" customHeight="1">
      <c r="A180" s="18"/>
      <c r="B180" s="58"/>
      <c r="C180" s="53" t="s">
        <v>133</v>
      </c>
      <c r="D180" s="61"/>
      <c r="E180" s="79">
        <v>0.0</v>
      </c>
      <c r="F180" s="79">
        <v>0.0</v>
      </c>
      <c r="G180" s="79">
        <v>0.0</v>
      </c>
      <c r="H180" s="79">
        <v>0.0</v>
      </c>
      <c r="I180" s="79">
        <v>0.0</v>
      </c>
      <c r="J180" s="79">
        <v>0.0</v>
      </c>
      <c r="K180" s="79">
        <v>0.0</v>
      </c>
      <c r="L180" s="79">
        <v>0.0</v>
      </c>
      <c r="M180" s="79">
        <v>0.0</v>
      </c>
      <c r="N180" s="79">
        <v>0.0</v>
      </c>
      <c r="O180" s="79">
        <v>0.0</v>
      </c>
      <c r="P180" s="79">
        <v>0.0</v>
      </c>
      <c r="Q180" s="79">
        <v>0.0</v>
      </c>
      <c r="R180" s="79">
        <v>0.0</v>
      </c>
      <c r="S180" s="79">
        <v>0.0</v>
      </c>
      <c r="T180" s="79">
        <v>0.0</v>
      </c>
      <c r="U180" s="79">
        <v>0.0</v>
      </c>
      <c r="V180" s="79">
        <v>1.0</v>
      </c>
      <c r="W180" s="79">
        <v>0.0</v>
      </c>
      <c r="X180" s="13">
        <f t="shared" si="37"/>
        <v>1</v>
      </c>
      <c r="Y180" s="5"/>
      <c r="Z180" s="5"/>
    </row>
    <row r="181" ht="12.75" customHeight="1">
      <c r="A181" s="18"/>
      <c r="B181" s="58"/>
      <c r="C181" s="53" t="s">
        <v>134</v>
      </c>
      <c r="D181" s="61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0.0</v>
      </c>
      <c r="N181" s="79">
        <v>0.0</v>
      </c>
      <c r="O181" s="79">
        <v>0.0</v>
      </c>
      <c r="P181" s="79">
        <v>0.0</v>
      </c>
      <c r="Q181" s="79">
        <v>0.0</v>
      </c>
      <c r="R181" s="79">
        <v>0.0</v>
      </c>
      <c r="S181" s="79">
        <v>0.0</v>
      </c>
      <c r="T181" s="79">
        <v>0.0</v>
      </c>
      <c r="U181" s="79">
        <v>0.0</v>
      </c>
      <c r="V181" s="79">
        <v>0.0</v>
      </c>
      <c r="W181" s="79">
        <v>0.0</v>
      </c>
      <c r="X181" s="13">
        <f t="shared" si="37"/>
        <v>0</v>
      </c>
      <c r="Y181" s="5"/>
      <c r="Z181" s="5"/>
    </row>
    <row r="182" ht="12.75" customHeight="1">
      <c r="A182" s="18"/>
      <c r="B182" s="58"/>
      <c r="C182" s="53" t="s">
        <v>135</v>
      </c>
      <c r="D182" s="61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1.0</v>
      </c>
      <c r="L182" s="79">
        <v>0.0</v>
      </c>
      <c r="M182" s="79">
        <v>0.0</v>
      </c>
      <c r="N182" s="79">
        <v>0.0</v>
      </c>
      <c r="O182" s="79">
        <v>0.0</v>
      </c>
      <c r="P182" s="79">
        <v>0.0</v>
      </c>
      <c r="Q182" s="79">
        <v>0.0</v>
      </c>
      <c r="R182" s="79">
        <v>0.0</v>
      </c>
      <c r="S182" s="79">
        <v>0.0</v>
      </c>
      <c r="T182" s="79">
        <v>0.0</v>
      </c>
      <c r="U182" s="79">
        <v>0.0</v>
      </c>
      <c r="V182" s="79">
        <v>0.0</v>
      </c>
      <c r="W182" s="79">
        <v>0.0</v>
      </c>
      <c r="X182" s="13">
        <f t="shared" si="37"/>
        <v>1</v>
      </c>
      <c r="Y182" s="5"/>
      <c r="Z182" s="5"/>
    </row>
    <row r="183" ht="12.75" customHeight="1">
      <c r="A183" s="18"/>
      <c r="B183" s="58"/>
      <c r="C183" s="53" t="s">
        <v>136</v>
      </c>
      <c r="D183" s="61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79">
        <v>1.0</v>
      </c>
      <c r="R183" s="79">
        <v>0.0</v>
      </c>
      <c r="S183" s="79">
        <v>0.0</v>
      </c>
      <c r="T183" s="79">
        <v>0.0</v>
      </c>
      <c r="U183" s="79">
        <v>0.0</v>
      </c>
      <c r="V183" s="79">
        <v>0.0</v>
      </c>
      <c r="W183" s="79">
        <v>0.0</v>
      </c>
      <c r="X183" s="13">
        <f t="shared" si="37"/>
        <v>1</v>
      </c>
      <c r="Y183" s="5"/>
      <c r="Z183" s="5"/>
    </row>
    <row r="184" ht="12.75" customHeight="1">
      <c r="A184" s="18"/>
      <c r="B184" s="58"/>
      <c r="C184" s="53" t="s">
        <v>137</v>
      </c>
      <c r="D184" s="61"/>
      <c r="E184" s="79">
        <v>0.0</v>
      </c>
      <c r="F184" s="79">
        <v>0.0</v>
      </c>
      <c r="G184" s="79">
        <v>0.0</v>
      </c>
      <c r="H184" s="79">
        <v>0.0</v>
      </c>
      <c r="I184" s="79">
        <v>1.0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0.0</v>
      </c>
      <c r="P184" s="79">
        <v>0.0</v>
      </c>
      <c r="Q184" s="79">
        <v>0.0</v>
      </c>
      <c r="R184" s="79">
        <v>0.0</v>
      </c>
      <c r="S184" s="79">
        <v>0.0</v>
      </c>
      <c r="T184" s="79">
        <v>0.0</v>
      </c>
      <c r="U184" s="79">
        <v>0.0</v>
      </c>
      <c r="V184" s="79">
        <v>0.0</v>
      </c>
      <c r="W184" s="79">
        <v>0.0</v>
      </c>
      <c r="X184" s="13">
        <f t="shared" si="37"/>
        <v>1</v>
      </c>
      <c r="Y184" s="5"/>
      <c r="Z184" s="5"/>
    </row>
    <row r="185" ht="12.75" customHeight="1">
      <c r="A185" s="18"/>
      <c r="B185" s="58"/>
      <c r="C185" s="53" t="s">
        <v>138</v>
      </c>
      <c r="D185" s="61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79">
        <v>0.0</v>
      </c>
      <c r="R185" s="79">
        <v>0.0</v>
      </c>
      <c r="S185" s="79">
        <v>0.0</v>
      </c>
      <c r="T185" s="79">
        <v>0.0</v>
      </c>
      <c r="U185" s="79">
        <v>0.0</v>
      </c>
      <c r="V185" s="79">
        <v>0.0</v>
      </c>
      <c r="W185" s="79">
        <v>0.0</v>
      </c>
      <c r="X185" s="13">
        <f t="shared" si="37"/>
        <v>0</v>
      </c>
      <c r="Y185" s="5"/>
      <c r="Z185" s="5"/>
    </row>
    <row r="186" ht="12.75" customHeight="1">
      <c r="A186" s="18"/>
      <c r="B186" s="58"/>
      <c r="C186" s="53" t="s">
        <v>139</v>
      </c>
      <c r="D186" s="61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79">
        <v>0.0</v>
      </c>
      <c r="R186" s="79">
        <v>0.0</v>
      </c>
      <c r="S186" s="79">
        <v>0.0</v>
      </c>
      <c r="T186" s="79">
        <v>0.0</v>
      </c>
      <c r="U186" s="79">
        <v>0.0</v>
      </c>
      <c r="V186" s="79">
        <v>0.0</v>
      </c>
      <c r="W186" s="79">
        <v>0.0</v>
      </c>
      <c r="X186" s="13">
        <f t="shared" si="37"/>
        <v>0</v>
      </c>
      <c r="Y186" s="5"/>
      <c r="Z186" s="5"/>
    </row>
    <row r="187" ht="12.75" customHeight="1">
      <c r="A187" s="19" t="s">
        <v>14</v>
      </c>
      <c r="B187" s="50" t="s">
        <v>48</v>
      </c>
      <c r="C187" s="15"/>
      <c r="D187" s="16"/>
      <c r="E187" s="13">
        <f t="shared" ref="E187:W187" si="38">SUM(E177:E186)</f>
        <v>1</v>
      </c>
      <c r="F187" s="13">
        <f t="shared" si="38"/>
        <v>3</v>
      </c>
      <c r="G187" s="13">
        <f t="shared" si="38"/>
        <v>0</v>
      </c>
      <c r="H187" s="13">
        <f t="shared" si="38"/>
        <v>3</v>
      </c>
      <c r="I187" s="13">
        <f t="shared" si="38"/>
        <v>1</v>
      </c>
      <c r="J187" s="13">
        <f t="shared" si="38"/>
        <v>0</v>
      </c>
      <c r="K187" s="13">
        <f t="shared" si="38"/>
        <v>3</v>
      </c>
      <c r="L187" s="13">
        <f t="shared" si="38"/>
        <v>0</v>
      </c>
      <c r="M187" s="13">
        <f t="shared" si="38"/>
        <v>0</v>
      </c>
      <c r="N187" s="13">
        <f t="shared" si="38"/>
        <v>0</v>
      </c>
      <c r="O187" s="13">
        <f t="shared" si="38"/>
        <v>0</v>
      </c>
      <c r="P187" s="13">
        <f t="shared" si="38"/>
        <v>0</v>
      </c>
      <c r="Q187" s="13">
        <f t="shared" si="38"/>
        <v>2</v>
      </c>
      <c r="R187" s="13">
        <f t="shared" si="38"/>
        <v>1</v>
      </c>
      <c r="S187" s="13">
        <f t="shared" si="38"/>
        <v>0</v>
      </c>
      <c r="T187" s="13">
        <f t="shared" si="38"/>
        <v>0</v>
      </c>
      <c r="U187" s="13">
        <f t="shared" si="38"/>
        <v>0</v>
      </c>
      <c r="V187" s="13">
        <f t="shared" si="38"/>
        <v>1</v>
      </c>
      <c r="W187" s="13">
        <f t="shared" si="38"/>
        <v>1</v>
      </c>
      <c r="X187" s="13">
        <f t="shared" si="37"/>
        <v>16</v>
      </c>
      <c r="Y187" s="1"/>
      <c r="Z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13"/>
    </row>
    <row r="189" ht="12.75" customHeight="1">
      <c r="A189" s="31" t="s">
        <v>36</v>
      </c>
      <c r="B189" s="50" t="s">
        <v>140</v>
      </c>
      <c r="C189" s="51" t="s">
        <v>141</v>
      </c>
      <c r="D189" s="16"/>
      <c r="E189" s="79">
        <v>0.0</v>
      </c>
      <c r="F189" s="79">
        <v>0.0</v>
      </c>
      <c r="G189" s="79">
        <v>0.0</v>
      </c>
      <c r="H189" s="79">
        <v>2.0</v>
      </c>
      <c r="I189" s="79">
        <v>0.0</v>
      </c>
      <c r="J189" s="79">
        <v>0.0</v>
      </c>
      <c r="K189" s="79">
        <v>1.0</v>
      </c>
      <c r="L189" s="79">
        <v>0.0</v>
      </c>
      <c r="M189" s="79">
        <v>0.0</v>
      </c>
      <c r="N189" s="79">
        <v>0.0</v>
      </c>
      <c r="O189" s="79">
        <v>0.0</v>
      </c>
      <c r="P189" s="79">
        <v>0.0</v>
      </c>
      <c r="Q189" s="79">
        <v>0.0</v>
      </c>
      <c r="R189" s="79">
        <v>0.0</v>
      </c>
      <c r="S189" s="79">
        <v>0.0</v>
      </c>
      <c r="T189" s="79">
        <v>0.0</v>
      </c>
      <c r="U189" s="79">
        <v>0.0</v>
      </c>
      <c r="V189" s="79">
        <v>0.0</v>
      </c>
      <c r="W189" s="79">
        <v>1.0</v>
      </c>
      <c r="X189" s="13">
        <f t="shared" ref="X189:X199" si="39">SUM(E189:W189)</f>
        <v>4</v>
      </c>
      <c r="Y189" s="5"/>
      <c r="Z189" s="5"/>
    </row>
    <row r="190" ht="12.75" customHeight="1">
      <c r="A190" s="31" t="s">
        <v>38</v>
      </c>
      <c r="B190" s="58"/>
      <c r="C190" s="53" t="s">
        <v>142</v>
      </c>
      <c r="D190" s="61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79">
        <v>0.0</v>
      </c>
      <c r="R190" s="79">
        <v>0.0</v>
      </c>
      <c r="S190" s="79">
        <v>0.0</v>
      </c>
      <c r="T190" s="79">
        <v>0.0</v>
      </c>
      <c r="U190" s="79">
        <v>0.0</v>
      </c>
      <c r="V190" s="79">
        <v>0.0</v>
      </c>
      <c r="W190" s="79">
        <v>0.0</v>
      </c>
      <c r="X190" s="13">
        <f t="shared" si="39"/>
        <v>0</v>
      </c>
      <c r="Y190" s="5"/>
      <c r="Z190" s="5"/>
    </row>
    <row r="191" ht="12.75" customHeight="1">
      <c r="A191" s="18"/>
      <c r="B191" s="58"/>
      <c r="C191" s="53" t="s">
        <v>143</v>
      </c>
      <c r="D191" s="61"/>
      <c r="E191" s="79">
        <v>0.0</v>
      </c>
      <c r="F191" s="79">
        <v>0.0</v>
      </c>
      <c r="G191" s="79">
        <v>0.0</v>
      </c>
      <c r="H191" s="79">
        <v>0.0</v>
      </c>
      <c r="I191" s="79">
        <v>0.0</v>
      </c>
      <c r="J191" s="79">
        <v>0.0</v>
      </c>
      <c r="K191" s="79">
        <v>1.0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79">
        <v>0.0</v>
      </c>
      <c r="R191" s="79">
        <v>0.0</v>
      </c>
      <c r="S191" s="79">
        <v>0.0</v>
      </c>
      <c r="T191" s="79">
        <v>0.0</v>
      </c>
      <c r="U191" s="79">
        <v>0.0</v>
      </c>
      <c r="V191" s="79">
        <v>0.0</v>
      </c>
      <c r="W191" s="79">
        <v>0.0</v>
      </c>
      <c r="X191" s="13">
        <f t="shared" si="39"/>
        <v>1</v>
      </c>
      <c r="Y191" s="5"/>
      <c r="Z191" s="5"/>
    </row>
    <row r="192" ht="12.75" customHeight="1">
      <c r="A192" s="18"/>
      <c r="B192" s="58"/>
      <c r="C192" s="53" t="s">
        <v>144</v>
      </c>
      <c r="D192" s="61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79">
        <v>0.0</v>
      </c>
      <c r="R192" s="79">
        <v>0.0</v>
      </c>
      <c r="S192" s="79">
        <v>0.0</v>
      </c>
      <c r="T192" s="79">
        <v>0.0</v>
      </c>
      <c r="U192" s="79">
        <v>0.0</v>
      </c>
      <c r="V192" s="79">
        <v>0.0</v>
      </c>
      <c r="W192" s="79">
        <v>0.0</v>
      </c>
      <c r="X192" s="13">
        <f t="shared" si="39"/>
        <v>0</v>
      </c>
      <c r="Y192" s="5"/>
      <c r="Z192" s="5"/>
    </row>
    <row r="193" ht="12.75" customHeight="1">
      <c r="A193" s="18"/>
      <c r="B193" s="58"/>
      <c r="C193" s="53" t="s">
        <v>145</v>
      </c>
      <c r="D193" s="61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79">
        <v>0.0</v>
      </c>
      <c r="R193" s="79">
        <v>1.0</v>
      </c>
      <c r="S193" s="79">
        <v>0.0</v>
      </c>
      <c r="T193" s="79">
        <v>0.0</v>
      </c>
      <c r="U193" s="79">
        <v>0.0</v>
      </c>
      <c r="V193" s="79">
        <v>0.0</v>
      </c>
      <c r="W193" s="79">
        <v>0.0</v>
      </c>
      <c r="X193" s="13">
        <f t="shared" si="39"/>
        <v>1</v>
      </c>
      <c r="Y193" s="5"/>
      <c r="Z193" s="5"/>
    </row>
    <row r="194" ht="12.75" customHeight="1">
      <c r="A194" s="18"/>
      <c r="B194" s="58"/>
      <c r="C194" s="53" t="s">
        <v>146</v>
      </c>
      <c r="D194" s="61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79">
        <v>0.0</v>
      </c>
      <c r="R194" s="79">
        <v>0.0</v>
      </c>
      <c r="S194" s="79">
        <v>0.0</v>
      </c>
      <c r="T194" s="79">
        <v>0.0</v>
      </c>
      <c r="U194" s="79">
        <v>0.0</v>
      </c>
      <c r="V194" s="79">
        <v>0.0</v>
      </c>
      <c r="W194" s="79">
        <v>0.0</v>
      </c>
      <c r="X194" s="13">
        <f t="shared" si="39"/>
        <v>0</v>
      </c>
      <c r="Y194" s="5"/>
      <c r="Z194" s="5"/>
    </row>
    <row r="195" ht="12.75" customHeight="1">
      <c r="A195" s="18"/>
      <c r="B195" s="58"/>
      <c r="C195" s="53" t="s">
        <v>147</v>
      </c>
      <c r="D195" s="61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79">
        <v>0.0</v>
      </c>
      <c r="R195" s="79">
        <v>0.0</v>
      </c>
      <c r="S195" s="79">
        <v>0.0</v>
      </c>
      <c r="T195" s="79">
        <v>0.0</v>
      </c>
      <c r="U195" s="79">
        <v>0.0</v>
      </c>
      <c r="V195" s="79">
        <v>0.0</v>
      </c>
      <c r="W195" s="79">
        <v>0.0</v>
      </c>
      <c r="X195" s="13">
        <f t="shared" si="39"/>
        <v>0</v>
      </c>
      <c r="Y195" s="5"/>
      <c r="Z195" s="5"/>
    </row>
    <row r="196" ht="12.75" customHeight="1">
      <c r="A196" s="18"/>
      <c r="B196" s="58"/>
      <c r="C196" s="53" t="s">
        <v>148</v>
      </c>
      <c r="D196" s="61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1.0</v>
      </c>
      <c r="M196" s="79">
        <v>0.0</v>
      </c>
      <c r="N196" s="79">
        <v>0.0</v>
      </c>
      <c r="O196" s="79">
        <v>0.0</v>
      </c>
      <c r="P196" s="79">
        <v>0.0</v>
      </c>
      <c r="Q196" s="79">
        <v>0.0</v>
      </c>
      <c r="R196" s="79">
        <v>0.0</v>
      </c>
      <c r="S196" s="79">
        <v>1.0</v>
      </c>
      <c r="T196" s="79">
        <v>0.0</v>
      </c>
      <c r="U196" s="79">
        <v>0.0</v>
      </c>
      <c r="V196" s="79">
        <v>0.0</v>
      </c>
      <c r="W196" s="79">
        <v>0.0</v>
      </c>
      <c r="X196" s="13">
        <f t="shared" si="39"/>
        <v>2</v>
      </c>
      <c r="Y196" s="1"/>
      <c r="Z196" s="1"/>
    </row>
    <row r="197" ht="12.75" customHeight="1">
      <c r="A197" s="18"/>
      <c r="B197" s="58"/>
      <c r="C197" s="53" t="s">
        <v>149</v>
      </c>
      <c r="D197" s="61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79">
        <v>0.0</v>
      </c>
      <c r="R197" s="79">
        <v>0.0</v>
      </c>
      <c r="S197" s="79">
        <v>0.0</v>
      </c>
      <c r="T197" s="79">
        <v>0.0</v>
      </c>
      <c r="U197" s="79">
        <v>0.0</v>
      </c>
      <c r="V197" s="79">
        <v>0.0</v>
      </c>
      <c r="W197" s="79">
        <v>0.0</v>
      </c>
      <c r="X197" s="13">
        <f t="shared" si="39"/>
        <v>0</v>
      </c>
      <c r="Y197" s="1"/>
      <c r="Z197" s="1"/>
    </row>
    <row r="198" ht="12.75" customHeight="1">
      <c r="A198" s="18"/>
      <c r="B198" s="58"/>
      <c r="C198" s="53" t="s">
        <v>150</v>
      </c>
      <c r="D198" s="61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79">
        <v>0.0</v>
      </c>
      <c r="R198" s="79">
        <v>0.0</v>
      </c>
      <c r="S198" s="79">
        <v>0.0</v>
      </c>
      <c r="T198" s="79">
        <v>0.0</v>
      </c>
      <c r="U198" s="79">
        <v>0.0</v>
      </c>
      <c r="V198" s="79">
        <v>0.0</v>
      </c>
      <c r="W198" s="79">
        <v>0.0</v>
      </c>
      <c r="X198" s="13">
        <f t="shared" si="39"/>
        <v>0</v>
      </c>
      <c r="Y198" s="1"/>
      <c r="Z198" s="1"/>
    </row>
    <row r="199" ht="12.75" customHeight="1">
      <c r="A199" s="19" t="s">
        <v>14</v>
      </c>
      <c r="B199" s="50" t="s">
        <v>48</v>
      </c>
      <c r="C199" s="15"/>
      <c r="D199" s="16"/>
      <c r="E199" s="13">
        <f t="shared" ref="E199:W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2</v>
      </c>
      <c r="I199" s="13">
        <f t="shared" si="40"/>
        <v>0</v>
      </c>
      <c r="J199" s="13">
        <f t="shared" si="40"/>
        <v>0</v>
      </c>
      <c r="K199" s="13">
        <f t="shared" si="40"/>
        <v>2</v>
      </c>
      <c r="L199" s="13">
        <f t="shared" si="40"/>
        <v>1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1</v>
      </c>
      <c r="S199" s="13">
        <f t="shared" si="40"/>
        <v>1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1</v>
      </c>
      <c r="X199" s="13">
        <f t="shared" si="39"/>
        <v>8</v>
      </c>
      <c r="Y199" s="55"/>
      <c r="Z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5"/>
      <c r="Z200" s="5"/>
    </row>
    <row r="201" ht="12.75" customHeight="1">
      <c r="A201" s="31" t="s">
        <v>36</v>
      </c>
      <c r="B201" s="50" t="s">
        <v>151</v>
      </c>
      <c r="C201" s="51" t="s">
        <v>152</v>
      </c>
      <c r="D201" s="16"/>
      <c r="E201" s="79">
        <v>4.0</v>
      </c>
      <c r="F201" s="79">
        <v>2.0</v>
      </c>
      <c r="G201" s="79">
        <v>0.0</v>
      </c>
      <c r="H201" s="79">
        <v>2.0</v>
      </c>
      <c r="I201" s="79">
        <v>1.0</v>
      </c>
      <c r="J201" s="79">
        <v>3.0</v>
      </c>
      <c r="K201" s="79">
        <v>4.0</v>
      </c>
      <c r="L201" s="79">
        <v>1.0</v>
      </c>
      <c r="M201" s="79">
        <v>1.0</v>
      </c>
      <c r="N201" s="79">
        <v>10.0</v>
      </c>
      <c r="O201" s="79">
        <v>5.0</v>
      </c>
      <c r="P201" s="79">
        <v>1.0</v>
      </c>
      <c r="Q201" s="79">
        <v>2.0</v>
      </c>
      <c r="R201" s="79">
        <v>1.0</v>
      </c>
      <c r="S201" s="79">
        <v>4.0</v>
      </c>
      <c r="T201" s="79">
        <v>3.0</v>
      </c>
      <c r="U201" s="79">
        <v>1.0</v>
      </c>
      <c r="V201" s="79">
        <v>1.0</v>
      </c>
      <c r="W201" s="79">
        <v>2.0</v>
      </c>
      <c r="X201" s="13">
        <f t="shared" ref="X201:X211" si="41">SUM(E201:W201)</f>
        <v>48</v>
      </c>
      <c r="Y201" s="5"/>
      <c r="Z201" s="5"/>
    </row>
    <row r="202" ht="12.75" customHeight="1">
      <c r="A202" s="31" t="s">
        <v>38</v>
      </c>
      <c r="B202" s="58"/>
      <c r="C202" s="53" t="s">
        <v>153</v>
      </c>
      <c r="D202" s="61"/>
      <c r="E202" s="79">
        <v>6.0</v>
      </c>
      <c r="F202" s="79">
        <v>3.0</v>
      </c>
      <c r="G202" s="79">
        <v>4.0</v>
      </c>
      <c r="H202" s="79">
        <v>3.0</v>
      </c>
      <c r="I202" s="79">
        <v>4.0</v>
      </c>
      <c r="J202" s="79">
        <v>4.0</v>
      </c>
      <c r="K202" s="79">
        <v>3.0</v>
      </c>
      <c r="L202" s="79">
        <v>11.0</v>
      </c>
      <c r="M202" s="79">
        <v>4.0</v>
      </c>
      <c r="N202" s="79">
        <v>0.0</v>
      </c>
      <c r="O202" s="79">
        <v>7.0</v>
      </c>
      <c r="P202" s="79">
        <v>0.0</v>
      </c>
      <c r="Q202" s="79">
        <v>1.0</v>
      </c>
      <c r="R202" s="79">
        <v>2.0</v>
      </c>
      <c r="S202" s="79">
        <v>50.0</v>
      </c>
      <c r="T202" s="79">
        <v>13.0</v>
      </c>
      <c r="U202" s="79">
        <v>3.0</v>
      </c>
      <c r="V202" s="79">
        <v>4.0</v>
      </c>
      <c r="W202" s="79">
        <v>3.0</v>
      </c>
      <c r="X202" s="13">
        <f t="shared" si="41"/>
        <v>125</v>
      </c>
      <c r="Y202" s="5"/>
      <c r="Z202" s="5"/>
    </row>
    <row r="203" ht="12.75" customHeight="1">
      <c r="A203" s="18"/>
      <c r="B203" s="58"/>
      <c r="C203" s="53" t="s">
        <v>154</v>
      </c>
      <c r="D203" s="61"/>
      <c r="E203" s="79">
        <v>2.0</v>
      </c>
      <c r="F203" s="79">
        <v>1.0</v>
      </c>
      <c r="G203" s="79">
        <v>1.0</v>
      </c>
      <c r="H203" s="79">
        <v>4.0</v>
      </c>
      <c r="I203" s="79">
        <v>6.0</v>
      </c>
      <c r="J203" s="79">
        <v>2.0</v>
      </c>
      <c r="K203" s="79">
        <v>1.0</v>
      </c>
      <c r="L203" s="79">
        <v>0.0</v>
      </c>
      <c r="M203" s="79">
        <v>3.0</v>
      </c>
      <c r="N203" s="79">
        <v>4.0</v>
      </c>
      <c r="O203" s="79">
        <v>2.0</v>
      </c>
      <c r="P203" s="79">
        <v>2.0</v>
      </c>
      <c r="Q203" s="79">
        <v>1.0</v>
      </c>
      <c r="R203" s="79">
        <v>0.0</v>
      </c>
      <c r="S203" s="79">
        <v>1.0</v>
      </c>
      <c r="T203" s="79">
        <v>0.0</v>
      </c>
      <c r="U203" s="79">
        <v>1.0</v>
      </c>
      <c r="V203" s="79">
        <v>1.0</v>
      </c>
      <c r="W203" s="79">
        <v>3.0</v>
      </c>
      <c r="X203" s="13">
        <f t="shared" si="41"/>
        <v>35</v>
      </c>
      <c r="Y203" s="5"/>
      <c r="Z203" s="5"/>
    </row>
    <row r="204" ht="12.75" customHeight="1">
      <c r="A204" s="18"/>
      <c r="B204" s="58"/>
      <c r="C204" s="53" t="s">
        <v>155</v>
      </c>
      <c r="D204" s="61"/>
      <c r="E204" s="79">
        <v>1.0</v>
      </c>
      <c r="F204" s="79">
        <v>0.0</v>
      </c>
      <c r="G204" s="79">
        <v>1.0</v>
      </c>
      <c r="H204" s="79">
        <v>0.0</v>
      </c>
      <c r="I204" s="79">
        <v>0.0</v>
      </c>
      <c r="J204" s="79">
        <v>1.0</v>
      </c>
      <c r="K204" s="79">
        <v>0.0</v>
      </c>
      <c r="L204" s="79">
        <v>0.0</v>
      </c>
      <c r="M204" s="79">
        <v>1.0</v>
      </c>
      <c r="N204" s="79">
        <v>0.0</v>
      </c>
      <c r="O204" s="79">
        <v>0.0</v>
      </c>
      <c r="P204" s="79">
        <v>0.0</v>
      </c>
      <c r="Q204" s="79">
        <v>0.0</v>
      </c>
      <c r="R204" s="79">
        <v>0.0</v>
      </c>
      <c r="S204" s="79">
        <v>0.0</v>
      </c>
      <c r="T204" s="79">
        <v>0.0</v>
      </c>
      <c r="U204" s="79">
        <v>1.0</v>
      </c>
      <c r="V204" s="79">
        <v>1.0</v>
      </c>
      <c r="W204" s="79">
        <v>0.0</v>
      </c>
      <c r="X204" s="13">
        <f t="shared" si="41"/>
        <v>6</v>
      </c>
      <c r="Y204" s="5"/>
      <c r="Z204" s="5"/>
    </row>
    <row r="205" ht="12.75" customHeight="1">
      <c r="A205" s="18"/>
      <c r="B205" s="58"/>
      <c r="C205" s="53" t="s">
        <v>156</v>
      </c>
      <c r="D205" s="61"/>
      <c r="E205" s="79">
        <v>0.0</v>
      </c>
      <c r="F205" s="79">
        <v>0.0</v>
      </c>
      <c r="G205" s="79">
        <v>0.0</v>
      </c>
      <c r="H205" s="79">
        <v>0.0</v>
      </c>
      <c r="I205" s="79">
        <v>1.0</v>
      </c>
      <c r="J205" s="79">
        <v>0.0</v>
      </c>
      <c r="K205" s="79">
        <v>0.0</v>
      </c>
      <c r="L205" s="79">
        <v>0.0</v>
      </c>
      <c r="M205" s="79">
        <v>0.0</v>
      </c>
      <c r="N205" s="79">
        <v>0.0</v>
      </c>
      <c r="O205" s="79">
        <v>0.0</v>
      </c>
      <c r="P205" s="79">
        <v>0.0</v>
      </c>
      <c r="Q205" s="79">
        <v>1.0</v>
      </c>
      <c r="R205" s="79">
        <v>0.0</v>
      </c>
      <c r="S205" s="79">
        <v>2.0</v>
      </c>
      <c r="T205" s="79">
        <v>0.0</v>
      </c>
      <c r="U205" s="79">
        <v>0.0</v>
      </c>
      <c r="V205" s="79">
        <v>0.0</v>
      </c>
      <c r="W205" s="79">
        <v>0.0</v>
      </c>
      <c r="X205" s="13">
        <f t="shared" si="41"/>
        <v>4</v>
      </c>
      <c r="Y205" s="5"/>
      <c r="Z205" s="5"/>
    </row>
    <row r="206" ht="12.75" customHeight="1">
      <c r="A206" s="18"/>
      <c r="B206" s="58"/>
      <c r="C206" s="53" t="s">
        <v>157</v>
      </c>
      <c r="D206" s="61"/>
      <c r="E206" s="79">
        <v>0.0</v>
      </c>
      <c r="F206" s="79">
        <v>0.0</v>
      </c>
      <c r="G206" s="79">
        <v>0.0</v>
      </c>
      <c r="H206" s="79">
        <v>0.0</v>
      </c>
      <c r="I206" s="79">
        <v>1.0</v>
      </c>
      <c r="J206" s="79">
        <v>0.0</v>
      </c>
      <c r="K206" s="79">
        <v>0.0</v>
      </c>
      <c r="L206" s="79">
        <v>0.0</v>
      </c>
      <c r="M206" s="79">
        <v>0.0</v>
      </c>
      <c r="N206" s="79">
        <v>0.0</v>
      </c>
      <c r="O206" s="79">
        <v>0.0</v>
      </c>
      <c r="P206" s="79">
        <v>0.0</v>
      </c>
      <c r="Q206" s="79">
        <v>0.0</v>
      </c>
      <c r="R206" s="79">
        <v>0.0</v>
      </c>
      <c r="S206" s="79">
        <v>0.0</v>
      </c>
      <c r="T206" s="79">
        <v>0.0</v>
      </c>
      <c r="U206" s="79">
        <v>0.0</v>
      </c>
      <c r="V206" s="79">
        <v>1.0</v>
      </c>
      <c r="W206" s="79">
        <v>0.0</v>
      </c>
      <c r="X206" s="13">
        <f t="shared" si="41"/>
        <v>2</v>
      </c>
      <c r="Y206" s="5"/>
      <c r="Z206" s="5"/>
    </row>
    <row r="207" ht="12.75" customHeight="1">
      <c r="A207" s="18"/>
      <c r="B207" s="58"/>
      <c r="C207" s="53" t="s">
        <v>158</v>
      </c>
      <c r="D207" s="61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0.0</v>
      </c>
      <c r="O207" s="79">
        <v>0.0</v>
      </c>
      <c r="P207" s="79">
        <v>0.0</v>
      </c>
      <c r="Q207" s="79">
        <v>0.0</v>
      </c>
      <c r="R207" s="79">
        <v>0.0</v>
      </c>
      <c r="S207" s="79">
        <v>0.0</v>
      </c>
      <c r="T207" s="79">
        <v>0.0</v>
      </c>
      <c r="U207" s="79">
        <v>0.0</v>
      </c>
      <c r="V207" s="79">
        <v>0.0</v>
      </c>
      <c r="W207" s="79">
        <v>0.0</v>
      </c>
      <c r="X207" s="13">
        <f t="shared" si="41"/>
        <v>0</v>
      </c>
      <c r="Y207" s="1"/>
      <c r="Z207" s="1"/>
    </row>
    <row r="208" ht="12.75" customHeight="1">
      <c r="A208" s="18"/>
      <c r="B208" s="58"/>
      <c r="C208" s="53" t="s">
        <v>159</v>
      </c>
      <c r="D208" s="61"/>
      <c r="E208" s="79">
        <v>0.0</v>
      </c>
      <c r="F208" s="79">
        <v>0.0</v>
      </c>
      <c r="G208" s="79">
        <v>1.0</v>
      </c>
      <c r="H208" s="79">
        <v>0.0</v>
      </c>
      <c r="I208" s="79">
        <v>0.0</v>
      </c>
      <c r="J208" s="79">
        <v>0.0</v>
      </c>
      <c r="K208" s="79">
        <v>1.0</v>
      </c>
      <c r="L208" s="79">
        <v>0.0</v>
      </c>
      <c r="M208" s="79">
        <v>0.0</v>
      </c>
      <c r="N208" s="79">
        <v>0.0</v>
      </c>
      <c r="O208" s="79">
        <v>0.0</v>
      </c>
      <c r="P208" s="79">
        <v>0.0</v>
      </c>
      <c r="Q208" s="79">
        <v>0.0</v>
      </c>
      <c r="R208" s="79">
        <v>0.0</v>
      </c>
      <c r="S208" s="79">
        <v>0.0</v>
      </c>
      <c r="T208" s="79">
        <v>0.0</v>
      </c>
      <c r="U208" s="79">
        <v>0.0</v>
      </c>
      <c r="V208" s="79">
        <v>0.0</v>
      </c>
      <c r="W208" s="79">
        <v>0.0</v>
      </c>
      <c r="X208" s="13">
        <f t="shared" si="41"/>
        <v>2</v>
      </c>
      <c r="Y208" s="55"/>
      <c r="Z208" s="55"/>
    </row>
    <row r="209" ht="12.75" customHeight="1">
      <c r="A209" s="18"/>
      <c r="B209" s="58"/>
      <c r="C209" s="53" t="s">
        <v>160</v>
      </c>
      <c r="D209" s="61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79">
        <v>0.0</v>
      </c>
      <c r="R209" s="79">
        <v>0.0</v>
      </c>
      <c r="S209" s="79">
        <v>0.0</v>
      </c>
      <c r="T209" s="79">
        <v>0.0</v>
      </c>
      <c r="U209" s="79">
        <v>0.0</v>
      </c>
      <c r="V209" s="79">
        <v>0.0</v>
      </c>
      <c r="W209" s="79">
        <v>0.0</v>
      </c>
      <c r="X209" s="13">
        <f t="shared" si="41"/>
        <v>0</v>
      </c>
      <c r="Y209" s="55"/>
      <c r="Z209" s="55"/>
    </row>
    <row r="210" ht="12.75" customHeight="1">
      <c r="A210" s="18"/>
      <c r="B210" s="58"/>
      <c r="C210" s="53" t="s">
        <v>161</v>
      </c>
      <c r="D210" s="61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79">
        <v>0.0</v>
      </c>
      <c r="R210" s="79">
        <v>0.0</v>
      </c>
      <c r="S210" s="79">
        <v>0.0</v>
      </c>
      <c r="T210" s="79">
        <v>0.0</v>
      </c>
      <c r="U210" s="79">
        <v>0.0</v>
      </c>
      <c r="V210" s="79">
        <v>0.0</v>
      </c>
      <c r="W210" s="79">
        <v>0.0</v>
      </c>
      <c r="X210" s="13">
        <f t="shared" si="41"/>
        <v>0</v>
      </c>
      <c r="Y210" s="55"/>
      <c r="Z210" s="55"/>
    </row>
    <row r="211" ht="12.75" customHeight="1">
      <c r="A211" s="19" t="s">
        <v>14</v>
      </c>
      <c r="B211" s="50" t="s">
        <v>48</v>
      </c>
      <c r="C211" s="15"/>
      <c r="D211" s="16"/>
      <c r="E211" s="13">
        <f t="shared" ref="E211:W211" si="42">SUM(E201:E210)</f>
        <v>13</v>
      </c>
      <c r="F211" s="13">
        <f t="shared" si="42"/>
        <v>6</v>
      </c>
      <c r="G211" s="13">
        <f t="shared" si="42"/>
        <v>7</v>
      </c>
      <c r="H211" s="13">
        <f t="shared" si="42"/>
        <v>9</v>
      </c>
      <c r="I211" s="13">
        <f t="shared" si="42"/>
        <v>13</v>
      </c>
      <c r="J211" s="13">
        <f t="shared" si="42"/>
        <v>10</v>
      </c>
      <c r="K211" s="13">
        <f t="shared" si="42"/>
        <v>9</v>
      </c>
      <c r="L211" s="13">
        <f t="shared" si="42"/>
        <v>12</v>
      </c>
      <c r="M211" s="13">
        <f t="shared" si="42"/>
        <v>9</v>
      </c>
      <c r="N211" s="13">
        <f t="shared" si="42"/>
        <v>14</v>
      </c>
      <c r="O211" s="13">
        <f t="shared" si="42"/>
        <v>14</v>
      </c>
      <c r="P211" s="13">
        <f t="shared" si="42"/>
        <v>3</v>
      </c>
      <c r="Q211" s="13">
        <f t="shared" si="42"/>
        <v>5</v>
      </c>
      <c r="R211" s="13">
        <f t="shared" si="42"/>
        <v>3</v>
      </c>
      <c r="S211" s="13">
        <f t="shared" si="42"/>
        <v>57</v>
      </c>
      <c r="T211" s="13">
        <f t="shared" si="42"/>
        <v>16</v>
      </c>
      <c r="U211" s="13">
        <f t="shared" si="42"/>
        <v>6</v>
      </c>
      <c r="V211" s="13">
        <f t="shared" si="42"/>
        <v>8</v>
      </c>
      <c r="W211" s="13">
        <f t="shared" si="42"/>
        <v>8</v>
      </c>
      <c r="X211" s="13">
        <f t="shared" si="41"/>
        <v>222</v>
      </c>
      <c r="Y211" s="5"/>
      <c r="Z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5"/>
      <c r="Z212" s="5"/>
    </row>
    <row r="213" ht="12.75" customHeight="1">
      <c r="A213" s="31" t="s">
        <v>36</v>
      </c>
      <c r="B213" s="50" t="s">
        <v>162</v>
      </c>
      <c r="C213" s="51" t="s">
        <v>163</v>
      </c>
      <c r="D213" s="16"/>
      <c r="E213" s="79">
        <v>1.0</v>
      </c>
      <c r="F213" s="79">
        <v>2.0</v>
      </c>
      <c r="G213" s="79">
        <v>1.0</v>
      </c>
      <c r="H213" s="79">
        <v>0.0</v>
      </c>
      <c r="I213" s="79">
        <v>4.0</v>
      </c>
      <c r="J213" s="79">
        <v>1.0</v>
      </c>
      <c r="K213" s="79">
        <v>1.0</v>
      </c>
      <c r="L213" s="79">
        <v>3.0</v>
      </c>
      <c r="M213" s="79">
        <v>1.0</v>
      </c>
      <c r="N213" s="79">
        <v>0.0</v>
      </c>
      <c r="O213" s="79">
        <v>0.0</v>
      </c>
      <c r="P213" s="79">
        <v>2.0</v>
      </c>
      <c r="Q213" s="79">
        <v>1.0</v>
      </c>
      <c r="R213" s="79">
        <v>0.0</v>
      </c>
      <c r="S213" s="79">
        <v>1.0</v>
      </c>
      <c r="T213" s="79">
        <v>0.0</v>
      </c>
      <c r="U213" s="79">
        <v>2.0</v>
      </c>
      <c r="V213" s="79">
        <v>0.0</v>
      </c>
      <c r="W213" s="79">
        <v>1.0</v>
      </c>
      <c r="X213" s="13">
        <f t="shared" ref="X213:X216" si="43">SUM(E213:W213)</f>
        <v>21</v>
      </c>
      <c r="Y213" s="5"/>
      <c r="Z213" s="5"/>
    </row>
    <row r="214" ht="12.75" customHeight="1">
      <c r="A214" s="31" t="s">
        <v>38</v>
      </c>
      <c r="B214" s="58"/>
      <c r="C214" s="53" t="s">
        <v>164</v>
      </c>
      <c r="D214" s="60"/>
      <c r="E214" s="79">
        <v>1.0</v>
      </c>
      <c r="F214" s="79">
        <v>1.0</v>
      </c>
      <c r="G214" s="79">
        <v>1.0</v>
      </c>
      <c r="H214" s="79">
        <v>1.0</v>
      </c>
      <c r="I214" s="79">
        <v>2.0</v>
      </c>
      <c r="J214" s="79">
        <v>2.0</v>
      </c>
      <c r="K214" s="79">
        <v>0.0</v>
      </c>
      <c r="L214" s="79">
        <v>0.0</v>
      </c>
      <c r="M214" s="79">
        <v>0.0</v>
      </c>
      <c r="N214" s="79">
        <v>0.0</v>
      </c>
      <c r="O214" s="79">
        <v>1.0</v>
      </c>
      <c r="P214" s="79">
        <v>2.0</v>
      </c>
      <c r="Q214" s="79">
        <v>1.0</v>
      </c>
      <c r="R214" s="79">
        <v>0.0</v>
      </c>
      <c r="S214" s="79">
        <v>1.0</v>
      </c>
      <c r="T214" s="79">
        <v>1.0</v>
      </c>
      <c r="U214" s="79">
        <v>0.0</v>
      </c>
      <c r="V214" s="79">
        <v>1.0</v>
      </c>
      <c r="W214" s="79">
        <v>2.0</v>
      </c>
      <c r="X214" s="13">
        <f t="shared" si="43"/>
        <v>17</v>
      </c>
      <c r="Y214" s="5"/>
      <c r="Z214" s="5"/>
    </row>
    <row r="215" ht="12.75" customHeight="1">
      <c r="A215" s="18"/>
      <c r="B215" s="58"/>
      <c r="C215" s="53" t="s">
        <v>165</v>
      </c>
      <c r="D215" s="60"/>
      <c r="E215" s="79">
        <v>1.0</v>
      </c>
      <c r="F215" s="79">
        <v>1.0</v>
      </c>
      <c r="G215" s="79">
        <v>3.0</v>
      </c>
      <c r="H215" s="79">
        <v>2.0</v>
      </c>
      <c r="I215" s="79">
        <v>0.0</v>
      </c>
      <c r="J215" s="79">
        <v>1.0</v>
      </c>
      <c r="K215" s="79">
        <v>2.0</v>
      </c>
      <c r="L215" s="79">
        <v>1.0</v>
      </c>
      <c r="M215" s="79">
        <v>1.0</v>
      </c>
      <c r="N215" s="79">
        <v>2.0</v>
      </c>
      <c r="O215" s="79">
        <v>1.0</v>
      </c>
      <c r="P215" s="79">
        <v>0.0</v>
      </c>
      <c r="Q215" s="79">
        <v>0.0</v>
      </c>
      <c r="R215" s="79">
        <v>0.0</v>
      </c>
      <c r="S215" s="79">
        <v>0.0</v>
      </c>
      <c r="T215" s="79">
        <v>2.0</v>
      </c>
      <c r="U215" s="79">
        <v>0.0</v>
      </c>
      <c r="V215" s="79">
        <v>1.0</v>
      </c>
      <c r="W215" s="79">
        <v>1.0</v>
      </c>
      <c r="X215" s="13">
        <f t="shared" si="43"/>
        <v>19</v>
      </c>
      <c r="Y215" s="5"/>
      <c r="Z215" s="5"/>
    </row>
    <row r="216" ht="12.75" customHeight="1">
      <c r="A216" s="18"/>
      <c r="B216" s="58"/>
      <c r="C216" s="53" t="s">
        <v>166</v>
      </c>
      <c r="E216" s="79">
        <v>1.0</v>
      </c>
      <c r="F216" s="79">
        <v>1.0</v>
      </c>
      <c r="G216" s="79">
        <v>0.0</v>
      </c>
      <c r="H216" s="79">
        <v>0.0</v>
      </c>
      <c r="I216" s="79">
        <v>1.0</v>
      </c>
      <c r="J216" s="79">
        <v>1.0</v>
      </c>
      <c r="K216" s="79">
        <v>0.0</v>
      </c>
      <c r="L216" s="79">
        <v>1.0</v>
      </c>
      <c r="M216" s="79">
        <v>0.0</v>
      </c>
      <c r="N216" s="79">
        <v>0.0</v>
      </c>
      <c r="O216" s="79">
        <v>0.0</v>
      </c>
      <c r="P216" s="79">
        <v>0.0</v>
      </c>
      <c r="Q216" s="79">
        <v>0.0</v>
      </c>
      <c r="R216" s="79">
        <v>0.0</v>
      </c>
      <c r="S216" s="79">
        <v>0.0</v>
      </c>
      <c r="T216" s="79">
        <v>0.0</v>
      </c>
      <c r="U216" s="79">
        <v>1.0</v>
      </c>
      <c r="V216" s="79">
        <v>0.0</v>
      </c>
      <c r="W216" s="79">
        <v>0.0</v>
      </c>
      <c r="X216" s="13">
        <f t="shared" si="43"/>
        <v>6</v>
      </c>
      <c r="Y216" s="5"/>
      <c r="Z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85"/>
      <c r="Y217" s="5"/>
      <c r="Z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85"/>
      <c r="Y218" s="1"/>
      <c r="Z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85"/>
      <c r="Y219" s="55"/>
      <c r="Z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85"/>
      <c r="Y220" s="5"/>
      <c r="Z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85"/>
      <c r="Y221" s="5"/>
      <c r="Z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85"/>
      <c r="Y222" s="5"/>
      <c r="Z222" s="5"/>
    </row>
    <row r="223" ht="12.75" customHeight="1">
      <c r="A223" s="19" t="s">
        <v>14</v>
      </c>
      <c r="B223" s="50" t="s">
        <v>48</v>
      </c>
      <c r="C223" s="15"/>
      <c r="D223" s="16"/>
      <c r="E223" s="13">
        <f t="shared" ref="E223:W223" si="44">SUM(E213:E222)</f>
        <v>4</v>
      </c>
      <c r="F223" s="13">
        <f t="shared" si="44"/>
        <v>5</v>
      </c>
      <c r="G223" s="13">
        <f t="shared" si="44"/>
        <v>5</v>
      </c>
      <c r="H223" s="13">
        <f t="shared" si="44"/>
        <v>3</v>
      </c>
      <c r="I223" s="13">
        <f t="shared" si="44"/>
        <v>7</v>
      </c>
      <c r="J223" s="13">
        <f t="shared" si="44"/>
        <v>5</v>
      </c>
      <c r="K223" s="13">
        <f t="shared" si="44"/>
        <v>3</v>
      </c>
      <c r="L223" s="13">
        <f t="shared" si="44"/>
        <v>5</v>
      </c>
      <c r="M223" s="13">
        <f t="shared" si="44"/>
        <v>2</v>
      </c>
      <c r="N223" s="13">
        <f t="shared" si="44"/>
        <v>2</v>
      </c>
      <c r="O223" s="13">
        <f t="shared" si="44"/>
        <v>2</v>
      </c>
      <c r="P223" s="13">
        <f t="shared" si="44"/>
        <v>4</v>
      </c>
      <c r="Q223" s="13">
        <f t="shared" si="44"/>
        <v>2</v>
      </c>
      <c r="R223" s="13">
        <f t="shared" si="44"/>
        <v>0</v>
      </c>
      <c r="S223" s="13">
        <f t="shared" si="44"/>
        <v>2</v>
      </c>
      <c r="T223" s="13">
        <f t="shared" si="44"/>
        <v>3</v>
      </c>
      <c r="U223" s="13">
        <f t="shared" si="44"/>
        <v>3</v>
      </c>
      <c r="V223" s="13">
        <f t="shared" si="44"/>
        <v>2</v>
      </c>
      <c r="W223" s="13">
        <f t="shared" si="44"/>
        <v>4</v>
      </c>
      <c r="X223" s="13">
        <f>SUM(E223:W223)</f>
        <v>63</v>
      </c>
      <c r="Y223" s="5"/>
      <c r="Z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5"/>
      <c r="Z224" s="5"/>
    </row>
    <row r="225" ht="12.75" customHeight="1">
      <c r="A225" s="31" t="s">
        <v>36</v>
      </c>
      <c r="B225" s="50" t="s">
        <v>167</v>
      </c>
      <c r="C225" s="51" t="s">
        <v>168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1.0</v>
      </c>
      <c r="K225" s="79">
        <v>0.0</v>
      </c>
      <c r="L225" s="79">
        <v>0.0</v>
      </c>
      <c r="M225" s="79">
        <v>0.0</v>
      </c>
      <c r="N225" s="79">
        <v>0.0</v>
      </c>
      <c r="O225" s="79">
        <v>0.0</v>
      </c>
      <c r="P225" s="79">
        <v>0.0</v>
      </c>
      <c r="Q225" s="79">
        <v>0.0</v>
      </c>
      <c r="R225" s="79">
        <v>0.0</v>
      </c>
      <c r="S225" s="79">
        <v>0.0</v>
      </c>
      <c r="T225" s="79">
        <v>1.0</v>
      </c>
      <c r="U225" s="79">
        <v>3.0</v>
      </c>
      <c r="V225" s="79">
        <v>0.0</v>
      </c>
      <c r="W225" s="79">
        <v>0.0</v>
      </c>
      <c r="X225" s="13">
        <f t="shared" ref="X225:X229" si="45">SUM(E225:W225)</f>
        <v>5</v>
      </c>
      <c r="Y225" s="5"/>
      <c r="Z225" s="5"/>
    </row>
    <row r="226" ht="12.75" customHeight="1">
      <c r="A226" s="31" t="s">
        <v>38</v>
      </c>
      <c r="B226" s="58"/>
      <c r="C226" s="53" t="s">
        <v>169</v>
      </c>
      <c r="D226" s="61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79">
        <v>0.0</v>
      </c>
      <c r="O226" s="79">
        <v>1.0</v>
      </c>
      <c r="P226" s="79">
        <v>0.0</v>
      </c>
      <c r="Q226" s="79">
        <v>0.0</v>
      </c>
      <c r="R226" s="79">
        <v>0.0</v>
      </c>
      <c r="S226" s="79">
        <v>0.0</v>
      </c>
      <c r="T226" s="79">
        <v>0.0</v>
      </c>
      <c r="U226" s="79">
        <v>0.0</v>
      </c>
      <c r="V226" s="79">
        <v>0.0</v>
      </c>
      <c r="W226" s="79">
        <v>0.0</v>
      </c>
      <c r="X226" s="13">
        <f t="shared" si="45"/>
        <v>1</v>
      </c>
      <c r="Y226" s="5"/>
      <c r="Z226" s="5"/>
    </row>
    <row r="227" ht="12.75" customHeight="1">
      <c r="A227" s="18"/>
      <c r="B227" s="58"/>
      <c r="C227" s="53" t="s">
        <v>170</v>
      </c>
      <c r="D227" s="61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1.0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79">
        <v>0.0</v>
      </c>
      <c r="Q227" s="79">
        <v>0.0</v>
      </c>
      <c r="R227" s="79">
        <v>0.0</v>
      </c>
      <c r="S227" s="79">
        <v>0.0</v>
      </c>
      <c r="T227" s="79">
        <v>0.0</v>
      </c>
      <c r="U227" s="79">
        <v>0.0</v>
      </c>
      <c r="V227" s="79">
        <v>0.0</v>
      </c>
      <c r="W227" s="79">
        <v>0.0</v>
      </c>
      <c r="X227" s="13">
        <f t="shared" si="45"/>
        <v>1</v>
      </c>
      <c r="Y227" s="5"/>
      <c r="Z227" s="5"/>
    </row>
    <row r="228" ht="12.75" customHeight="1">
      <c r="A228" s="18"/>
      <c r="B228" s="58"/>
      <c r="C228" s="53" t="s">
        <v>171</v>
      </c>
      <c r="D228" s="61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79">
        <v>0.0</v>
      </c>
      <c r="P228" s="79">
        <v>0.0</v>
      </c>
      <c r="Q228" s="79">
        <v>0.0</v>
      </c>
      <c r="R228" s="79">
        <v>0.0</v>
      </c>
      <c r="S228" s="79">
        <v>0.0</v>
      </c>
      <c r="T228" s="79">
        <v>0.0</v>
      </c>
      <c r="U228" s="79">
        <v>0.0</v>
      </c>
      <c r="V228" s="79">
        <v>0.0</v>
      </c>
      <c r="W228" s="79">
        <v>0.0</v>
      </c>
      <c r="X228" s="13">
        <f t="shared" si="45"/>
        <v>0</v>
      </c>
      <c r="Y228" s="5"/>
      <c r="Z228" s="5"/>
    </row>
    <row r="229" ht="12.75" customHeight="1">
      <c r="A229" s="18"/>
      <c r="B229" s="58"/>
      <c r="C229" s="53" t="s">
        <v>172</v>
      </c>
      <c r="D229" s="61"/>
      <c r="E229" s="79">
        <v>0.0</v>
      </c>
      <c r="F229" s="79">
        <v>1.0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79">
        <v>0.0</v>
      </c>
      <c r="R229" s="79">
        <v>0.0</v>
      </c>
      <c r="S229" s="79">
        <v>0.0</v>
      </c>
      <c r="T229" s="79">
        <v>0.0</v>
      </c>
      <c r="U229" s="79">
        <v>0.0</v>
      </c>
      <c r="V229" s="79">
        <v>0.0</v>
      </c>
      <c r="W229" s="79">
        <v>0.0</v>
      </c>
      <c r="X229" s="13">
        <f t="shared" si="45"/>
        <v>1</v>
      </c>
      <c r="Y229" s="1"/>
      <c r="Z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85"/>
      <c r="Y230" s="55"/>
      <c r="Z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85"/>
      <c r="Y231" s="5"/>
      <c r="Z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85"/>
      <c r="Y232" s="5"/>
      <c r="Z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85"/>
      <c r="Y233" s="5"/>
      <c r="Z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85"/>
      <c r="Y234" s="5"/>
      <c r="Z234" s="5"/>
    </row>
    <row r="235" ht="12.75" customHeight="1">
      <c r="A235" s="19" t="s">
        <v>14</v>
      </c>
      <c r="B235" s="50" t="s">
        <v>48</v>
      </c>
      <c r="C235" s="15"/>
      <c r="D235" s="16"/>
      <c r="E235" s="13">
        <f t="shared" ref="E235:W235" si="46">SUM(E225:E234)</f>
        <v>0</v>
      </c>
      <c r="F235" s="13">
        <f t="shared" si="46"/>
        <v>1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2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1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1</v>
      </c>
      <c r="U235" s="13">
        <f t="shared" si="46"/>
        <v>3</v>
      </c>
      <c r="V235" s="13">
        <f t="shared" si="46"/>
        <v>0</v>
      </c>
      <c r="W235" s="13">
        <f t="shared" si="46"/>
        <v>0</v>
      </c>
      <c r="X235" s="13">
        <f>SUM(E235:W235)</f>
        <v>8</v>
      </c>
      <c r="Y235" s="5"/>
      <c r="Z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5"/>
      <c r="Z236" s="5"/>
    </row>
    <row r="237" ht="12.75" customHeight="1">
      <c r="A237" s="31" t="s">
        <v>36</v>
      </c>
      <c r="B237" s="50" t="s">
        <v>173</v>
      </c>
      <c r="C237" s="51" t="s">
        <v>174</v>
      </c>
      <c r="D237" s="16"/>
      <c r="E237" s="79">
        <v>0.0</v>
      </c>
      <c r="F237" s="79">
        <v>0.0</v>
      </c>
      <c r="G237" s="79">
        <v>1.0</v>
      </c>
      <c r="H237" s="79">
        <v>0.0</v>
      </c>
      <c r="I237" s="79">
        <v>1.0</v>
      </c>
      <c r="J237" s="79">
        <v>1.0</v>
      </c>
      <c r="K237" s="79">
        <v>0.0</v>
      </c>
      <c r="L237" s="79">
        <v>1.0</v>
      </c>
      <c r="M237" s="79">
        <v>0.0</v>
      </c>
      <c r="N237" s="79">
        <v>0.0</v>
      </c>
      <c r="O237" s="79">
        <v>2.0</v>
      </c>
      <c r="P237" s="79">
        <v>0.0</v>
      </c>
      <c r="Q237" s="79">
        <v>0.0</v>
      </c>
      <c r="R237" s="79">
        <v>0.0</v>
      </c>
      <c r="S237" s="79">
        <v>2.0</v>
      </c>
      <c r="T237" s="79">
        <v>0.0</v>
      </c>
      <c r="U237" s="79">
        <v>0.0</v>
      </c>
      <c r="V237" s="79">
        <v>0.0</v>
      </c>
      <c r="W237" s="79">
        <v>0.0</v>
      </c>
      <c r="X237" s="13">
        <f t="shared" ref="X237:X247" si="47">SUM(E237:W237)</f>
        <v>8</v>
      </c>
      <c r="Y237" s="5"/>
      <c r="Z237" s="5"/>
    </row>
    <row r="238" ht="12.75" customHeight="1">
      <c r="A238" s="31" t="s">
        <v>38</v>
      </c>
      <c r="B238" s="58"/>
      <c r="C238" s="53" t="s">
        <v>175</v>
      </c>
      <c r="D238" s="61"/>
      <c r="E238" s="79">
        <v>0.0</v>
      </c>
      <c r="F238" s="79">
        <v>0.0</v>
      </c>
      <c r="G238" s="79">
        <v>0.0</v>
      </c>
      <c r="H238" s="79">
        <v>0.0</v>
      </c>
      <c r="I238" s="79">
        <v>1.0</v>
      </c>
      <c r="J238" s="79">
        <v>0.0</v>
      </c>
      <c r="K238" s="79">
        <v>0.0</v>
      </c>
      <c r="L238" s="79">
        <v>0.0</v>
      </c>
      <c r="M238" s="79">
        <v>4.0</v>
      </c>
      <c r="N238" s="79">
        <v>2.0</v>
      </c>
      <c r="O238" s="79">
        <v>0.0</v>
      </c>
      <c r="P238" s="79">
        <v>1.0</v>
      </c>
      <c r="Q238" s="79">
        <v>1.0</v>
      </c>
      <c r="R238" s="79">
        <v>0.0</v>
      </c>
      <c r="S238" s="79">
        <v>0.0</v>
      </c>
      <c r="T238" s="79">
        <v>0.0</v>
      </c>
      <c r="U238" s="79">
        <v>0.0</v>
      </c>
      <c r="V238" s="79">
        <v>0.0</v>
      </c>
      <c r="W238" s="79">
        <v>0.0</v>
      </c>
      <c r="X238" s="13">
        <f t="shared" si="47"/>
        <v>9</v>
      </c>
      <c r="Y238" s="5"/>
      <c r="Z238" s="5"/>
    </row>
    <row r="239" ht="12.75" customHeight="1">
      <c r="A239" s="18"/>
      <c r="B239" s="58"/>
      <c r="C239" s="53" t="s">
        <v>176</v>
      </c>
      <c r="D239" s="61"/>
      <c r="E239" s="79">
        <v>0.0</v>
      </c>
      <c r="F239" s="79">
        <v>0.0</v>
      </c>
      <c r="G239" s="79">
        <v>1.0</v>
      </c>
      <c r="H239" s="79">
        <v>0.0</v>
      </c>
      <c r="I239" s="79">
        <v>0.0</v>
      </c>
      <c r="J239" s="79">
        <v>2.0</v>
      </c>
      <c r="K239" s="79">
        <v>0.0</v>
      </c>
      <c r="L239" s="79">
        <v>0.0</v>
      </c>
      <c r="M239" s="79">
        <v>1.0</v>
      </c>
      <c r="N239" s="79">
        <v>0.0</v>
      </c>
      <c r="O239" s="79">
        <v>1.0</v>
      </c>
      <c r="P239" s="79">
        <v>1.0</v>
      </c>
      <c r="Q239" s="79">
        <v>6.0</v>
      </c>
      <c r="R239" s="79">
        <v>0.0</v>
      </c>
      <c r="S239" s="79">
        <v>0.0</v>
      </c>
      <c r="T239" s="79">
        <v>0.0</v>
      </c>
      <c r="U239" s="79">
        <v>0.0</v>
      </c>
      <c r="V239" s="79">
        <v>0.0</v>
      </c>
      <c r="W239" s="79">
        <v>0.0</v>
      </c>
      <c r="X239" s="13">
        <f t="shared" si="47"/>
        <v>12</v>
      </c>
      <c r="Y239" s="5"/>
      <c r="Z239" s="5"/>
    </row>
    <row r="240" ht="12.75" customHeight="1">
      <c r="A240" s="18"/>
      <c r="B240" s="58"/>
      <c r="C240" s="53" t="s">
        <v>177</v>
      </c>
      <c r="D240" s="61"/>
      <c r="E240" s="79">
        <v>0.0</v>
      </c>
      <c r="F240" s="79">
        <v>0.0</v>
      </c>
      <c r="G240" s="79">
        <v>0.0</v>
      </c>
      <c r="H240" s="79">
        <v>0.0</v>
      </c>
      <c r="I240" s="79">
        <v>0.0</v>
      </c>
      <c r="J240" s="79">
        <v>0.0</v>
      </c>
      <c r="K240" s="79">
        <v>0.0</v>
      </c>
      <c r="L240" s="79">
        <v>0.0</v>
      </c>
      <c r="M240" s="79">
        <v>0.0</v>
      </c>
      <c r="N240" s="79">
        <v>0.0</v>
      </c>
      <c r="O240" s="79">
        <v>0.0</v>
      </c>
      <c r="P240" s="79">
        <v>0.0</v>
      </c>
      <c r="Q240" s="79">
        <v>0.0</v>
      </c>
      <c r="R240" s="79">
        <v>0.0</v>
      </c>
      <c r="S240" s="79">
        <v>0.0</v>
      </c>
      <c r="T240" s="79">
        <v>0.0</v>
      </c>
      <c r="U240" s="79">
        <v>0.0</v>
      </c>
      <c r="V240" s="79">
        <v>0.0</v>
      </c>
      <c r="W240" s="79">
        <v>0.0</v>
      </c>
      <c r="X240" s="13">
        <f t="shared" si="47"/>
        <v>0</v>
      </c>
      <c r="Y240" s="1"/>
      <c r="Z240" s="1"/>
    </row>
    <row r="241" ht="12.75" customHeight="1">
      <c r="A241" s="18"/>
      <c r="B241" s="58"/>
      <c r="C241" s="53" t="s">
        <v>178</v>
      </c>
      <c r="D241" s="61"/>
      <c r="E241" s="79">
        <v>0.0</v>
      </c>
      <c r="F241" s="79">
        <v>1.0</v>
      </c>
      <c r="G241" s="79">
        <v>0.0</v>
      </c>
      <c r="H241" s="79">
        <v>0.0</v>
      </c>
      <c r="I241" s="79">
        <v>0.0</v>
      </c>
      <c r="J241" s="79">
        <v>0.0</v>
      </c>
      <c r="K241" s="79">
        <v>0.0</v>
      </c>
      <c r="L241" s="79">
        <v>0.0</v>
      </c>
      <c r="M241" s="79">
        <v>0.0</v>
      </c>
      <c r="N241" s="79">
        <v>0.0</v>
      </c>
      <c r="O241" s="79">
        <v>1.0</v>
      </c>
      <c r="P241" s="79">
        <v>0.0</v>
      </c>
      <c r="Q241" s="79">
        <v>0.0</v>
      </c>
      <c r="R241" s="79">
        <v>0.0</v>
      </c>
      <c r="S241" s="79">
        <v>0.0</v>
      </c>
      <c r="T241" s="79">
        <v>0.0</v>
      </c>
      <c r="U241" s="79">
        <v>0.0</v>
      </c>
      <c r="V241" s="79">
        <v>0.0</v>
      </c>
      <c r="W241" s="79">
        <v>1.0</v>
      </c>
      <c r="X241" s="13">
        <f t="shared" si="47"/>
        <v>3</v>
      </c>
    </row>
    <row r="242" ht="12.75" customHeight="1">
      <c r="A242" s="18"/>
      <c r="B242" s="58"/>
      <c r="C242" s="53" t="s">
        <v>179</v>
      </c>
      <c r="D242" s="61"/>
      <c r="E242" s="79">
        <v>0.0</v>
      </c>
      <c r="F242" s="79">
        <v>0.0</v>
      </c>
      <c r="G242" s="79">
        <v>0.0</v>
      </c>
      <c r="H242" s="79">
        <v>0.0</v>
      </c>
      <c r="I242" s="79">
        <v>0.0</v>
      </c>
      <c r="J242" s="79">
        <v>0.0</v>
      </c>
      <c r="K242" s="79">
        <v>0.0</v>
      </c>
      <c r="L242" s="79">
        <v>2.0</v>
      </c>
      <c r="M242" s="79">
        <v>0.0</v>
      </c>
      <c r="N242" s="79">
        <v>0.0</v>
      </c>
      <c r="O242" s="79">
        <v>1.0</v>
      </c>
      <c r="P242" s="79">
        <v>0.0</v>
      </c>
      <c r="Q242" s="79">
        <v>3.0</v>
      </c>
      <c r="R242" s="79">
        <v>0.0</v>
      </c>
      <c r="S242" s="79">
        <v>0.0</v>
      </c>
      <c r="T242" s="79">
        <v>0.0</v>
      </c>
      <c r="U242" s="79">
        <v>0.0</v>
      </c>
      <c r="V242" s="79">
        <v>0.0</v>
      </c>
      <c r="W242" s="79">
        <v>0.0</v>
      </c>
      <c r="X242" s="13">
        <f t="shared" si="47"/>
        <v>6</v>
      </c>
    </row>
    <row r="243" ht="12.75" customHeight="1">
      <c r="A243" s="18"/>
      <c r="B243" s="58"/>
      <c r="C243" s="53" t="s">
        <v>180</v>
      </c>
      <c r="D243" s="61"/>
      <c r="E243" s="79">
        <v>0.0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1.0</v>
      </c>
      <c r="M243" s="79">
        <v>0.0</v>
      </c>
      <c r="N243" s="79">
        <v>0.0</v>
      </c>
      <c r="O243" s="79">
        <v>0.0</v>
      </c>
      <c r="P243" s="79">
        <v>0.0</v>
      </c>
      <c r="Q243" s="79">
        <v>0.0</v>
      </c>
      <c r="R243" s="79">
        <v>0.0</v>
      </c>
      <c r="S243" s="79">
        <v>0.0</v>
      </c>
      <c r="T243" s="79">
        <v>0.0</v>
      </c>
      <c r="U243" s="79">
        <v>0.0</v>
      </c>
      <c r="V243" s="79">
        <v>0.0</v>
      </c>
      <c r="W243" s="79">
        <v>0.0</v>
      </c>
      <c r="X243" s="13">
        <f t="shared" si="47"/>
        <v>1</v>
      </c>
    </row>
    <row r="244" ht="12.75" customHeight="1">
      <c r="A244" s="18"/>
      <c r="B244" s="58"/>
      <c r="C244" s="53" t="s">
        <v>181</v>
      </c>
      <c r="D244" s="61"/>
      <c r="E244" s="79">
        <v>0.0</v>
      </c>
      <c r="F244" s="79">
        <v>0.0</v>
      </c>
      <c r="G244" s="79">
        <v>1.0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1.0</v>
      </c>
      <c r="O244" s="79">
        <v>0.0</v>
      </c>
      <c r="P244" s="79">
        <v>0.0</v>
      </c>
      <c r="Q244" s="79">
        <v>0.0</v>
      </c>
      <c r="R244" s="79">
        <v>0.0</v>
      </c>
      <c r="S244" s="79">
        <v>0.0</v>
      </c>
      <c r="T244" s="79">
        <v>0.0</v>
      </c>
      <c r="U244" s="79">
        <v>0.0</v>
      </c>
      <c r="V244" s="79">
        <v>0.0</v>
      </c>
      <c r="W244" s="79">
        <v>0.0</v>
      </c>
      <c r="X244" s="13">
        <f t="shared" si="47"/>
        <v>2</v>
      </c>
    </row>
    <row r="245" ht="12.75" customHeight="1">
      <c r="A245" s="18"/>
      <c r="B245" s="58"/>
      <c r="C245" s="53" t="s">
        <v>182</v>
      </c>
      <c r="D245" s="61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79">
        <v>0.0</v>
      </c>
      <c r="R245" s="79">
        <v>0.0</v>
      </c>
      <c r="S245" s="79">
        <v>0.0</v>
      </c>
      <c r="T245" s="79">
        <v>0.0</v>
      </c>
      <c r="U245" s="79">
        <v>0.0</v>
      </c>
      <c r="V245" s="79">
        <v>0.0</v>
      </c>
      <c r="W245" s="79">
        <v>0.0</v>
      </c>
      <c r="X245" s="13">
        <f t="shared" si="47"/>
        <v>0</v>
      </c>
    </row>
    <row r="246" ht="12.75" customHeight="1">
      <c r="A246" s="18"/>
      <c r="B246" s="58"/>
      <c r="C246" s="53" t="s">
        <v>183</v>
      </c>
      <c r="D246" s="61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0.0</v>
      </c>
      <c r="M246" s="79">
        <v>0.0</v>
      </c>
      <c r="N246" s="79">
        <v>0.0</v>
      </c>
      <c r="O246" s="79">
        <v>0.0</v>
      </c>
      <c r="P246" s="79">
        <v>0.0</v>
      </c>
      <c r="Q246" s="79">
        <v>0.0</v>
      </c>
      <c r="R246" s="79">
        <v>0.0</v>
      </c>
      <c r="S246" s="79">
        <v>0.0</v>
      </c>
      <c r="T246" s="79">
        <v>0.0</v>
      </c>
      <c r="U246" s="79">
        <v>0.0</v>
      </c>
      <c r="V246" s="79">
        <v>0.0</v>
      </c>
      <c r="W246" s="79">
        <v>0.0</v>
      </c>
      <c r="X246" s="13">
        <f t="shared" si="47"/>
        <v>0</v>
      </c>
    </row>
    <row r="247" ht="12.75" customHeight="1">
      <c r="A247" s="19" t="s">
        <v>14</v>
      </c>
      <c r="B247" s="50" t="s">
        <v>48</v>
      </c>
      <c r="C247" s="15"/>
      <c r="D247" s="16"/>
      <c r="E247" s="13">
        <f t="shared" ref="E247:W247" si="48">SUM(E237:E246)</f>
        <v>0</v>
      </c>
      <c r="F247" s="13">
        <f t="shared" si="48"/>
        <v>1</v>
      </c>
      <c r="G247" s="13">
        <f t="shared" si="48"/>
        <v>3</v>
      </c>
      <c r="H247" s="13">
        <f t="shared" si="48"/>
        <v>0</v>
      </c>
      <c r="I247" s="13">
        <f t="shared" si="48"/>
        <v>2</v>
      </c>
      <c r="J247" s="13">
        <f t="shared" si="48"/>
        <v>3</v>
      </c>
      <c r="K247" s="13">
        <f t="shared" si="48"/>
        <v>0</v>
      </c>
      <c r="L247" s="13">
        <f t="shared" si="48"/>
        <v>4</v>
      </c>
      <c r="M247" s="13">
        <f t="shared" si="48"/>
        <v>5</v>
      </c>
      <c r="N247" s="13">
        <f t="shared" si="48"/>
        <v>3</v>
      </c>
      <c r="O247" s="13">
        <f t="shared" si="48"/>
        <v>5</v>
      </c>
      <c r="P247" s="13">
        <f t="shared" si="48"/>
        <v>2</v>
      </c>
      <c r="Q247" s="13">
        <f t="shared" si="48"/>
        <v>10</v>
      </c>
      <c r="R247" s="13">
        <f t="shared" si="48"/>
        <v>0</v>
      </c>
      <c r="S247" s="13">
        <f t="shared" si="48"/>
        <v>2</v>
      </c>
      <c r="T247" s="13">
        <f t="shared" si="48"/>
        <v>0</v>
      </c>
      <c r="U247" s="13">
        <f t="shared" si="48"/>
        <v>0</v>
      </c>
      <c r="V247" s="13">
        <f t="shared" si="48"/>
        <v>0</v>
      </c>
      <c r="W247" s="13">
        <f t="shared" si="48"/>
        <v>1</v>
      </c>
      <c r="X247" s="13">
        <f t="shared" si="47"/>
        <v>41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36</v>
      </c>
      <c r="B249" s="50" t="s">
        <v>184</v>
      </c>
      <c r="C249" s="51" t="s">
        <v>185</v>
      </c>
      <c r="D249" s="16"/>
      <c r="E249" s="79">
        <v>0.0</v>
      </c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79">
        <v>0.0</v>
      </c>
      <c r="L249" s="79">
        <v>0.0</v>
      </c>
      <c r="M249" s="79">
        <v>0.0</v>
      </c>
      <c r="N249" s="79">
        <v>1.0</v>
      </c>
      <c r="O249" s="79">
        <v>0.0</v>
      </c>
      <c r="P249" s="79">
        <v>0.0</v>
      </c>
      <c r="Q249" s="79">
        <v>0.0</v>
      </c>
      <c r="R249" s="79">
        <v>0.0</v>
      </c>
      <c r="S249" s="79">
        <v>0.0</v>
      </c>
      <c r="T249" s="79">
        <v>1.0</v>
      </c>
      <c r="U249" s="79">
        <v>0.0</v>
      </c>
      <c r="V249" s="79">
        <v>0.0</v>
      </c>
      <c r="W249" s="79">
        <v>0.0</v>
      </c>
      <c r="X249" s="13">
        <f t="shared" ref="X249:X252" si="49">SUM(E249:W249)</f>
        <v>2</v>
      </c>
    </row>
    <row r="250" ht="12.75" customHeight="1">
      <c r="A250" s="31" t="s">
        <v>38</v>
      </c>
      <c r="B250" s="58"/>
      <c r="C250" s="53" t="s">
        <v>186</v>
      </c>
      <c r="D250" s="61"/>
      <c r="E250" s="79">
        <v>0.0</v>
      </c>
      <c r="F250" s="79">
        <v>3.0</v>
      </c>
      <c r="G250" s="79">
        <v>0.0</v>
      </c>
      <c r="H250" s="79">
        <v>0.0</v>
      </c>
      <c r="I250" s="79">
        <v>0.0</v>
      </c>
      <c r="J250" s="79">
        <v>0.0</v>
      </c>
      <c r="K250" s="79">
        <v>1.0</v>
      </c>
      <c r="L250" s="79">
        <v>0.0</v>
      </c>
      <c r="M250" s="79">
        <v>0.0</v>
      </c>
      <c r="N250" s="79">
        <v>0.0</v>
      </c>
      <c r="O250" s="79">
        <v>0.0</v>
      </c>
      <c r="P250" s="79">
        <v>0.0</v>
      </c>
      <c r="Q250" s="79">
        <v>0.0</v>
      </c>
      <c r="R250" s="79">
        <v>0.0</v>
      </c>
      <c r="S250" s="79">
        <v>0.0</v>
      </c>
      <c r="T250" s="79">
        <v>0.0</v>
      </c>
      <c r="U250" s="79">
        <v>0.0</v>
      </c>
      <c r="V250" s="79">
        <v>0.0</v>
      </c>
      <c r="W250" s="79">
        <v>0.0</v>
      </c>
      <c r="X250" s="13">
        <f t="shared" si="49"/>
        <v>4</v>
      </c>
    </row>
    <row r="251" ht="12.75" customHeight="1">
      <c r="A251" s="18"/>
      <c r="B251" s="58"/>
      <c r="C251" s="53" t="s">
        <v>187</v>
      </c>
      <c r="D251" s="61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79">
        <v>0.0</v>
      </c>
      <c r="Q251" s="79">
        <v>0.0</v>
      </c>
      <c r="R251" s="79">
        <v>0.0</v>
      </c>
      <c r="S251" s="79">
        <v>0.0</v>
      </c>
      <c r="T251" s="79">
        <v>0.0</v>
      </c>
      <c r="U251" s="79">
        <v>0.0</v>
      </c>
      <c r="V251" s="79">
        <v>0.0</v>
      </c>
      <c r="W251" s="79">
        <v>0.0</v>
      </c>
      <c r="X251" s="13">
        <f t="shared" si="49"/>
        <v>0</v>
      </c>
    </row>
    <row r="252" ht="12.75" customHeight="1">
      <c r="A252" s="18"/>
      <c r="B252" s="58"/>
      <c r="C252" s="53" t="s">
        <v>188</v>
      </c>
      <c r="D252" s="61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79">
        <v>0.0</v>
      </c>
      <c r="R252" s="79">
        <v>0.0</v>
      </c>
      <c r="S252" s="79">
        <v>0.0</v>
      </c>
      <c r="T252" s="79">
        <v>0.0</v>
      </c>
      <c r="U252" s="79">
        <v>0.0</v>
      </c>
      <c r="V252" s="79">
        <v>0.0</v>
      </c>
      <c r="W252" s="79">
        <v>0.0</v>
      </c>
      <c r="X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85"/>
    </row>
    <row r="259" ht="12.75" customHeight="1">
      <c r="A259" s="19" t="s">
        <v>14</v>
      </c>
      <c r="B259" s="50" t="s">
        <v>48</v>
      </c>
      <c r="C259" s="15"/>
      <c r="D259" s="16"/>
      <c r="E259" s="13">
        <f t="shared" ref="E259:W259" si="50">SUM(E249:E258)</f>
        <v>0</v>
      </c>
      <c r="F259" s="13">
        <f t="shared" si="50"/>
        <v>3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0</v>
      </c>
      <c r="N259" s="13">
        <f t="shared" si="50"/>
        <v>1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1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>SUM(E259:W259)</f>
        <v>6</v>
      </c>
    </row>
    <row r="260" ht="12.75" customHeight="1"/>
    <row r="261" ht="12.75" customHeight="1">
      <c r="A261" s="45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2"/>
      <c r="O261" s="13"/>
      <c r="P261" s="13"/>
      <c r="Q261" s="13"/>
      <c r="R261" s="13"/>
      <c r="S261" s="82"/>
      <c r="T261" s="13"/>
      <c r="U261" s="13"/>
      <c r="V261" s="13"/>
      <c r="W261" s="13"/>
      <c r="X261" s="13"/>
    </row>
    <row r="262" ht="12.75" customHeight="1">
      <c r="A262" s="45"/>
      <c r="B262" s="74" t="s">
        <v>191</v>
      </c>
      <c r="C262" s="75" t="s">
        <v>192</v>
      </c>
      <c r="D262" s="16"/>
      <c r="E262" s="19">
        <f t="shared" ref="E262:W262" si="51">E55+E67+E79+E91+E103+E115+E127+E139+E151+E163+E175+E187+E199+E211+E223+E235+E247+E259</f>
        <v>200</v>
      </c>
      <c r="F262" s="19">
        <f t="shared" si="51"/>
        <v>212</v>
      </c>
      <c r="G262" s="19">
        <f t="shared" si="51"/>
        <v>195</v>
      </c>
      <c r="H262" s="19">
        <f t="shared" si="51"/>
        <v>195</v>
      </c>
      <c r="I262" s="19">
        <f t="shared" si="51"/>
        <v>213</v>
      </c>
      <c r="J262" s="19">
        <f t="shared" si="51"/>
        <v>189</v>
      </c>
      <c r="K262" s="19">
        <f t="shared" si="51"/>
        <v>183</v>
      </c>
      <c r="L262" s="19">
        <f t="shared" si="51"/>
        <v>219</v>
      </c>
      <c r="M262" s="19">
        <f t="shared" si="51"/>
        <v>210</v>
      </c>
      <c r="N262" s="19">
        <f t="shared" si="51"/>
        <v>169</v>
      </c>
      <c r="O262" s="19">
        <f t="shared" si="51"/>
        <v>114</v>
      </c>
      <c r="P262" s="19">
        <f t="shared" si="51"/>
        <v>122</v>
      </c>
      <c r="Q262" s="19">
        <f t="shared" si="51"/>
        <v>125</v>
      </c>
      <c r="R262" s="19">
        <f t="shared" si="51"/>
        <v>102</v>
      </c>
      <c r="S262" s="19">
        <f t="shared" si="51"/>
        <v>237</v>
      </c>
      <c r="T262" s="19">
        <f t="shared" si="51"/>
        <v>196</v>
      </c>
      <c r="U262" s="19">
        <f t="shared" si="51"/>
        <v>197</v>
      </c>
      <c r="V262" s="19">
        <f t="shared" si="51"/>
        <v>129</v>
      </c>
      <c r="W262" s="19">
        <f t="shared" si="51"/>
        <v>171</v>
      </c>
      <c r="X262" s="13">
        <f t="shared" ref="X262:X264" si="52">SUM(E262:W262)</f>
        <v>3378</v>
      </c>
    </row>
    <row r="263" ht="12.75" customHeight="1">
      <c r="A263" s="36"/>
      <c r="B263" s="74" t="s">
        <v>193</v>
      </c>
      <c r="C263" s="75" t="s">
        <v>194</v>
      </c>
      <c r="D263" s="16"/>
      <c r="E263" s="79">
        <v>24.0</v>
      </c>
      <c r="F263" s="79">
        <v>20.0</v>
      </c>
      <c r="G263" s="79">
        <v>34.0</v>
      </c>
      <c r="H263" s="79">
        <v>35.0</v>
      </c>
      <c r="I263" s="79">
        <v>21.0</v>
      </c>
      <c r="J263" s="79">
        <v>40.0</v>
      </c>
      <c r="K263" s="79">
        <v>22.0</v>
      </c>
      <c r="L263" s="79">
        <v>23.0</v>
      </c>
      <c r="M263" s="79">
        <v>23.0</v>
      </c>
      <c r="N263" s="79">
        <v>34.0</v>
      </c>
      <c r="O263" s="79">
        <v>22.0</v>
      </c>
      <c r="P263" s="79">
        <v>21.0</v>
      </c>
      <c r="Q263" s="79">
        <v>18.0</v>
      </c>
      <c r="R263" s="79">
        <v>48.0</v>
      </c>
      <c r="S263" s="79">
        <v>29.0</v>
      </c>
      <c r="T263" s="79">
        <v>30.0</v>
      </c>
      <c r="U263" s="79">
        <v>34.0</v>
      </c>
      <c r="V263" s="79">
        <v>38.0</v>
      </c>
      <c r="W263" s="79">
        <v>16.0</v>
      </c>
      <c r="X263" s="13">
        <f t="shared" si="52"/>
        <v>532</v>
      </c>
    </row>
    <row r="264" ht="12.75" customHeight="1">
      <c r="A264" s="44"/>
      <c r="B264" s="74" t="s">
        <v>195</v>
      </c>
      <c r="C264" s="75" t="s">
        <v>196</v>
      </c>
      <c r="D264" s="16"/>
      <c r="E264" s="13">
        <f t="shared" ref="E264:W264" si="53">SUM(E262:E263)</f>
        <v>224</v>
      </c>
      <c r="F264" s="13">
        <f t="shared" si="53"/>
        <v>232</v>
      </c>
      <c r="G264" s="13">
        <f t="shared" si="53"/>
        <v>229</v>
      </c>
      <c r="H264" s="13">
        <f t="shared" si="53"/>
        <v>230</v>
      </c>
      <c r="I264" s="13">
        <f t="shared" si="53"/>
        <v>234</v>
      </c>
      <c r="J264" s="13">
        <f t="shared" si="53"/>
        <v>229</v>
      </c>
      <c r="K264" s="13">
        <f t="shared" si="53"/>
        <v>205</v>
      </c>
      <c r="L264" s="13">
        <f t="shared" si="53"/>
        <v>242</v>
      </c>
      <c r="M264" s="13">
        <f t="shared" si="53"/>
        <v>233</v>
      </c>
      <c r="N264" s="13">
        <f t="shared" si="53"/>
        <v>203</v>
      </c>
      <c r="O264" s="13">
        <f t="shared" si="53"/>
        <v>136</v>
      </c>
      <c r="P264" s="13">
        <f t="shared" si="53"/>
        <v>143</v>
      </c>
      <c r="Q264" s="13">
        <f t="shared" si="53"/>
        <v>143</v>
      </c>
      <c r="R264" s="13">
        <f t="shared" si="53"/>
        <v>150</v>
      </c>
      <c r="S264" s="13">
        <f t="shared" si="53"/>
        <v>266</v>
      </c>
      <c r="T264" s="13">
        <f t="shared" si="53"/>
        <v>226</v>
      </c>
      <c r="U264" s="13">
        <f t="shared" si="53"/>
        <v>231</v>
      </c>
      <c r="V264" s="13">
        <f t="shared" si="53"/>
        <v>167</v>
      </c>
      <c r="W264" s="13">
        <f t="shared" si="53"/>
        <v>187</v>
      </c>
      <c r="X264" s="13">
        <f t="shared" si="52"/>
        <v>3910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9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19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</row>
    <row r="12" ht="12.75" customHeight="1">
      <c r="A12" s="13" t="s">
        <v>5</v>
      </c>
      <c r="B12" s="14" t="s">
        <v>6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7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13" t="s">
        <v>208</v>
      </c>
      <c r="P13" s="13" t="s">
        <v>209</v>
      </c>
      <c r="Q13" s="37"/>
    </row>
    <row r="14" ht="12.75" customHeight="1">
      <c r="A14" s="18"/>
      <c r="B14" s="22" t="s">
        <v>10</v>
      </c>
      <c r="C14" s="23"/>
      <c r="D14" s="19" t="s">
        <v>11</v>
      </c>
      <c r="E14" s="79">
        <v>147.0</v>
      </c>
      <c r="F14" s="79">
        <v>118.0</v>
      </c>
      <c r="G14" s="79">
        <v>145.0</v>
      </c>
      <c r="H14" s="79">
        <v>140.0</v>
      </c>
      <c r="I14" s="79">
        <v>140.0</v>
      </c>
      <c r="J14" s="79">
        <v>140.0</v>
      </c>
      <c r="K14" s="79">
        <v>140.0</v>
      </c>
      <c r="L14" s="79">
        <v>140.0</v>
      </c>
      <c r="M14" s="79">
        <v>125.0</v>
      </c>
      <c r="N14" s="79">
        <v>147.0</v>
      </c>
      <c r="O14" s="79">
        <v>127.0</v>
      </c>
      <c r="P14" s="79">
        <v>138.0</v>
      </c>
      <c r="Q14" s="13">
        <f t="shared" ref="Q14:Q16" si="1">SUM(E14:P14)</f>
        <v>1647</v>
      </c>
    </row>
    <row r="15" ht="12.75" customHeight="1">
      <c r="A15" s="18"/>
      <c r="B15" s="26"/>
      <c r="C15" s="27"/>
      <c r="D15" s="19" t="s">
        <v>12</v>
      </c>
      <c r="E15" s="79">
        <v>138.0</v>
      </c>
      <c r="F15" s="79">
        <v>136.0</v>
      </c>
      <c r="G15" s="79">
        <v>147.0</v>
      </c>
      <c r="H15" s="79">
        <v>147.0</v>
      </c>
      <c r="I15" s="79">
        <v>148.0</v>
      </c>
      <c r="J15" s="79">
        <v>142.0</v>
      </c>
      <c r="K15" s="79">
        <v>141.0</v>
      </c>
      <c r="L15" s="79">
        <v>133.0</v>
      </c>
      <c r="M15" s="79">
        <v>123.0</v>
      </c>
      <c r="N15" s="79">
        <v>138.0</v>
      </c>
      <c r="O15" s="79">
        <v>122.0</v>
      </c>
      <c r="P15" s="79">
        <v>130.0</v>
      </c>
      <c r="Q15" s="13">
        <f t="shared" si="1"/>
        <v>1645</v>
      </c>
    </row>
    <row r="16" ht="12.75" customHeight="1">
      <c r="A16" s="25"/>
      <c r="B16" s="21"/>
      <c r="C16" s="28"/>
      <c r="D16" s="13" t="s">
        <v>13</v>
      </c>
      <c r="E16" s="13">
        <f t="shared" ref="E16:P16" si="2">SUM(E14:E15)</f>
        <v>285</v>
      </c>
      <c r="F16" s="13">
        <f t="shared" si="2"/>
        <v>254</v>
      </c>
      <c r="G16" s="13">
        <f t="shared" si="2"/>
        <v>292</v>
      </c>
      <c r="H16" s="13">
        <f t="shared" si="2"/>
        <v>287</v>
      </c>
      <c r="I16" s="13">
        <f t="shared" si="2"/>
        <v>288</v>
      </c>
      <c r="J16" s="13">
        <f t="shared" si="2"/>
        <v>282</v>
      </c>
      <c r="K16" s="13">
        <f t="shared" si="2"/>
        <v>281</v>
      </c>
      <c r="L16" s="13">
        <f t="shared" si="2"/>
        <v>273</v>
      </c>
      <c r="M16" s="13">
        <f t="shared" si="2"/>
        <v>248</v>
      </c>
      <c r="N16" s="13">
        <f t="shared" si="2"/>
        <v>285</v>
      </c>
      <c r="O16" s="13">
        <f t="shared" si="2"/>
        <v>249</v>
      </c>
      <c r="P16" s="13">
        <f t="shared" si="2"/>
        <v>268</v>
      </c>
      <c r="Q16" s="13">
        <f t="shared" si="1"/>
        <v>3292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  <c r="O17" s="19"/>
      <c r="P17" s="19"/>
      <c r="Q17" s="81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0"/>
      <c r="O18" s="19"/>
      <c r="P18" s="19"/>
      <c r="Q18" s="81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79">
        <v>114.0</v>
      </c>
      <c r="F19" s="79">
        <v>93.0</v>
      </c>
      <c r="G19" s="79">
        <v>106.0</v>
      </c>
      <c r="H19" s="79">
        <v>107.0</v>
      </c>
      <c r="I19" s="79">
        <v>109.0</v>
      </c>
      <c r="J19" s="79">
        <v>108.0</v>
      </c>
      <c r="K19" s="79">
        <v>100.0</v>
      </c>
      <c r="L19" s="79">
        <v>105.0</v>
      </c>
      <c r="M19" s="79">
        <v>94.0</v>
      </c>
      <c r="N19" s="79">
        <v>102.0</v>
      </c>
      <c r="O19" s="79">
        <v>93.0</v>
      </c>
      <c r="P19" s="79">
        <v>101.0</v>
      </c>
      <c r="Q19" s="13">
        <f t="shared" ref="Q19:Q30" si="3">SUM(E19:P19)</f>
        <v>1232</v>
      </c>
    </row>
    <row r="20" ht="12.75" customHeight="1">
      <c r="A20" s="34"/>
      <c r="B20" s="27"/>
      <c r="C20" s="35"/>
      <c r="D20" s="19" t="s">
        <v>12</v>
      </c>
      <c r="E20" s="79">
        <v>112.0</v>
      </c>
      <c r="F20" s="79">
        <v>109.0</v>
      </c>
      <c r="G20" s="79">
        <v>115.0</v>
      </c>
      <c r="H20" s="79">
        <v>113.0</v>
      </c>
      <c r="I20" s="79">
        <v>108.0</v>
      </c>
      <c r="J20" s="79">
        <v>115.0</v>
      </c>
      <c r="K20" s="79">
        <v>105.0</v>
      </c>
      <c r="L20" s="79">
        <v>108.0</v>
      </c>
      <c r="M20" s="79">
        <v>86.0</v>
      </c>
      <c r="N20" s="79">
        <v>104.0</v>
      </c>
      <c r="O20" s="79">
        <v>92.0</v>
      </c>
      <c r="P20" s="79">
        <v>102.0</v>
      </c>
      <c r="Q20" s="13">
        <f t="shared" si="3"/>
        <v>1269</v>
      </c>
    </row>
    <row r="21" ht="12.75" customHeight="1">
      <c r="A21" s="36"/>
      <c r="B21" s="28"/>
      <c r="C21" s="37"/>
      <c r="D21" s="13" t="s">
        <v>13</v>
      </c>
      <c r="E21" s="13">
        <f t="shared" ref="E21:P21" si="4">SUM(E19:E20)</f>
        <v>226</v>
      </c>
      <c r="F21" s="13">
        <f t="shared" si="4"/>
        <v>202</v>
      </c>
      <c r="G21" s="13">
        <f t="shared" si="4"/>
        <v>221</v>
      </c>
      <c r="H21" s="13">
        <f t="shared" si="4"/>
        <v>220</v>
      </c>
      <c r="I21" s="13">
        <f t="shared" si="4"/>
        <v>217</v>
      </c>
      <c r="J21" s="13">
        <f t="shared" si="4"/>
        <v>223</v>
      </c>
      <c r="K21" s="13">
        <f t="shared" si="4"/>
        <v>205</v>
      </c>
      <c r="L21" s="13">
        <f t="shared" si="4"/>
        <v>213</v>
      </c>
      <c r="M21" s="13">
        <f t="shared" si="4"/>
        <v>180</v>
      </c>
      <c r="N21" s="13">
        <f t="shared" si="4"/>
        <v>206</v>
      </c>
      <c r="O21" s="13">
        <f t="shared" si="4"/>
        <v>185</v>
      </c>
      <c r="P21" s="13">
        <f t="shared" si="4"/>
        <v>203</v>
      </c>
      <c r="Q21" s="13">
        <f t="shared" si="3"/>
        <v>2501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79">
        <v>0.0</v>
      </c>
      <c r="F22" s="79">
        <v>0.0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79">
        <v>1.0</v>
      </c>
      <c r="O22" s="79">
        <v>0.0</v>
      </c>
      <c r="P22" s="79">
        <v>0.0</v>
      </c>
      <c r="Q22" s="13">
        <f t="shared" si="3"/>
        <v>1</v>
      </c>
    </row>
    <row r="23" ht="12.75" customHeight="1">
      <c r="A23" s="34"/>
      <c r="B23" s="27"/>
      <c r="C23" s="35"/>
      <c r="D23" s="19" t="s">
        <v>12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79">
        <v>0.0</v>
      </c>
      <c r="P23" s="79">
        <v>0.0</v>
      </c>
      <c r="Q23" s="13">
        <f t="shared" si="3"/>
        <v>0</v>
      </c>
    </row>
    <row r="24" ht="12.75" customHeight="1">
      <c r="A24" s="36"/>
      <c r="B24" s="28"/>
      <c r="C24" s="37"/>
      <c r="D24" s="13" t="s">
        <v>13</v>
      </c>
      <c r="E24" s="13">
        <f t="shared" ref="E24:P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3"/>
        <v>1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79">
        <v>0.0</v>
      </c>
      <c r="F25" s="79">
        <v>0.0</v>
      </c>
      <c r="G25" s="79">
        <v>1.0</v>
      </c>
      <c r="H25" s="79">
        <v>1.0</v>
      </c>
      <c r="I25" s="79">
        <v>2.0</v>
      </c>
      <c r="J25" s="79">
        <v>2.0</v>
      </c>
      <c r="K25" s="79">
        <v>1.0</v>
      </c>
      <c r="L25" s="79">
        <v>0.0</v>
      </c>
      <c r="M25" s="79">
        <v>0.0</v>
      </c>
      <c r="N25" s="79">
        <v>0.0</v>
      </c>
      <c r="O25" s="79">
        <v>0.0</v>
      </c>
      <c r="P25" s="79">
        <v>1.0</v>
      </c>
      <c r="Q25" s="13">
        <f t="shared" si="3"/>
        <v>8</v>
      </c>
    </row>
    <row r="26" ht="12.75" customHeight="1">
      <c r="A26" s="34"/>
      <c r="B26" s="27"/>
      <c r="C26" s="35"/>
      <c r="D26" s="19" t="s">
        <v>12</v>
      </c>
      <c r="E26" s="79">
        <v>0.0</v>
      </c>
      <c r="F26" s="79">
        <v>3.0</v>
      </c>
      <c r="G26" s="79">
        <v>1.0</v>
      </c>
      <c r="H26" s="79">
        <v>1.0</v>
      </c>
      <c r="I26" s="79">
        <v>2.0</v>
      </c>
      <c r="J26" s="79">
        <v>2.0</v>
      </c>
      <c r="K26" s="79">
        <v>0.0</v>
      </c>
      <c r="L26" s="79">
        <v>0.0</v>
      </c>
      <c r="M26" s="79">
        <v>0.0</v>
      </c>
      <c r="N26" s="79">
        <v>2.0</v>
      </c>
      <c r="O26" s="79">
        <v>1.0</v>
      </c>
      <c r="P26" s="79">
        <v>0.0</v>
      </c>
      <c r="Q26" s="13">
        <f t="shared" si="3"/>
        <v>12</v>
      </c>
    </row>
    <row r="27" ht="12.75" customHeight="1">
      <c r="A27" s="36"/>
      <c r="B27" s="28"/>
      <c r="C27" s="37"/>
      <c r="D27" s="13" t="s">
        <v>13</v>
      </c>
      <c r="E27" s="13">
        <f t="shared" ref="E27:P27" si="6">SUM(E25:E26)</f>
        <v>0</v>
      </c>
      <c r="F27" s="13">
        <f t="shared" si="6"/>
        <v>3</v>
      </c>
      <c r="G27" s="13">
        <f t="shared" si="6"/>
        <v>2</v>
      </c>
      <c r="H27" s="13">
        <f t="shared" si="6"/>
        <v>2</v>
      </c>
      <c r="I27" s="13">
        <f t="shared" si="6"/>
        <v>4</v>
      </c>
      <c r="J27" s="13">
        <f t="shared" si="6"/>
        <v>4</v>
      </c>
      <c r="K27" s="13">
        <f t="shared" si="6"/>
        <v>1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6"/>
        <v>1</v>
      </c>
      <c r="P27" s="13">
        <f t="shared" si="6"/>
        <v>1</v>
      </c>
      <c r="Q27" s="13">
        <f t="shared" si="3"/>
        <v>20</v>
      </c>
    </row>
    <row r="28" ht="12.75" customHeight="1">
      <c r="A28" s="36"/>
      <c r="B28" s="40" t="s">
        <v>22</v>
      </c>
      <c r="C28" s="41" t="s">
        <v>23</v>
      </c>
      <c r="D28" s="13" t="s">
        <v>11</v>
      </c>
      <c r="E28" s="13">
        <f t="shared" ref="E28:P28" si="7">SUM(E19,E22,E25)</f>
        <v>114</v>
      </c>
      <c r="F28" s="13">
        <f t="shared" si="7"/>
        <v>93</v>
      </c>
      <c r="G28" s="13">
        <f t="shared" si="7"/>
        <v>107</v>
      </c>
      <c r="H28" s="13">
        <f t="shared" si="7"/>
        <v>108</v>
      </c>
      <c r="I28" s="13">
        <f t="shared" si="7"/>
        <v>111</v>
      </c>
      <c r="J28" s="13">
        <f t="shared" si="7"/>
        <v>110</v>
      </c>
      <c r="K28" s="13">
        <f t="shared" si="7"/>
        <v>101</v>
      </c>
      <c r="L28" s="13">
        <f t="shared" si="7"/>
        <v>105</v>
      </c>
      <c r="M28" s="13">
        <f t="shared" si="7"/>
        <v>94</v>
      </c>
      <c r="N28" s="13">
        <f t="shared" si="7"/>
        <v>103</v>
      </c>
      <c r="O28" s="13">
        <f t="shared" si="7"/>
        <v>93</v>
      </c>
      <c r="P28" s="13">
        <f t="shared" si="7"/>
        <v>102</v>
      </c>
      <c r="Q28" s="13">
        <f t="shared" si="3"/>
        <v>1241</v>
      </c>
    </row>
    <row r="29" ht="12.75" customHeight="1">
      <c r="A29" s="36"/>
      <c r="B29" s="27"/>
      <c r="C29" s="35"/>
      <c r="D29" s="13" t="s">
        <v>12</v>
      </c>
      <c r="E29" s="13">
        <f t="shared" ref="E29:P29" si="8">SUM(E20,E23,E26)</f>
        <v>112</v>
      </c>
      <c r="F29" s="13">
        <f t="shared" si="8"/>
        <v>112</v>
      </c>
      <c r="G29" s="13">
        <f t="shared" si="8"/>
        <v>116</v>
      </c>
      <c r="H29" s="13">
        <f t="shared" si="8"/>
        <v>114</v>
      </c>
      <c r="I29" s="13">
        <f t="shared" si="8"/>
        <v>110</v>
      </c>
      <c r="J29" s="13">
        <f t="shared" si="8"/>
        <v>117</v>
      </c>
      <c r="K29" s="13">
        <f t="shared" si="8"/>
        <v>105</v>
      </c>
      <c r="L29" s="13">
        <f t="shared" si="8"/>
        <v>108</v>
      </c>
      <c r="M29" s="13">
        <f t="shared" si="8"/>
        <v>86</v>
      </c>
      <c r="N29" s="13">
        <f t="shared" si="8"/>
        <v>106</v>
      </c>
      <c r="O29" s="13">
        <f t="shared" si="8"/>
        <v>93</v>
      </c>
      <c r="P29" s="13">
        <f t="shared" si="8"/>
        <v>102</v>
      </c>
      <c r="Q29" s="13">
        <f t="shared" si="3"/>
        <v>1281</v>
      </c>
    </row>
    <row r="30" ht="12.75" customHeight="1">
      <c r="A30" s="36"/>
      <c r="B30" s="28"/>
      <c r="C30" s="37"/>
      <c r="D30" s="13" t="s">
        <v>13</v>
      </c>
      <c r="E30" s="13">
        <f t="shared" ref="E30:P30" si="9">SUM(E28:E29)</f>
        <v>226</v>
      </c>
      <c r="F30" s="13">
        <f t="shared" si="9"/>
        <v>205</v>
      </c>
      <c r="G30" s="13">
        <f t="shared" si="9"/>
        <v>223</v>
      </c>
      <c r="H30" s="13">
        <f t="shared" si="9"/>
        <v>222</v>
      </c>
      <c r="I30" s="13">
        <f t="shared" si="9"/>
        <v>221</v>
      </c>
      <c r="J30" s="13">
        <f t="shared" si="9"/>
        <v>227</v>
      </c>
      <c r="K30" s="13">
        <f t="shared" si="9"/>
        <v>206</v>
      </c>
      <c r="L30" s="13">
        <f t="shared" si="9"/>
        <v>213</v>
      </c>
      <c r="M30" s="13">
        <f t="shared" si="9"/>
        <v>180</v>
      </c>
      <c r="N30" s="13">
        <f t="shared" si="9"/>
        <v>209</v>
      </c>
      <c r="O30" s="13">
        <f t="shared" si="9"/>
        <v>186</v>
      </c>
      <c r="P30" s="13">
        <f t="shared" si="9"/>
        <v>204</v>
      </c>
      <c r="Q30" s="13">
        <f t="shared" si="3"/>
        <v>2522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  <c r="O31" s="19"/>
      <c r="P31" s="19"/>
      <c r="Q31" s="81"/>
    </row>
    <row r="32" ht="12.75" customHeight="1">
      <c r="A32" s="44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2"/>
      <c r="O32" s="13"/>
      <c r="P32" s="13"/>
      <c r="Q32" s="81"/>
    </row>
    <row r="33" ht="12.75" customHeight="1">
      <c r="A33" s="19">
        <v>1.0</v>
      </c>
      <c r="B33" s="20" t="s">
        <v>26</v>
      </c>
      <c r="C33" s="15"/>
      <c r="D33" s="16"/>
      <c r="E33" s="79">
        <v>288.0</v>
      </c>
      <c r="F33" s="79">
        <v>257.0</v>
      </c>
      <c r="G33" s="79">
        <v>298.0</v>
      </c>
      <c r="H33" s="79">
        <v>290.0</v>
      </c>
      <c r="I33" s="79">
        <v>294.0</v>
      </c>
      <c r="J33" s="79">
        <v>285.0</v>
      </c>
      <c r="K33" s="79">
        <v>285.0</v>
      </c>
      <c r="L33" s="79">
        <v>276.0</v>
      </c>
      <c r="M33" s="79">
        <v>250.0</v>
      </c>
      <c r="N33" s="79">
        <v>288.0</v>
      </c>
      <c r="O33" s="79">
        <v>251.0</v>
      </c>
      <c r="P33" s="79">
        <v>271.0</v>
      </c>
      <c r="Q33" s="13">
        <f t="shared" ref="Q33:Q36" si="10">SUM(E33:P33)</f>
        <v>3333</v>
      </c>
    </row>
    <row r="34" ht="12.75" customHeight="1">
      <c r="A34" s="19">
        <v>2.0</v>
      </c>
      <c r="B34" s="20" t="s">
        <v>27</v>
      </c>
      <c r="C34" s="15"/>
      <c r="D34" s="16"/>
      <c r="E34" s="73">
        <v>226.0</v>
      </c>
      <c r="F34" s="73">
        <v>205.0</v>
      </c>
      <c r="G34" s="73">
        <v>223.0</v>
      </c>
      <c r="H34" s="73">
        <v>222.0</v>
      </c>
      <c r="I34" s="73">
        <v>221.0</v>
      </c>
      <c r="J34" s="73">
        <v>227.0</v>
      </c>
      <c r="K34" s="73">
        <v>206.0</v>
      </c>
      <c r="L34" s="73">
        <v>213.0</v>
      </c>
      <c r="M34" s="73">
        <v>180.0</v>
      </c>
      <c r="N34" s="73">
        <v>209.0</v>
      </c>
      <c r="O34" s="73">
        <v>186.0</v>
      </c>
      <c r="P34" s="73">
        <v>204.0</v>
      </c>
      <c r="Q34" s="13">
        <f t="shared" si="10"/>
        <v>2522</v>
      </c>
    </row>
    <row r="35" ht="12.75" customHeight="1">
      <c r="A35" s="19">
        <v>3.0</v>
      </c>
      <c r="B35" s="20" t="s">
        <v>28</v>
      </c>
      <c r="C35" s="15"/>
      <c r="D35" s="16"/>
      <c r="E35" s="79">
        <v>0.0</v>
      </c>
      <c r="F35" s="79">
        <v>0.0</v>
      </c>
      <c r="G35" s="79">
        <v>0.0</v>
      </c>
      <c r="H35" s="79">
        <v>0.0</v>
      </c>
      <c r="I35" s="79">
        <v>0.0</v>
      </c>
      <c r="J35" s="79">
        <v>2.0</v>
      </c>
      <c r="K35" s="79">
        <v>0.0</v>
      </c>
      <c r="L35" s="79">
        <v>0.0</v>
      </c>
      <c r="M35" s="79">
        <v>0.0</v>
      </c>
      <c r="N35" s="79">
        <v>0.0</v>
      </c>
      <c r="O35" s="79">
        <v>0.0</v>
      </c>
      <c r="P35" s="79">
        <v>0.0</v>
      </c>
      <c r="Q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P36" si="11">E33-(E34+E35)</f>
        <v>62</v>
      </c>
      <c r="F36" s="13">
        <f t="shared" si="11"/>
        <v>52</v>
      </c>
      <c r="G36" s="13">
        <f t="shared" si="11"/>
        <v>75</v>
      </c>
      <c r="H36" s="13">
        <f t="shared" si="11"/>
        <v>68</v>
      </c>
      <c r="I36" s="13">
        <f t="shared" si="11"/>
        <v>73</v>
      </c>
      <c r="J36" s="13">
        <f t="shared" si="11"/>
        <v>56</v>
      </c>
      <c r="K36" s="13">
        <f t="shared" si="11"/>
        <v>79</v>
      </c>
      <c r="L36" s="13">
        <f t="shared" si="11"/>
        <v>63</v>
      </c>
      <c r="M36" s="13">
        <f t="shared" si="11"/>
        <v>70</v>
      </c>
      <c r="N36" s="13">
        <f t="shared" si="11"/>
        <v>79</v>
      </c>
      <c r="O36" s="13">
        <f t="shared" si="11"/>
        <v>65</v>
      </c>
      <c r="P36" s="13">
        <f t="shared" si="11"/>
        <v>67</v>
      </c>
      <c r="Q36" s="13">
        <f t="shared" si="10"/>
        <v>809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  <c r="O37" s="19"/>
      <c r="P37" s="19"/>
      <c r="Q37" s="81"/>
    </row>
    <row r="38" ht="12.75" customHeight="1">
      <c r="A38" s="45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2"/>
      <c r="O38" s="13"/>
      <c r="P38" s="13"/>
      <c r="Q38" s="81"/>
    </row>
    <row r="39" ht="12.75" customHeight="1">
      <c r="A39" s="31"/>
      <c r="B39" s="46" t="s">
        <v>32</v>
      </c>
      <c r="C39" s="23"/>
      <c r="D39" s="19" t="s">
        <v>11</v>
      </c>
      <c r="E39" s="79">
        <v>0.0</v>
      </c>
      <c r="F39" s="79">
        <v>0.0</v>
      </c>
      <c r="G39" s="79">
        <v>0.0</v>
      </c>
      <c r="H39" s="79">
        <v>0.0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1.0</v>
      </c>
      <c r="O39" s="79">
        <v>0.0</v>
      </c>
      <c r="P39" s="79">
        <v>0.0</v>
      </c>
      <c r="Q39" s="13">
        <f t="shared" ref="Q39:Q41" si="12">SUM(E39:P39)</f>
        <v>1</v>
      </c>
    </row>
    <row r="40" ht="12.75" customHeight="1">
      <c r="A40" s="34"/>
      <c r="C40" s="27"/>
      <c r="D40" s="19" t="s">
        <v>12</v>
      </c>
      <c r="E40" s="79">
        <v>0.0</v>
      </c>
      <c r="F40" s="79">
        <v>3.0</v>
      </c>
      <c r="G40" s="79">
        <v>0.0</v>
      </c>
      <c r="H40" s="79">
        <v>0.0</v>
      </c>
      <c r="I40" s="79">
        <v>0.0</v>
      </c>
      <c r="J40" s="79">
        <v>0.0</v>
      </c>
      <c r="K40" s="79">
        <v>2.0</v>
      </c>
      <c r="L40" s="79">
        <v>0.0</v>
      </c>
      <c r="M40" s="79">
        <v>0.0</v>
      </c>
      <c r="N40" s="79">
        <v>0.0</v>
      </c>
      <c r="O40" s="79">
        <v>0.0</v>
      </c>
      <c r="P40" s="79">
        <v>0.0</v>
      </c>
      <c r="Q40" s="13">
        <f t="shared" si="12"/>
        <v>5</v>
      </c>
    </row>
    <row r="41" ht="12.75" customHeight="1">
      <c r="A41" s="44"/>
      <c r="B41" s="47"/>
      <c r="C41" s="28"/>
      <c r="D41" s="13" t="s">
        <v>13</v>
      </c>
      <c r="E41" s="13">
        <f t="shared" ref="E41:P41" si="13">SUM(E39:E40)</f>
        <v>0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2"/>
        <v>6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0"/>
      <c r="O42" s="19"/>
      <c r="P42" s="19"/>
      <c r="Q42" s="13"/>
    </row>
    <row r="43" ht="12.75" customHeight="1">
      <c r="A43" s="45" t="s">
        <v>33</v>
      </c>
      <c r="B43" s="14" t="s">
        <v>34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82"/>
      <c r="O43" s="13"/>
      <c r="P43" s="13"/>
      <c r="Q43" s="13"/>
    </row>
    <row r="44" ht="12.75" customHeight="1">
      <c r="A44" s="46" t="s">
        <v>35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0"/>
      <c r="O44" s="19"/>
      <c r="P44" s="19"/>
      <c r="Q44" s="13"/>
    </row>
    <row r="45" ht="12.75" customHeight="1">
      <c r="A45" s="31" t="s">
        <v>36</v>
      </c>
      <c r="B45" s="50" t="s">
        <v>16</v>
      </c>
      <c r="C45" s="51" t="s">
        <v>37</v>
      </c>
      <c r="D45" s="16"/>
      <c r="E45" s="79">
        <v>21.0</v>
      </c>
      <c r="F45" s="79">
        <v>13.0</v>
      </c>
      <c r="G45" s="79">
        <v>11.0</v>
      </c>
      <c r="H45" s="79">
        <v>9.0</v>
      </c>
      <c r="I45" s="79">
        <v>11.0</v>
      </c>
      <c r="J45" s="79">
        <v>9.0</v>
      </c>
      <c r="K45" s="79">
        <v>4.0</v>
      </c>
      <c r="L45" s="79">
        <v>7.0</v>
      </c>
      <c r="M45" s="79">
        <v>6.0</v>
      </c>
      <c r="N45" s="79">
        <v>7.0</v>
      </c>
      <c r="O45" s="79">
        <v>6.0</v>
      </c>
      <c r="P45" s="79">
        <v>12.0</v>
      </c>
      <c r="Q45" s="13">
        <f t="shared" ref="Q45:Q55" si="14">SUM(E45:P45)</f>
        <v>116</v>
      </c>
    </row>
    <row r="46" ht="12.75" customHeight="1">
      <c r="A46" s="31" t="s">
        <v>38</v>
      </c>
      <c r="B46" s="52"/>
      <c r="C46" s="53" t="s">
        <v>39</v>
      </c>
      <c r="D46" s="53"/>
      <c r="E46" s="79">
        <v>15.0</v>
      </c>
      <c r="F46" s="79">
        <v>10.0</v>
      </c>
      <c r="G46" s="79">
        <v>31.0</v>
      </c>
      <c r="H46" s="79">
        <v>20.0</v>
      </c>
      <c r="I46" s="79">
        <v>18.0</v>
      </c>
      <c r="J46" s="79">
        <v>26.0</v>
      </c>
      <c r="K46" s="79">
        <v>5.0</v>
      </c>
      <c r="L46" s="79">
        <v>21.0</v>
      </c>
      <c r="M46" s="79">
        <v>7.0</v>
      </c>
      <c r="N46" s="79">
        <v>12.0</v>
      </c>
      <c r="O46" s="79">
        <v>18.0</v>
      </c>
      <c r="P46" s="79">
        <v>12.0</v>
      </c>
      <c r="Q46" s="13">
        <f t="shared" si="14"/>
        <v>195</v>
      </c>
    </row>
    <row r="47" ht="12.75" customHeight="1">
      <c r="A47" s="18"/>
      <c r="B47" s="58"/>
      <c r="C47" s="53" t="s">
        <v>40</v>
      </c>
      <c r="D47" s="53"/>
      <c r="E47" s="79">
        <v>3.0</v>
      </c>
      <c r="F47" s="79">
        <v>4.0</v>
      </c>
      <c r="G47" s="79">
        <v>5.0</v>
      </c>
      <c r="H47" s="79">
        <v>9.0</v>
      </c>
      <c r="I47" s="79">
        <v>4.0</v>
      </c>
      <c r="J47" s="79">
        <v>4.0</v>
      </c>
      <c r="K47" s="79">
        <v>20.0</v>
      </c>
      <c r="L47" s="79">
        <v>3.0</v>
      </c>
      <c r="M47" s="79">
        <v>1.0</v>
      </c>
      <c r="N47" s="79">
        <v>0.0</v>
      </c>
      <c r="O47" s="79">
        <v>1.0</v>
      </c>
      <c r="P47" s="79">
        <v>3.0</v>
      </c>
      <c r="Q47" s="13">
        <f t="shared" si="14"/>
        <v>57</v>
      </c>
    </row>
    <row r="48" ht="12.75" customHeight="1">
      <c r="A48" s="18"/>
      <c r="B48" s="58"/>
      <c r="C48" s="53" t="s">
        <v>41</v>
      </c>
      <c r="D48" s="53"/>
      <c r="E48" s="79">
        <v>0.0</v>
      </c>
      <c r="F48" s="79">
        <v>0.0</v>
      </c>
      <c r="G48" s="79">
        <v>0.0</v>
      </c>
      <c r="H48" s="79">
        <v>4.0</v>
      </c>
      <c r="I48" s="79">
        <v>2.0</v>
      </c>
      <c r="J48" s="79">
        <v>3.0</v>
      </c>
      <c r="K48" s="79">
        <v>4.0</v>
      </c>
      <c r="L48" s="79">
        <v>0.0</v>
      </c>
      <c r="M48" s="79">
        <v>0.0</v>
      </c>
      <c r="N48" s="79">
        <v>2.0</v>
      </c>
      <c r="O48" s="79">
        <v>1.0</v>
      </c>
      <c r="P48" s="79">
        <v>0.0</v>
      </c>
      <c r="Q48" s="13">
        <f t="shared" si="14"/>
        <v>16</v>
      </c>
    </row>
    <row r="49" ht="12.75" customHeight="1">
      <c r="A49" s="18"/>
      <c r="B49" s="58"/>
      <c r="C49" s="53" t="s">
        <v>42</v>
      </c>
      <c r="D49" s="53"/>
      <c r="E49" s="79">
        <v>0.0</v>
      </c>
      <c r="F49" s="79">
        <v>5.0</v>
      </c>
      <c r="G49" s="79">
        <v>2.0</v>
      </c>
      <c r="H49" s="79">
        <v>3.0</v>
      </c>
      <c r="I49" s="79">
        <v>0.0</v>
      </c>
      <c r="J49" s="79">
        <v>1.0</v>
      </c>
      <c r="K49" s="79">
        <v>0.0</v>
      </c>
      <c r="L49" s="79">
        <v>1.0</v>
      </c>
      <c r="M49" s="79">
        <v>1.0</v>
      </c>
      <c r="N49" s="79">
        <v>0.0</v>
      </c>
      <c r="O49" s="79">
        <v>1.0</v>
      </c>
      <c r="P49" s="79">
        <v>3.0</v>
      </c>
      <c r="Q49" s="13">
        <f t="shared" si="14"/>
        <v>17</v>
      </c>
    </row>
    <row r="50" ht="12.75" customHeight="1">
      <c r="A50" s="18"/>
      <c r="B50" s="58"/>
      <c r="C50" s="53" t="s">
        <v>43</v>
      </c>
      <c r="D50" s="53"/>
      <c r="E50" s="79">
        <v>0.0</v>
      </c>
      <c r="F50" s="79">
        <v>1.0</v>
      </c>
      <c r="G50" s="79">
        <v>4.0</v>
      </c>
      <c r="H50" s="79">
        <v>0.0</v>
      </c>
      <c r="I50" s="79">
        <v>0.0</v>
      </c>
      <c r="J50" s="79">
        <v>1.0</v>
      </c>
      <c r="K50" s="79">
        <v>1.0</v>
      </c>
      <c r="L50" s="79">
        <v>1.0</v>
      </c>
      <c r="M50" s="79">
        <v>0.0</v>
      </c>
      <c r="N50" s="79">
        <v>0.0</v>
      </c>
      <c r="O50" s="79">
        <v>0.0</v>
      </c>
      <c r="P50" s="79">
        <v>0.0</v>
      </c>
      <c r="Q50" s="13">
        <f t="shared" si="14"/>
        <v>8</v>
      </c>
    </row>
    <row r="51" ht="12.75" customHeight="1">
      <c r="A51" s="18"/>
      <c r="B51" s="58"/>
      <c r="C51" s="53" t="s">
        <v>44</v>
      </c>
      <c r="D51" s="53"/>
      <c r="E51" s="79">
        <v>3.0</v>
      </c>
      <c r="F51" s="79">
        <v>0.0</v>
      </c>
      <c r="G51" s="79">
        <v>0.0</v>
      </c>
      <c r="H51" s="79">
        <v>0.0</v>
      </c>
      <c r="I51" s="79">
        <v>1.0</v>
      </c>
      <c r="J51" s="79">
        <v>0.0</v>
      </c>
      <c r="K51" s="79">
        <v>0.0</v>
      </c>
      <c r="L51" s="79">
        <v>0.0</v>
      </c>
      <c r="M51" s="79">
        <v>0.0</v>
      </c>
      <c r="N51" s="79">
        <v>0.0</v>
      </c>
      <c r="O51" s="79">
        <v>0.0</v>
      </c>
      <c r="P51" s="79">
        <v>0.0</v>
      </c>
      <c r="Q51" s="13">
        <f t="shared" si="14"/>
        <v>4</v>
      </c>
    </row>
    <row r="52" ht="12.75" customHeight="1">
      <c r="A52" s="18"/>
      <c r="B52" s="58"/>
      <c r="C52" s="53" t="s">
        <v>45</v>
      </c>
      <c r="D52" s="53"/>
      <c r="E52" s="79">
        <v>0.0</v>
      </c>
      <c r="F52" s="79">
        <v>2.0</v>
      </c>
      <c r="G52" s="79">
        <v>0.0</v>
      </c>
      <c r="H52" s="79">
        <v>2.0</v>
      </c>
      <c r="I52" s="79">
        <v>0.0</v>
      </c>
      <c r="J52" s="79">
        <v>1.0</v>
      </c>
      <c r="K52" s="79">
        <v>0.0</v>
      </c>
      <c r="L52" s="79">
        <v>1.0</v>
      </c>
      <c r="M52" s="79">
        <v>0.0</v>
      </c>
      <c r="N52" s="79">
        <v>0.0</v>
      </c>
      <c r="O52" s="79">
        <v>2.0</v>
      </c>
      <c r="P52" s="79">
        <v>1.0</v>
      </c>
      <c r="Q52" s="13">
        <f t="shared" si="14"/>
        <v>9</v>
      </c>
    </row>
    <row r="53" ht="12.75" customHeight="1">
      <c r="A53" s="18"/>
      <c r="B53" s="58"/>
      <c r="C53" s="53" t="s">
        <v>46</v>
      </c>
      <c r="D53" s="53"/>
      <c r="E53" s="79">
        <v>0.0</v>
      </c>
      <c r="F53" s="79">
        <v>0.0</v>
      </c>
      <c r="G53" s="79">
        <v>1.0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1.0</v>
      </c>
      <c r="N53" s="79">
        <v>0.0</v>
      </c>
      <c r="O53" s="79">
        <v>0.0</v>
      </c>
      <c r="P53" s="79">
        <v>0.0</v>
      </c>
      <c r="Q53" s="13">
        <f t="shared" si="14"/>
        <v>2</v>
      </c>
    </row>
    <row r="54" ht="12.75" customHeight="1">
      <c r="A54" s="18"/>
      <c r="B54" s="58"/>
      <c r="C54" s="53" t="s">
        <v>47</v>
      </c>
      <c r="D54" s="53"/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0.0</v>
      </c>
      <c r="K54" s="79">
        <v>0.0</v>
      </c>
      <c r="L54" s="79">
        <v>1.0</v>
      </c>
      <c r="M54" s="79">
        <v>0.0</v>
      </c>
      <c r="N54" s="79">
        <v>0.0</v>
      </c>
      <c r="O54" s="79">
        <v>0.0</v>
      </c>
      <c r="P54" s="79">
        <v>0.0</v>
      </c>
      <c r="Q54" s="13">
        <f t="shared" si="14"/>
        <v>1</v>
      </c>
    </row>
    <row r="55" ht="12.75" customHeight="1">
      <c r="A55" s="19" t="s">
        <v>14</v>
      </c>
      <c r="B55" s="50" t="s">
        <v>48</v>
      </c>
      <c r="C55" s="15"/>
      <c r="D55" s="16"/>
      <c r="E55" s="13">
        <f t="shared" ref="E55:P55" si="15">SUM(E45:E54)</f>
        <v>42</v>
      </c>
      <c r="F55" s="13">
        <f t="shared" si="15"/>
        <v>35</v>
      </c>
      <c r="G55" s="13">
        <f t="shared" si="15"/>
        <v>54</v>
      </c>
      <c r="H55" s="13">
        <f t="shared" si="15"/>
        <v>47</v>
      </c>
      <c r="I55" s="13">
        <f t="shared" si="15"/>
        <v>36</v>
      </c>
      <c r="J55" s="13">
        <f t="shared" si="15"/>
        <v>45</v>
      </c>
      <c r="K55" s="13">
        <f t="shared" si="15"/>
        <v>34</v>
      </c>
      <c r="L55" s="13">
        <f t="shared" si="15"/>
        <v>35</v>
      </c>
      <c r="M55" s="13">
        <f t="shared" si="15"/>
        <v>16</v>
      </c>
      <c r="N55" s="13">
        <f t="shared" si="15"/>
        <v>21</v>
      </c>
      <c r="O55" s="13">
        <f t="shared" si="15"/>
        <v>29</v>
      </c>
      <c r="P55" s="13">
        <f t="shared" si="15"/>
        <v>31</v>
      </c>
      <c r="Q55" s="13">
        <f t="shared" si="14"/>
        <v>425</v>
      </c>
    </row>
    <row r="56" ht="12.75" customHeight="1">
      <c r="A56" s="48"/>
      <c r="B56" s="47"/>
      <c r="C56" s="47"/>
      <c r="D56" s="47"/>
      <c r="E56" s="47"/>
      <c r="Q56" s="13"/>
    </row>
    <row r="57" ht="12.75" customHeight="1">
      <c r="A57" s="31" t="s">
        <v>36</v>
      </c>
      <c r="B57" s="50" t="s">
        <v>18</v>
      </c>
      <c r="C57" s="51" t="s">
        <v>49</v>
      </c>
      <c r="D57" s="16"/>
      <c r="E57" s="79">
        <v>15.0</v>
      </c>
      <c r="F57" s="79">
        <v>15.0</v>
      </c>
      <c r="G57" s="79">
        <v>10.0</v>
      </c>
      <c r="H57" s="79">
        <v>12.0</v>
      </c>
      <c r="I57" s="79">
        <v>23.0</v>
      </c>
      <c r="J57" s="79">
        <v>12.0</v>
      </c>
      <c r="K57" s="79">
        <v>8.0</v>
      </c>
      <c r="L57" s="79">
        <v>14.0</v>
      </c>
      <c r="M57" s="79">
        <v>15.0</v>
      </c>
      <c r="N57" s="79">
        <v>11.0</v>
      </c>
      <c r="O57" s="79">
        <v>14.0</v>
      </c>
      <c r="P57" s="79">
        <v>14.0</v>
      </c>
      <c r="Q57" s="13">
        <f t="shared" ref="Q57:Q67" si="16">SUM(E57:P57)</f>
        <v>163</v>
      </c>
    </row>
    <row r="58" ht="12.75" customHeight="1">
      <c r="A58" s="31" t="s">
        <v>38</v>
      </c>
      <c r="B58" s="58"/>
      <c r="C58" s="53" t="s">
        <v>50</v>
      </c>
      <c r="D58" s="60"/>
      <c r="E58" s="79">
        <v>10.0</v>
      </c>
      <c r="F58" s="79">
        <v>4.0</v>
      </c>
      <c r="G58" s="79">
        <v>10.0</v>
      </c>
      <c r="H58" s="79">
        <v>6.0</v>
      </c>
      <c r="I58" s="79">
        <v>11.0</v>
      </c>
      <c r="J58" s="79">
        <v>13.0</v>
      </c>
      <c r="K58" s="79">
        <v>7.0</v>
      </c>
      <c r="L58" s="79">
        <v>6.0</v>
      </c>
      <c r="M58" s="79">
        <v>13.0</v>
      </c>
      <c r="N58" s="79">
        <v>5.0</v>
      </c>
      <c r="O58" s="79">
        <v>7.0</v>
      </c>
      <c r="P58" s="79">
        <v>7.0</v>
      </c>
      <c r="Q58" s="13">
        <f t="shared" si="16"/>
        <v>99</v>
      </c>
    </row>
    <row r="59" ht="12.75" customHeight="1">
      <c r="A59" s="18"/>
      <c r="B59" s="58"/>
      <c r="C59" s="53" t="s">
        <v>51</v>
      </c>
      <c r="D59" s="60"/>
      <c r="E59" s="79">
        <v>6.0</v>
      </c>
      <c r="F59" s="79">
        <v>15.0</v>
      </c>
      <c r="G59" s="79">
        <v>35.0</v>
      </c>
      <c r="H59" s="79">
        <v>23.0</v>
      </c>
      <c r="I59" s="79">
        <v>26.0</v>
      </c>
      <c r="J59" s="79">
        <v>41.0</v>
      </c>
      <c r="K59" s="79">
        <v>23.0</v>
      </c>
      <c r="L59" s="79">
        <v>30.0</v>
      </c>
      <c r="M59" s="79">
        <v>44.0</v>
      </c>
      <c r="N59" s="79">
        <v>3.0</v>
      </c>
      <c r="O59" s="79">
        <v>8.0</v>
      </c>
      <c r="P59" s="79">
        <v>8.0</v>
      </c>
      <c r="Q59" s="13">
        <f t="shared" si="16"/>
        <v>262</v>
      </c>
    </row>
    <row r="60" ht="12.75" customHeight="1">
      <c r="A60" s="18"/>
      <c r="B60" s="58"/>
      <c r="C60" s="53" t="s">
        <v>52</v>
      </c>
      <c r="D60" s="60"/>
      <c r="E60" s="79">
        <v>1.0</v>
      </c>
      <c r="F60" s="79">
        <v>3.0</v>
      </c>
      <c r="G60" s="79">
        <v>3.0</v>
      </c>
      <c r="H60" s="79">
        <v>3.0</v>
      </c>
      <c r="I60" s="79">
        <v>0.0</v>
      </c>
      <c r="J60" s="79">
        <v>2.0</v>
      </c>
      <c r="K60" s="79">
        <v>2.0</v>
      </c>
      <c r="L60" s="79">
        <v>3.0</v>
      </c>
      <c r="M60" s="79">
        <v>1.0</v>
      </c>
      <c r="N60" s="79">
        <v>2.0</v>
      </c>
      <c r="O60" s="79">
        <v>1.0</v>
      </c>
      <c r="P60" s="79">
        <v>3.0</v>
      </c>
      <c r="Q60" s="13">
        <f t="shared" si="16"/>
        <v>24</v>
      </c>
    </row>
    <row r="61" ht="12.75" customHeight="1">
      <c r="A61" s="18"/>
      <c r="B61" s="58"/>
      <c r="C61" s="53" t="s">
        <v>53</v>
      </c>
      <c r="D61" s="60"/>
      <c r="E61" s="79">
        <v>3.0</v>
      </c>
      <c r="F61" s="79">
        <v>3.0</v>
      </c>
      <c r="G61" s="79">
        <v>3.0</v>
      </c>
      <c r="H61" s="79">
        <v>3.0</v>
      </c>
      <c r="I61" s="79">
        <v>3.0</v>
      </c>
      <c r="J61" s="79">
        <v>3.0</v>
      </c>
      <c r="K61" s="79">
        <v>3.0</v>
      </c>
      <c r="L61" s="79">
        <v>2.0</v>
      </c>
      <c r="M61" s="79">
        <v>3.0</v>
      </c>
      <c r="N61" s="79">
        <v>2.0</v>
      </c>
      <c r="O61" s="79">
        <v>2.0</v>
      </c>
      <c r="P61" s="79">
        <v>1.0</v>
      </c>
      <c r="Q61" s="13">
        <f t="shared" si="16"/>
        <v>31</v>
      </c>
    </row>
    <row r="62" ht="12.75" customHeight="1">
      <c r="A62" s="18"/>
      <c r="B62" s="58"/>
      <c r="C62" s="53" t="s">
        <v>54</v>
      </c>
      <c r="D62" s="60"/>
      <c r="E62" s="79">
        <v>0.0</v>
      </c>
      <c r="F62" s="79">
        <v>0.0</v>
      </c>
      <c r="G62" s="79">
        <v>0.0</v>
      </c>
      <c r="H62" s="79">
        <v>2.0</v>
      </c>
      <c r="I62" s="79">
        <v>1.0</v>
      </c>
      <c r="J62" s="79">
        <v>3.0</v>
      </c>
      <c r="K62" s="79">
        <v>0.0</v>
      </c>
      <c r="L62" s="79">
        <v>1.0</v>
      </c>
      <c r="M62" s="79">
        <v>0.0</v>
      </c>
      <c r="N62" s="79">
        <v>1.0</v>
      </c>
      <c r="O62" s="79">
        <v>0.0</v>
      </c>
      <c r="P62" s="79">
        <v>0.0</v>
      </c>
      <c r="Q62" s="13">
        <f t="shared" si="16"/>
        <v>8</v>
      </c>
    </row>
    <row r="63" ht="12.75" customHeight="1">
      <c r="A63" s="18"/>
      <c r="B63" s="58"/>
      <c r="C63" s="53" t="s">
        <v>55</v>
      </c>
      <c r="D63" s="61"/>
      <c r="E63" s="79">
        <v>0.0</v>
      </c>
      <c r="F63" s="79">
        <v>0.0</v>
      </c>
      <c r="G63" s="79">
        <v>1.0</v>
      </c>
      <c r="H63" s="79">
        <v>0.0</v>
      </c>
      <c r="I63" s="79">
        <v>0.0</v>
      </c>
      <c r="J63" s="79">
        <v>3.0</v>
      </c>
      <c r="K63" s="79">
        <v>0.0</v>
      </c>
      <c r="L63" s="79">
        <v>2.0</v>
      </c>
      <c r="M63" s="79">
        <v>0.0</v>
      </c>
      <c r="N63" s="79">
        <v>0.0</v>
      </c>
      <c r="O63" s="79">
        <v>0.0</v>
      </c>
      <c r="P63" s="79">
        <v>0.0</v>
      </c>
      <c r="Q63" s="13">
        <f t="shared" si="16"/>
        <v>6</v>
      </c>
    </row>
    <row r="64" ht="12.75" customHeight="1">
      <c r="A64" s="18"/>
      <c r="B64" s="58"/>
      <c r="C64" s="53" t="s">
        <v>56</v>
      </c>
      <c r="D64" s="60"/>
      <c r="E64" s="79">
        <v>1.0</v>
      </c>
      <c r="F64" s="79">
        <v>0.0</v>
      </c>
      <c r="G64" s="79">
        <v>0.0</v>
      </c>
      <c r="H64" s="79">
        <v>0.0</v>
      </c>
      <c r="I64" s="79">
        <v>1.0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79">
        <v>0.0</v>
      </c>
      <c r="P64" s="79">
        <v>0.0</v>
      </c>
      <c r="Q64" s="13">
        <f t="shared" si="16"/>
        <v>2</v>
      </c>
    </row>
    <row r="65" ht="12.75" customHeight="1">
      <c r="A65" s="18"/>
      <c r="B65" s="58"/>
      <c r="C65" s="53" t="s">
        <v>57</v>
      </c>
      <c r="D65" s="60"/>
      <c r="E65" s="79">
        <v>0.0</v>
      </c>
      <c r="F65" s="79">
        <v>0.0</v>
      </c>
      <c r="G65" s="79">
        <v>0.0</v>
      </c>
      <c r="H65" s="79">
        <v>1.0</v>
      </c>
      <c r="I65" s="79">
        <v>1.0</v>
      </c>
      <c r="J65" s="79">
        <v>0.0</v>
      </c>
      <c r="K65" s="79">
        <v>0.0</v>
      </c>
      <c r="L65" s="79">
        <v>0.0</v>
      </c>
      <c r="M65" s="79">
        <v>0.0</v>
      </c>
      <c r="N65" s="79">
        <v>0.0</v>
      </c>
      <c r="O65" s="79">
        <v>0.0</v>
      </c>
      <c r="P65" s="79">
        <v>1.0</v>
      </c>
      <c r="Q65" s="13">
        <f t="shared" si="16"/>
        <v>3</v>
      </c>
    </row>
    <row r="66" ht="12.75" customHeight="1">
      <c r="A66" s="18"/>
      <c r="B66" s="58"/>
      <c r="C66" s="53" t="s">
        <v>58</v>
      </c>
      <c r="D66" s="60"/>
      <c r="E66" s="79">
        <v>1.0</v>
      </c>
      <c r="F66" s="79">
        <v>0.0</v>
      </c>
      <c r="G66" s="79">
        <v>0.0</v>
      </c>
      <c r="H66" s="79">
        <v>0.0</v>
      </c>
      <c r="I66" s="79">
        <v>0.0</v>
      </c>
      <c r="J66" s="79">
        <v>1.0</v>
      </c>
      <c r="K66" s="79">
        <v>0.0</v>
      </c>
      <c r="L66" s="79">
        <v>0.0</v>
      </c>
      <c r="M66" s="79">
        <v>0.0</v>
      </c>
      <c r="N66" s="79">
        <v>0.0</v>
      </c>
      <c r="O66" s="79">
        <v>1.0</v>
      </c>
      <c r="P66" s="79">
        <v>0.0</v>
      </c>
      <c r="Q66" s="13">
        <f t="shared" si="16"/>
        <v>3</v>
      </c>
    </row>
    <row r="67" ht="12.75" customHeight="1">
      <c r="A67" s="19" t="s">
        <v>14</v>
      </c>
      <c r="B67" s="50" t="s">
        <v>48</v>
      </c>
      <c r="C67" s="15"/>
      <c r="D67" s="16"/>
      <c r="E67" s="13">
        <f t="shared" ref="E67:P67" si="17">SUM(E57:E66)</f>
        <v>37</v>
      </c>
      <c r="F67" s="13">
        <f t="shared" si="17"/>
        <v>40</v>
      </c>
      <c r="G67" s="13">
        <f t="shared" si="17"/>
        <v>62</v>
      </c>
      <c r="H67" s="13">
        <f t="shared" si="17"/>
        <v>50</v>
      </c>
      <c r="I67" s="13">
        <f t="shared" si="17"/>
        <v>66</v>
      </c>
      <c r="J67" s="13">
        <f t="shared" si="17"/>
        <v>78</v>
      </c>
      <c r="K67" s="13">
        <f t="shared" si="17"/>
        <v>43</v>
      </c>
      <c r="L67" s="13">
        <f t="shared" si="17"/>
        <v>58</v>
      </c>
      <c r="M67" s="13">
        <f t="shared" si="17"/>
        <v>76</v>
      </c>
      <c r="N67" s="13">
        <f t="shared" si="17"/>
        <v>24</v>
      </c>
      <c r="O67" s="13">
        <f t="shared" si="17"/>
        <v>33</v>
      </c>
      <c r="P67" s="13">
        <f t="shared" si="17"/>
        <v>34</v>
      </c>
      <c r="Q67" s="13">
        <f t="shared" si="16"/>
        <v>601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36</v>
      </c>
      <c r="B69" s="50" t="s">
        <v>20</v>
      </c>
      <c r="C69" s="51" t="s">
        <v>59</v>
      </c>
      <c r="D69" s="16"/>
      <c r="E69" s="79">
        <v>13.0</v>
      </c>
      <c r="F69" s="79">
        <v>21.0</v>
      </c>
      <c r="G69" s="79">
        <v>14.0</v>
      </c>
      <c r="H69" s="79">
        <v>10.0</v>
      </c>
      <c r="I69" s="79">
        <v>13.0</v>
      </c>
      <c r="J69" s="79">
        <v>12.0</v>
      </c>
      <c r="K69" s="79">
        <v>6.0</v>
      </c>
      <c r="L69" s="79">
        <v>13.0</v>
      </c>
      <c r="M69" s="79">
        <v>9.0</v>
      </c>
      <c r="N69" s="79">
        <v>18.0</v>
      </c>
      <c r="O69" s="79">
        <v>12.0</v>
      </c>
      <c r="P69" s="79">
        <v>17.0</v>
      </c>
      <c r="Q69" s="13">
        <f t="shared" ref="Q69:Q79" si="18">SUM(E69:P69)</f>
        <v>158</v>
      </c>
    </row>
    <row r="70" ht="12.75" customHeight="1">
      <c r="A70" s="31" t="s">
        <v>38</v>
      </c>
      <c r="B70" s="58"/>
      <c r="C70" s="53" t="s">
        <v>60</v>
      </c>
      <c r="D70" s="61"/>
      <c r="E70" s="79">
        <v>4.0</v>
      </c>
      <c r="F70" s="79">
        <v>4.0</v>
      </c>
      <c r="G70" s="79">
        <v>4.0</v>
      </c>
      <c r="H70" s="79">
        <v>8.0</v>
      </c>
      <c r="I70" s="79">
        <v>3.0</v>
      </c>
      <c r="J70" s="79">
        <v>1.0</v>
      </c>
      <c r="K70" s="79">
        <v>4.0</v>
      </c>
      <c r="L70" s="79">
        <v>4.0</v>
      </c>
      <c r="M70" s="79">
        <v>2.0</v>
      </c>
      <c r="N70" s="79">
        <v>3.0</v>
      </c>
      <c r="O70" s="79">
        <v>3.0</v>
      </c>
      <c r="P70" s="79">
        <v>5.0</v>
      </c>
      <c r="Q70" s="13">
        <f t="shared" si="18"/>
        <v>45</v>
      </c>
    </row>
    <row r="71" ht="12.75" customHeight="1">
      <c r="A71" s="18"/>
      <c r="B71" s="58"/>
      <c r="C71" s="53" t="s">
        <v>61</v>
      </c>
      <c r="D71" s="61"/>
      <c r="E71" s="79">
        <v>10.0</v>
      </c>
      <c r="F71" s="79">
        <v>3.0</v>
      </c>
      <c r="G71" s="79">
        <v>9.0</v>
      </c>
      <c r="H71" s="79">
        <v>5.0</v>
      </c>
      <c r="I71" s="79">
        <v>5.0</v>
      </c>
      <c r="J71" s="79">
        <v>9.0</v>
      </c>
      <c r="K71" s="79">
        <v>10.0</v>
      </c>
      <c r="L71" s="79">
        <v>19.0</v>
      </c>
      <c r="M71" s="79">
        <v>18.0</v>
      </c>
      <c r="N71" s="79">
        <v>7.0</v>
      </c>
      <c r="O71" s="79">
        <v>5.0</v>
      </c>
      <c r="P71" s="79">
        <v>9.0</v>
      </c>
      <c r="Q71" s="13">
        <f t="shared" si="18"/>
        <v>109</v>
      </c>
    </row>
    <row r="72" ht="12.75" customHeight="1">
      <c r="A72" s="18"/>
      <c r="B72" s="58"/>
      <c r="C72" s="53" t="s">
        <v>62</v>
      </c>
      <c r="D72" s="61"/>
      <c r="E72" s="79">
        <v>4.0</v>
      </c>
      <c r="F72" s="79">
        <v>1.0</v>
      </c>
      <c r="G72" s="79">
        <v>3.0</v>
      </c>
      <c r="H72" s="79">
        <v>5.0</v>
      </c>
      <c r="I72" s="79">
        <v>2.0</v>
      </c>
      <c r="J72" s="79">
        <v>2.0</v>
      </c>
      <c r="K72" s="79">
        <v>2.0</v>
      </c>
      <c r="L72" s="79">
        <v>2.0</v>
      </c>
      <c r="M72" s="79">
        <v>0.0</v>
      </c>
      <c r="N72" s="79">
        <v>8.0</v>
      </c>
      <c r="O72" s="79">
        <v>2.0</v>
      </c>
      <c r="P72" s="79">
        <v>0.0</v>
      </c>
      <c r="Q72" s="13">
        <f t="shared" si="18"/>
        <v>31</v>
      </c>
    </row>
    <row r="73" ht="12.75" customHeight="1">
      <c r="A73" s="18"/>
      <c r="B73" s="58"/>
      <c r="C73" s="53" t="s">
        <v>63</v>
      </c>
      <c r="D73" s="61"/>
      <c r="E73" s="79">
        <v>6.0</v>
      </c>
      <c r="F73" s="79">
        <v>2.0</v>
      </c>
      <c r="G73" s="79">
        <v>1.0</v>
      </c>
      <c r="H73" s="79">
        <v>6.0</v>
      </c>
      <c r="I73" s="79">
        <v>7.0</v>
      </c>
      <c r="J73" s="79">
        <v>1.0</v>
      </c>
      <c r="K73" s="79">
        <v>4.0</v>
      </c>
      <c r="L73" s="79">
        <v>6.0</v>
      </c>
      <c r="M73" s="79">
        <v>4.0</v>
      </c>
      <c r="N73" s="79">
        <v>16.0</v>
      </c>
      <c r="O73" s="79">
        <v>4.0</v>
      </c>
      <c r="P73" s="79">
        <v>5.0</v>
      </c>
      <c r="Q73" s="13">
        <f t="shared" si="18"/>
        <v>62</v>
      </c>
    </row>
    <row r="74" ht="12.75" customHeight="1">
      <c r="A74" s="18"/>
      <c r="B74" s="58"/>
      <c r="C74" s="53" t="s">
        <v>64</v>
      </c>
      <c r="D74" s="61"/>
      <c r="E74" s="79">
        <v>4.0</v>
      </c>
      <c r="F74" s="79">
        <v>1.0</v>
      </c>
      <c r="G74" s="79">
        <v>1.0</v>
      </c>
      <c r="H74" s="79">
        <v>5.0</v>
      </c>
      <c r="I74" s="79">
        <v>2.0</v>
      </c>
      <c r="J74" s="79">
        <v>1.0</v>
      </c>
      <c r="K74" s="79">
        <v>1.0</v>
      </c>
      <c r="L74" s="79">
        <v>1.0</v>
      </c>
      <c r="M74" s="79">
        <v>2.0</v>
      </c>
      <c r="N74" s="79">
        <v>1.0</v>
      </c>
      <c r="O74" s="79">
        <v>0.0</v>
      </c>
      <c r="P74" s="79">
        <v>0.0</v>
      </c>
      <c r="Q74" s="13">
        <f t="shared" si="18"/>
        <v>19</v>
      </c>
    </row>
    <row r="75" ht="12.75" customHeight="1">
      <c r="A75" s="18"/>
      <c r="B75" s="58"/>
      <c r="C75" s="53" t="s">
        <v>65</v>
      </c>
      <c r="D75" s="61"/>
      <c r="E75" s="79">
        <v>1.0</v>
      </c>
      <c r="F75" s="79">
        <v>1.0</v>
      </c>
      <c r="G75" s="79">
        <v>1.0</v>
      </c>
      <c r="H75" s="79">
        <v>0.0</v>
      </c>
      <c r="I75" s="79">
        <v>1.0</v>
      </c>
      <c r="J75" s="79">
        <v>0.0</v>
      </c>
      <c r="K75" s="79">
        <v>1.0</v>
      </c>
      <c r="L75" s="79">
        <v>0.0</v>
      </c>
      <c r="M75" s="79">
        <v>3.0</v>
      </c>
      <c r="N75" s="79">
        <v>2.0</v>
      </c>
      <c r="O75" s="79">
        <v>1.0</v>
      </c>
      <c r="P75" s="79">
        <v>3.0</v>
      </c>
      <c r="Q75" s="13">
        <f t="shared" si="18"/>
        <v>14</v>
      </c>
    </row>
    <row r="76" ht="12.75" customHeight="1">
      <c r="A76" s="18"/>
      <c r="B76" s="58"/>
      <c r="C76" s="53" t="s">
        <v>66</v>
      </c>
      <c r="D76" s="61"/>
      <c r="E76" s="79">
        <v>1.0</v>
      </c>
      <c r="F76" s="79">
        <v>0.0</v>
      </c>
      <c r="G76" s="79">
        <v>0.0</v>
      </c>
      <c r="H76" s="79">
        <v>1.0</v>
      </c>
      <c r="I76" s="79">
        <v>0.0</v>
      </c>
      <c r="J76" s="79">
        <v>1.0</v>
      </c>
      <c r="K76" s="79">
        <v>0.0</v>
      </c>
      <c r="L76" s="79">
        <v>0.0</v>
      </c>
      <c r="M76" s="79">
        <v>0.0</v>
      </c>
      <c r="N76" s="79">
        <v>0.0</v>
      </c>
      <c r="O76" s="79">
        <v>0.0</v>
      </c>
      <c r="P76" s="79">
        <v>1.0</v>
      </c>
      <c r="Q76" s="13">
        <f t="shared" si="18"/>
        <v>4</v>
      </c>
    </row>
    <row r="77" ht="12.75" customHeight="1">
      <c r="A77" s="18"/>
      <c r="B77" s="58"/>
      <c r="C77" s="53" t="s">
        <v>67</v>
      </c>
      <c r="D77" s="61"/>
      <c r="E77" s="79">
        <v>1.0</v>
      </c>
      <c r="F77" s="79">
        <v>1.0</v>
      </c>
      <c r="G77" s="79">
        <v>1.0</v>
      </c>
      <c r="H77" s="79">
        <v>1.0</v>
      </c>
      <c r="I77" s="79">
        <v>0.0</v>
      </c>
      <c r="J77" s="79">
        <v>0.0</v>
      </c>
      <c r="K77" s="79">
        <v>2.0</v>
      </c>
      <c r="L77" s="79">
        <v>0.0</v>
      </c>
      <c r="M77" s="79">
        <v>0.0</v>
      </c>
      <c r="N77" s="79">
        <v>0.0</v>
      </c>
      <c r="O77" s="79">
        <v>1.0</v>
      </c>
      <c r="P77" s="79">
        <v>0.0</v>
      </c>
      <c r="Q77" s="13">
        <f t="shared" si="18"/>
        <v>7</v>
      </c>
    </row>
    <row r="78" ht="12.75" customHeight="1">
      <c r="A78" s="18"/>
      <c r="B78" s="58"/>
      <c r="C78" s="53" t="s">
        <v>68</v>
      </c>
      <c r="D78" s="61"/>
      <c r="E78" s="79">
        <v>0.0</v>
      </c>
      <c r="F78" s="79">
        <v>0.0</v>
      </c>
      <c r="G78" s="79">
        <v>0.0</v>
      </c>
      <c r="H78" s="79">
        <v>0.0</v>
      </c>
      <c r="I78" s="79">
        <v>1.0</v>
      </c>
      <c r="J78" s="79">
        <v>0.0</v>
      </c>
      <c r="K78" s="79">
        <v>1.0</v>
      </c>
      <c r="L78" s="79">
        <v>0.0</v>
      </c>
      <c r="M78" s="79">
        <v>0.0</v>
      </c>
      <c r="N78" s="79">
        <v>0.0</v>
      </c>
      <c r="O78" s="79">
        <v>0.0</v>
      </c>
      <c r="P78" s="79">
        <v>1.0</v>
      </c>
      <c r="Q78" s="13">
        <f t="shared" si="18"/>
        <v>3</v>
      </c>
    </row>
    <row r="79" ht="12.75" customHeight="1">
      <c r="A79" s="19" t="s">
        <v>14</v>
      </c>
      <c r="B79" s="50" t="s">
        <v>48</v>
      </c>
      <c r="C79" s="15"/>
      <c r="D79" s="16"/>
      <c r="E79" s="13">
        <f t="shared" ref="E79:P79" si="19">SUM(E69:E78)</f>
        <v>44</v>
      </c>
      <c r="F79" s="13">
        <f t="shared" si="19"/>
        <v>34</v>
      </c>
      <c r="G79" s="13">
        <f t="shared" si="19"/>
        <v>34</v>
      </c>
      <c r="H79" s="13">
        <f t="shared" si="19"/>
        <v>41</v>
      </c>
      <c r="I79" s="13">
        <f t="shared" si="19"/>
        <v>34</v>
      </c>
      <c r="J79" s="13">
        <f t="shared" si="19"/>
        <v>27</v>
      </c>
      <c r="K79" s="13">
        <f t="shared" si="19"/>
        <v>31</v>
      </c>
      <c r="L79" s="13">
        <f t="shared" si="19"/>
        <v>45</v>
      </c>
      <c r="M79" s="13">
        <f t="shared" si="19"/>
        <v>38</v>
      </c>
      <c r="N79" s="13">
        <f t="shared" si="19"/>
        <v>55</v>
      </c>
      <c r="O79" s="13">
        <f t="shared" si="19"/>
        <v>28</v>
      </c>
      <c r="P79" s="13">
        <f t="shared" si="19"/>
        <v>41</v>
      </c>
      <c r="Q79" s="13">
        <f t="shared" si="18"/>
        <v>452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36</v>
      </c>
      <c r="B81" s="50" t="s">
        <v>22</v>
      </c>
      <c r="C81" s="51" t="s">
        <v>69</v>
      </c>
      <c r="D81" s="16"/>
      <c r="E81" s="79">
        <v>7.0</v>
      </c>
      <c r="F81" s="79">
        <v>3.0</v>
      </c>
      <c r="G81" s="79">
        <v>4.0</v>
      </c>
      <c r="H81" s="79">
        <v>1.0</v>
      </c>
      <c r="I81" s="79">
        <v>7.0</v>
      </c>
      <c r="J81" s="79">
        <v>0.0</v>
      </c>
      <c r="K81" s="79">
        <v>6.0</v>
      </c>
      <c r="L81" s="79">
        <v>6.0</v>
      </c>
      <c r="M81" s="79">
        <v>2.0</v>
      </c>
      <c r="N81" s="79">
        <v>8.0</v>
      </c>
      <c r="O81" s="79">
        <v>10.0</v>
      </c>
      <c r="P81" s="79">
        <v>20.0</v>
      </c>
      <c r="Q81" s="13">
        <f t="shared" ref="Q81:Q91" si="20">SUM(E81:P81)</f>
        <v>74</v>
      </c>
    </row>
    <row r="82" ht="12.75" customHeight="1">
      <c r="A82" s="31" t="s">
        <v>38</v>
      </c>
      <c r="B82" s="58"/>
      <c r="C82" s="53" t="s">
        <v>70</v>
      </c>
      <c r="D82" s="61"/>
      <c r="E82" s="79">
        <v>5.0</v>
      </c>
      <c r="F82" s="79">
        <v>0.0</v>
      </c>
      <c r="G82" s="79">
        <v>6.0</v>
      </c>
      <c r="H82" s="79">
        <v>5.0</v>
      </c>
      <c r="I82" s="79">
        <v>2.0</v>
      </c>
      <c r="J82" s="79">
        <v>0.0</v>
      </c>
      <c r="K82" s="79">
        <v>6.0</v>
      </c>
      <c r="L82" s="79">
        <v>6.0</v>
      </c>
      <c r="M82" s="79">
        <v>2.0</v>
      </c>
      <c r="N82" s="79">
        <v>11.0</v>
      </c>
      <c r="O82" s="79">
        <v>33.0</v>
      </c>
      <c r="P82" s="79">
        <v>11.0</v>
      </c>
      <c r="Q82" s="13">
        <f t="shared" si="20"/>
        <v>87</v>
      </c>
    </row>
    <row r="83" ht="12.75" customHeight="1">
      <c r="A83" s="18"/>
      <c r="B83" s="58"/>
      <c r="C83" s="53" t="s">
        <v>71</v>
      </c>
      <c r="D83" s="61"/>
      <c r="E83" s="79">
        <v>2.0</v>
      </c>
      <c r="F83" s="79">
        <v>1.0</v>
      </c>
      <c r="G83" s="79">
        <v>1.0</v>
      </c>
      <c r="H83" s="79">
        <v>3.0</v>
      </c>
      <c r="I83" s="79">
        <v>0.0</v>
      </c>
      <c r="J83" s="79">
        <v>0.0</v>
      </c>
      <c r="K83" s="79">
        <v>1.0</v>
      </c>
      <c r="L83" s="79">
        <v>3.0</v>
      </c>
      <c r="M83" s="79">
        <v>0.0</v>
      </c>
      <c r="N83" s="79">
        <v>0.0</v>
      </c>
      <c r="O83" s="79">
        <v>0.0</v>
      </c>
      <c r="P83" s="79">
        <v>1.0</v>
      </c>
      <c r="Q83" s="13">
        <f t="shared" si="20"/>
        <v>12</v>
      </c>
    </row>
    <row r="84" ht="12.75" customHeight="1">
      <c r="A84" s="18"/>
      <c r="B84" s="58"/>
      <c r="C84" s="53" t="s">
        <v>72</v>
      </c>
      <c r="D84" s="61"/>
      <c r="E84" s="79">
        <v>3.0</v>
      </c>
      <c r="F84" s="79">
        <v>2.0</v>
      </c>
      <c r="G84" s="79">
        <v>3.0</v>
      </c>
      <c r="H84" s="79">
        <v>0.0</v>
      </c>
      <c r="I84" s="79">
        <v>3.0</v>
      </c>
      <c r="J84" s="79">
        <v>1.0</v>
      </c>
      <c r="K84" s="79">
        <v>0.0</v>
      </c>
      <c r="L84" s="79">
        <v>0.0</v>
      </c>
      <c r="M84" s="79">
        <v>1.0</v>
      </c>
      <c r="N84" s="79">
        <v>0.0</v>
      </c>
      <c r="O84" s="79">
        <v>0.0</v>
      </c>
      <c r="P84" s="79">
        <v>1.0</v>
      </c>
      <c r="Q84" s="13">
        <f t="shared" si="20"/>
        <v>14</v>
      </c>
    </row>
    <row r="85" ht="12.75" customHeight="1">
      <c r="A85" s="18"/>
      <c r="B85" s="58"/>
      <c r="C85" s="53" t="s">
        <v>73</v>
      </c>
      <c r="D85" s="61"/>
      <c r="E85" s="79">
        <v>0.0</v>
      </c>
      <c r="F85" s="79">
        <v>1.0</v>
      </c>
      <c r="G85" s="79">
        <v>1.0</v>
      </c>
      <c r="H85" s="79">
        <v>2.0</v>
      </c>
      <c r="I85" s="79">
        <v>0.0</v>
      </c>
      <c r="J85" s="79">
        <v>1.0</v>
      </c>
      <c r="K85" s="79">
        <v>0.0</v>
      </c>
      <c r="L85" s="79">
        <v>3.0</v>
      </c>
      <c r="M85" s="79">
        <v>2.0</v>
      </c>
      <c r="N85" s="79">
        <v>0.0</v>
      </c>
      <c r="O85" s="79">
        <v>5.0</v>
      </c>
      <c r="P85" s="79">
        <v>2.0</v>
      </c>
      <c r="Q85" s="13">
        <f t="shared" si="20"/>
        <v>17</v>
      </c>
    </row>
    <row r="86" ht="12.75" customHeight="1">
      <c r="A86" s="18"/>
      <c r="B86" s="58"/>
      <c r="C86" s="53" t="s">
        <v>74</v>
      </c>
      <c r="D86" s="61"/>
      <c r="E86" s="79">
        <v>2.0</v>
      </c>
      <c r="F86" s="79">
        <v>1.0</v>
      </c>
      <c r="G86" s="79">
        <v>4.0</v>
      </c>
      <c r="H86" s="79">
        <v>4.0</v>
      </c>
      <c r="I86" s="79">
        <v>0.0</v>
      </c>
      <c r="J86" s="79">
        <v>1.0</v>
      </c>
      <c r="K86" s="79">
        <v>0.0</v>
      </c>
      <c r="L86" s="79">
        <v>3.0</v>
      </c>
      <c r="M86" s="79">
        <v>1.0</v>
      </c>
      <c r="N86" s="79">
        <v>44.0</v>
      </c>
      <c r="O86" s="79">
        <v>7.0</v>
      </c>
      <c r="P86" s="79">
        <v>2.0</v>
      </c>
      <c r="Q86" s="13">
        <f t="shared" si="20"/>
        <v>69</v>
      </c>
    </row>
    <row r="87" ht="12.75" customHeight="1">
      <c r="A87" s="18"/>
      <c r="B87" s="58"/>
      <c r="C87" s="53" t="s">
        <v>75</v>
      </c>
      <c r="D87" s="61"/>
      <c r="E87" s="79">
        <v>0.0</v>
      </c>
      <c r="F87" s="79">
        <v>0.0</v>
      </c>
      <c r="G87" s="79">
        <v>0.0</v>
      </c>
      <c r="H87" s="79">
        <v>1.0</v>
      </c>
      <c r="I87" s="79">
        <v>0.0</v>
      </c>
      <c r="J87" s="79">
        <v>0.0</v>
      </c>
      <c r="K87" s="79">
        <v>0.0</v>
      </c>
      <c r="L87" s="79">
        <v>0.0</v>
      </c>
      <c r="M87" s="79">
        <v>0.0</v>
      </c>
      <c r="N87" s="79">
        <v>0.0</v>
      </c>
      <c r="O87" s="79">
        <v>0.0</v>
      </c>
      <c r="P87" s="79">
        <v>0.0</v>
      </c>
      <c r="Q87" s="13">
        <f t="shared" si="20"/>
        <v>1</v>
      </c>
    </row>
    <row r="88" ht="12.75" customHeight="1">
      <c r="A88" s="18"/>
      <c r="B88" s="58"/>
      <c r="C88" s="53" t="s">
        <v>76</v>
      </c>
      <c r="D88" s="61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0.0</v>
      </c>
      <c r="K88" s="79">
        <v>0.0</v>
      </c>
      <c r="L88" s="79">
        <v>0.0</v>
      </c>
      <c r="M88" s="79">
        <v>0.0</v>
      </c>
      <c r="N88" s="79">
        <v>0.0</v>
      </c>
      <c r="O88" s="79">
        <v>0.0</v>
      </c>
      <c r="P88" s="79">
        <v>0.0</v>
      </c>
      <c r="Q88" s="13">
        <f t="shared" si="20"/>
        <v>0</v>
      </c>
    </row>
    <row r="89" ht="12.75" customHeight="1">
      <c r="A89" s="18"/>
      <c r="B89" s="58"/>
      <c r="C89" s="53" t="s">
        <v>77</v>
      </c>
      <c r="D89" s="61"/>
      <c r="E89" s="79">
        <v>0.0</v>
      </c>
      <c r="F89" s="79">
        <v>0.0</v>
      </c>
      <c r="G89" s="79">
        <v>0.0</v>
      </c>
      <c r="H89" s="79">
        <v>0.0</v>
      </c>
      <c r="I89" s="79">
        <v>1.0</v>
      </c>
      <c r="J89" s="79">
        <v>0.0</v>
      </c>
      <c r="K89" s="79">
        <v>0.0</v>
      </c>
      <c r="L89" s="79">
        <v>1.0</v>
      </c>
      <c r="M89" s="79">
        <v>0.0</v>
      </c>
      <c r="N89" s="79">
        <v>0.0</v>
      </c>
      <c r="O89" s="79">
        <v>0.0</v>
      </c>
      <c r="P89" s="79">
        <v>0.0</v>
      </c>
      <c r="Q89" s="13">
        <f t="shared" si="20"/>
        <v>2</v>
      </c>
    </row>
    <row r="90" ht="12.75" customHeight="1">
      <c r="A90" s="18"/>
      <c r="B90" s="58"/>
      <c r="C90" s="53" t="s">
        <v>78</v>
      </c>
      <c r="D90" s="61"/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0.0</v>
      </c>
      <c r="L90" s="79">
        <v>0.0</v>
      </c>
      <c r="M90" s="79">
        <v>0.0</v>
      </c>
      <c r="N90" s="79">
        <v>0.0</v>
      </c>
      <c r="O90" s="79">
        <v>0.0</v>
      </c>
      <c r="P90" s="79">
        <v>0.0</v>
      </c>
      <c r="Q90" s="13">
        <f t="shared" si="20"/>
        <v>0</v>
      </c>
    </row>
    <row r="91" ht="12.75" customHeight="1">
      <c r="A91" s="19" t="s">
        <v>14</v>
      </c>
      <c r="B91" s="50" t="s">
        <v>48</v>
      </c>
      <c r="C91" s="15"/>
      <c r="D91" s="16"/>
      <c r="E91" s="13">
        <f t="shared" ref="E91:P91" si="21">SUM(E81:E90)</f>
        <v>19</v>
      </c>
      <c r="F91" s="13">
        <f t="shared" si="21"/>
        <v>8</v>
      </c>
      <c r="G91" s="13">
        <f t="shared" si="21"/>
        <v>19</v>
      </c>
      <c r="H91" s="13">
        <f t="shared" si="21"/>
        <v>16</v>
      </c>
      <c r="I91" s="13">
        <f t="shared" si="21"/>
        <v>13</v>
      </c>
      <c r="J91" s="13">
        <f t="shared" si="21"/>
        <v>3</v>
      </c>
      <c r="K91" s="13">
        <f t="shared" si="21"/>
        <v>13</v>
      </c>
      <c r="L91" s="13">
        <f t="shared" si="21"/>
        <v>22</v>
      </c>
      <c r="M91" s="13">
        <f t="shared" si="21"/>
        <v>8</v>
      </c>
      <c r="N91" s="13">
        <f t="shared" si="21"/>
        <v>63</v>
      </c>
      <c r="O91" s="13">
        <f t="shared" si="21"/>
        <v>55</v>
      </c>
      <c r="P91" s="13">
        <f t="shared" si="21"/>
        <v>37</v>
      </c>
      <c r="Q91" s="13">
        <f t="shared" si="20"/>
        <v>276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36</v>
      </c>
      <c r="B93" s="50" t="s">
        <v>79</v>
      </c>
      <c r="C93" s="51" t="s">
        <v>80</v>
      </c>
      <c r="D93" s="16"/>
      <c r="E93" s="79">
        <v>2.0</v>
      </c>
      <c r="F93" s="79">
        <v>2.0</v>
      </c>
      <c r="G93" s="79">
        <v>0.0</v>
      </c>
      <c r="H93" s="79">
        <v>0.0</v>
      </c>
      <c r="I93" s="79">
        <v>1.0</v>
      </c>
      <c r="J93" s="79">
        <v>0.0</v>
      </c>
      <c r="K93" s="79">
        <v>4.0</v>
      </c>
      <c r="L93" s="79">
        <v>2.0</v>
      </c>
      <c r="M93" s="79">
        <v>0.0</v>
      </c>
      <c r="N93" s="79">
        <v>0.0</v>
      </c>
      <c r="O93" s="79">
        <v>0.0</v>
      </c>
      <c r="P93" s="79">
        <v>3.0</v>
      </c>
      <c r="Q93" s="13">
        <f t="shared" ref="Q93:Q103" si="22">SUM(E93:P93)</f>
        <v>14</v>
      </c>
    </row>
    <row r="94" ht="12.75" customHeight="1">
      <c r="A94" s="31" t="s">
        <v>38</v>
      </c>
      <c r="B94" s="58"/>
      <c r="C94" s="53" t="s">
        <v>81</v>
      </c>
      <c r="D94" s="61"/>
      <c r="E94" s="79">
        <v>0.0</v>
      </c>
      <c r="F94" s="79">
        <v>2.0</v>
      </c>
      <c r="G94" s="79">
        <v>0.0</v>
      </c>
      <c r="H94" s="79">
        <v>5.0</v>
      </c>
      <c r="I94" s="79">
        <v>2.0</v>
      </c>
      <c r="J94" s="79">
        <v>0.0</v>
      </c>
      <c r="K94" s="79">
        <v>32.0</v>
      </c>
      <c r="L94" s="79">
        <v>9.0</v>
      </c>
      <c r="M94" s="79">
        <v>0.0</v>
      </c>
      <c r="N94" s="79">
        <v>2.0</v>
      </c>
      <c r="O94" s="79">
        <v>1.0</v>
      </c>
      <c r="P94" s="79">
        <v>6.0</v>
      </c>
      <c r="Q94" s="13">
        <f t="shared" si="22"/>
        <v>59</v>
      </c>
    </row>
    <row r="95" ht="12.75" customHeight="1">
      <c r="A95" s="18"/>
      <c r="B95" s="58"/>
      <c r="C95" s="53" t="s">
        <v>82</v>
      </c>
      <c r="D95" s="61"/>
      <c r="E95" s="79">
        <v>0.0</v>
      </c>
      <c r="F95" s="79">
        <v>0.0</v>
      </c>
      <c r="G95" s="79">
        <v>0.0</v>
      </c>
      <c r="H95" s="79">
        <v>0.0</v>
      </c>
      <c r="I95" s="79">
        <v>0.0</v>
      </c>
      <c r="J95" s="79">
        <v>0.0</v>
      </c>
      <c r="K95" s="79">
        <v>3.0</v>
      </c>
      <c r="L95" s="79">
        <v>0.0</v>
      </c>
      <c r="M95" s="79">
        <v>0.0</v>
      </c>
      <c r="N95" s="79">
        <v>2.0</v>
      </c>
      <c r="O95" s="79">
        <v>1.0</v>
      </c>
      <c r="P95" s="79">
        <v>0.0</v>
      </c>
      <c r="Q95" s="13">
        <f t="shared" si="22"/>
        <v>6</v>
      </c>
    </row>
    <row r="96" ht="12.75" customHeight="1">
      <c r="A96" s="18"/>
      <c r="B96" s="58"/>
      <c r="C96" s="53" t="s">
        <v>83</v>
      </c>
      <c r="D96" s="61"/>
      <c r="E96" s="79">
        <v>0.0</v>
      </c>
      <c r="F96" s="79">
        <v>1.0</v>
      </c>
      <c r="G96" s="79">
        <v>0.0</v>
      </c>
      <c r="H96" s="79">
        <v>1.0</v>
      </c>
      <c r="I96" s="79">
        <v>0.0</v>
      </c>
      <c r="J96" s="79">
        <v>0.0</v>
      </c>
      <c r="K96" s="79">
        <v>1.0</v>
      </c>
      <c r="L96" s="79">
        <v>0.0</v>
      </c>
      <c r="M96" s="79">
        <v>0.0</v>
      </c>
      <c r="N96" s="79">
        <v>0.0</v>
      </c>
      <c r="O96" s="79">
        <v>0.0</v>
      </c>
      <c r="P96" s="79">
        <v>3.0</v>
      </c>
      <c r="Q96" s="13">
        <f t="shared" si="22"/>
        <v>6</v>
      </c>
    </row>
    <row r="97" ht="12.75" customHeight="1">
      <c r="A97" s="18"/>
      <c r="B97" s="58"/>
      <c r="C97" s="53" t="s">
        <v>84</v>
      </c>
      <c r="D97" s="61"/>
      <c r="E97" s="79">
        <v>0.0</v>
      </c>
      <c r="F97" s="79">
        <v>0.0</v>
      </c>
      <c r="G97" s="79">
        <v>0.0</v>
      </c>
      <c r="H97" s="79">
        <v>0.0</v>
      </c>
      <c r="I97" s="79">
        <v>0.0</v>
      </c>
      <c r="J97" s="79">
        <v>0.0</v>
      </c>
      <c r="K97" s="79">
        <v>0.0</v>
      </c>
      <c r="L97" s="79">
        <v>1.0</v>
      </c>
      <c r="M97" s="79">
        <v>0.0</v>
      </c>
      <c r="N97" s="79">
        <v>0.0</v>
      </c>
      <c r="O97" s="79">
        <v>0.0</v>
      </c>
      <c r="P97" s="79">
        <v>0.0</v>
      </c>
      <c r="Q97" s="13">
        <f t="shared" si="22"/>
        <v>1</v>
      </c>
    </row>
    <row r="98" ht="12.75" customHeight="1">
      <c r="A98" s="18"/>
      <c r="B98" s="58"/>
      <c r="C98" s="53" t="s">
        <v>85</v>
      </c>
      <c r="D98" s="61"/>
      <c r="E98" s="79">
        <v>0.0</v>
      </c>
      <c r="F98" s="79">
        <v>1.0</v>
      </c>
      <c r="G98" s="79">
        <v>0.0</v>
      </c>
      <c r="H98" s="79">
        <v>0.0</v>
      </c>
      <c r="I98" s="79">
        <v>0.0</v>
      </c>
      <c r="J98" s="79">
        <v>0.0</v>
      </c>
      <c r="K98" s="79">
        <v>0.0</v>
      </c>
      <c r="L98" s="79">
        <v>0.0</v>
      </c>
      <c r="M98" s="79">
        <v>0.0</v>
      </c>
      <c r="N98" s="79">
        <v>0.0</v>
      </c>
      <c r="O98" s="79">
        <v>0.0</v>
      </c>
      <c r="P98" s="79">
        <v>0.0</v>
      </c>
      <c r="Q98" s="13">
        <f t="shared" si="22"/>
        <v>1</v>
      </c>
    </row>
    <row r="99" ht="12.75" customHeight="1">
      <c r="A99" s="18"/>
      <c r="B99" s="58"/>
      <c r="C99" s="53" t="s">
        <v>86</v>
      </c>
      <c r="D99" s="61"/>
      <c r="E99" s="79">
        <v>0.0</v>
      </c>
      <c r="F99" s="79">
        <v>2.0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0.0</v>
      </c>
      <c r="N99" s="79">
        <v>0.0</v>
      </c>
      <c r="O99" s="79">
        <v>0.0</v>
      </c>
      <c r="P99" s="79">
        <v>0.0</v>
      </c>
      <c r="Q99" s="13">
        <f t="shared" si="22"/>
        <v>2</v>
      </c>
    </row>
    <row r="100" ht="12.75" customHeight="1">
      <c r="A100" s="18"/>
      <c r="B100" s="58"/>
      <c r="C100" s="53" t="s">
        <v>87</v>
      </c>
      <c r="D100" s="61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79">
        <v>0.0</v>
      </c>
      <c r="P100" s="79">
        <v>1.0</v>
      </c>
      <c r="Q100" s="13">
        <f t="shared" si="22"/>
        <v>1</v>
      </c>
    </row>
    <row r="101" ht="12.75" customHeight="1">
      <c r="A101" s="18"/>
      <c r="B101" s="58"/>
      <c r="C101" s="53" t="s">
        <v>88</v>
      </c>
      <c r="D101" s="61"/>
      <c r="E101" s="79">
        <v>0.0</v>
      </c>
      <c r="F101" s="79">
        <v>0.0</v>
      </c>
      <c r="G101" s="79">
        <v>0.0</v>
      </c>
      <c r="H101" s="79">
        <v>1.0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79">
        <v>0.0</v>
      </c>
      <c r="P101" s="79">
        <v>0.0</v>
      </c>
      <c r="Q101" s="13">
        <f t="shared" si="22"/>
        <v>1</v>
      </c>
    </row>
    <row r="102" ht="12.75" customHeight="1">
      <c r="A102" s="18"/>
      <c r="B102" s="58"/>
      <c r="C102" s="53" t="s">
        <v>89</v>
      </c>
      <c r="D102" s="61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79">
        <v>0.0</v>
      </c>
      <c r="P102" s="79">
        <v>0.0</v>
      </c>
      <c r="Q102" s="13">
        <f t="shared" si="22"/>
        <v>0</v>
      </c>
    </row>
    <row r="103" ht="12.75" customHeight="1">
      <c r="A103" s="19" t="s">
        <v>14</v>
      </c>
      <c r="B103" s="50" t="s">
        <v>48</v>
      </c>
      <c r="C103" s="15"/>
      <c r="D103" s="16"/>
      <c r="E103" s="13">
        <f t="shared" ref="E103:P103" si="23">SUM(E93:E102)</f>
        <v>2</v>
      </c>
      <c r="F103" s="13">
        <f t="shared" si="23"/>
        <v>8</v>
      </c>
      <c r="G103" s="13">
        <f t="shared" si="23"/>
        <v>0</v>
      </c>
      <c r="H103" s="13">
        <f t="shared" si="23"/>
        <v>7</v>
      </c>
      <c r="I103" s="13">
        <f t="shared" si="23"/>
        <v>3</v>
      </c>
      <c r="J103" s="13">
        <f t="shared" si="23"/>
        <v>0</v>
      </c>
      <c r="K103" s="13">
        <f t="shared" si="23"/>
        <v>40</v>
      </c>
      <c r="L103" s="13">
        <f t="shared" si="23"/>
        <v>12</v>
      </c>
      <c r="M103" s="13">
        <f t="shared" si="23"/>
        <v>0</v>
      </c>
      <c r="N103" s="13">
        <f t="shared" si="23"/>
        <v>4</v>
      </c>
      <c r="O103" s="13">
        <f t="shared" si="23"/>
        <v>2</v>
      </c>
      <c r="P103" s="13">
        <f t="shared" si="23"/>
        <v>13</v>
      </c>
      <c r="Q103" s="13">
        <f t="shared" si="22"/>
        <v>91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</row>
    <row r="105" ht="12.75" customHeight="1">
      <c r="A105" s="31" t="s">
        <v>36</v>
      </c>
      <c r="B105" s="50" t="s">
        <v>90</v>
      </c>
      <c r="C105" s="51" t="s">
        <v>91</v>
      </c>
      <c r="D105" s="16"/>
      <c r="E105" s="79">
        <v>2.0</v>
      </c>
      <c r="F105" s="79">
        <v>1.0</v>
      </c>
      <c r="G105" s="79">
        <v>0.0</v>
      </c>
      <c r="H105" s="79">
        <v>0.0</v>
      </c>
      <c r="I105" s="79">
        <v>0.0</v>
      </c>
      <c r="J105" s="79">
        <v>0.0</v>
      </c>
      <c r="K105" s="79">
        <v>0.0</v>
      </c>
      <c r="L105" s="79">
        <v>0.0</v>
      </c>
      <c r="M105" s="79">
        <v>1.0</v>
      </c>
      <c r="N105" s="79">
        <v>3.0</v>
      </c>
      <c r="O105" s="79">
        <v>0.0</v>
      </c>
      <c r="P105" s="79">
        <v>0.0</v>
      </c>
      <c r="Q105" s="13">
        <f t="shared" ref="Q105:Q107" si="24">SUM(E105:P105)</f>
        <v>7</v>
      </c>
    </row>
    <row r="106" ht="12.75" customHeight="1">
      <c r="A106" s="31" t="s">
        <v>38</v>
      </c>
      <c r="B106" s="58"/>
      <c r="C106" s="53" t="s">
        <v>92</v>
      </c>
      <c r="D106" s="61"/>
      <c r="E106" s="79">
        <v>1.0</v>
      </c>
      <c r="F106" s="79">
        <v>0.0</v>
      </c>
      <c r="G106" s="79">
        <v>0.0</v>
      </c>
      <c r="H106" s="79">
        <v>1.0</v>
      </c>
      <c r="I106" s="79">
        <v>1.0</v>
      </c>
      <c r="J106" s="79">
        <v>1.0</v>
      </c>
      <c r="K106" s="79">
        <v>1.0</v>
      </c>
      <c r="L106" s="79">
        <v>0.0</v>
      </c>
      <c r="M106" s="79">
        <v>0.0</v>
      </c>
      <c r="N106" s="79">
        <v>0.0</v>
      </c>
      <c r="O106" s="79">
        <v>1.0</v>
      </c>
      <c r="P106" s="79">
        <v>0.0</v>
      </c>
      <c r="Q106" s="13">
        <f t="shared" si="24"/>
        <v>6</v>
      </c>
    </row>
    <row r="107" ht="12.75" customHeight="1">
      <c r="A107" s="18"/>
      <c r="B107" s="58"/>
      <c r="C107" s="53" t="s">
        <v>93</v>
      </c>
      <c r="D107" s="61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0.0</v>
      </c>
      <c r="N107" s="79">
        <v>0.0</v>
      </c>
      <c r="O107" s="79">
        <v>0.0</v>
      </c>
      <c r="P107" s="79">
        <v>0.0</v>
      </c>
      <c r="Q107" s="13">
        <f t="shared" si="24"/>
        <v>0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85"/>
    </row>
    <row r="115" ht="12.75" customHeight="1">
      <c r="A115" s="19" t="s">
        <v>14</v>
      </c>
      <c r="B115" s="50" t="s">
        <v>48</v>
      </c>
      <c r="C115" s="15"/>
      <c r="D115" s="16"/>
      <c r="E115" s="13">
        <f t="shared" ref="E115:P115" si="25">SUM(E105:E114)</f>
        <v>3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1</v>
      </c>
      <c r="N115" s="13">
        <f t="shared" si="25"/>
        <v>3</v>
      </c>
      <c r="O115" s="13">
        <f t="shared" si="25"/>
        <v>1</v>
      </c>
      <c r="P115" s="13">
        <f t="shared" si="25"/>
        <v>0</v>
      </c>
      <c r="Q115" s="13">
        <f>SUM(E115:P115)</f>
        <v>13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13"/>
    </row>
    <row r="117" ht="12.75" customHeight="1">
      <c r="A117" s="31" t="s">
        <v>36</v>
      </c>
      <c r="B117" s="50" t="s">
        <v>94</v>
      </c>
      <c r="C117" s="51" t="s">
        <v>95</v>
      </c>
      <c r="D117" s="16"/>
      <c r="E117" s="79">
        <v>1.0</v>
      </c>
      <c r="F117" s="79">
        <v>1.0</v>
      </c>
      <c r="G117" s="79">
        <v>0.0</v>
      </c>
      <c r="H117" s="79">
        <v>0.0</v>
      </c>
      <c r="I117" s="79">
        <v>3.0</v>
      </c>
      <c r="J117" s="79">
        <v>2.0</v>
      </c>
      <c r="K117" s="79">
        <v>0.0</v>
      </c>
      <c r="L117" s="79">
        <v>0.0</v>
      </c>
      <c r="M117" s="79">
        <v>1.0</v>
      </c>
      <c r="N117" s="79">
        <v>0.0</v>
      </c>
      <c r="O117" s="79">
        <v>0.0</v>
      </c>
      <c r="P117" s="79">
        <v>0.0</v>
      </c>
      <c r="Q117" s="13">
        <f t="shared" ref="Q117:Q122" si="26">SUM(E117:P117)</f>
        <v>8</v>
      </c>
      <c r="R117" s="5"/>
      <c r="S117" s="5"/>
    </row>
    <row r="118" ht="12.75" customHeight="1">
      <c r="A118" s="31" t="s">
        <v>38</v>
      </c>
      <c r="B118" s="58"/>
      <c r="C118" s="53" t="s">
        <v>96</v>
      </c>
      <c r="D118" s="61"/>
      <c r="E118" s="79">
        <v>0.0</v>
      </c>
      <c r="F118" s="79">
        <v>0.0</v>
      </c>
      <c r="G118" s="79">
        <v>0.0</v>
      </c>
      <c r="H118" s="79">
        <v>0.0</v>
      </c>
      <c r="I118" s="79">
        <v>0.0</v>
      </c>
      <c r="J118" s="79">
        <v>1.0</v>
      </c>
      <c r="K118" s="79">
        <v>0.0</v>
      </c>
      <c r="L118" s="79">
        <v>0.0</v>
      </c>
      <c r="M118" s="79">
        <v>0.0</v>
      </c>
      <c r="N118" s="79">
        <v>0.0</v>
      </c>
      <c r="O118" s="79">
        <v>0.0</v>
      </c>
      <c r="P118" s="79">
        <v>0.0</v>
      </c>
      <c r="Q118" s="13">
        <f t="shared" si="26"/>
        <v>1</v>
      </c>
      <c r="R118" s="5"/>
      <c r="S118" s="5"/>
    </row>
    <row r="119" ht="12.75" customHeight="1">
      <c r="A119" s="18"/>
      <c r="B119" s="58"/>
      <c r="C119" s="53" t="s">
        <v>97</v>
      </c>
      <c r="D119" s="61"/>
      <c r="E119" s="79">
        <v>0.0</v>
      </c>
      <c r="F119" s="79">
        <v>0.0</v>
      </c>
      <c r="G119" s="79">
        <v>0.0</v>
      </c>
      <c r="H119" s="79">
        <v>0.0</v>
      </c>
      <c r="I119" s="79">
        <v>0.0</v>
      </c>
      <c r="J119" s="79">
        <v>2.0</v>
      </c>
      <c r="K119" s="79">
        <v>0.0</v>
      </c>
      <c r="L119" s="79">
        <v>0.0</v>
      </c>
      <c r="M119" s="79">
        <v>0.0</v>
      </c>
      <c r="N119" s="79">
        <v>0.0</v>
      </c>
      <c r="O119" s="79">
        <v>0.0</v>
      </c>
      <c r="P119" s="79">
        <v>0.0</v>
      </c>
      <c r="Q119" s="13">
        <f t="shared" si="26"/>
        <v>2</v>
      </c>
      <c r="R119" s="5"/>
      <c r="S119" s="5"/>
    </row>
    <row r="120" ht="12.75" customHeight="1">
      <c r="A120" s="18"/>
      <c r="B120" s="58"/>
      <c r="C120" s="53" t="s">
        <v>98</v>
      </c>
      <c r="D120" s="61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1.0</v>
      </c>
      <c r="M120" s="79">
        <v>0.0</v>
      </c>
      <c r="N120" s="79">
        <v>0.0</v>
      </c>
      <c r="O120" s="79">
        <v>0.0</v>
      </c>
      <c r="P120" s="79">
        <v>0.0</v>
      </c>
      <c r="Q120" s="13">
        <f t="shared" si="26"/>
        <v>1</v>
      </c>
      <c r="R120" s="5"/>
      <c r="S120" s="5"/>
    </row>
    <row r="121" ht="12.75" customHeight="1">
      <c r="A121" s="18"/>
      <c r="B121" s="58"/>
      <c r="C121" s="53" t="s">
        <v>99</v>
      </c>
      <c r="D121" s="61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0.0</v>
      </c>
      <c r="O121" s="79">
        <v>0.0</v>
      </c>
      <c r="P121" s="79">
        <v>0.0</v>
      </c>
      <c r="Q121" s="13">
        <f t="shared" si="26"/>
        <v>0</v>
      </c>
      <c r="R121" s="5"/>
      <c r="S121" s="5"/>
    </row>
    <row r="122" ht="12.75" customHeight="1">
      <c r="A122" s="18"/>
      <c r="B122" s="58"/>
      <c r="C122" s="53" t="s">
        <v>100</v>
      </c>
      <c r="D122" s="61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0.0</v>
      </c>
      <c r="O122" s="79">
        <v>0.0</v>
      </c>
      <c r="P122" s="79">
        <v>0.0</v>
      </c>
      <c r="Q122" s="13">
        <f t="shared" si="26"/>
        <v>0</v>
      </c>
      <c r="R122" s="5"/>
      <c r="S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85"/>
      <c r="R123" s="5"/>
      <c r="S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85"/>
      <c r="R124" s="5"/>
      <c r="S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85"/>
      <c r="R125" s="5"/>
      <c r="S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85"/>
      <c r="R126" s="5"/>
      <c r="S126" s="5"/>
    </row>
    <row r="127" ht="12.75" customHeight="1">
      <c r="A127" s="19" t="s">
        <v>14</v>
      </c>
      <c r="B127" s="50" t="s">
        <v>48</v>
      </c>
      <c r="C127" s="15"/>
      <c r="D127" s="16"/>
      <c r="E127" s="67">
        <f t="shared" ref="E127:P127" si="27">SUM(E117:E126)</f>
        <v>1</v>
      </c>
      <c r="F127" s="67">
        <f t="shared" si="27"/>
        <v>1</v>
      </c>
      <c r="G127" s="67">
        <f t="shared" si="27"/>
        <v>0</v>
      </c>
      <c r="H127" s="67">
        <f t="shared" si="27"/>
        <v>0</v>
      </c>
      <c r="I127" s="67">
        <f t="shared" si="27"/>
        <v>3</v>
      </c>
      <c r="J127" s="67">
        <f t="shared" si="27"/>
        <v>5</v>
      </c>
      <c r="K127" s="67">
        <f t="shared" si="27"/>
        <v>0</v>
      </c>
      <c r="L127" s="67">
        <f t="shared" si="27"/>
        <v>1</v>
      </c>
      <c r="M127" s="67">
        <f t="shared" si="27"/>
        <v>1</v>
      </c>
      <c r="N127" s="67">
        <f t="shared" si="27"/>
        <v>0</v>
      </c>
      <c r="O127" s="67">
        <f t="shared" si="27"/>
        <v>0</v>
      </c>
      <c r="P127" s="67">
        <f t="shared" si="27"/>
        <v>0</v>
      </c>
      <c r="Q127" s="13">
        <f>SUM(E127:P127)</f>
        <v>12</v>
      </c>
      <c r="R127" s="5"/>
      <c r="S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5"/>
      <c r="S128" s="5"/>
    </row>
    <row r="129" ht="12.75" customHeight="1">
      <c r="A129" s="31" t="s">
        <v>36</v>
      </c>
      <c r="B129" s="50" t="s">
        <v>101</v>
      </c>
      <c r="C129" s="51" t="s">
        <v>102</v>
      </c>
      <c r="D129" s="16"/>
      <c r="E129" s="79">
        <v>1.0</v>
      </c>
      <c r="F129" s="79">
        <v>2.0</v>
      </c>
      <c r="G129" s="79">
        <v>1.0</v>
      </c>
      <c r="H129" s="79">
        <v>2.0</v>
      </c>
      <c r="I129" s="79">
        <v>3.0</v>
      </c>
      <c r="J129" s="79">
        <v>1.0</v>
      </c>
      <c r="K129" s="79">
        <v>1.0</v>
      </c>
      <c r="L129" s="79">
        <v>0.0</v>
      </c>
      <c r="M129" s="79">
        <v>0.0</v>
      </c>
      <c r="N129" s="79">
        <v>0.0</v>
      </c>
      <c r="O129" s="79">
        <v>0.0</v>
      </c>
      <c r="P129" s="79">
        <v>0.0</v>
      </c>
      <c r="Q129" s="13">
        <f t="shared" ref="Q129:Q139" si="28">SUM(E129:P129)</f>
        <v>11</v>
      </c>
      <c r="R129" s="5"/>
      <c r="S129" s="5"/>
    </row>
    <row r="130" ht="12.75" customHeight="1">
      <c r="A130" s="31" t="s">
        <v>38</v>
      </c>
      <c r="B130" s="58"/>
      <c r="C130" s="53" t="s">
        <v>103</v>
      </c>
      <c r="D130" s="60"/>
      <c r="E130" s="79">
        <v>2.0</v>
      </c>
      <c r="F130" s="79">
        <v>7.0</v>
      </c>
      <c r="G130" s="79">
        <v>1.0</v>
      </c>
      <c r="H130" s="79">
        <v>4.0</v>
      </c>
      <c r="I130" s="79">
        <v>6.0</v>
      </c>
      <c r="J130" s="79">
        <v>9.0</v>
      </c>
      <c r="K130" s="79">
        <v>7.0</v>
      </c>
      <c r="L130" s="79">
        <v>0.0</v>
      </c>
      <c r="M130" s="79">
        <v>2.0</v>
      </c>
      <c r="N130" s="79">
        <v>0.0</v>
      </c>
      <c r="O130" s="79">
        <v>3.0</v>
      </c>
      <c r="P130" s="79">
        <v>1.0</v>
      </c>
      <c r="Q130" s="13">
        <f t="shared" si="28"/>
        <v>42</v>
      </c>
      <c r="R130" s="1"/>
      <c r="S130" s="1"/>
    </row>
    <row r="131" ht="12.75" customHeight="1">
      <c r="A131" s="18"/>
      <c r="B131" s="58"/>
      <c r="C131" s="53" t="s">
        <v>104</v>
      </c>
      <c r="D131" s="60"/>
      <c r="E131" s="79">
        <v>0.0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0.0</v>
      </c>
      <c r="N131" s="79">
        <v>1.0</v>
      </c>
      <c r="O131" s="79">
        <v>0.0</v>
      </c>
      <c r="P131" s="79">
        <v>0.0</v>
      </c>
      <c r="Q131" s="13">
        <f t="shared" si="28"/>
        <v>1</v>
      </c>
      <c r="R131" s="55"/>
      <c r="S131" s="55"/>
    </row>
    <row r="132" ht="12.75" customHeight="1">
      <c r="A132" s="18"/>
      <c r="B132" s="58"/>
      <c r="C132" s="53" t="s">
        <v>105</v>
      </c>
      <c r="D132" s="60"/>
      <c r="E132" s="79">
        <v>0.0</v>
      </c>
      <c r="F132" s="79">
        <v>0.0</v>
      </c>
      <c r="G132" s="79">
        <v>0.0</v>
      </c>
      <c r="H132" s="79">
        <v>0.0</v>
      </c>
      <c r="I132" s="79">
        <v>0.0</v>
      </c>
      <c r="J132" s="79">
        <v>0.0</v>
      </c>
      <c r="K132" s="79">
        <v>1.0</v>
      </c>
      <c r="L132" s="79">
        <v>0.0</v>
      </c>
      <c r="M132" s="79">
        <v>0.0</v>
      </c>
      <c r="N132" s="79">
        <v>1.0</v>
      </c>
      <c r="O132" s="79">
        <v>0.0</v>
      </c>
      <c r="P132" s="79">
        <v>0.0</v>
      </c>
      <c r="Q132" s="13">
        <f t="shared" si="28"/>
        <v>2</v>
      </c>
      <c r="R132" s="5"/>
      <c r="S132" s="5"/>
    </row>
    <row r="133" ht="12.75" customHeight="1">
      <c r="A133" s="18"/>
      <c r="B133" s="58"/>
      <c r="C133" s="53" t="s">
        <v>106</v>
      </c>
      <c r="D133" s="60"/>
      <c r="E133" s="79">
        <v>0.0</v>
      </c>
      <c r="F133" s="79">
        <v>0.0</v>
      </c>
      <c r="G133" s="79">
        <v>0.0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79">
        <v>0.0</v>
      </c>
      <c r="P133" s="79">
        <v>0.0</v>
      </c>
      <c r="Q133" s="13">
        <f t="shared" si="28"/>
        <v>0</v>
      </c>
      <c r="R133" s="5"/>
      <c r="S133" s="5"/>
    </row>
    <row r="134" ht="12.75" customHeight="1">
      <c r="A134" s="18"/>
      <c r="B134" s="58"/>
      <c r="C134" s="53" t="s">
        <v>107</v>
      </c>
      <c r="D134" s="60"/>
      <c r="E134" s="79">
        <v>0.0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79">
        <v>0.0</v>
      </c>
      <c r="P134" s="79">
        <v>0.0</v>
      </c>
      <c r="Q134" s="13">
        <f t="shared" si="28"/>
        <v>0</v>
      </c>
      <c r="R134" s="5"/>
      <c r="S134" s="5"/>
    </row>
    <row r="135" ht="12.75" customHeight="1">
      <c r="A135" s="18"/>
      <c r="B135" s="58"/>
      <c r="C135" s="53" t="s">
        <v>108</v>
      </c>
      <c r="D135" s="61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1.0</v>
      </c>
      <c r="K135" s="79">
        <v>0.0</v>
      </c>
      <c r="L135" s="79">
        <v>0.0</v>
      </c>
      <c r="M135" s="79">
        <v>0.0</v>
      </c>
      <c r="N135" s="79">
        <v>0.0</v>
      </c>
      <c r="O135" s="79">
        <v>0.0</v>
      </c>
      <c r="P135" s="79">
        <v>0.0</v>
      </c>
      <c r="Q135" s="13">
        <f t="shared" si="28"/>
        <v>1</v>
      </c>
      <c r="R135" s="5"/>
      <c r="S135" s="5"/>
    </row>
    <row r="136" ht="12.75" customHeight="1">
      <c r="A136" s="18"/>
      <c r="B136" s="58"/>
      <c r="C136" s="53" t="s">
        <v>109</v>
      </c>
      <c r="D136" s="60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79">
        <v>0.0</v>
      </c>
      <c r="P136" s="79">
        <v>0.0</v>
      </c>
      <c r="Q136" s="13">
        <f t="shared" si="28"/>
        <v>0</v>
      </c>
      <c r="R136" s="5"/>
      <c r="S136" s="5"/>
    </row>
    <row r="137" ht="12.75" customHeight="1">
      <c r="A137" s="18"/>
      <c r="B137" s="58"/>
      <c r="C137" s="53" t="s">
        <v>110</v>
      </c>
      <c r="D137" s="60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0.0</v>
      </c>
      <c r="M137" s="79">
        <v>0.0</v>
      </c>
      <c r="N137" s="79">
        <v>0.0</v>
      </c>
      <c r="O137" s="79">
        <v>0.0</v>
      </c>
      <c r="P137" s="79">
        <v>0.0</v>
      </c>
      <c r="Q137" s="13">
        <f t="shared" si="28"/>
        <v>0</v>
      </c>
      <c r="R137" s="5"/>
      <c r="S137" s="5"/>
    </row>
    <row r="138" ht="12.75" customHeight="1">
      <c r="A138" s="18"/>
      <c r="B138" s="58"/>
      <c r="C138" s="53" t="s">
        <v>111</v>
      </c>
      <c r="D138" s="60"/>
      <c r="E138" s="79">
        <v>0.0</v>
      </c>
      <c r="F138" s="79">
        <v>0.0</v>
      </c>
      <c r="G138" s="79">
        <v>0.0</v>
      </c>
      <c r="H138" s="79">
        <v>0.0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79">
        <v>1.0</v>
      </c>
      <c r="P138" s="79">
        <v>0.0</v>
      </c>
      <c r="Q138" s="13">
        <f t="shared" si="28"/>
        <v>1</v>
      </c>
      <c r="R138" s="5"/>
      <c r="S138" s="5"/>
    </row>
    <row r="139" ht="12.75" customHeight="1">
      <c r="A139" s="19" t="s">
        <v>14</v>
      </c>
      <c r="B139" s="50" t="s">
        <v>48</v>
      </c>
      <c r="C139" s="15"/>
      <c r="D139" s="16"/>
      <c r="E139" s="13">
        <f t="shared" ref="E139:P139" si="29">SUM(E129:E138)</f>
        <v>3</v>
      </c>
      <c r="F139" s="13">
        <f t="shared" si="29"/>
        <v>9</v>
      </c>
      <c r="G139" s="13">
        <f t="shared" si="29"/>
        <v>2</v>
      </c>
      <c r="H139" s="13">
        <f t="shared" si="29"/>
        <v>6</v>
      </c>
      <c r="I139" s="13">
        <f t="shared" si="29"/>
        <v>9</v>
      </c>
      <c r="J139" s="13">
        <f t="shared" si="29"/>
        <v>11</v>
      </c>
      <c r="K139" s="13">
        <f t="shared" si="29"/>
        <v>9</v>
      </c>
      <c r="L139" s="13">
        <f t="shared" si="29"/>
        <v>0</v>
      </c>
      <c r="M139" s="13">
        <f t="shared" si="29"/>
        <v>2</v>
      </c>
      <c r="N139" s="13">
        <f t="shared" si="29"/>
        <v>2</v>
      </c>
      <c r="O139" s="13">
        <f t="shared" si="29"/>
        <v>4</v>
      </c>
      <c r="P139" s="13">
        <f t="shared" si="29"/>
        <v>1</v>
      </c>
      <c r="Q139" s="13">
        <f t="shared" si="28"/>
        <v>58</v>
      </c>
      <c r="R139" s="5"/>
      <c r="S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5"/>
      <c r="S140" s="5"/>
    </row>
    <row r="141" ht="12.75" customHeight="1">
      <c r="A141" s="31" t="s">
        <v>36</v>
      </c>
      <c r="B141" s="50" t="s">
        <v>112</v>
      </c>
      <c r="C141" s="51" t="s">
        <v>113</v>
      </c>
      <c r="D141" s="16"/>
      <c r="E141" s="79">
        <v>0.0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79">
        <v>0.0</v>
      </c>
      <c r="P141" s="79">
        <v>0.0</v>
      </c>
      <c r="Q141" s="13">
        <f t="shared" ref="Q141:Q144" si="30">SUM(E141:P141)</f>
        <v>0</v>
      </c>
      <c r="R141" s="1"/>
      <c r="S141" s="1"/>
    </row>
    <row r="142" ht="12.75" customHeight="1">
      <c r="A142" s="31" t="s">
        <v>38</v>
      </c>
      <c r="B142" s="58"/>
      <c r="C142" s="53" t="s">
        <v>114</v>
      </c>
      <c r="D142" s="61"/>
      <c r="E142" s="79">
        <v>0.0</v>
      </c>
      <c r="F142" s="79">
        <v>1.0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0.0</v>
      </c>
      <c r="N142" s="79">
        <v>1.0</v>
      </c>
      <c r="O142" s="79">
        <v>0.0</v>
      </c>
      <c r="P142" s="79">
        <v>0.0</v>
      </c>
      <c r="Q142" s="13">
        <f t="shared" si="30"/>
        <v>2</v>
      </c>
      <c r="R142" s="55"/>
      <c r="S142" s="55"/>
    </row>
    <row r="143" ht="12.75" customHeight="1">
      <c r="A143" s="18"/>
      <c r="B143" s="58"/>
      <c r="C143" s="53" t="s">
        <v>115</v>
      </c>
      <c r="D143" s="61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79">
        <v>0.0</v>
      </c>
      <c r="P143" s="79">
        <v>0.0</v>
      </c>
      <c r="Q143" s="13">
        <f t="shared" si="30"/>
        <v>0</v>
      </c>
      <c r="R143" s="5"/>
      <c r="S143" s="5"/>
    </row>
    <row r="144" ht="12.75" customHeight="1">
      <c r="A144" s="18"/>
      <c r="B144" s="58"/>
      <c r="C144" s="53" t="s">
        <v>116</v>
      </c>
      <c r="D144" s="61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79">
        <v>0.0</v>
      </c>
      <c r="P144" s="79">
        <v>0.0</v>
      </c>
      <c r="Q144" s="13">
        <f t="shared" si="30"/>
        <v>0</v>
      </c>
      <c r="R144" s="5"/>
      <c r="S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85"/>
      <c r="R145" s="5"/>
      <c r="S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85"/>
      <c r="R146" s="5"/>
      <c r="S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85"/>
      <c r="R147" s="5"/>
      <c r="S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85"/>
      <c r="R148" s="5"/>
      <c r="S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85"/>
      <c r="R149" s="5"/>
      <c r="S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85"/>
      <c r="R150" s="5"/>
      <c r="S150" s="5"/>
    </row>
    <row r="151" ht="12.75" customHeight="1">
      <c r="A151" s="19" t="s">
        <v>14</v>
      </c>
      <c r="B151" s="50" t="s">
        <v>48</v>
      </c>
      <c r="C151" s="15"/>
      <c r="D151" s="16"/>
      <c r="E151" s="13">
        <f t="shared" ref="E151:P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>SUM(E151:P151)</f>
        <v>2</v>
      </c>
      <c r="R151" s="1"/>
      <c r="S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13"/>
      <c r="R152" s="55"/>
      <c r="S152" s="55"/>
    </row>
    <row r="153" ht="12.75" customHeight="1">
      <c r="A153" s="31" t="s">
        <v>36</v>
      </c>
      <c r="B153" s="17" t="s">
        <v>117</v>
      </c>
      <c r="C153" s="68" t="s">
        <v>118</v>
      </c>
      <c r="D153" s="23"/>
      <c r="E153" s="79">
        <v>1.0</v>
      </c>
      <c r="F153" s="79">
        <v>3.0</v>
      </c>
      <c r="G153" s="79">
        <v>0.0</v>
      </c>
      <c r="H153" s="79">
        <v>1.0</v>
      </c>
      <c r="I153" s="79">
        <v>1.0</v>
      </c>
      <c r="J153" s="79">
        <v>0.0</v>
      </c>
      <c r="K153" s="79">
        <v>0.0</v>
      </c>
      <c r="L153" s="79">
        <v>1.0</v>
      </c>
      <c r="M153" s="79">
        <v>1.0</v>
      </c>
      <c r="N153" s="79">
        <v>0.0</v>
      </c>
      <c r="O153" s="79">
        <v>0.0</v>
      </c>
      <c r="P153" s="79">
        <v>0.0</v>
      </c>
      <c r="Q153" s="13">
        <f t="shared" ref="Q153:Q156" si="32">SUM(E154:P154)</f>
        <v>15</v>
      </c>
      <c r="R153" s="5"/>
      <c r="S153" s="5"/>
    </row>
    <row r="154" ht="12.75" customHeight="1">
      <c r="A154" s="69" t="s">
        <v>38</v>
      </c>
      <c r="B154" s="58"/>
      <c r="C154" s="53" t="s">
        <v>119</v>
      </c>
      <c r="D154" s="61"/>
      <c r="E154" s="87">
        <v>10.0</v>
      </c>
      <c r="F154" s="79">
        <v>4.0</v>
      </c>
      <c r="G154" s="79">
        <v>0.0</v>
      </c>
      <c r="H154" s="79">
        <v>0.0</v>
      </c>
      <c r="I154" s="79">
        <v>0.0</v>
      </c>
      <c r="J154" s="79">
        <v>0.0</v>
      </c>
      <c r="K154" s="79">
        <v>1.0</v>
      </c>
      <c r="L154" s="79">
        <v>0.0</v>
      </c>
      <c r="M154" s="79">
        <v>0.0</v>
      </c>
      <c r="N154" s="79">
        <v>0.0</v>
      </c>
      <c r="O154" s="79">
        <v>0.0</v>
      </c>
      <c r="P154" s="79">
        <v>0.0</v>
      </c>
      <c r="Q154" s="13">
        <f t="shared" si="32"/>
        <v>1</v>
      </c>
      <c r="R154" s="5"/>
      <c r="S154" s="5"/>
    </row>
    <row r="155" ht="12.75" customHeight="1">
      <c r="A155" s="18"/>
      <c r="B155" s="58"/>
      <c r="C155" s="53" t="s">
        <v>120</v>
      </c>
      <c r="D155" s="61"/>
      <c r="E155" s="87">
        <v>0.0</v>
      </c>
      <c r="F155" s="79">
        <v>0.0</v>
      </c>
      <c r="G155" s="79">
        <v>0.0</v>
      </c>
      <c r="H155" s="79">
        <v>0.0</v>
      </c>
      <c r="I155" s="79">
        <v>0.0</v>
      </c>
      <c r="J155" s="79">
        <v>0.0</v>
      </c>
      <c r="K155" s="79">
        <v>0.0</v>
      </c>
      <c r="L155" s="79">
        <v>0.0</v>
      </c>
      <c r="M155" s="79">
        <v>1.0</v>
      </c>
      <c r="N155" s="79">
        <v>0.0</v>
      </c>
      <c r="O155" s="79">
        <v>0.0</v>
      </c>
      <c r="P155" s="79">
        <v>0.0</v>
      </c>
      <c r="Q155" s="13">
        <f t="shared" si="32"/>
        <v>4</v>
      </c>
      <c r="R155" s="5"/>
      <c r="S155" s="5"/>
    </row>
    <row r="156" ht="12.75" customHeight="1">
      <c r="A156" s="18"/>
      <c r="B156" s="58"/>
      <c r="C156" s="53" t="s">
        <v>121</v>
      </c>
      <c r="D156" s="61"/>
      <c r="E156" s="87">
        <v>0.0</v>
      </c>
      <c r="F156" s="79">
        <v>1.0</v>
      </c>
      <c r="G156" s="79">
        <v>0.0</v>
      </c>
      <c r="H156" s="79">
        <v>1.0</v>
      </c>
      <c r="I156" s="79">
        <v>0.0</v>
      </c>
      <c r="J156" s="79">
        <v>0.0</v>
      </c>
      <c r="K156" s="79">
        <v>0.0</v>
      </c>
      <c r="L156" s="79">
        <v>0.0</v>
      </c>
      <c r="M156" s="79">
        <v>2.0</v>
      </c>
      <c r="N156" s="79">
        <v>0.0</v>
      </c>
      <c r="O156" s="79">
        <v>0.0</v>
      </c>
      <c r="P156" s="79">
        <v>0.0</v>
      </c>
      <c r="Q156" s="13">
        <f t="shared" si="32"/>
        <v>1</v>
      </c>
      <c r="R156" s="5"/>
      <c r="S156" s="5"/>
    </row>
    <row r="157" ht="12.75" customHeight="1">
      <c r="A157" s="18"/>
      <c r="B157" s="58"/>
      <c r="C157" s="53" t="s">
        <v>122</v>
      </c>
      <c r="D157" s="61"/>
      <c r="E157" s="87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79">
        <v>1.0</v>
      </c>
      <c r="P157" s="79">
        <v>0.0</v>
      </c>
      <c r="Q157" s="13">
        <f t="shared" ref="Q157:Q160" si="33">SUM(E163:P163)</f>
        <v>29</v>
      </c>
      <c r="R157" s="5"/>
      <c r="S157" s="5"/>
    </row>
    <row r="158" ht="12.75" customHeight="1">
      <c r="A158" s="18"/>
      <c r="B158" s="58"/>
      <c r="C158" s="53" t="s">
        <v>123</v>
      </c>
      <c r="D158" s="61"/>
      <c r="E158" s="87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79">
        <v>0.0</v>
      </c>
      <c r="P158" s="79">
        <v>0.0</v>
      </c>
      <c r="Q158" s="13">
        <f t="shared" si="33"/>
        <v>0</v>
      </c>
      <c r="R158" s="5"/>
      <c r="S158" s="5"/>
    </row>
    <row r="159" ht="12.75" customHeight="1">
      <c r="A159" s="18"/>
      <c r="B159" s="58"/>
      <c r="C159" s="53" t="s">
        <v>124</v>
      </c>
      <c r="D159" s="61"/>
      <c r="E159" s="87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79">
        <v>0.0</v>
      </c>
      <c r="P159" s="79">
        <v>0.0</v>
      </c>
      <c r="Q159" s="13">
        <f t="shared" si="33"/>
        <v>4</v>
      </c>
      <c r="R159" s="5"/>
      <c r="S159" s="5"/>
    </row>
    <row r="160" ht="12.75" customHeight="1">
      <c r="A160" s="18"/>
      <c r="B160" s="58"/>
      <c r="C160" s="53" t="s">
        <v>125</v>
      </c>
      <c r="D160" s="61"/>
      <c r="E160" s="87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79">
        <v>0.0</v>
      </c>
      <c r="P160" s="79">
        <v>0.0</v>
      </c>
      <c r="Q160" s="13">
        <f t="shared" si="33"/>
        <v>3</v>
      </c>
      <c r="R160" s="5"/>
      <c r="S160" s="5"/>
    </row>
    <row r="161" ht="12.75" customHeight="1">
      <c r="A161" s="18"/>
      <c r="B161" s="62"/>
      <c r="C161" s="70"/>
      <c r="D161" s="64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85"/>
      <c r="R161" s="5"/>
      <c r="S161" s="5"/>
    </row>
    <row r="162" ht="12.75" customHeight="1">
      <c r="A162" s="18"/>
      <c r="B162" s="62"/>
      <c r="C162" s="70"/>
      <c r="D162" s="64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85"/>
      <c r="R162" s="5"/>
      <c r="S162" s="5"/>
    </row>
    <row r="163" ht="12.75" customHeight="1">
      <c r="A163" s="19" t="s">
        <v>14</v>
      </c>
      <c r="B163" s="71" t="s">
        <v>48</v>
      </c>
      <c r="C163" s="47"/>
      <c r="D163" s="28"/>
      <c r="E163" s="13">
        <f t="shared" ref="E163:P163" si="34">SUM(E153:E162)</f>
        <v>11</v>
      </c>
      <c r="F163" s="13">
        <f t="shared" si="34"/>
        <v>8</v>
      </c>
      <c r="G163" s="13">
        <f t="shared" si="34"/>
        <v>0</v>
      </c>
      <c r="H163" s="13">
        <f t="shared" si="34"/>
        <v>2</v>
      </c>
      <c r="I163" s="13">
        <f t="shared" si="34"/>
        <v>1</v>
      </c>
      <c r="J163" s="13">
        <f t="shared" si="34"/>
        <v>0</v>
      </c>
      <c r="K163" s="13">
        <f t="shared" si="34"/>
        <v>1</v>
      </c>
      <c r="L163" s="13">
        <f t="shared" si="34"/>
        <v>1</v>
      </c>
      <c r="M163" s="13">
        <f t="shared" si="34"/>
        <v>4</v>
      </c>
      <c r="N163" s="13">
        <f t="shared" si="34"/>
        <v>0</v>
      </c>
      <c r="O163" s="13">
        <f t="shared" si="34"/>
        <v>1</v>
      </c>
      <c r="P163" s="13">
        <f t="shared" si="34"/>
        <v>0</v>
      </c>
      <c r="Q163" s="13">
        <f>SUM(E163:P163)</f>
        <v>29</v>
      </c>
      <c r="R163" s="5"/>
      <c r="S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5"/>
      <c r="S164" s="5"/>
    </row>
    <row r="165" ht="12.75" customHeight="1">
      <c r="A165" s="31" t="s">
        <v>36</v>
      </c>
      <c r="B165" s="50" t="s">
        <v>126</v>
      </c>
      <c r="C165" s="51" t="s">
        <v>127</v>
      </c>
      <c r="D165" s="16"/>
      <c r="E165" s="79">
        <v>1.0</v>
      </c>
      <c r="F165" s="79">
        <v>0.0</v>
      </c>
      <c r="G165" s="79">
        <v>1.0</v>
      </c>
      <c r="H165" s="79">
        <v>0.0</v>
      </c>
      <c r="I165" s="79">
        <v>1.0</v>
      </c>
      <c r="J165" s="79">
        <v>0.0</v>
      </c>
      <c r="K165" s="79">
        <v>0.0</v>
      </c>
      <c r="L165" s="79">
        <v>1.0</v>
      </c>
      <c r="M165" s="79">
        <v>0.0</v>
      </c>
      <c r="N165" s="79">
        <v>0.0</v>
      </c>
      <c r="O165" s="79">
        <v>0.0</v>
      </c>
      <c r="P165" s="79">
        <v>0.0</v>
      </c>
      <c r="Q165" s="13">
        <f t="shared" ref="Q165:Q166" si="35">SUM(E165:P165)</f>
        <v>4</v>
      </c>
      <c r="R165" s="1"/>
      <c r="S165" s="1"/>
    </row>
    <row r="166" ht="12.75" customHeight="1">
      <c r="A166" s="31" t="s">
        <v>38</v>
      </c>
      <c r="B166" s="58"/>
      <c r="C166" s="53" t="s">
        <v>128</v>
      </c>
      <c r="D166" s="61"/>
      <c r="E166" s="79">
        <v>1.0</v>
      </c>
      <c r="F166" s="79">
        <v>1.0</v>
      </c>
      <c r="G166" s="79">
        <v>0.0</v>
      </c>
      <c r="H166" s="79">
        <v>0.0</v>
      </c>
      <c r="I166" s="79">
        <v>0.0</v>
      </c>
      <c r="J166" s="79">
        <v>0.0</v>
      </c>
      <c r="K166" s="79">
        <v>0.0</v>
      </c>
      <c r="L166" s="79">
        <v>0.0</v>
      </c>
      <c r="M166" s="79">
        <v>1.0</v>
      </c>
      <c r="N166" s="79">
        <v>0.0</v>
      </c>
      <c r="O166" s="79">
        <v>0.0</v>
      </c>
      <c r="P166" s="79">
        <v>0.0</v>
      </c>
      <c r="Q166" s="13">
        <f t="shared" si="35"/>
        <v>3</v>
      </c>
      <c r="R166" s="55"/>
      <c r="S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85"/>
      <c r="R167" s="5"/>
      <c r="S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85"/>
      <c r="R168" s="5"/>
      <c r="S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85"/>
      <c r="R169" s="5"/>
      <c r="S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85"/>
      <c r="R170" s="5"/>
      <c r="S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85"/>
      <c r="R171" s="5"/>
      <c r="S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85"/>
      <c r="R172" s="5"/>
      <c r="S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85"/>
      <c r="R173" s="5"/>
      <c r="S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85"/>
      <c r="R174" s="5"/>
      <c r="S174" s="5"/>
    </row>
    <row r="175" ht="12.75" customHeight="1">
      <c r="A175" s="19" t="s">
        <v>14</v>
      </c>
      <c r="B175" s="50" t="s">
        <v>48</v>
      </c>
      <c r="C175" s="15"/>
      <c r="D175" s="16"/>
      <c r="E175" s="13">
        <f t="shared" ref="E175:P175" si="36">SUM(E165:E174)</f>
        <v>2</v>
      </c>
      <c r="F175" s="13">
        <f t="shared" si="36"/>
        <v>1</v>
      </c>
      <c r="G175" s="13">
        <f t="shared" si="36"/>
        <v>1</v>
      </c>
      <c r="H175" s="13">
        <f t="shared" si="36"/>
        <v>0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1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>SUM(E175:P175)</f>
        <v>7</v>
      </c>
      <c r="R175" s="5"/>
      <c r="S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1"/>
      <c r="S176" s="1"/>
    </row>
    <row r="177" ht="12.75" customHeight="1">
      <c r="A177" s="31" t="s">
        <v>36</v>
      </c>
      <c r="B177" s="50" t="s">
        <v>129</v>
      </c>
      <c r="C177" s="51" t="s">
        <v>130</v>
      </c>
      <c r="D177" s="16"/>
      <c r="E177" s="79">
        <v>1.0</v>
      </c>
      <c r="F177" s="79">
        <v>0.0</v>
      </c>
      <c r="G177" s="79">
        <v>1.0</v>
      </c>
      <c r="H177" s="79">
        <v>0.0</v>
      </c>
      <c r="I177" s="79">
        <v>0.0</v>
      </c>
      <c r="J177" s="79">
        <v>1.0</v>
      </c>
      <c r="K177" s="79">
        <v>0.0</v>
      </c>
      <c r="L177" s="79">
        <v>0.0</v>
      </c>
      <c r="M177" s="79">
        <v>1.0</v>
      </c>
      <c r="N177" s="79">
        <v>0.0</v>
      </c>
      <c r="O177" s="79">
        <v>0.0</v>
      </c>
      <c r="P177" s="79">
        <v>0.0</v>
      </c>
      <c r="Q177" s="13">
        <f t="shared" ref="Q177:Q187" si="37">SUM(E177:P177)</f>
        <v>4</v>
      </c>
    </row>
    <row r="178" ht="12.75" customHeight="1">
      <c r="A178" s="31" t="s">
        <v>38</v>
      </c>
      <c r="B178" s="58"/>
      <c r="C178" s="53" t="s">
        <v>131</v>
      </c>
      <c r="D178" s="61"/>
      <c r="E178" s="79">
        <v>0.0</v>
      </c>
      <c r="F178" s="79">
        <v>1.0</v>
      </c>
      <c r="G178" s="79">
        <v>0.0</v>
      </c>
      <c r="H178" s="79">
        <v>2.0</v>
      </c>
      <c r="I178" s="79">
        <v>0.0</v>
      </c>
      <c r="J178" s="79">
        <v>0.0</v>
      </c>
      <c r="K178" s="79">
        <v>0.0</v>
      </c>
      <c r="L178" s="79">
        <v>1.0</v>
      </c>
      <c r="M178" s="79">
        <v>0.0</v>
      </c>
      <c r="N178" s="79">
        <v>0.0</v>
      </c>
      <c r="O178" s="79">
        <v>0.0</v>
      </c>
      <c r="P178" s="79">
        <v>0.0</v>
      </c>
      <c r="Q178" s="13">
        <f t="shared" si="37"/>
        <v>4</v>
      </c>
      <c r="R178" s="5"/>
      <c r="S178" s="5"/>
    </row>
    <row r="179" ht="12.75" customHeight="1">
      <c r="A179" s="18"/>
      <c r="B179" s="58"/>
      <c r="C179" s="53" t="s">
        <v>132</v>
      </c>
      <c r="D179" s="61"/>
      <c r="E179" s="79">
        <v>0.0</v>
      </c>
      <c r="F179" s="79">
        <v>0.0</v>
      </c>
      <c r="G179" s="79">
        <v>1.0</v>
      </c>
      <c r="H179" s="79">
        <v>1.0</v>
      </c>
      <c r="I179" s="79">
        <v>0.0</v>
      </c>
      <c r="J179" s="79">
        <v>1.0</v>
      </c>
      <c r="K179" s="79">
        <v>0.0</v>
      </c>
      <c r="L179" s="79">
        <v>0.0</v>
      </c>
      <c r="M179" s="79">
        <v>0.0</v>
      </c>
      <c r="N179" s="79">
        <v>0.0</v>
      </c>
      <c r="O179" s="79">
        <v>0.0</v>
      </c>
      <c r="P179" s="79">
        <v>1.0</v>
      </c>
      <c r="Q179" s="13">
        <f t="shared" si="37"/>
        <v>4</v>
      </c>
      <c r="R179" s="5"/>
      <c r="S179" s="5"/>
    </row>
    <row r="180" ht="12.75" customHeight="1">
      <c r="A180" s="18"/>
      <c r="B180" s="58"/>
      <c r="C180" s="53" t="s">
        <v>133</v>
      </c>
      <c r="D180" s="61"/>
      <c r="E180" s="79">
        <v>0.0</v>
      </c>
      <c r="F180" s="79">
        <v>1.0</v>
      </c>
      <c r="G180" s="79">
        <v>0.0</v>
      </c>
      <c r="H180" s="79">
        <v>0.0</v>
      </c>
      <c r="I180" s="79">
        <v>0.0</v>
      </c>
      <c r="J180" s="79">
        <v>0.0</v>
      </c>
      <c r="K180" s="79">
        <v>0.0</v>
      </c>
      <c r="L180" s="79">
        <v>0.0</v>
      </c>
      <c r="M180" s="79">
        <v>0.0</v>
      </c>
      <c r="N180" s="79">
        <v>0.0</v>
      </c>
      <c r="O180" s="79">
        <v>0.0</v>
      </c>
      <c r="P180" s="79">
        <v>0.0</v>
      </c>
      <c r="Q180" s="13">
        <f t="shared" si="37"/>
        <v>1</v>
      </c>
      <c r="R180" s="5"/>
      <c r="S180" s="5"/>
    </row>
    <row r="181" ht="12.75" customHeight="1">
      <c r="A181" s="18"/>
      <c r="B181" s="58"/>
      <c r="C181" s="53" t="s">
        <v>134</v>
      </c>
      <c r="D181" s="61"/>
      <c r="E181" s="79">
        <v>0.0</v>
      </c>
      <c r="F181" s="79">
        <v>0.0</v>
      </c>
      <c r="G181" s="79">
        <v>0.0</v>
      </c>
      <c r="H181" s="79">
        <v>0.0</v>
      </c>
      <c r="I181" s="79">
        <v>0.0</v>
      </c>
      <c r="J181" s="79">
        <v>0.0</v>
      </c>
      <c r="K181" s="79">
        <v>0.0</v>
      </c>
      <c r="L181" s="79">
        <v>0.0</v>
      </c>
      <c r="M181" s="79">
        <v>0.0</v>
      </c>
      <c r="N181" s="79">
        <v>0.0</v>
      </c>
      <c r="O181" s="79">
        <v>0.0</v>
      </c>
      <c r="P181" s="79">
        <v>0.0</v>
      </c>
      <c r="Q181" s="13">
        <f t="shared" si="37"/>
        <v>0</v>
      </c>
      <c r="R181" s="5"/>
      <c r="S181" s="5"/>
    </row>
    <row r="182" ht="12.75" customHeight="1">
      <c r="A182" s="18"/>
      <c r="B182" s="58"/>
      <c r="C182" s="53" t="s">
        <v>135</v>
      </c>
      <c r="D182" s="61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79">
        <v>1.0</v>
      </c>
      <c r="O182" s="79">
        <v>0.0</v>
      </c>
      <c r="P182" s="79">
        <v>1.0</v>
      </c>
      <c r="Q182" s="13">
        <f t="shared" si="37"/>
        <v>2</v>
      </c>
      <c r="R182" s="5"/>
      <c r="S182" s="5"/>
    </row>
    <row r="183" ht="12.75" customHeight="1">
      <c r="A183" s="18"/>
      <c r="B183" s="58"/>
      <c r="C183" s="53" t="s">
        <v>136</v>
      </c>
      <c r="D183" s="61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79">
        <v>0.0</v>
      </c>
      <c r="P183" s="79">
        <v>0.0</v>
      </c>
      <c r="Q183" s="13">
        <f t="shared" si="37"/>
        <v>0</v>
      </c>
      <c r="R183" s="5"/>
      <c r="S183" s="5"/>
    </row>
    <row r="184" ht="12.75" customHeight="1">
      <c r="A184" s="18"/>
      <c r="B184" s="58"/>
      <c r="C184" s="53" t="s">
        <v>137</v>
      </c>
      <c r="D184" s="61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79">
        <v>1.0</v>
      </c>
      <c r="P184" s="79">
        <v>0.0</v>
      </c>
      <c r="Q184" s="13">
        <f t="shared" si="37"/>
        <v>1</v>
      </c>
      <c r="R184" s="5"/>
      <c r="S184" s="5"/>
    </row>
    <row r="185" ht="12.75" customHeight="1">
      <c r="A185" s="18"/>
      <c r="B185" s="58"/>
      <c r="C185" s="53" t="s">
        <v>138</v>
      </c>
      <c r="D185" s="61"/>
      <c r="E185" s="79">
        <v>0.0</v>
      </c>
      <c r="F185" s="79">
        <v>0.0</v>
      </c>
      <c r="G185" s="79">
        <v>0.0</v>
      </c>
      <c r="H185" s="79">
        <v>1.0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79">
        <v>0.0</v>
      </c>
      <c r="P185" s="79">
        <v>0.0</v>
      </c>
      <c r="Q185" s="13">
        <f t="shared" si="37"/>
        <v>1</v>
      </c>
      <c r="R185" s="5"/>
      <c r="S185" s="5"/>
    </row>
    <row r="186" ht="12.75" customHeight="1">
      <c r="A186" s="18"/>
      <c r="B186" s="58"/>
      <c r="C186" s="53" t="s">
        <v>139</v>
      </c>
      <c r="D186" s="61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79">
        <v>0.0</v>
      </c>
      <c r="P186" s="79">
        <v>0.0</v>
      </c>
      <c r="Q186" s="13">
        <f t="shared" si="37"/>
        <v>0</v>
      </c>
      <c r="R186" s="5"/>
      <c r="S186" s="5"/>
    </row>
    <row r="187" ht="12.75" customHeight="1">
      <c r="A187" s="19" t="s">
        <v>14</v>
      </c>
      <c r="B187" s="50" t="s">
        <v>48</v>
      </c>
      <c r="C187" s="15"/>
      <c r="D187" s="16"/>
      <c r="E187" s="13">
        <f t="shared" ref="E187:P187" si="38">SUM(E177:E186)</f>
        <v>1</v>
      </c>
      <c r="F187" s="13">
        <f t="shared" si="38"/>
        <v>2</v>
      </c>
      <c r="G187" s="13">
        <f t="shared" si="38"/>
        <v>2</v>
      </c>
      <c r="H187" s="13">
        <f t="shared" si="38"/>
        <v>4</v>
      </c>
      <c r="I187" s="13">
        <f t="shared" si="38"/>
        <v>0</v>
      </c>
      <c r="J187" s="13">
        <f t="shared" si="38"/>
        <v>2</v>
      </c>
      <c r="K187" s="13">
        <f t="shared" si="38"/>
        <v>0</v>
      </c>
      <c r="L187" s="13">
        <f t="shared" si="38"/>
        <v>1</v>
      </c>
      <c r="M187" s="13">
        <f t="shared" si="38"/>
        <v>1</v>
      </c>
      <c r="N187" s="13">
        <f t="shared" si="38"/>
        <v>1</v>
      </c>
      <c r="O187" s="13">
        <f t="shared" si="38"/>
        <v>1</v>
      </c>
      <c r="P187" s="13">
        <f t="shared" si="38"/>
        <v>2</v>
      </c>
      <c r="Q187" s="13">
        <f t="shared" si="37"/>
        <v>17</v>
      </c>
      <c r="R187" s="1"/>
      <c r="S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13"/>
    </row>
    <row r="189" ht="12.75" customHeight="1">
      <c r="A189" s="31" t="s">
        <v>36</v>
      </c>
      <c r="B189" s="50" t="s">
        <v>140</v>
      </c>
      <c r="C189" s="51" t="s">
        <v>141</v>
      </c>
      <c r="D189" s="16"/>
      <c r="E189" s="79">
        <v>0.0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0.0</v>
      </c>
      <c r="N189" s="79">
        <v>0.0</v>
      </c>
      <c r="O189" s="79">
        <v>0.0</v>
      </c>
      <c r="P189" s="79">
        <v>0.0</v>
      </c>
      <c r="Q189" s="13">
        <f t="shared" ref="Q189:Q199" si="39">SUM(E189:P189)</f>
        <v>0</v>
      </c>
      <c r="R189" s="5"/>
      <c r="S189" s="5"/>
    </row>
    <row r="190" ht="12.75" customHeight="1">
      <c r="A190" s="31" t="s">
        <v>38</v>
      </c>
      <c r="B190" s="58"/>
      <c r="C190" s="53" t="s">
        <v>142</v>
      </c>
      <c r="D190" s="61"/>
      <c r="E190" s="79">
        <v>1.0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79">
        <v>0.0</v>
      </c>
      <c r="P190" s="79">
        <v>0.0</v>
      </c>
      <c r="Q190" s="13">
        <f t="shared" si="39"/>
        <v>1</v>
      </c>
      <c r="R190" s="5"/>
      <c r="S190" s="5"/>
    </row>
    <row r="191" ht="12.75" customHeight="1">
      <c r="A191" s="18"/>
      <c r="B191" s="58"/>
      <c r="C191" s="53" t="s">
        <v>143</v>
      </c>
      <c r="D191" s="61"/>
      <c r="E191" s="79">
        <v>0.0</v>
      </c>
      <c r="F191" s="79">
        <v>0.0</v>
      </c>
      <c r="G191" s="79">
        <v>0.0</v>
      </c>
      <c r="H191" s="79">
        <v>0.0</v>
      </c>
      <c r="I191" s="79">
        <v>1.0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79">
        <v>0.0</v>
      </c>
      <c r="P191" s="79">
        <v>0.0</v>
      </c>
      <c r="Q191" s="13">
        <f t="shared" si="39"/>
        <v>1</v>
      </c>
      <c r="R191" s="5"/>
      <c r="S191" s="5"/>
    </row>
    <row r="192" ht="12.75" customHeight="1">
      <c r="A192" s="18"/>
      <c r="B192" s="58"/>
      <c r="C192" s="53" t="s">
        <v>144</v>
      </c>
      <c r="D192" s="61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79">
        <v>0.0</v>
      </c>
      <c r="P192" s="79">
        <v>0.0</v>
      </c>
      <c r="Q192" s="13">
        <f t="shared" si="39"/>
        <v>0</v>
      </c>
      <c r="R192" s="5"/>
      <c r="S192" s="5"/>
    </row>
    <row r="193" ht="12.75" customHeight="1">
      <c r="A193" s="18"/>
      <c r="B193" s="58"/>
      <c r="C193" s="53" t="s">
        <v>145</v>
      </c>
      <c r="D193" s="61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0.0</v>
      </c>
      <c r="K193" s="79">
        <v>0.0</v>
      </c>
      <c r="L193" s="79">
        <v>0.0</v>
      </c>
      <c r="M193" s="79">
        <v>0.0</v>
      </c>
      <c r="N193" s="79">
        <v>0.0</v>
      </c>
      <c r="O193" s="79">
        <v>0.0</v>
      </c>
      <c r="P193" s="79">
        <v>0.0</v>
      </c>
      <c r="Q193" s="13">
        <f t="shared" si="39"/>
        <v>0</v>
      </c>
      <c r="R193" s="5"/>
      <c r="S193" s="5"/>
    </row>
    <row r="194" ht="12.75" customHeight="1">
      <c r="A194" s="18"/>
      <c r="B194" s="58"/>
      <c r="C194" s="53" t="s">
        <v>146</v>
      </c>
      <c r="D194" s="61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79">
        <v>0.0</v>
      </c>
      <c r="P194" s="79">
        <v>0.0</v>
      </c>
      <c r="Q194" s="13">
        <f t="shared" si="39"/>
        <v>0</v>
      </c>
      <c r="R194" s="5"/>
      <c r="S194" s="5"/>
    </row>
    <row r="195" ht="12.75" customHeight="1">
      <c r="A195" s="18"/>
      <c r="B195" s="58"/>
      <c r="C195" s="53" t="s">
        <v>147</v>
      </c>
      <c r="D195" s="61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79">
        <v>0.0</v>
      </c>
      <c r="P195" s="79">
        <v>0.0</v>
      </c>
      <c r="Q195" s="13">
        <f t="shared" si="39"/>
        <v>0</v>
      </c>
      <c r="R195" s="5"/>
      <c r="S195" s="5"/>
    </row>
    <row r="196" ht="12.75" customHeight="1">
      <c r="A196" s="18"/>
      <c r="B196" s="58"/>
      <c r="C196" s="53" t="s">
        <v>148</v>
      </c>
      <c r="D196" s="61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79">
        <v>0.0</v>
      </c>
      <c r="P196" s="79">
        <v>0.0</v>
      </c>
      <c r="Q196" s="13">
        <f t="shared" si="39"/>
        <v>0</v>
      </c>
      <c r="R196" s="1"/>
      <c r="S196" s="1"/>
    </row>
    <row r="197" ht="12.75" customHeight="1">
      <c r="A197" s="18"/>
      <c r="B197" s="58"/>
      <c r="C197" s="53" t="s">
        <v>149</v>
      </c>
      <c r="D197" s="61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79">
        <v>0.0</v>
      </c>
      <c r="P197" s="79">
        <v>0.0</v>
      </c>
      <c r="Q197" s="13">
        <f t="shared" si="39"/>
        <v>0</v>
      </c>
      <c r="R197" s="1"/>
      <c r="S197" s="1"/>
    </row>
    <row r="198" ht="12.75" customHeight="1">
      <c r="A198" s="18"/>
      <c r="B198" s="58"/>
      <c r="C198" s="53" t="s">
        <v>150</v>
      </c>
      <c r="D198" s="61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79">
        <v>0.0</v>
      </c>
      <c r="P198" s="79">
        <v>0.0</v>
      </c>
      <c r="Q198" s="13">
        <f t="shared" si="39"/>
        <v>0</v>
      </c>
      <c r="R198" s="1"/>
      <c r="S198" s="1"/>
    </row>
    <row r="199" ht="12.75" customHeight="1">
      <c r="A199" s="19" t="s">
        <v>14</v>
      </c>
      <c r="B199" s="50" t="s">
        <v>48</v>
      </c>
      <c r="C199" s="15"/>
      <c r="D199" s="16"/>
      <c r="E199" s="13">
        <f t="shared" ref="E199:P199" si="40">SUM(E189:E198)</f>
        <v>1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39"/>
        <v>2</v>
      </c>
      <c r="R199" s="55"/>
      <c r="S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5"/>
      <c r="S200" s="5"/>
    </row>
    <row r="201" ht="12.75" customHeight="1">
      <c r="A201" s="31" t="s">
        <v>36</v>
      </c>
      <c r="B201" s="50" t="s">
        <v>151</v>
      </c>
      <c r="C201" s="51" t="s">
        <v>152</v>
      </c>
      <c r="D201" s="16"/>
      <c r="E201" s="79">
        <v>9.0</v>
      </c>
      <c r="F201" s="79">
        <v>11.0</v>
      </c>
      <c r="G201" s="79">
        <v>0.0</v>
      </c>
      <c r="H201" s="79">
        <v>3.0</v>
      </c>
      <c r="I201" s="79">
        <v>3.0</v>
      </c>
      <c r="J201" s="79">
        <v>3.0</v>
      </c>
      <c r="K201" s="79">
        <v>6.0</v>
      </c>
      <c r="L201" s="79">
        <v>3.0</v>
      </c>
      <c r="M201" s="79">
        <v>2.0</v>
      </c>
      <c r="N201" s="79">
        <v>4.0</v>
      </c>
      <c r="O201" s="79">
        <v>7.0</v>
      </c>
      <c r="P201" s="79">
        <v>5.0</v>
      </c>
      <c r="Q201" s="13">
        <f t="shared" ref="Q201:Q211" si="41">SUM(E201:P201)</f>
        <v>56</v>
      </c>
      <c r="R201" s="5"/>
      <c r="S201" s="5"/>
    </row>
    <row r="202" ht="12.75" customHeight="1">
      <c r="A202" s="31" t="s">
        <v>38</v>
      </c>
      <c r="B202" s="58"/>
      <c r="C202" s="53" t="s">
        <v>153</v>
      </c>
      <c r="D202" s="61"/>
      <c r="E202" s="79">
        <v>11.0</v>
      </c>
      <c r="F202" s="79">
        <v>1.0</v>
      </c>
      <c r="G202" s="79">
        <v>1.0</v>
      </c>
      <c r="H202" s="79">
        <v>1.0</v>
      </c>
      <c r="I202" s="79">
        <v>6.0</v>
      </c>
      <c r="J202" s="79">
        <v>11.0</v>
      </c>
      <c r="K202" s="79">
        <v>3.0</v>
      </c>
      <c r="L202" s="79">
        <v>2.0</v>
      </c>
      <c r="M202" s="79">
        <v>2.0</v>
      </c>
      <c r="N202" s="79">
        <v>1.0</v>
      </c>
      <c r="O202" s="79">
        <v>0.0</v>
      </c>
      <c r="P202" s="79">
        <v>0.0</v>
      </c>
      <c r="Q202" s="13">
        <f t="shared" si="41"/>
        <v>39</v>
      </c>
      <c r="R202" s="5"/>
      <c r="S202" s="5"/>
    </row>
    <row r="203" ht="12.75" customHeight="1">
      <c r="A203" s="18"/>
      <c r="B203" s="58"/>
      <c r="C203" s="53" t="s">
        <v>154</v>
      </c>
      <c r="D203" s="61"/>
      <c r="E203" s="79">
        <v>1.0</v>
      </c>
      <c r="F203" s="79">
        <v>5.0</v>
      </c>
      <c r="G203" s="79">
        <v>2.0</v>
      </c>
      <c r="H203" s="79">
        <v>1.0</v>
      </c>
      <c r="I203" s="79">
        <v>0.0</v>
      </c>
      <c r="J203" s="79">
        <v>4.0</v>
      </c>
      <c r="K203" s="79">
        <v>3.0</v>
      </c>
      <c r="L203" s="79">
        <v>2.0</v>
      </c>
      <c r="M203" s="79">
        <v>0.0</v>
      </c>
      <c r="N203" s="79">
        <v>1.0</v>
      </c>
      <c r="O203" s="79">
        <v>0.0</v>
      </c>
      <c r="P203" s="79">
        <v>1.0</v>
      </c>
      <c r="Q203" s="13">
        <f t="shared" si="41"/>
        <v>20</v>
      </c>
      <c r="R203" s="5"/>
      <c r="S203" s="5"/>
    </row>
    <row r="204" ht="12.75" customHeight="1">
      <c r="A204" s="18"/>
      <c r="B204" s="58"/>
      <c r="C204" s="53" t="s">
        <v>155</v>
      </c>
      <c r="D204" s="61"/>
      <c r="E204" s="79">
        <v>1.0</v>
      </c>
      <c r="F204" s="79">
        <v>2.0</v>
      </c>
      <c r="G204" s="79">
        <v>0.0</v>
      </c>
      <c r="H204" s="79">
        <v>0.0</v>
      </c>
      <c r="I204" s="79">
        <v>0.0</v>
      </c>
      <c r="J204" s="79">
        <v>0.0</v>
      </c>
      <c r="K204" s="79">
        <v>0.0</v>
      </c>
      <c r="L204" s="79">
        <v>0.0</v>
      </c>
      <c r="M204" s="79">
        <v>1.0</v>
      </c>
      <c r="N204" s="79">
        <v>0.0</v>
      </c>
      <c r="O204" s="79">
        <v>0.0</v>
      </c>
      <c r="P204" s="79">
        <v>0.0</v>
      </c>
      <c r="Q204" s="13">
        <f t="shared" si="41"/>
        <v>4</v>
      </c>
      <c r="R204" s="5"/>
      <c r="S204" s="5"/>
    </row>
    <row r="205" ht="12.75" customHeight="1">
      <c r="A205" s="18"/>
      <c r="B205" s="58"/>
      <c r="C205" s="53" t="s">
        <v>156</v>
      </c>
      <c r="D205" s="61"/>
      <c r="E205" s="79">
        <v>0.0</v>
      </c>
      <c r="F205" s="79">
        <v>0.0</v>
      </c>
      <c r="G205" s="79">
        <v>0.0</v>
      </c>
      <c r="H205" s="79">
        <v>0.0</v>
      </c>
      <c r="I205" s="79">
        <v>1.0</v>
      </c>
      <c r="J205" s="79">
        <v>0.0</v>
      </c>
      <c r="K205" s="79">
        <v>0.0</v>
      </c>
      <c r="L205" s="79">
        <v>0.0</v>
      </c>
      <c r="M205" s="79">
        <v>0.0</v>
      </c>
      <c r="N205" s="79">
        <v>1.0</v>
      </c>
      <c r="O205" s="79">
        <v>0.0</v>
      </c>
      <c r="P205" s="79">
        <v>0.0</v>
      </c>
      <c r="Q205" s="13">
        <f t="shared" si="41"/>
        <v>2</v>
      </c>
      <c r="R205" s="5"/>
      <c r="S205" s="5"/>
    </row>
    <row r="206" ht="12.75" customHeight="1">
      <c r="A206" s="18"/>
      <c r="B206" s="58"/>
      <c r="C206" s="53" t="s">
        <v>157</v>
      </c>
      <c r="D206" s="61"/>
      <c r="E206" s="79">
        <v>0.0</v>
      </c>
      <c r="F206" s="79">
        <v>0.0</v>
      </c>
      <c r="G206" s="79">
        <v>0.0</v>
      </c>
      <c r="H206" s="79">
        <v>1.0</v>
      </c>
      <c r="I206" s="79">
        <v>0.0</v>
      </c>
      <c r="J206" s="79">
        <v>0.0</v>
      </c>
      <c r="K206" s="79">
        <v>0.0</v>
      </c>
      <c r="L206" s="79">
        <v>1.0</v>
      </c>
      <c r="M206" s="79">
        <v>0.0</v>
      </c>
      <c r="N206" s="79">
        <v>0.0</v>
      </c>
      <c r="O206" s="79">
        <v>0.0</v>
      </c>
      <c r="P206" s="79">
        <v>1.0</v>
      </c>
      <c r="Q206" s="13">
        <f t="shared" si="41"/>
        <v>3</v>
      </c>
      <c r="R206" s="5"/>
      <c r="S206" s="5"/>
    </row>
    <row r="207" ht="12.75" customHeight="1">
      <c r="A207" s="18"/>
      <c r="B207" s="58"/>
      <c r="C207" s="53" t="s">
        <v>158</v>
      </c>
      <c r="D207" s="61"/>
      <c r="E207" s="79">
        <v>0.0</v>
      </c>
      <c r="F207" s="79">
        <v>1.0</v>
      </c>
      <c r="G207" s="79">
        <v>0.0</v>
      </c>
      <c r="H207" s="79">
        <v>0.0</v>
      </c>
      <c r="I207" s="79">
        <v>0.0</v>
      </c>
      <c r="J207" s="79">
        <v>0.0</v>
      </c>
      <c r="K207" s="79">
        <v>0.0</v>
      </c>
      <c r="L207" s="79">
        <v>1.0</v>
      </c>
      <c r="M207" s="79">
        <v>1.0</v>
      </c>
      <c r="N207" s="79">
        <v>0.0</v>
      </c>
      <c r="O207" s="79">
        <v>0.0</v>
      </c>
      <c r="P207" s="79">
        <v>0.0</v>
      </c>
      <c r="Q207" s="13">
        <f t="shared" si="41"/>
        <v>3</v>
      </c>
      <c r="R207" s="1"/>
      <c r="S207" s="1"/>
    </row>
    <row r="208" ht="12.75" customHeight="1">
      <c r="A208" s="18"/>
      <c r="B208" s="58"/>
      <c r="C208" s="53" t="s">
        <v>159</v>
      </c>
      <c r="D208" s="61"/>
      <c r="E208" s="79">
        <v>1.0</v>
      </c>
      <c r="F208" s="79">
        <v>2.0</v>
      </c>
      <c r="G208" s="79">
        <v>1.0</v>
      </c>
      <c r="H208" s="79">
        <v>0.0</v>
      </c>
      <c r="I208" s="79">
        <v>0.0</v>
      </c>
      <c r="J208" s="79">
        <v>2.0</v>
      </c>
      <c r="K208" s="79">
        <v>0.0</v>
      </c>
      <c r="L208" s="79">
        <v>0.0</v>
      </c>
      <c r="M208" s="79">
        <v>1.0</v>
      </c>
      <c r="N208" s="79">
        <v>0.0</v>
      </c>
      <c r="O208" s="79">
        <v>0.0</v>
      </c>
      <c r="P208" s="79">
        <v>0.0</v>
      </c>
      <c r="Q208" s="13">
        <f t="shared" si="41"/>
        <v>7</v>
      </c>
      <c r="R208" s="55"/>
      <c r="S208" s="55"/>
    </row>
    <row r="209" ht="12.75" customHeight="1">
      <c r="A209" s="18"/>
      <c r="B209" s="58"/>
      <c r="C209" s="53" t="s">
        <v>160</v>
      </c>
      <c r="D209" s="61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79">
        <v>0.0</v>
      </c>
      <c r="P209" s="79">
        <v>0.0</v>
      </c>
      <c r="Q209" s="13">
        <f t="shared" si="41"/>
        <v>0</v>
      </c>
      <c r="R209" s="55"/>
      <c r="S209" s="55"/>
    </row>
    <row r="210" ht="12.75" customHeight="1">
      <c r="A210" s="18"/>
      <c r="B210" s="58"/>
      <c r="C210" s="53" t="s">
        <v>161</v>
      </c>
      <c r="D210" s="61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0.0</v>
      </c>
      <c r="O210" s="79">
        <v>0.0</v>
      </c>
      <c r="P210" s="79">
        <v>0.0</v>
      </c>
      <c r="Q210" s="13">
        <f t="shared" si="41"/>
        <v>0</v>
      </c>
      <c r="R210" s="55"/>
      <c r="S210" s="55"/>
    </row>
    <row r="211" ht="12.75" customHeight="1">
      <c r="A211" s="19" t="s">
        <v>14</v>
      </c>
      <c r="B211" s="50" t="s">
        <v>48</v>
      </c>
      <c r="C211" s="15"/>
      <c r="D211" s="16"/>
      <c r="E211" s="13">
        <f t="shared" ref="E211:P211" si="42">SUM(E201:E210)</f>
        <v>23</v>
      </c>
      <c r="F211" s="13">
        <f t="shared" si="42"/>
        <v>22</v>
      </c>
      <c r="G211" s="13">
        <f t="shared" si="42"/>
        <v>4</v>
      </c>
      <c r="H211" s="13">
        <f t="shared" si="42"/>
        <v>6</v>
      </c>
      <c r="I211" s="13">
        <f t="shared" si="42"/>
        <v>10</v>
      </c>
      <c r="J211" s="13">
        <f t="shared" si="42"/>
        <v>20</v>
      </c>
      <c r="K211" s="13">
        <f t="shared" si="42"/>
        <v>12</v>
      </c>
      <c r="L211" s="13">
        <f t="shared" si="42"/>
        <v>9</v>
      </c>
      <c r="M211" s="13">
        <f t="shared" si="42"/>
        <v>7</v>
      </c>
      <c r="N211" s="13">
        <f t="shared" si="42"/>
        <v>7</v>
      </c>
      <c r="O211" s="13">
        <f t="shared" si="42"/>
        <v>7</v>
      </c>
      <c r="P211" s="13">
        <f t="shared" si="42"/>
        <v>7</v>
      </c>
      <c r="Q211" s="13">
        <f t="shared" si="41"/>
        <v>134</v>
      </c>
      <c r="R211" s="5"/>
      <c r="S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5"/>
      <c r="S212" s="5"/>
    </row>
    <row r="213" ht="12.75" customHeight="1">
      <c r="A213" s="31" t="s">
        <v>36</v>
      </c>
      <c r="B213" s="50" t="s">
        <v>162</v>
      </c>
      <c r="C213" s="51" t="s">
        <v>163</v>
      </c>
      <c r="D213" s="16"/>
      <c r="E213" s="79">
        <v>1.0</v>
      </c>
      <c r="F213" s="79">
        <v>1.0</v>
      </c>
      <c r="G213" s="79">
        <v>0.0</v>
      </c>
      <c r="H213" s="79">
        <v>1.0</v>
      </c>
      <c r="I213" s="79">
        <v>1.0</v>
      </c>
      <c r="J213" s="79">
        <v>0.0</v>
      </c>
      <c r="K213" s="79">
        <v>0.0</v>
      </c>
      <c r="L213" s="79">
        <v>1.0</v>
      </c>
      <c r="M213" s="79">
        <v>0.0</v>
      </c>
      <c r="N213" s="79">
        <v>1.0</v>
      </c>
      <c r="O213" s="79">
        <v>4.0</v>
      </c>
      <c r="P213" s="79">
        <v>2.0</v>
      </c>
      <c r="Q213" s="13">
        <f t="shared" ref="Q213:Q216" si="43">SUM(E213:P213)</f>
        <v>12</v>
      </c>
      <c r="R213" s="5"/>
      <c r="S213" s="5"/>
    </row>
    <row r="214" ht="12.75" customHeight="1">
      <c r="A214" s="31" t="s">
        <v>38</v>
      </c>
      <c r="B214" s="58"/>
      <c r="C214" s="53" t="s">
        <v>164</v>
      </c>
      <c r="D214" s="60"/>
      <c r="E214" s="79">
        <v>2.0</v>
      </c>
      <c r="F214" s="79">
        <v>0.0</v>
      </c>
      <c r="G214" s="79">
        <v>0.0</v>
      </c>
      <c r="H214" s="79">
        <v>4.0</v>
      </c>
      <c r="I214" s="79">
        <v>1.0</v>
      </c>
      <c r="J214" s="79">
        <v>0.0</v>
      </c>
      <c r="K214" s="79">
        <v>0.0</v>
      </c>
      <c r="L214" s="79">
        <v>1.0</v>
      </c>
      <c r="M214" s="79">
        <v>0.0</v>
      </c>
      <c r="N214" s="79">
        <v>1.0</v>
      </c>
      <c r="O214" s="79">
        <v>0.0</v>
      </c>
      <c r="P214" s="79">
        <v>0.0</v>
      </c>
      <c r="Q214" s="13">
        <f t="shared" si="43"/>
        <v>9</v>
      </c>
      <c r="R214" s="5"/>
      <c r="S214" s="5"/>
    </row>
    <row r="215" ht="12.75" customHeight="1">
      <c r="A215" s="18"/>
      <c r="B215" s="58"/>
      <c r="C215" s="53" t="s">
        <v>165</v>
      </c>
      <c r="D215" s="60"/>
      <c r="E215" s="79">
        <v>1.0</v>
      </c>
      <c r="F215" s="79">
        <v>0.0</v>
      </c>
      <c r="G215" s="79">
        <v>2.0</v>
      </c>
      <c r="H215" s="79">
        <v>2.0</v>
      </c>
      <c r="I215" s="79">
        <v>0.0</v>
      </c>
      <c r="J215" s="79">
        <v>2.0</v>
      </c>
      <c r="K215" s="79">
        <v>1.0</v>
      </c>
      <c r="L215" s="79">
        <v>0.0</v>
      </c>
      <c r="M215" s="79">
        <v>0.0</v>
      </c>
      <c r="N215" s="79">
        <v>1.0</v>
      </c>
      <c r="O215" s="79">
        <v>1.0</v>
      </c>
      <c r="P215" s="79">
        <v>0.0</v>
      </c>
      <c r="Q215" s="13">
        <f t="shared" si="43"/>
        <v>10</v>
      </c>
      <c r="R215" s="5"/>
      <c r="S215" s="5"/>
    </row>
    <row r="216" ht="12.75" customHeight="1">
      <c r="A216" s="18"/>
      <c r="B216" s="58"/>
      <c r="C216" s="53" t="s">
        <v>166</v>
      </c>
      <c r="E216" s="79">
        <v>0.0</v>
      </c>
      <c r="F216" s="79">
        <v>1.0</v>
      </c>
      <c r="G216" s="79">
        <v>0.0</v>
      </c>
      <c r="H216" s="79">
        <v>0.0</v>
      </c>
      <c r="I216" s="79">
        <v>0.0</v>
      </c>
      <c r="J216" s="79">
        <v>1.0</v>
      </c>
      <c r="K216" s="79">
        <v>0.0</v>
      </c>
      <c r="L216" s="79">
        <v>1.0</v>
      </c>
      <c r="M216" s="79">
        <v>0.0</v>
      </c>
      <c r="N216" s="79">
        <v>0.0</v>
      </c>
      <c r="O216" s="79">
        <v>0.0</v>
      </c>
      <c r="P216" s="79">
        <v>0.0</v>
      </c>
      <c r="Q216" s="13">
        <f t="shared" si="43"/>
        <v>3</v>
      </c>
      <c r="R216" s="5"/>
      <c r="S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85"/>
      <c r="R217" s="5"/>
      <c r="S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85"/>
      <c r="R218" s="1"/>
      <c r="S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85"/>
      <c r="R219" s="55"/>
      <c r="S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85"/>
      <c r="R220" s="5"/>
      <c r="S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85"/>
      <c r="R221" s="5"/>
      <c r="S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85"/>
      <c r="R222" s="5"/>
      <c r="S222" s="5"/>
    </row>
    <row r="223" ht="12.75" customHeight="1">
      <c r="A223" s="19" t="s">
        <v>14</v>
      </c>
      <c r="B223" s="50" t="s">
        <v>48</v>
      </c>
      <c r="C223" s="15"/>
      <c r="D223" s="16"/>
      <c r="E223" s="13">
        <f t="shared" ref="E223:P223" si="44">SUM(E213:E222)</f>
        <v>4</v>
      </c>
      <c r="F223" s="13">
        <f t="shared" si="44"/>
        <v>2</v>
      </c>
      <c r="G223" s="13">
        <f t="shared" si="44"/>
        <v>2</v>
      </c>
      <c r="H223" s="13">
        <f t="shared" si="44"/>
        <v>7</v>
      </c>
      <c r="I223" s="13">
        <f t="shared" si="44"/>
        <v>2</v>
      </c>
      <c r="J223" s="13">
        <f t="shared" si="44"/>
        <v>3</v>
      </c>
      <c r="K223" s="13">
        <f t="shared" si="44"/>
        <v>1</v>
      </c>
      <c r="L223" s="13">
        <f t="shared" si="44"/>
        <v>3</v>
      </c>
      <c r="M223" s="13">
        <f t="shared" si="44"/>
        <v>0</v>
      </c>
      <c r="N223" s="13">
        <f t="shared" si="44"/>
        <v>3</v>
      </c>
      <c r="O223" s="13">
        <f t="shared" si="44"/>
        <v>5</v>
      </c>
      <c r="P223" s="13">
        <f t="shared" si="44"/>
        <v>2</v>
      </c>
      <c r="Q223" s="13">
        <f>SUM(E223:P223)</f>
        <v>34</v>
      </c>
      <c r="R223" s="5"/>
      <c r="S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5"/>
      <c r="S224" s="5"/>
    </row>
    <row r="225" ht="12.75" customHeight="1">
      <c r="A225" s="31" t="s">
        <v>36</v>
      </c>
      <c r="B225" s="50" t="s">
        <v>167</v>
      </c>
      <c r="C225" s="51" t="s">
        <v>168</v>
      </c>
      <c r="D225" s="16"/>
      <c r="E225" s="79">
        <v>0.0</v>
      </c>
      <c r="F225" s="79">
        <v>0.0</v>
      </c>
      <c r="G225" s="79">
        <v>1.0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1.0</v>
      </c>
      <c r="O225" s="79">
        <v>0.0</v>
      </c>
      <c r="P225" s="79">
        <v>0.0</v>
      </c>
      <c r="Q225" s="13">
        <f t="shared" ref="Q225:Q229" si="45">SUM(E225:P225)</f>
        <v>2</v>
      </c>
      <c r="R225" s="5"/>
      <c r="S225" s="5"/>
    </row>
    <row r="226" ht="12.75" customHeight="1">
      <c r="A226" s="31" t="s">
        <v>38</v>
      </c>
      <c r="B226" s="58"/>
      <c r="C226" s="53" t="s">
        <v>169</v>
      </c>
      <c r="D226" s="61"/>
      <c r="E226" s="79">
        <v>1.0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0.0</v>
      </c>
      <c r="N226" s="79">
        <v>0.0</v>
      </c>
      <c r="O226" s="79">
        <v>0.0</v>
      </c>
      <c r="P226" s="79">
        <v>0.0</v>
      </c>
      <c r="Q226" s="13">
        <f t="shared" si="45"/>
        <v>1</v>
      </c>
      <c r="R226" s="5"/>
      <c r="S226" s="5"/>
    </row>
    <row r="227" ht="12.75" customHeight="1">
      <c r="A227" s="18"/>
      <c r="B227" s="58"/>
      <c r="C227" s="53" t="s">
        <v>170</v>
      </c>
      <c r="D227" s="61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79">
        <v>0.0</v>
      </c>
      <c r="P227" s="79">
        <v>0.0</v>
      </c>
      <c r="Q227" s="13">
        <f t="shared" si="45"/>
        <v>0</v>
      </c>
      <c r="R227" s="5"/>
      <c r="S227" s="5"/>
    </row>
    <row r="228" ht="12.75" customHeight="1">
      <c r="A228" s="18"/>
      <c r="B228" s="58"/>
      <c r="C228" s="53" t="s">
        <v>171</v>
      </c>
      <c r="D228" s="61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1.0</v>
      </c>
      <c r="M228" s="79">
        <v>0.0</v>
      </c>
      <c r="N228" s="79">
        <v>0.0</v>
      </c>
      <c r="O228" s="79">
        <v>0.0</v>
      </c>
      <c r="P228" s="79">
        <v>0.0</v>
      </c>
      <c r="Q228" s="13">
        <f t="shared" si="45"/>
        <v>1</v>
      </c>
      <c r="R228" s="5"/>
      <c r="S228" s="5"/>
    </row>
    <row r="229" ht="12.75" customHeight="1">
      <c r="A229" s="18"/>
      <c r="B229" s="58"/>
      <c r="C229" s="53" t="s">
        <v>172</v>
      </c>
      <c r="D229" s="61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79">
        <v>0.0</v>
      </c>
      <c r="P229" s="79">
        <v>0.0</v>
      </c>
      <c r="Q229" s="13">
        <f t="shared" si="45"/>
        <v>0</v>
      </c>
      <c r="R229" s="1"/>
      <c r="S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85"/>
      <c r="R230" s="55"/>
      <c r="S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85"/>
      <c r="R231" s="5"/>
      <c r="S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85"/>
      <c r="R232" s="5"/>
      <c r="S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85"/>
      <c r="R233" s="5"/>
      <c r="S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85"/>
      <c r="R234" s="5"/>
      <c r="S234" s="5"/>
    </row>
    <row r="235" ht="12.75" customHeight="1">
      <c r="A235" s="19" t="s">
        <v>14</v>
      </c>
      <c r="B235" s="50" t="s">
        <v>48</v>
      </c>
      <c r="C235" s="15"/>
      <c r="D235" s="16"/>
      <c r="E235" s="13">
        <f t="shared" ref="E235:P235" si="46">SUM(E225:E234)</f>
        <v>1</v>
      </c>
      <c r="F235" s="13">
        <f t="shared" si="46"/>
        <v>0</v>
      </c>
      <c r="G235" s="13">
        <f t="shared" si="46"/>
        <v>1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1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0</v>
      </c>
      <c r="Q235" s="13">
        <f>SUM(E235:P235)</f>
        <v>4</v>
      </c>
      <c r="R235" s="5"/>
      <c r="S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5"/>
      <c r="S236" s="5"/>
    </row>
    <row r="237" ht="12.75" customHeight="1">
      <c r="A237" s="31" t="s">
        <v>36</v>
      </c>
      <c r="B237" s="50" t="s">
        <v>173</v>
      </c>
      <c r="C237" s="51" t="s">
        <v>174</v>
      </c>
      <c r="D237" s="16"/>
      <c r="E237" s="79">
        <v>0.0</v>
      </c>
      <c r="F237" s="79">
        <v>1.0</v>
      </c>
      <c r="G237" s="79">
        <v>0.0</v>
      </c>
      <c r="H237" s="79">
        <v>0.0</v>
      </c>
      <c r="I237" s="79">
        <v>0.0</v>
      </c>
      <c r="J237" s="79">
        <v>1.0</v>
      </c>
      <c r="K237" s="79">
        <v>0.0</v>
      </c>
      <c r="L237" s="79">
        <v>0.0</v>
      </c>
      <c r="M237" s="79">
        <v>0.0</v>
      </c>
      <c r="N237" s="79">
        <v>0.0</v>
      </c>
      <c r="O237" s="79">
        <v>0.0</v>
      </c>
      <c r="P237" s="79">
        <v>0.0</v>
      </c>
      <c r="Q237" s="13">
        <f t="shared" ref="Q237:Q247" si="47">SUM(E237:P237)</f>
        <v>2</v>
      </c>
      <c r="R237" s="5"/>
      <c r="S237" s="5"/>
    </row>
    <row r="238" ht="12.75" customHeight="1">
      <c r="A238" s="31" t="s">
        <v>38</v>
      </c>
      <c r="B238" s="58"/>
      <c r="C238" s="53" t="s">
        <v>175</v>
      </c>
      <c r="D238" s="61"/>
      <c r="E238" s="79">
        <v>0.0</v>
      </c>
      <c r="F238" s="79">
        <v>1.0</v>
      </c>
      <c r="G238" s="79">
        <v>0.0</v>
      </c>
      <c r="H238" s="79">
        <v>0.0</v>
      </c>
      <c r="I238" s="79">
        <v>1.0</v>
      </c>
      <c r="J238" s="79">
        <v>0.0</v>
      </c>
      <c r="K238" s="79">
        <v>0.0</v>
      </c>
      <c r="L238" s="79">
        <v>1.0</v>
      </c>
      <c r="M238" s="79">
        <v>0.0</v>
      </c>
      <c r="N238" s="79">
        <v>0.0</v>
      </c>
      <c r="O238" s="79">
        <v>0.0</v>
      </c>
      <c r="P238" s="79">
        <v>0.0</v>
      </c>
      <c r="Q238" s="13">
        <f t="shared" si="47"/>
        <v>3</v>
      </c>
      <c r="R238" s="5"/>
      <c r="S238" s="5"/>
    </row>
    <row r="239" ht="12.75" customHeight="1">
      <c r="A239" s="18"/>
      <c r="B239" s="58"/>
      <c r="C239" s="53" t="s">
        <v>176</v>
      </c>
      <c r="D239" s="61"/>
      <c r="E239" s="79">
        <v>0.0</v>
      </c>
      <c r="F239" s="79">
        <v>0.0</v>
      </c>
      <c r="G239" s="79">
        <v>1.0</v>
      </c>
      <c r="H239" s="79">
        <v>1.0</v>
      </c>
      <c r="I239" s="79">
        <v>2.0</v>
      </c>
      <c r="J239" s="79">
        <v>1.0</v>
      </c>
      <c r="K239" s="79">
        <v>0.0</v>
      </c>
      <c r="L239" s="79">
        <v>1.0</v>
      </c>
      <c r="M239" s="79">
        <v>0.0</v>
      </c>
      <c r="N239" s="79">
        <v>0.0</v>
      </c>
      <c r="O239" s="79">
        <v>0.0</v>
      </c>
      <c r="P239" s="79">
        <v>1.0</v>
      </c>
      <c r="Q239" s="13">
        <f t="shared" si="47"/>
        <v>7</v>
      </c>
      <c r="R239" s="5"/>
      <c r="S239" s="5"/>
    </row>
    <row r="240" ht="12.75" customHeight="1">
      <c r="A240" s="18"/>
      <c r="B240" s="58"/>
      <c r="C240" s="53" t="s">
        <v>177</v>
      </c>
      <c r="D240" s="61"/>
      <c r="E240" s="79">
        <v>0.0</v>
      </c>
      <c r="F240" s="79">
        <v>0.0</v>
      </c>
      <c r="G240" s="79">
        <v>0.0</v>
      </c>
      <c r="H240" s="79">
        <v>0.0</v>
      </c>
      <c r="I240" s="79">
        <v>0.0</v>
      </c>
      <c r="J240" s="79">
        <v>0.0</v>
      </c>
      <c r="K240" s="79">
        <v>0.0</v>
      </c>
      <c r="L240" s="79">
        <v>0.0</v>
      </c>
      <c r="M240" s="79">
        <v>0.0</v>
      </c>
      <c r="N240" s="79">
        <v>0.0</v>
      </c>
      <c r="O240" s="79">
        <v>0.0</v>
      </c>
      <c r="P240" s="79">
        <v>0.0</v>
      </c>
      <c r="Q240" s="13">
        <f t="shared" si="47"/>
        <v>0</v>
      </c>
      <c r="R240" s="1"/>
      <c r="S240" s="1"/>
    </row>
    <row r="241" ht="12.75" customHeight="1">
      <c r="A241" s="18"/>
      <c r="B241" s="58"/>
      <c r="C241" s="53" t="s">
        <v>178</v>
      </c>
      <c r="D241" s="61"/>
      <c r="E241" s="79">
        <v>0.0</v>
      </c>
      <c r="F241" s="79">
        <v>0.0</v>
      </c>
      <c r="G241" s="79">
        <v>0.0</v>
      </c>
      <c r="H241" s="79">
        <v>0.0</v>
      </c>
      <c r="I241" s="79">
        <v>0.0</v>
      </c>
      <c r="J241" s="79">
        <v>0.0</v>
      </c>
      <c r="K241" s="79">
        <v>1.0</v>
      </c>
      <c r="L241" s="79">
        <v>0.0</v>
      </c>
      <c r="M241" s="79">
        <v>0.0</v>
      </c>
      <c r="N241" s="79">
        <v>0.0</v>
      </c>
      <c r="O241" s="79">
        <v>0.0</v>
      </c>
      <c r="P241" s="79">
        <v>0.0</v>
      </c>
      <c r="Q241" s="13">
        <f t="shared" si="47"/>
        <v>1</v>
      </c>
    </row>
    <row r="242" ht="12.75" customHeight="1">
      <c r="A242" s="18"/>
      <c r="B242" s="58"/>
      <c r="C242" s="53" t="s">
        <v>179</v>
      </c>
      <c r="D242" s="61"/>
      <c r="E242" s="79">
        <v>0.0</v>
      </c>
      <c r="F242" s="79">
        <v>0.0</v>
      </c>
      <c r="G242" s="79">
        <v>0.0</v>
      </c>
      <c r="H242" s="79">
        <v>0.0</v>
      </c>
      <c r="I242" s="79">
        <v>0.0</v>
      </c>
      <c r="J242" s="79">
        <v>0.0</v>
      </c>
      <c r="K242" s="79">
        <v>0.0</v>
      </c>
      <c r="L242" s="79">
        <v>1.0</v>
      </c>
      <c r="M242" s="79">
        <v>0.0</v>
      </c>
      <c r="N242" s="79">
        <v>0.0</v>
      </c>
      <c r="O242" s="79">
        <v>1.0</v>
      </c>
      <c r="P242" s="79">
        <v>0.0</v>
      </c>
      <c r="Q242" s="13">
        <f t="shared" si="47"/>
        <v>2</v>
      </c>
    </row>
    <row r="243" ht="12.75" customHeight="1">
      <c r="A243" s="18"/>
      <c r="B243" s="58"/>
      <c r="C243" s="53" t="s">
        <v>180</v>
      </c>
      <c r="D243" s="61"/>
      <c r="E243" s="79">
        <v>1.0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79">
        <v>0.0</v>
      </c>
      <c r="P243" s="79">
        <v>0.0</v>
      </c>
      <c r="Q243" s="13">
        <f t="shared" si="47"/>
        <v>1</v>
      </c>
    </row>
    <row r="244" ht="12.75" customHeight="1">
      <c r="A244" s="18"/>
      <c r="B244" s="58"/>
      <c r="C244" s="53" t="s">
        <v>181</v>
      </c>
      <c r="D244" s="61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79">
        <v>0.0</v>
      </c>
      <c r="P244" s="79">
        <v>0.0</v>
      </c>
      <c r="Q244" s="13">
        <f t="shared" si="47"/>
        <v>0</v>
      </c>
    </row>
    <row r="245" ht="12.75" customHeight="1">
      <c r="A245" s="18"/>
      <c r="B245" s="58"/>
      <c r="C245" s="53" t="s">
        <v>182</v>
      </c>
      <c r="D245" s="61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79">
        <v>0.0</v>
      </c>
      <c r="P245" s="79">
        <v>0.0</v>
      </c>
      <c r="Q245" s="13">
        <f t="shared" si="47"/>
        <v>0</v>
      </c>
    </row>
    <row r="246" ht="12.75" customHeight="1">
      <c r="A246" s="18"/>
      <c r="B246" s="58"/>
      <c r="C246" s="53" t="s">
        <v>183</v>
      </c>
      <c r="D246" s="61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0.0</v>
      </c>
      <c r="M246" s="79">
        <v>0.0</v>
      </c>
      <c r="N246" s="79">
        <v>0.0</v>
      </c>
      <c r="O246" s="79">
        <v>0.0</v>
      </c>
      <c r="P246" s="79">
        <v>0.0</v>
      </c>
      <c r="Q246" s="13">
        <f t="shared" si="47"/>
        <v>0</v>
      </c>
    </row>
    <row r="247" ht="12.75" customHeight="1">
      <c r="A247" s="19" t="s">
        <v>14</v>
      </c>
      <c r="B247" s="50" t="s">
        <v>48</v>
      </c>
      <c r="C247" s="15"/>
      <c r="D247" s="16"/>
      <c r="E247" s="13">
        <f t="shared" ref="E247:P247" si="48">SUM(E237:E246)</f>
        <v>1</v>
      </c>
      <c r="F247" s="13">
        <f t="shared" si="48"/>
        <v>2</v>
      </c>
      <c r="G247" s="13">
        <f t="shared" si="48"/>
        <v>1</v>
      </c>
      <c r="H247" s="13">
        <f t="shared" si="48"/>
        <v>1</v>
      </c>
      <c r="I247" s="13">
        <f t="shared" si="48"/>
        <v>3</v>
      </c>
      <c r="J247" s="13">
        <f t="shared" si="48"/>
        <v>2</v>
      </c>
      <c r="K247" s="13">
        <f t="shared" si="48"/>
        <v>1</v>
      </c>
      <c r="L247" s="13">
        <f t="shared" si="48"/>
        <v>3</v>
      </c>
      <c r="M247" s="13">
        <f t="shared" si="48"/>
        <v>0</v>
      </c>
      <c r="N247" s="13">
        <f t="shared" si="48"/>
        <v>0</v>
      </c>
      <c r="O247" s="13">
        <f t="shared" si="48"/>
        <v>1</v>
      </c>
      <c r="P247" s="13">
        <f t="shared" si="48"/>
        <v>1</v>
      </c>
      <c r="Q247" s="13">
        <f t="shared" si="47"/>
        <v>16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36</v>
      </c>
      <c r="B249" s="50" t="s">
        <v>184</v>
      </c>
      <c r="C249" s="51" t="s">
        <v>185</v>
      </c>
      <c r="D249" s="16"/>
      <c r="E249" s="79">
        <v>1.0</v>
      </c>
      <c r="F249" s="79">
        <v>0.0</v>
      </c>
      <c r="G249" s="79">
        <v>0.0</v>
      </c>
      <c r="H249" s="79">
        <v>0.0</v>
      </c>
      <c r="I249" s="79">
        <v>0.0</v>
      </c>
      <c r="J249" s="79">
        <v>0.0</v>
      </c>
      <c r="K249" s="79">
        <v>0.0</v>
      </c>
      <c r="L249" s="79">
        <v>0.0</v>
      </c>
      <c r="M249" s="79">
        <v>0.0</v>
      </c>
      <c r="N249" s="79">
        <v>0.0</v>
      </c>
      <c r="O249" s="79">
        <v>2.0</v>
      </c>
      <c r="P249" s="79">
        <v>0.0</v>
      </c>
      <c r="Q249" s="13">
        <f t="shared" ref="Q249:Q252" si="49">SUM(E249:P249)</f>
        <v>3</v>
      </c>
    </row>
    <row r="250" ht="12.75" customHeight="1">
      <c r="A250" s="31" t="s">
        <v>38</v>
      </c>
      <c r="B250" s="58"/>
      <c r="C250" s="53" t="s">
        <v>186</v>
      </c>
      <c r="D250" s="61"/>
      <c r="E250" s="79">
        <v>1.0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0.0</v>
      </c>
      <c r="N250" s="79">
        <v>0.0</v>
      </c>
      <c r="O250" s="79">
        <v>0.0</v>
      </c>
      <c r="P250" s="79">
        <v>0.0</v>
      </c>
      <c r="Q250" s="13">
        <f t="shared" si="49"/>
        <v>1</v>
      </c>
    </row>
    <row r="251" ht="12.75" customHeight="1">
      <c r="A251" s="18"/>
      <c r="B251" s="58"/>
      <c r="C251" s="53" t="s">
        <v>187</v>
      </c>
      <c r="D251" s="61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79">
        <v>0.0</v>
      </c>
      <c r="P251" s="79">
        <v>1.0</v>
      </c>
      <c r="Q251" s="13">
        <f t="shared" si="49"/>
        <v>1</v>
      </c>
    </row>
    <row r="252" ht="12.75" customHeight="1">
      <c r="A252" s="18"/>
      <c r="B252" s="58"/>
      <c r="C252" s="53" t="s">
        <v>188</v>
      </c>
      <c r="D252" s="61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79">
        <v>0.0</v>
      </c>
      <c r="P252" s="79">
        <v>0.0</v>
      </c>
      <c r="Q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85"/>
    </row>
    <row r="259" ht="12.75" customHeight="1">
      <c r="A259" s="19" t="s">
        <v>14</v>
      </c>
      <c r="B259" s="50" t="s">
        <v>48</v>
      </c>
      <c r="C259" s="15"/>
      <c r="D259" s="16"/>
      <c r="E259" s="13">
        <f t="shared" ref="E259:P259" si="50">SUM(E249:E258)</f>
        <v>2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2</v>
      </c>
      <c r="P259" s="13">
        <f t="shared" si="50"/>
        <v>1</v>
      </c>
      <c r="Q259" s="13">
        <f>SUM(E259:P259)</f>
        <v>5</v>
      </c>
    </row>
    <row r="260" ht="12.75" customHeight="1"/>
    <row r="261" ht="12.75" customHeight="1">
      <c r="A261" s="45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2"/>
      <c r="O261" s="13"/>
      <c r="P261" s="13"/>
      <c r="Q261" s="13"/>
    </row>
    <row r="262" ht="12.75" customHeight="1">
      <c r="A262" s="45"/>
      <c r="B262" s="74" t="s">
        <v>191</v>
      </c>
      <c r="C262" s="75" t="s">
        <v>192</v>
      </c>
      <c r="D262" s="16"/>
      <c r="E262" s="19">
        <f t="shared" ref="E262:P262" si="51">E55+E67+E79+E91+E103+E115+E127+E139+E151+E163+E175+E187+E199+E211+E223+E235+E247+E259</f>
        <v>197</v>
      </c>
      <c r="F262" s="19">
        <f t="shared" si="51"/>
        <v>174</v>
      </c>
      <c r="G262" s="19">
        <f t="shared" si="51"/>
        <v>182</v>
      </c>
      <c r="H262" s="19">
        <f t="shared" si="51"/>
        <v>188</v>
      </c>
      <c r="I262" s="19">
        <f t="shared" si="51"/>
        <v>183</v>
      </c>
      <c r="J262" s="19">
        <f t="shared" si="51"/>
        <v>197</v>
      </c>
      <c r="K262" s="19">
        <f t="shared" si="51"/>
        <v>186</v>
      </c>
      <c r="L262" s="19">
        <f t="shared" si="51"/>
        <v>192</v>
      </c>
      <c r="M262" s="19">
        <f t="shared" si="51"/>
        <v>155</v>
      </c>
      <c r="N262" s="19">
        <f t="shared" si="51"/>
        <v>185</v>
      </c>
      <c r="O262" s="19">
        <f t="shared" si="51"/>
        <v>169</v>
      </c>
      <c r="P262" s="19">
        <f t="shared" si="51"/>
        <v>170</v>
      </c>
      <c r="Q262" s="13">
        <f t="shared" ref="Q262:Q264" si="52">SUM(E262:P262)</f>
        <v>2178</v>
      </c>
    </row>
    <row r="263" ht="12.75" customHeight="1">
      <c r="A263" s="36"/>
      <c r="B263" s="74" t="s">
        <v>193</v>
      </c>
      <c r="C263" s="75" t="s">
        <v>194</v>
      </c>
      <c r="D263" s="16"/>
      <c r="E263" s="79">
        <v>29.0</v>
      </c>
      <c r="F263" s="79">
        <v>31.0</v>
      </c>
      <c r="G263" s="79">
        <v>41.0</v>
      </c>
      <c r="H263" s="79">
        <v>34.0</v>
      </c>
      <c r="I263" s="79">
        <v>38.0</v>
      </c>
      <c r="J263" s="79">
        <v>30.0</v>
      </c>
      <c r="K263" s="79">
        <v>20.0</v>
      </c>
      <c r="L263" s="79">
        <v>21.0</v>
      </c>
      <c r="M263" s="79">
        <v>25.0</v>
      </c>
      <c r="N263" s="79">
        <v>24.0</v>
      </c>
      <c r="O263" s="79">
        <v>17.0</v>
      </c>
      <c r="P263" s="79">
        <v>34.0</v>
      </c>
      <c r="Q263" s="13">
        <f t="shared" si="52"/>
        <v>344</v>
      </c>
    </row>
    <row r="264" ht="12.75" customHeight="1">
      <c r="A264" s="44"/>
      <c r="B264" s="74" t="s">
        <v>195</v>
      </c>
      <c r="C264" s="75" t="s">
        <v>196</v>
      </c>
      <c r="D264" s="16"/>
      <c r="E264" s="13">
        <f t="shared" ref="E264:P264" si="53">SUM(E262:E263)</f>
        <v>226</v>
      </c>
      <c r="F264" s="13">
        <f t="shared" si="53"/>
        <v>205</v>
      </c>
      <c r="G264" s="13">
        <f t="shared" si="53"/>
        <v>223</v>
      </c>
      <c r="H264" s="13">
        <f t="shared" si="53"/>
        <v>222</v>
      </c>
      <c r="I264" s="13">
        <f t="shared" si="53"/>
        <v>221</v>
      </c>
      <c r="J264" s="13">
        <f t="shared" si="53"/>
        <v>227</v>
      </c>
      <c r="K264" s="13">
        <f t="shared" si="53"/>
        <v>206</v>
      </c>
      <c r="L264" s="13">
        <f t="shared" si="53"/>
        <v>213</v>
      </c>
      <c r="M264" s="13">
        <f t="shared" si="53"/>
        <v>180</v>
      </c>
      <c r="N264" s="13">
        <f t="shared" si="53"/>
        <v>209</v>
      </c>
      <c r="O264" s="13">
        <f t="shared" si="53"/>
        <v>186</v>
      </c>
      <c r="P264" s="13">
        <f t="shared" si="53"/>
        <v>204</v>
      </c>
      <c r="Q264" s="13">
        <f t="shared" si="52"/>
        <v>2522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P34">
    <cfRule type="expression" dxfId="0" priority="1">
      <formula>E34&lt;&gt;E64</formula>
    </cfRule>
  </conditionalFormatting>
  <conditionalFormatting sqref="E14:P15">
    <cfRule type="containsBlanks" dxfId="1" priority="2">
      <formula>LEN(TRIM(E14))=0</formula>
    </cfRule>
  </conditionalFormatting>
  <conditionalFormatting sqref="E19:P20">
    <cfRule type="containsBlanks" dxfId="1" priority="3">
      <formula>LEN(TRIM(E19))=0</formula>
    </cfRule>
  </conditionalFormatting>
  <conditionalFormatting sqref="E22:P23 E25:P26 E33:P33 E35:P35 E39:P40">
    <cfRule type="containsBlanks" dxfId="1" priority="4">
      <formula>LEN(TRIM(E22))=0</formula>
    </cfRule>
  </conditionalFormatting>
  <conditionalFormatting sqref="E30:P30">
    <cfRule type="expression" dxfId="0" priority="5">
      <formula>E30&lt;&gt;E47</formula>
    </cfRule>
  </conditionalFormatting>
  <conditionalFormatting sqref="E30:P30">
    <cfRule type="expression" dxfId="0" priority="6">
      <formula>E30&lt;&gt;E34</formula>
    </cfRule>
  </conditionalFormatting>
  <conditionalFormatting sqref="E34:P34">
    <cfRule type="expression" dxfId="2" priority="7">
      <formula>E30&lt;&gt;E34</formula>
    </cfRule>
  </conditionalFormatting>
  <conditionalFormatting sqref="E34:P34">
    <cfRule type="expression" dxfId="3" priority="8">
      <formula>E30=E34</formula>
    </cfRule>
  </conditionalFormatting>
  <conditionalFormatting sqref="E34:P34">
    <cfRule type="expression" dxfId="0" priority="9">
      <formula>E34&lt;&gt;E30</formula>
    </cfRule>
  </conditionalFormatting>
  <conditionalFormatting sqref="E45:P54">
    <cfRule type="containsBlanks" dxfId="1" priority="10">
      <formula>LEN(TRIM(E45))=0</formula>
    </cfRule>
  </conditionalFormatting>
  <conditionalFormatting sqref="E57:P66">
    <cfRule type="containsBlanks" dxfId="1" priority="11">
      <formula>LEN(TRIM(E57))=0</formula>
    </cfRule>
  </conditionalFormatting>
  <conditionalFormatting sqref="E69:P78">
    <cfRule type="containsBlanks" dxfId="1" priority="12">
      <formula>LEN(TRIM(E69))=0</formula>
    </cfRule>
  </conditionalFormatting>
  <conditionalFormatting sqref="E81:P90">
    <cfRule type="containsBlanks" dxfId="1" priority="13">
      <formula>LEN(TRIM(E81))=0</formula>
    </cfRule>
  </conditionalFormatting>
  <conditionalFormatting sqref="E93:P102">
    <cfRule type="containsBlanks" dxfId="1" priority="14">
      <formula>LEN(TRIM(E93))=0</formula>
    </cfRule>
  </conditionalFormatting>
  <conditionalFormatting sqref="E105:P114">
    <cfRule type="containsBlanks" dxfId="1" priority="15">
      <formula>LEN(TRIM(E105))=0</formula>
    </cfRule>
  </conditionalFormatting>
  <conditionalFormatting sqref="E117:P126">
    <cfRule type="containsBlanks" dxfId="1" priority="16">
      <formula>LEN(TRIM(E117))=0</formula>
    </cfRule>
  </conditionalFormatting>
  <conditionalFormatting sqref="E129:P138">
    <cfRule type="containsBlanks" dxfId="1" priority="17">
      <formula>LEN(TRIM(E129))=0</formula>
    </cfRule>
  </conditionalFormatting>
  <conditionalFormatting sqref="E141:P150">
    <cfRule type="containsBlanks" dxfId="1" priority="18">
      <formula>LEN(TRIM(E141))=0</formula>
    </cfRule>
  </conditionalFormatting>
  <conditionalFormatting sqref="E153:P162">
    <cfRule type="containsBlanks" dxfId="1" priority="19">
      <formula>LEN(TRIM(E153))=0</formula>
    </cfRule>
  </conditionalFormatting>
  <conditionalFormatting sqref="E165:P174">
    <cfRule type="containsBlanks" dxfId="1" priority="20">
      <formula>LEN(TRIM(E165))=0</formula>
    </cfRule>
  </conditionalFormatting>
  <conditionalFormatting sqref="E177:P186">
    <cfRule type="containsBlanks" dxfId="1" priority="21">
      <formula>LEN(TRIM(E177))=0</formula>
    </cfRule>
  </conditionalFormatting>
  <conditionalFormatting sqref="E189:P198">
    <cfRule type="containsBlanks" dxfId="1" priority="22">
      <formula>LEN(TRIM(E189))=0</formula>
    </cfRule>
  </conditionalFormatting>
  <conditionalFormatting sqref="E201:P210">
    <cfRule type="containsBlanks" dxfId="1" priority="23">
      <formula>LEN(TRIM(E201))=0</formula>
    </cfRule>
  </conditionalFormatting>
  <conditionalFormatting sqref="E213:P222">
    <cfRule type="containsBlanks" dxfId="1" priority="24">
      <formula>LEN(TRIM(E213))=0</formula>
    </cfRule>
  </conditionalFormatting>
  <conditionalFormatting sqref="E225:P234">
    <cfRule type="containsBlanks" dxfId="1" priority="25">
      <formula>LEN(TRIM(E225))=0</formula>
    </cfRule>
  </conditionalFormatting>
  <conditionalFormatting sqref="E237:P246">
    <cfRule type="containsBlanks" dxfId="1" priority="26">
      <formula>LEN(TRIM(E237))=0</formula>
    </cfRule>
  </conditionalFormatting>
  <conditionalFormatting sqref="E249:P259">
    <cfRule type="containsBlanks" dxfId="1" priority="27">
      <formula>LEN(TRIM(E249))=0</formula>
    </cfRule>
  </conditionalFormatting>
  <conditionalFormatting sqref="E262:P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17" width="8.71"/>
  </cols>
  <sheetData>
    <row r="1" ht="12.75" customHeight="1"/>
    <row r="2" ht="12.75" customHeight="1">
      <c r="C2" s="8" t="s">
        <v>0</v>
      </c>
      <c r="D2" s="8"/>
    </row>
    <row r="3" ht="12.75" customHeight="1">
      <c r="C3" s="8" t="s">
        <v>1</v>
      </c>
      <c r="D3" s="8" t="s">
        <v>2</v>
      </c>
    </row>
    <row r="4" ht="12.75" customHeight="1">
      <c r="C4" s="8" t="s">
        <v>3</v>
      </c>
      <c r="D4" s="8" t="s">
        <v>4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197</v>
      </c>
      <c r="D9" s="8"/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5</v>
      </c>
      <c r="B12" s="14" t="s">
        <v>6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78" t="s">
        <v>7</v>
      </c>
    </row>
    <row r="13" ht="12.75" customHeight="1">
      <c r="A13" s="19" t="s">
        <v>8</v>
      </c>
      <c r="B13" s="20" t="s">
        <v>9</v>
      </c>
      <c r="C13" s="15"/>
      <c r="D13" s="16"/>
      <c r="E13" s="13" t="s">
        <v>198</v>
      </c>
      <c r="F13" s="13" t="s">
        <v>199</v>
      </c>
      <c r="G13" s="13" t="s">
        <v>200</v>
      </c>
      <c r="H13" s="13" t="s">
        <v>201</v>
      </c>
      <c r="I13" s="13" t="s">
        <v>202</v>
      </c>
      <c r="J13" s="13" t="s">
        <v>203</v>
      </c>
      <c r="K13" s="13" t="s">
        <v>204</v>
      </c>
      <c r="L13" s="13" t="s">
        <v>205</v>
      </c>
      <c r="M13" s="13" t="s">
        <v>206</v>
      </c>
      <c r="N13" s="13" t="s">
        <v>207</v>
      </c>
      <c r="O13" s="37"/>
    </row>
    <row r="14" ht="12.75" customHeight="1">
      <c r="A14" s="18"/>
      <c r="B14" s="22" t="s">
        <v>10</v>
      </c>
      <c r="C14" s="23"/>
      <c r="D14" s="19" t="s">
        <v>11</v>
      </c>
      <c r="E14" s="79">
        <v>135.0</v>
      </c>
      <c r="F14" s="79">
        <v>147.0</v>
      </c>
      <c r="G14" s="79">
        <v>136.0</v>
      </c>
      <c r="H14" s="79">
        <v>128.0</v>
      </c>
      <c r="I14" s="79">
        <v>133.0</v>
      </c>
      <c r="J14" s="79">
        <v>133.0</v>
      </c>
      <c r="K14" s="79">
        <v>150.0</v>
      </c>
      <c r="L14" s="79">
        <v>144.0</v>
      </c>
      <c r="M14" s="79">
        <v>152.0</v>
      </c>
      <c r="N14" s="79">
        <v>140.0</v>
      </c>
      <c r="O14" s="13">
        <f t="shared" ref="O14:O16" si="1">SUM(E14:N14)</f>
        <v>1398</v>
      </c>
    </row>
    <row r="15" ht="12.75" customHeight="1">
      <c r="A15" s="18"/>
      <c r="B15" s="26"/>
      <c r="C15" s="27"/>
      <c r="D15" s="19" t="s">
        <v>12</v>
      </c>
      <c r="E15" s="79">
        <v>143.0</v>
      </c>
      <c r="F15" s="79">
        <v>138.0</v>
      </c>
      <c r="G15" s="79">
        <v>141.0</v>
      </c>
      <c r="H15" s="79">
        <v>127.0</v>
      </c>
      <c r="I15" s="79">
        <v>138.0</v>
      </c>
      <c r="J15" s="79">
        <v>150.0</v>
      </c>
      <c r="K15" s="79">
        <v>135.0</v>
      </c>
      <c r="L15" s="79">
        <v>138.0</v>
      </c>
      <c r="M15" s="79">
        <v>145.0</v>
      </c>
      <c r="N15" s="79">
        <v>126.0</v>
      </c>
      <c r="O15" s="13">
        <f t="shared" si="1"/>
        <v>1381</v>
      </c>
    </row>
    <row r="16" ht="12.75" customHeight="1">
      <c r="A16" s="25"/>
      <c r="B16" s="21"/>
      <c r="C16" s="28"/>
      <c r="D16" s="13" t="s">
        <v>13</v>
      </c>
      <c r="E16" s="13">
        <f t="shared" ref="E16:N16" si="2">SUM(E14:E15)</f>
        <v>278</v>
      </c>
      <c r="F16" s="13">
        <f t="shared" si="2"/>
        <v>285</v>
      </c>
      <c r="G16" s="13">
        <f t="shared" si="2"/>
        <v>277</v>
      </c>
      <c r="H16" s="13">
        <f t="shared" si="2"/>
        <v>255</v>
      </c>
      <c r="I16" s="13">
        <f t="shared" si="2"/>
        <v>271</v>
      </c>
      <c r="J16" s="13">
        <f t="shared" si="2"/>
        <v>283</v>
      </c>
      <c r="K16" s="13">
        <f t="shared" si="2"/>
        <v>285</v>
      </c>
      <c r="L16" s="13">
        <f t="shared" si="2"/>
        <v>282</v>
      </c>
      <c r="M16" s="13">
        <f t="shared" si="2"/>
        <v>297</v>
      </c>
      <c r="N16" s="13">
        <f t="shared" si="2"/>
        <v>266</v>
      </c>
      <c r="O16" s="13">
        <f t="shared" si="1"/>
        <v>2779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80"/>
      <c r="O17" s="81"/>
    </row>
    <row r="18" ht="12.75" customHeight="1">
      <c r="A18" s="31" t="s">
        <v>14</v>
      </c>
      <c r="B18" s="20" t="s">
        <v>15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80"/>
      <c r="O18" s="81"/>
    </row>
    <row r="19" ht="12.75" customHeight="1">
      <c r="A19" s="31"/>
      <c r="B19" s="32" t="s">
        <v>16</v>
      </c>
      <c r="C19" s="33" t="s">
        <v>17</v>
      </c>
      <c r="D19" s="19" t="s">
        <v>11</v>
      </c>
      <c r="E19" s="79">
        <v>97.0</v>
      </c>
      <c r="F19" s="79">
        <v>103.0</v>
      </c>
      <c r="G19" s="79">
        <v>85.0</v>
      </c>
      <c r="H19" s="79">
        <v>93.0</v>
      </c>
      <c r="I19" s="79">
        <v>101.0</v>
      </c>
      <c r="J19" s="79">
        <v>99.0</v>
      </c>
      <c r="K19" s="79">
        <v>109.0</v>
      </c>
      <c r="L19" s="79">
        <v>93.0</v>
      </c>
      <c r="M19" s="79">
        <v>115.0</v>
      </c>
      <c r="N19" s="79">
        <v>91.0</v>
      </c>
      <c r="O19" s="13">
        <f t="shared" ref="O19:O30" si="3">SUM(E19:N19)</f>
        <v>986</v>
      </c>
    </row>
    <row r="20" ht="12.75" customHeight="1">
      <c r="A20" s="34"/>
      <c r="B20" s="27"/>
      <c r="C20" s="35"/>
      <c r="D20" s="19" t="s">
        <v>12</v>
      </c>
      <c r="E20" s="79">
        <v>105.0</v>
      </c>
      <c r="F20" s="79">
        <v>103.0</v>
      </c>
      <c r="G20" s="79">
        <v>104.0</v>
      </c>
      <c r="H20" s="79">
        <v>98.0</v>
      </c>
      <c r="I20" s="79">
        <v>104.0</v>
      </c>
      <c r="J20" s="79">
        <v>113.0</v>
      </c>
      <c r="K20" s="79">
        <v>108.0</v>
      </c>
      <c r="L20" s="79">
        <v>106.0</v>
      </c>
      <c r="M20" s="79">
        <v>120.0</v>
      </c>
      <c r="N20" s="79">
        <v>108.0</v>
      </c>
      <c r="O20" s="13">
        <f t="shared" si="3"/>
        <v>1069</v>
      </c>
    </row>
    <row r="21" ht="12.75" customHeight="1">
      <c r="A21" s="36"/>
      <c r="B21" s="28"/>
      <c r="C21" s="37"/>
      <c r="D21" s="13" t="s">
        <v>13</v>
      </c>
      <c r="E21" s="13">
        <f t="shared" ref="E21:N21" si="4">SUM(E19:E20)</f>
        <v>202</v>
      </c>
      <c r="F21" s="13">
        <f t="shared" si="4"/>
        <v>206</v>
      </c>
      <c r="G21" s="13">
        <f t="shared" si="4"/>
        <v>189</v>
      </c>
      <c r="H21" s="13">
        <f t="shared" si="4"/>
        <v>191</v>
      </c>
      <c r="I21" s="13">
        <f t="shared" si="4"/>
        <v>205</v>
      </c>
      <c r="J21" s="13">
        <f t="shared" si="4"/>
        <v>212</v>
      </c>
      <c r="K21" s="13">
        <f t="shared" si="4"/>
        <v>217</v>
      </c>
      <c r="L21" s="13">
        <f t="shared" si="4"/>
        <v>199</v>
      </c>
      <c r="M21" s="13">
        <f t="shared" si="4"/>
        <v>235</v>
      </c>
      <c r="N21" s="13">
        <f t="shared" si="4"/>
        <v>199</v>
      </c>
      <c r="O21" s="13">
        <f t="shared" si="3"/>
        <v>2055</v>
      </c>
    </row>
    <row r="22" ht="12.75" customHeight="1">
      <c r="A22" s="34"/>
      <c r="B22" s="32" t="s">
        <v>18</v>
      </c>
      <c r="C22" s="33" t="s">
        <v>19</v>
      </c>
      <c r="D22" s="19" t="s">
        <v>11</v>
      </c>
      <c r="E22" s="79">
        <v>0.0</v>
      </c>
      <c r="F22" s="79">
        <v>0.0</v>
      </c>
      <c r="G22" s="79">
        <v>0.0</v>
      </c>
      <c r="H22" s="79">
        <v>0.0</v>
      </c>
      <c r="I22" s="79">
        <v>1.0</v>
      </c>
      <c r="J22" s="79">
        <v>0.0</v>
      </c>
      <c r="K22" s="79">
        <v>0.0</v>
      </c>
      <c r="L22" s="79">
        <v>0.0</v>
      </c>
      <c r="M22" s="79">
        <v>0.0</v>
      </c>
      <c r="N22" s="79">
        <v>0.0</v>
      </c>
      <c r="O22" s="13">
        <f t="shared" si="3"/>
        <v>1</v>
      </c>
    </row>
    <row r="23" ht="12.75" customHeight="1">
      <c r="A23" s="34"/>
      <c r="B23" s="27"/>
      <c r="C23" s="35"/>
      <c r="D23" s="19" t="s">
        <v>12</v>
      </c>
      <c r="E23" s="79">
        <v>0.0</v>
      </c>
      <c r="F23" s="79">
        <v>0.0</v>
      </c>
      <c r="G23" s="79">
        <v>0.0</v>
      </c>
      <c r="H23" s="79">
        <v>0.0</v>
      </c>
      <c r="I23" s="79">
        <v>0.0</v>
      </c>
      <c r="J23" s="79">
        <v>0.0</v>
      </c>
      <c r="K23" s="79">
        <v>0.0</v>
      </c>
      <c r="L23" s="79">
        <v>0.0</v>
      </c>
      <c r="M23" s="79">
        <v>0.0</v>
      </c>
      <c r="N23" s="79">
        <v>0.0</v>
      </c>
      <c r="O23" s="13">
        <f t="shared" si="3"/>
        <v>0</v>
      </c>
    </row>
    <row r="24" ht="12.75" customHeight="1">
      <c r="A24" s="36"/>
      <c r="B24" s="28"/>
      <c r="C24" s="37"/>
      <c r="D24" s="13" t="s">
        <v>13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1</v>
      </c>
    </row>
    <row r="25" ht="12.75" customHeight="1">
      <c r="A25" s="34"/>
      <c r="B25" s="32" t="s">
        <v>20</v>
      </c>
      <c r="C25" s="33" t="s">
        <v>21</v>
      </c>
      <c r="D25" s="19" t="s">
        <v>11</v>
      </c>
      <c r="E25" s="79">
        <v>0.0</v>
      </c>
      <c r="F25" s="79">
        <v>2.0</v>
      </c>
      <c r="G25" s="79">
        <v>0.0</v>
      </c>
      <c r="H25" s="79">
        <v>1.0</v>
      </c>
      <c r="I25" s="79">
        <v>0.0</v>
      </c>
      <c r="J25" s="79">
        <v>0.0</v>
      </c>
      <c r="K25" s="79">
        <v>0.0</v>
      </c>
      <c r="L25" s="79">
        <v>0.0</v>
      </c>
      <c r="M25" s="79">
        <v>1.0</v>
      </c>
      <c r="N25" s="79">
        <v>1.0</v>
      </c>
      <c r="O25" s="13">
        <f t="shared" si="3"/>
        <v>5</v>
      </c>
    </row>
    <row r="26" ht="12.75" customHeight="1">
      <c r="A26" s="34"/>
      <c r="B26" s="27"/>
      <c r="C26" s="35"/>
      <c r="D26" s="19" t="s">
        <v>12</v>
      </c>
      <c r="E26" s="79">
        <v>1.0</v>
      </c>
      <c r="F26" s="79">
        <v>1.0</v>
      </c>
      <c r="G26" s="79">
        <v>0.0</v>
      </c>
      <c r="H26" s="79">
        <v>2.0</v>
      </c>
      <c r="I26" s="79">
        <v>0.0</v>
      </c>
      <c r="J26" s="79">
        <v>0.0</v>
      </c>
      <c r="K26" s="79">
        <v>1.0</v>
      </c>
      <c r="L26" s="79">
        <v>0.0</v>
      </c>
      <c r="M26" s="79">
        <v>1.0</v>
      </c>
      <c r="N26" s="79">
        <v>1.0</v>
      </c>
      <c r="O26" s="13">
        <f t="shared" si="3"/>
        <v>7</v>
      </c>
    </row>
    <row r="27" ht="12.75" customHeight="1">
      <c r="A27" s="36"/>
      <c r="B27" s="28"/>
      <c r="C27" s="37"/>
      <c r="D27" s="13" t="s">
        <v>13</v>
      </c>
      <c r="E27" s="13">
        <f t="shared" ref="E27:N27" si="6">SUM(E25:E26)</f>
        <v>1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6"/>
        <v>2</v>
      </c>
      <c r="N27" s="13">
        <f t="shared" si="6"/>
        <v>2</v>
      </c>
      <c r="O27" s="13">
        <f t="shared" si="3"/>
        <v>12</v>
      </c>
    </row>
    <row r="28" ht="12.75" customHeight="1">
      <c r="A28" s="36"/>
      <c r="B28" s="40" t="s">
        <v>22</v>
      </c>
      <c r="C28" s="41" t="s">
        <v>23</v>
      </c>
      <c r="D28" s="13" t="s">
        <v>11</v>
      </c>
      <c r="E28" s="13">
        <f t="shared" ref="E28:N28" si="7">SUM(E19,E22,E25)</f>
        <v>97</v>
      </c>
      <c r="F28" s="13">
        <f t="shared" si="7"/>
        <v>105</v>
      </c>
      <c r="G28" s="13">
        <f t="shared" si="7"/>
        <v>85</v>
      </c>
      <c r="H28" s="13">
        <f t="shared" si="7"/>
        <v>94</v>
      </c>
      <c r="I28" s="13">
        <f t="shared" si="7"/>
        <v>102</v>
      </c>
      <c r="J28" s="13">
        <f t="shared" si="7"/>
        <v>99</v>
      </c>
      <c r="K28" s="13">
        <f t="shared" si="7"/>
        <v>109</v>
      </c>
      <c r="L28" s="13">
        <f t="shared" si="7"/>
        <v>93</v>
      </c>
      <c r="M28" s="13">
        <f t="shared" si="7"/>
        <v>116</v>
      </c>
      <c r="N28" s="13">
        <f t="shared" si="7"/>
        <v>92</v>
      </c>
      <c r="O28" s="13">
        <f t="shared" si="3"/>
        <v>992</v>
      </c>
    </row>
    <row r="29" ht="12.75" customHeight="1">
      <c r="A29" s="36"/>
      <c r="B29" s="27"/>
      <c r="C29" s="35"/>
      <c r="D29" s="13" t="s">
        <v>12</v>
      </c>
      <c r="E29" s="13">
        <f t="shared" ref="E29:N29" si="8">SUM(E20,E23,E26)</f>
        <v>106</v>
      </c>
      <c r="F29" s="13">
        <f t="shared" si="8"/>
        <v>104</v>
      </c>
      <c r="G29" s="13">
        <f t="shared" si="8"/>
        <v>104</v>
      </c>
      <c r="H29" s="13">
        <f t="shared" si="8"/>
        <v>100</v>
      </c>
      <c r="I29" s="13">
        <f t="shared" si="8"/>
        <v>104</v>
      </c>
      <c r="J29" s="13">
        <f t="shared" si="8"/>
        <v>113</v>
      </c>
      <c r="K29" s="13">
        <f t="shared" si="8"/>
        <v>109</v>
      </c>
      <c r="L29" s="13">
        <f t="shared" si="8"/>
        <v>106</v>
      </c>
      <c r="M29" s="13">
        <f t="shared" si="8"/>
        <v>121</v>
      </c>
      <c r="N29" s="13">
        <f t="shared" si="8"/>
        <v>109</v>
      </c>
      <c r="O29" s="13">
        <f t="shared" si="3"/>
        <v>1076</v>
      </c>
    </row>
    <row r="30" ht="12.75" customHeight="1">
      <c r="A30" s="36"/>
      <c r="B30" s="28"/>
      <c r="C30" s="37"/>
      <c r="D30" s="13" t="s">
        <v>13</v>
      </c>
      <c r="E30" s="13">
        <f t="shared" ref="E30:N30" si="9">SUM(E28:E29)</f>
        <v>203</v>
      </c>
      <c r="F30" s="13">
        <f t="shared" si="9"/>
        <v>209</v>
      </c>
      <c r="G30" s="13">
        <f t="shared" si="9"/>
        <v>189</v>
      </c>
      <c r="H30" s="13">
        <f t="shared" si="9"/>
        <v>194</v>
      </c>
      <c r="I30" s="13">
        <f t="shared" si="9"/>
        <v>206</v>
      </c>
      <c r="J30" s="13">
        <f t="shared" si="9"/>
        <v>212</v>
      </c>
      <c r="K30" s="13">
        <f t="shared" si="9"/>
        <v>218</v>
      </c>
      <c r="L30" s="13">
        <f t="shared" si="9"/>
        <v>199</v>
      </c>
      <c r="M30" s="13">
        <f t="shared" si="9"/>
        <v>237</v>
      </c>
      <c r="N30" s="13">
        <f t="shared" si="9"/>
        <v>201</v>
      </c>
      <c r="O30" s="13">
        <f t="shared" si="3"/>
        <v>2068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80"/>
      <c r="O31" s="81"/>
    </row>
    <row r="32" ht="12.75" customHeight="1">
      <c r="A32" s="44" t="s">
        <v>24</v>
      </c>
      <c r="B32" s="14" t="s">
        <v>25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82"/>
      <c r="O32" s="81"/>
    </row>
    <row r="33" ht="12.75" customHeight="1">
      <c r="A33" s="19">
        <v>1.0</v>
      </c>
      <c r="B33" s="20" t="s">
        <v>26</v>
      </c>
      <c r="C33" s="15"/>
      <c r="D33" s="16"/>
      <c r="E33" s="79">
        <v>281.0</v>
      </c>
      <c r="F33" s="79">
        <v>288.0</v>
      </c>
      <c r="G33" s="79">
        <v>280.0</v>
      </c>
      <c r="H33" s="79">
        <v>258.0</v>
      </c>
      <c r="I33" s="79">
        <v>276.0</v>
      </c>
      <c r="J33" s="79">
        <v>286.0</v>
      </c>
      <c r="K33" s="79">
        <v>289.0</v>
      </c>
      <c r="L33" s="79">
        <v>285.0</v>
      </c>
      <c r="M33" s="79">
        <v>300.0</v>
      </c>
      <c r="N33" s="79">
        <v>269.0</v>
      </c>
      <c r="O33" s="13">
        <f t="shared" ref="O33:O36" si="10">SUM(E33:N33)</f>
        <v>2812</v>
      </c>
    </row>
    <row r="34" ht="12.75" customHeight="1">
      <c r="A34" s="19">
        <v>2.0</v>
      </c>
      <c r="B34" s="20" t="s">
        <v>27</v>
      </c>
      <c r="C34" s="15"/>
      <c r="D34" s="16"/>
      <c r="E34" s="73">
        <v>203.0</v>
      </c>
      <c r="F34" s="73">
        <v>209.0</v>
      </c>
      <c r="G34" s="73">
        <v>189.0</v>
      </c>
      <c r="H34" s="73">
        <v>194.0</v>
      </c>
      <c r="I34" s="73">
        <v>206.0</v>
      </c>
      <c r="J34" s="73">
        <v>212.0</v>
      </c>
      <c r="K34" s="73">
        <v>218.0</v>
      </c>
      <c r="L34" s="73">
        <v>199.0</v>
      </c>
      <c r="M34" s="73">
        <v>237.0</v>
      </c>
      <c r="N34" s="73">
        <v>201.0</v>
      </c>
      <c r="O34" s="13">
        <f t="shared" si="10"/>
        <v>2068</v>
      </c>
    </row>
    <row r="35" ht="12.75" customHeight="1">
      <c r="A35" s="19">
        <v>3.0</v>
      </c>
      <c r="B35" s="20" t="s">
        <v>28</v>
      </c>
      <c r="C35" s="15"/>
      <c r="D35" s="16"/>
      <c r="E35" s="79">
        <v>0.0</v>
      </c>
      <c r="F35" s="79">
        <v>0.0</v>
      </c>
      <c r="G35" s="79">
        <v>0.0</v>
      </c>
      <c r="H35" s="79">
        <v>1.0</v>
      </c>
      <c r="I35" s="79">
        <v>0.0</v>
      </c>
      <c r="J35" s="79">
        <v>0.0</v>
      </c>
      <c r="K35" s="79">
        <v>0.0</v>
      </c>
      <c r="L35" s="79">
        <v>0.0</v>
      </c>
      <c r="M35" s="79">
        <v>0.0</v>
      </c>
      <c r="N35" s="79">
        <v>1.0</v>
      </c>
      <c r="O35" s="13">
        <f t="shared" si="10"/>
        <v>2</v>
      </c>
    </row>
    <row r="36" ht="12.75" customHeight="1">
      <c r="A36" s="19">
        <v>4.0</v>
      </c>
      <c r="B36" s="20" t="s">
        <v>29</v>
      </c>
      <c r="C36" s="15"/>
      <c r="D36" s="16"/>
      <c r="E36" s="13">
        <f t="shared" ref="E36:N36" si="11">E33-(E34+E35)</f>
        <v>78</v>
      </c>
      <c r="F36" s="13">
        <f t="shared" si="11"/>
        <v>79</v>
      </c>
      <c r="G36" s="13">
        <f t="shared" si="11"/>
        <v>91</v>
      </c>
      <c r="H36" s="13">
        <f t="shared" si="11"/>
        <v>63</v>
      </c>
      <c r="I36" s="13">
        <f t="shared" si="11"/>
        <v>70</v>
      </c>
      <c r="J36" s="13">
        <f t="shared" si="11"/>
        <v>74</v>
      </c>
      <c r="K36" s="13">
        <f t="shared" si="11"/>
        <v>71</v>
      </c>
      <c r="L36" s="13">
        <f t="shared" si="11"/>
        <v>86</v>
      </c>
      <c r="M36" s="13">
        <f t="shared" si="11"/>
        <v>63</v>
      </c>
      <c r="N36" s="13">
        <f t="shared" si="11"/>
        <v>67</v>
      </c>
      <c r="O36" s="13">
        <f t="shared" si="10"/>
        <v>742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80"/>
      <c r="O37" s="81"/>
    </row>
    <row r="38" ht="12.75" customHeight="1">
      <c r="A38" s="45" t="s">
        <v>30</v>
      </c>
      <c r="B38" s="14" t="s">
        <v>31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82"/>
      <c r="O38" s="81"/>
    </row>
    <row r="39" ht="12.75" customHeight="1">
      <c r="A39" s="31"/>
      <c r="B39" s="46" t="s">
        <v>32</v>
      </c>
      <c r="C39" s="23"/>
      <c r="D39" s="19" t="s">
        <v>11</v>
      </c>
      <c r="E39" s="79">
        <v>0.0</v>
      </c>
      <c r="F39" s="79">
        <v>0.0</v>
      </c>
      <c r="G39" s="79">
        <v>0.0</v>
      </c>
      <c r="H39" s="79">
        <v>1.0</v>
      </c>
      <c r="I39" s="79">
        <v>0.0</v>
      </c>
      <c r="J39" s="79">
        <v>0.0</v>
      </c>
      <c r="K39" s="79">
        <v>0.0</v>
      </c>
      <c r="L39" s="79">
        <v>0.0</v>
      </c>
      <c r="M39" s="79">
        <v>0.0</v>
      </c>
      <c r="N39" s="79">
        <v>0.0</v>
      </c>
      <c r="O39" s="13">
        <f t="shared" ref="O39:O41" si="12">SUM(E39:N39)</f>
        <v>1</v>
      </c>
    </row>
    <row r="40" ht="12.75" customHeight="1">
      <c r="A40" s="34"/>
      <c r="C40" s="27"/>
      <c r="D40" s="19" t="s">
        <v>12</v>
      </c>
      <c r="E40" s="79">
        <v>0.0</v>
      </c>
      <c r="F40" s="79">
        <v>1.0</v>
      </c>
      <c r="G40" s="79">
        <v>0.0</v>
      </c>
      <c r="H40" s="79">
        <v>0.0</v>
      </c>
      <c r="I40" s="79">
        <v>0.0</v>
      </c>
      <c r="J40" s="79">
        <v>0.0</v>
      </c>
      <c r="K40" s="79">
        <v>0.0</v>
      </c>
      <c r="L40" s="79">
        <v>0.0</v>
      </c>
      <c r="M40" s="79">
        <v>0.0</v>
      </c>
      <c r="N40" s="79">
        <v>1.0</v>
      </c>
      <c r="O40" s="13">
        <f t="shared" si="12"/>
        <v>2</v>
      </c>
    </row>
    <row r="41" ht="12.75" customHeight="1">
      <c r="A41" s="44"/>
      <c r="B41" s="47"/>
      <c r="C41" s="28"/>
      <c r="D41" s="13" t="s">
        <v>13</v>
      </c>
      <c r="E41" s="13">
        <f t="shared" ref="E41:N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2"/>
        <v>3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80"/>
      <c r="O42" s="13"/>
    </row>
    <row r="43" ht="12.75" customHeight="1">
      <c r="A43" s="45" t="s">
        <v>33</v>
      </c>
      <c r="B43" s="14" t="s">
        <v>34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82"/>
      <c r="O43" s="13"/>
    </row>
    <row r="44" ht="12.75" customHeight="1">
      <c r="A44" s="46" t="s">
        <v>35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80"/>
      <c r="O44" s="13"/>
    </row>
    <row r="45" ht="12.75" customHeight="1">
      <c r="A45" s="31" t="s">
        <v>36</v>
      </c>
      <c r="B45" s="50" t="s">
        <v>16</v>
      </c>
      <c r="C45" s="51" t="s">
        <v>37</v>
      </c>
      <c r="D45" s="16"/>
      <c r="E45" s="79">
        <v>12.0</v>
      </c>
      <c r="F45" s="79">
        <v>9.0</v>
      </c>
      <c r="G45" s="79">
        <v>11.0</v>
      </c>
      <c r="H45" s="79">
        <v>10.0</v>
      </c>
      <c r="I45" s="79">
        <v>10.0</v>
      </c>
      <c r="J45" s="79">
        <v>3.0</v>
      </c>
      <c r="K45" s="79">
        <v>8.0</v>
      </c>
      <c r="L45" s="79">
        <v>9.0</v>
      </c>
      <c r="M45" s="79">
        <v>14.0</v>
      </c>
      <c r="N45" s="79">
        <v>12.0</v>
      </c>
      <c r="O45" s="13">
        <f t="shared" ref="O45:O55" si="14">SUM(E45:N45)</f>
        <v>98</v>
      </c>
    </row>
    <row r="46" ht="12.75" customHeight="1">
      <c r="A46" s="31" t="s">
        <v>38</v>
      </c>
      <c r="B46" s="52"/>
      <c r="C46" s="53" t="s">
        <v>39</v>
      </c>
      <c r="D46" s="53"/>
      <c r="E46" s="79">
        <v>13.0</v>
      </c>
      <c r="F46" s="79">
        <v>19.0</v>
      </c>
      <c r="G46" s="79">
        <v>13.0</v>
      </c>
      <c r="H46" s="79">
        <v>20.0</v>
      </c>
      <c r="I46" s="79">
        <v>18.0</v>
      </c>
      <c r="J46" s="79">
        <v>4.0</v>
      </c>
      <c r="K46" s="79">
        <v>5.0</v>
      </c>
      <c r="L46" s="79">
        <v>23.0</v>
      </c>
      <c r="M46" s="79">
        <v>32.0</v>
      </c>
      <c r="N46" s="79">
        <v>33.0</v>
      </c>
      <c r="O46" s="13">
        <f t="shared" si="14"/>
        <v>180</v>
      </c>
    </row>
    <row r="47" ht="12.75" customHeight="1">
      <c r="A47" s="18"/>
      <c r="B47" s="58"/>
      <c r="C47" s="53" t="s">
        <v>40</v>
      </c>
      <c r="D47" s="53"/>
      <c r="E47" s="79">
        <v>3.0</v>
      </c>
      <c r="F47" s="79">
        <v>1.0</v>
      </c>
      <c r="G47" s="79">
        <v>2.0</v>
      </c>
      <c r="H47" s="79">
        <v>1.0</v>
      </c>
      <c r="I47" s="79">
        <v>2.0</v>
      </c>
      <c r="J47" s="79">
        <v>0.0</v>
      </c>
      <c r="K47" s="79">
        <v>0.0</v>
      </c>
      <c r="L47" s="79">
        <v>1.0</v>
      </c>
      <c r="M47" s="79">
        <v>3.0</v>
      </c>
      <c r="N47" s="79">
        <v>3.0</v>
      </c>
      <c r="O47" s="13">
        <f t="shared" si="14"/>
        <v>16</v>
      </c>
    </row>
    <row r="48" ht="12.75" customHeight="1">
      <c r="A48" s="18"/>
      <c r="B48" s="58"/>
      <c r="C48" s="53" t="s">
        <v>41</v>
      </c>
      <c r="D48" s="53"/>
      <c r="E48" s="79">
        <v>0.0</v>
      </c>
      <c r="F48" s="79">
        <v>0.0</v>
      </c>
      <c r="G48" s="79">
        <v>0.0</v>
      </c>
      <c r="H48" s="79">
        <v>2.0</v>
      </c>
      <c r="I48" s="79">
        <v>1.0</v>
      </c>
      <c r="J48" s="79">
        <v>0.0</v>
      </c>
      <c r="K48" s="79">
        <v>1.0</v>
      </c>
      <c r="L48" s="79">
        <v>0.0</v>
      </c>
      <c r="M48" s="79">
        <v>1.0</v>
      </c>
      <c r="N48" s="79">
        <v>1.0</v>
      </c>
      <c r="O48" s="13">
        <f t="shared" si="14"/>
        <v>6</v>
      </c>
    </row>
    <row r="49" ht="12.75" customHeight="1">
      <c r="A49" s="18"/>
      <c r="B49" s="58"/>
      <c r="C49" s="53" t="s">
        <v>42</v>
      </c>
      <c r="D49" s="53"/>
      <c r="E49" s="79">
        <v>0.0</v>
      </c>
      <c r="F49" s="79">
        <v>1.0</v>
      </c>
      <c r="G49" s="79">
        <v>1.0</v>
      </c>
      <c r="H49" s="79">
        <v>0.0</v>
      </c>
      <c r="I49" s="79">
        <v>0.0</v>
      </c>
      <c r="J49" s="79">
        <v>0.0</v>
      </c>
      <c r="K49" s="79">
        <v>3.0</v>
      </c>
      <c r="L49" s="79">
        <v>0.0</v>
      </c>
      <c r="M49" s="79">
        <v>2.0</v>
      </c>
      <c r="N49" s="79">
        <v>0.0</v>
      </c>
      <c r="O49" s="13">
        <f t="shared" si="14"/>
        <v>7</v>
      </c>
    </row>
    <row r="50" ht="12.75" customHeight="1">
      <c r="A50" s="18"/>
      <c r="B50" s="58"/>
      <c r="C50" s="53" t="s">
        <v>43</v>
      </c>
      <c r="D50" s="53"/>
      <c r="E50" s="79">
        <v>0.0</v>
      </c>
      <c r="F50" s="79">
        <v>0.0</v>
      </c>
      <c r="G50" s="79">
        <v>0.0</v>
      </c>
      <c r="H50" s="79">
        <v>0.0</v>
      </c>
      <c r="I50" s="79">
        <v>0.0</v>
      </c>
      <c r="J50" s="79">
        <v>0.0</v>
      </c>
      <c r="K50" s="79">
        <v>2.0</v>
      </c>
      <c r="L50" s="79">
        <v>0.0</v>
      </c>
      <c r="M50" s="79">
        <v>2.0</v>
      </c>
      <c r="N50" s="79">
        <v>2.0</v>
      </c>
      <c r="O50" s="13">
        <f t="shared" si="14"/>
        <v>6</v>
      </c>
    </row>
    <row r="51" ht="12.75" customHeight="1">
      <c r="A51" s="18"/>
      <c r="B51" s="58"/>
      <c r="C51" s="53" t="s">
        <v>44</v>
      </c>
      <c r="D51" s="53"/>
      <c r="E51" s="79">
        <v>0.0</v>
      </c>
      <c r="F51" s="79">
        <v>0.0</v>
      </c>
      <c r="G51" s="79">
        <v>0.0</v>
      </c>
      <c r="H51" s="79">
        <v>0.0</v>
      </c>
      <c r="I51" s="79">
        <v>0.0</v>
      </c>
      <c r="J51" s="79">
        <v>1.0</v>
      </c>
      <c r="K51" s="79">
        <v>0.0</v>
      </c>
      <c r="L51" s="79">
        <v>0.0</v>
      </c>
      <c r="M51" s="79">
        <v>0.0</v>
      </c>
      <c r="N51" s="79">
        <v>0.0</v>
      </c>
      <c r="O51" s="13">
        <f t="shared" si="14"/>
        <v>1</v>
      </c>
    </row>
    <row r="52" ht="12.75" customHeight="1">
      <c r="A52" s="18"/>
      <c r="B52" s="58"/>
      <c r="C52" s="53" t="s">
        <v>45</v>
      </c>
      <c r="D52" s="53"/>
      <c r="E52" s="79">
        <v>1.0</v>
      </c>
      <c r="F52" s="79">
        <v>1.0</v>
      </c>
      <c r="G52" s="79">
        <v>0.0</v>
      </c>
      <c r="H52" s="79">
        <v>0.0</v>
      </c>
      <c r="I52" s="79">
        <v>0.0</v>
      </c>
      <c r="J52" s="79">
        <v>0.0</v>
      </c>
      <c r="K52" s="79">
        <v>0.0</v>
      </c>
      <c r="L52" s="79">
        <v>0.0</v>
      </c>
      <c r="M52" s="79">
        <v>1.0</v>
      </c>
      <c r="N52" s="79">
        <v>0.0</v>
      </c>
      <c r="O52" s="13">
        <f t="shared" si="14"/>
        <v>3</v>
      </c>
    </row>
    <row r="53" ht="12.75" customHeight="1">
      <c r="A53" s="18"/>
      <c r="B53" s="58"/>
      <c r="C53" s="53" t="s">
        <v>46</v>
      </c>
      <c r="D53" s="53"/>
      <c r="E53" s="79">
        <v>1.0</v>
      </c>
      <c r="F53" s="79">
        <v>0.0</v>
      </c>
      <c r="G53" s="79">
        <v>0.0</v>
      </c>
      <c r="H53" s="79">
        <v>0.0</v>
      </c>
      <c r="I53" s="79">
        <v>0.0</v>
      </c>
      <c r="J53" s="79">
        <v>0.0</v>
      </c>
      <c r="K53" s="79">
        <v>0.0</v>
      </c>
      <c r="L53" s="79">
        <v>0.0</v>
      </c>
      <c r="M53" s="79">
        <v>0.0</v>
      </c>
      <c r="N53" s="79">
        <v>0.0</v>
      </c>
      <c r="O53" s="13">
        <f t="shared" si="14"/>
        <v>1</v>
      </c>
    </row>
    <row r="54" ht="12.75" customHeight="1">
      <c r="A54" s="18"/>
      <c r="B54" s="58"/>
      <c r="C54" s="53" t="s">
        <v>47</v>
      </c>
      <c r="D54" s="53"/>
      <c r="E54" s="79">
        <v>0.0</v>
      </c>
      <c r="F54" s="79">
        <v>0.0</v>
      </c>
      <c r="G54" s="79">
        <v>0.0</v>
      </c>
      <c r="H54" s="79">
        <v>0.0</v>
      </c>
      <c r="I54" s="79">
        <v>0.0</v>
      </c>
      <c r="J54" s="79">
        <v>1.0</v>
      </c>
      <c r="K54" s="79">
        <v>0.0</v>
      </c>
      <c r="L54" s="79">
        <v>0.0</v>
      </c>
      <c r="M54" s="79">
        <v>1.0</v>
      </c>
      <c r="N54" s="79">
        <v>0.0</v>
      </c>
      <c r="O54" s="13">
        <f t="shared" si="14"/>
        <v>2</v>
      </c>
    </row>
    <row r="55" ht="12.75" customHeight="1">
      <c r="A55" s="19" t="s">
        <v>14</v>
      </c>
      <c r="B55" s="50" t="s">
        <v>48</v>
      </c>
      <c r="C55" s="15"/>
      <c r="D55" s="16"/>
      <c r="E55" s="13">
        <f t="shared" ref="E55:N55" si="15">SUM(E45:E54)</f>
        <v>30</v>
      </c>
      <c r="F55" s="13">
        <f t="shared" si="15"/>
        <v>31</v>
      </c>
      <c r="G55" s="13">
        <f t="shared" si="15"/>
        <v>27</v>
      </c>
      <c r="H55" s="13">
        <f t="shared" si="15"/>
        <v>33</v>
      </c>
      <c r="I55" s="13">
        <f t="shared" si="15"/>
        <v>31</v>
      </c>
      <c r="J55" s="13">
        <f t="shared" si="15"/>
        <v>9</v>
      </c>
      <c r="K55" s="13">
        <f t="shared" si="15"/>
        <v>19</v>
      </c>
      <c r="L55" s="13">
        <f t="shared" si="15"/>
        <v>33</v>
      </c>
      <c r="M55" s="13">
        <f t="shared" si="15"/>
        <v>56</v>
      </c>
      <c r="N55" s="13">
        <f t="shared" si="15"/>
        <v>51</v>
      </c>
      <c r="O55" s="13">
        <f t="shared" si="14"/>
        <v>320</v>
      </c>
    </row>
    <row r="56" ht="12.75" customHeight="1">
      <c r="A56" s="48"/>
      <c r="B56" s="47"/>
      <c r="C56" s="47"/>
      <c r="D56" s="47"/>
      <c r="E56" s="47"/>
      <c r="O56" s="13"/>
    </row>
    <row r="57" ht="12.75" customHeight="1">
      <c r="A57" s="31" t="s">
        <v>36</v>
      </c>
      <c r="B57" s="50" t="s">
        <v>18</v>
      </c>
      <c r="C57" s="51" t="s">
        <v>49</v>
      </c>
      <c r="D57" s="16"/>
      <c r="E57" s="79">
        <v>11.0</v>
      </c>
      <c r="F57" s="79">
        <v>10.0</v>
      </c>
      <c r="G57" s="79">
        <v>7.0</v>
      </c>
      <c r="H57" s="79">
        <v>8.0</v>
      </c>
      <c r="I57" s="79">
        <v>6.0</v>
      </c>
      <c r="J57" s="79">
        <v>14.0</v>
      </c>
      <c r="K57" s="79">
        <v>6.0</v>
      </c>
      <c r="L57" s="79">
        <v>7.0</v>
      </c>
      <c r="M57" s="79">
        <v>12.0</v>
      </c>
      <c r="N57" s="79">
        <v>14.0</v>
      </c>
      <c r="O57" s="13">
        <f t="shared" ref="O57:O67" si="16">SUM(E57:N57)</f>
        <v>95</v>
      </c>
    </row>
    <row r="58" ht="12.75" customHeight="1">
      <c r="A58" s="31" t="s">
        <v>38</v>
      </c>
      <c r="B58" s="58"/>
      <c r="C58" s="53" t="s">
        <v>50</v>
      </c>
      <c r="D58" s="60"/>
      <c r="E58" s="79">
        <v>6.0</v>
      </c>
      <c r="F58" s="79">
        <v>6.0</v>
      </c>
      <c r="G58" s="79">
        <v>3.0</v>
      </c>
      <c r="H58" s="79">
        <v>6.0</v>
      </c>
      <c r="I58" s="79">
        <v>10.0</v>
      </c>
      <c r="J58" s="79">
        <v>7.0</v>
      </c>
      <c r="K58" s="79">
        <v>9.0</v>
      </c>
      <c r="L58" s="79">
        <v>3.0</v>
      </c>
      <c r="M58" s="79">
        <v>12.0</v>
      </c>
      <c r="N58" s="79">
        <v>4.0</v>
      </c>
      <c r="O58" s="13">
        <f t="shared" si="16"/>
        <v>66</v>
      </c>
    </row>
    <row r="59" ht="12.75" customHeight="1">
      <c r="A59" s="18"/>
      <c r="B59" s="58"/>
      <c r="C59" s="53" t="s">
        <v>51</v>
      </c>
      <c r="D59" s="60"/>
      <c r="E59" s="79">
        <v>5.0</v>
      </c>
      <c r="F59" s="79">
        <v>3.0</v>
      </c>
      <c r="G59" s="79">
        <v>3.0</v>
      </c>
      <c r="H59" s="79">
        <v>18.0</v>
      </c>
      <c r="I59" s="79">
        <v>5.0</v>
      </c>
      <c r="J59" s="79">
        <v>17.0</v>
      </c>
      <c r="K59" s="79">
        <v>18.0</v>
      </c>
      <c r="L59" s="79">
        <v>8.0</v>
      </c>
      <c r="M59" s="79">
        <v>6.0</v>
      </c>
      <c r="N59" s="79">
        <v>6.0</v>
      </c>
      <c r="O59" s="13">
        <f t="shared" si="16"/>
        <v>89</v>
      </c>
    </row>
    <row r="60" ht="12.75" customHeight="1">
      <c r="A60" s="18"/>
      <c r="B60" s="58"/>
      <c r="C60" s="53" t="s">
        <v>52</v>
      </c>
      <c r="D60" s="60"/>
      <c r="E60" s="79">
        <v>4.0</v>
      </c>
      <c r="F60" s="79">
        <v>1.0</v>
      </c>
      <c r="G60" s="79">
        <v>1.0</v>
      </c>
      <c r="H60" s="79">
        <v>4.0</v>
      </c>
      <c r="I60" s="79">
        <v>1.0</v>
      </c>
      <c r="J60" s="79">
        <v>1.0</v>
      </c>
      <c r="K60" s="79">
        <v>0.0</v>
      </c>
      <c r="L60" s="79">
        <v>1.0</v>
      </c>
      <c r="M60" s="79">
        <v>7.0</v>
      </c>
      <c r="N60" s="79">
        <v>2.0</v>
      </c>
      <c r="O60" s="13">
        <f t="shared" si="16"/>
        <v>22</v>
      </c>
    </row>
    <row r="61" ht="12.75" customHeight="1">
      <c r="A61" s="18"/>
      <c r="B61" s="58"/>
      <c r="C61" s="53" t="s">
        <v>53</v>
      </c>
      <c r="D61" s="60"/>
      <c r="E61" s="79">
        <v>0.0</v>
      </c>
      <c r="F61" s="79">
        <v>1.0</v>
      </c>
      <c r="G61" s="79">
        <v>0.0</v>
      </c>
      <c r="H61" s="79">
        <v>3.0</v>
      </c>
      <c r="I61" s="79">
        <v>8.0</v>
      </c>
      <c r="J61" s="79">
        <v>9.0</v>
      </c>
      <c r="K61" s="79">
        <v>4.0</v>
      </c>
      <c r="L61" s="79">
        <v>4.0</v>
      </c>
      <c r="M61" s="79">
        <v>19.0</v>
      </c>
      <c r="N61" s="79">
        <v>20.0</v>
      </c>
      <c r="O61" s="13">
        <f t="shared" si="16"/>
        <v>68</v>
      </c>
    </row>
    <row r="62" ht="12.75" customHeight="1">
      <c r="A62" s="18"/>
      <c r="B62" s="58"/>
      <c r="C62" s="53" t="s">
        <v>54</v>
      </c>
      <c r="D62" s="60"/>
      <c r="E62" s="79">
        <v>0.0</v>
      </c>
      <c r="F62" s="79">
        <v>1.0</v>
      </c>
      <c r="G62" s="79">
        <v>1.0</v>
      </c>
      <c r="H62" s="79">
        <v>5.0</v>
      </c>
      <c r="I62" s="79">
        <v>1.0</v>
      </c>
      <c r="J62" s="79">
        <v>1.0</v>
      </c>
      <c r="K62" s="79">
        <v>0.0</v>
      </c>
      <c r="L62" s="79">
        <v>0.0</v>
      </c>
      <c r="M62" s="79">
        <v>2.0</v>
      </c>
      <c r="N62" s="79">
        <v>0.0</v>
      </c>
      <c r="O62" s="13">
        <f t="shared" si="16"/>
        <v>11</v>
      </c>
    </row>
    <row r="63" ht="12.75" customHeight="1">
      <c r="A63" s="18"/>
      <c r="B63" s="58"/>
      <c r="C63" s="53" t="s">
        <v>55</v>
      </c>
      <c r="D63" s="61"/>
      <c r="E63" s="79">
        <v>0.0</v>
      </c>
      <c r="F63" s="79">
        <v>0.0</v>
      </c>
      <c r="G63" s="79">
        <v>0.0</v>
      </c>
      <c r="H63" s="79">
        <v>2.0</v>
      </c>
      <c r="I63" s="79">
        <v>0.0</v>
      </c>
      <c r="J63" s="79">
        <v>0.0</v>
      </c>
      <c r="K63" s="79">
        <v>0.0</v>
      </c>
      <c r="L63" s="79">
        <v>0.0</v>
      </c>
      <c r="M63" s="79">
        <v>1.0</v>
      </c>
      <c r="N63" s="79">
        <v>0.0</v>
      </c>
      <c r="O63" s="13">
        <f t="shared" si="16"/>
        <v>3</v>
      </c>
    </row>
    <row r="64" ht="12.75" customHeight="1">
      <c r="A64" s="18"/>
      <c r="B64" s="58"/>
      <c r="C64" s="53" t="s">
        <v>56</v>
      </c>
      <c r="D64" s="60"/>
      <c r="E64" s="79">
        <v>0.0</v>
      </c>
      <c r="F64" s="79">
        <v>0.0</v>
      </c>
      <c r="G64" s="79">
        <v>0.0</v>
      </c>
      <c r="H64" s="79">
        <v>1.0</v>
      </c>
      <c r="I64" s="79">
        <v>0.0</v>
      </c>
      <c r="J64" s="79">
        <v>0.0</v>
      </c>
      <c r="K64" s="79">
        <v>0.0</v>
      </c>
      <c r="L64" s="79">
        <v>0.0</v>
      </c>
      <c r="M64" s="79">
        <v>0.0</v>
      </c>
      <c r="N64" s="79">
        <v>0.0</v>
      </c>
      <c r="O64" s="13">
        <f t="shared" si="16"/>
        <v>1</v>
      </c>
    </row>
    <row r="65" ht="12.75" customHeight="1">
      <c r="A65" s="18"/>
      <c r="B65" s="58"/>
      <c r="C65" s="53" t="s">
        <v>57</v>
      </c>
      <c r="D65" s="60"/>
      <c r="E65" s="79">
        <v>0.0</v>
      </c>
      <c r="F65" s="79">
        <v>0.0</v>
      </c>
      <c r="G65" s="79">
        <v>0.0</v>
      </c>
      <c r="H65" s="79">
        <v>0.0</v>
      </c>
      <c r="I65" s="79">
        <v>0.0</v>
      </c>
      <c r="J65" s="79">
        <v>1.0</v>
      </c>
      <c r="K65" s="79">
        <v>0.0</v>
      </c>
      <c r="L65" s="79">
        <v>0.0</v>
      </c>
      <c r="M65" s="79">
        <v>0.0</v>
      </c>
      <c r="N65" s="79">
        <v>0.0</v>
      </c>
      <c r="O65" s="13">
        <f t="shared" si="16"/>
        <v>1</v>
      </c>
    </row>
    <row r="66" ht="12.75" customHeight="1">
      <c r="A66" s="18"/>
      <c r="B66" s="58"/>
      <c r="C66" s="53" t="s">
        <v>58</v>
      </c>
      <c r="D66" s="60"/>
      <c r="E66" s="79">
        <v>0.0</v>
      </c>
      <c r="F66" s="79">
        <v>0.0</v>
      </c>
      <c r="G66" s="79">
        <v>0.0</v>
      </c>
      <c r="H66" s="79">
        <v>0.0</v>
      </c>
      <c r="I66" s="79">
        <v>0.0</v>
      </c>
      <c r="J66" s="79">
        <v>1.0</v>
      </c>
      <c r="K66" s="79">
        <v>0.0</v>
      </c>
      <c r="L66" s="79">
        <v>0.0</v>
      </c>
      <c r="M66" s="79">
        <v>2.0</v>
      </c>
      <c r="N66" s="79">
        <v>0.0</v>
      </c>
      <c r="O66" s="13">
        <f t="shared" si="16"/>
        <v>3</v>
      </c>
    </row>
    <row r="67" ht="12.75" customHeight="1">
      <c r="A67" s="19" t="s">
        <v>14</v>
      </c>
      <c r="B67" s="50" t="s">
        <v>48</v>
      </c>
      <c r="C67" s="15"/>
      <c r="D67" s="16"/>
      <c r="E67" s="13">
        <f t="shared" ref="E67:N67" si="17">SUM(E57:E66)</f>
        <v>26</v>
      </c>
      <c r="F67" s="13">
        <f t="shared" si="17"/>
        <v>22</v>
      </c>
      <c r="G67" s="13">
        <f t="shared" si="17"/>
        <v>15</v>
      </c>
      <c r="H67" s="13">
        <f t="shared" si="17"/>
        <v>47</v>
      </c>
      <c r="I67" s="13">
        <f t="shared" si="17"/>
        <v>31</v>
      </c>
      <c r="J67" s="13">
        <f t="shared" si="17"/>
        <v>51</v>
      </c>
      <c r="K67" s="13">
        <f t="shared" si="17"/>
        <v>37</v>
      </c>
      <c r="L67" s="13">
        <f t="shared" si="17"/>
        <v>23</v>
      </c>
      <c r="M67" s="13">
        <f t="shared" si="17"/>
        <v>61</v>
      </c>
      <c r="N67" s="13">
        <f t="shared" si="17"/>
        <v>46</v>
      </c>
      <c r="O67" s="13">
        <f t="shared" si="16"/>
        <v>359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36</v>
      </c>
      <c r="B69" s="50" t="s">
        <v>20</v>
      </c>
      <c r="C69" s="51" t="s">
        <v>59</v>
      </c>
      <c r="D69" s="16"/>
      <c r="E69" s="79">
        <v>22.0</v>
      </c>
      <c r="F69" s="79">
        <v>17.0</v>
      </c>
      <c r="G69" s="79">
        <v>20.0</v>
      </c>
      <c r="H69" s="79">
        <v>8.0</v>
      </c>
      <c r="I69" s="79">
        <v>8.0</v>
      </c>
      <c r="J69" s="79">
        <v>7.0</v>
      </c>
      <c r="K69" s="79">
        <v>17.0</v>
      </c>
      <c r="L69" s="79">
        <v>10.0</v>
      </c>
      <c r="M69" s="79">
        <v>8.0</v>
      </c>
      <c r="N69" s="79">
        <v>11.0</v>
      </c>
      <c r="O69" s="13">
        <f t="shared" ref="O69:O79" si="18">SUM(E69:N69)</f>
        <v>128</v>
      </c>
    </row>
    <row r="70" ht="12.75" customHeight="1">
      <c r="A70" s="31" t="s">
        <v>38</v>
      </c>
      <c r="B70" s="58"/>
      <c r="C70" s="53" t="s">
        <v>60</v>
      </c>
      <c r="D70" s="61"/>
      <c r="E70" s="79">
        <v>10.0</v>
      </c>
      <c r="F70" s="79">
        <v>15.0</v>
      </c>
      <c r="G70" s="79">
        <v>8.0</v>
      </c>
      <c r="H70" s="79">
        <v>5.0</v>
      </c>
      <c r="I70" s="79">
        <v>9.0</v>
      </c>
      <c r="J70" s="79">
        <v>1.0</v>
      </c>
      <c r="K70" s="79">
        <v>7.0</v>
      </c>
      <c r="L70" s="79">
        <v>6.0</v>
      </c>
      <c r="M70" s="79">
        <v>1.0</v>
      </c>
      <c r="N70" s="79">
        <v>6.0</v>
      </c>
      <c r="O70" s="13">
        <f t="shared" si="18"/>
        <v>68</v>
      </c>
    </row>
    <row r="71" ht="12.75" customHeight="1">
      <c r="A71" s="18"/>
      <c r="B71" s="58"/>
      <c r="C71" s="53" t="s">
        <v>61</v>
      </c>
      <c r="D71" s="61"/>
      <c r="E71" s="79">
        <v>19.0</v>
      </c>
      <c r="F71" s="79">
        <v>14.0</v>
      </c>
      <c r="G71" s="79">
        <v>28.0</v>
      </c>
      <c r="H71" s="79">
        <v>7.0</v>
      </c>
      <c r="I71" s="79">
        <v>10.0</v>
      </c>
      <c r="J71" s="79">
        <v>9.0</v>
      </c>
      <c r="K71" s="79">
        <v>20.0</v>
      </c>
      <c r="L71" s="79">
        <v>63.0</v>
      </c>
      <c r="M71" s="79">
        <v>12.0</v>
      </c>
      <c r="N71" s="79">
        <v>13.0</v>
      </c>
      <c r="O71" s="13">
        <f t="shared" si="18"/>
        <v>195</v>
      </c>
    </row>
    <row r="72" ht="12.75" customHeight="1">
      <c r="A72" s="18"/>
      <c r="B72" s="58"/>
      <c r="C72" s="53" t="s">
        <v>62</v>
      </c>
      <c r="D72" s="61"/>
      <c r="E72" s="79">
        <v>5.0</v>
      </c>
      <c r="F72" s="79">
        <v>8.0</v>
      </c>
      <c r="G72" s="79">
        <v>7.0</v>
      </c>
      <c r="H72" s="79">
        <v>0.0</v>
      </c>
      <c r="I72" s="79">
        <v>4.0</v>
      </c>
      <c r="J72" s="79">
        <v>4.0</v>
      </c>
      <c r="K72" s="79">
        <v>3.0</v>
      </c>
      <c r="L72" s="79">
        <v>7.0</v>
      </c>
      <c r="M72" s="79">
        <v>7.0</v>
      </c>
      <c r="N72" s="79">
        <v>4.0</v>
      </c>
      <c r="O72" s="13">
        <f t="shared" si="18"/>
        <v>49</v>
      </c>
    </row>
    <row r="73" ht="12.75" customHeight="1">
      <c r="A73" s="18"/>
      <c r="B73" s="58"/>
      <c r="C73" s="53" t="s">
        <v>63</v>
      </c>
      <c r="D73" s="61"/>
      <c r="E73" s="79">
        <v>6.0</v>
      </c>
      <c r="F73" s="79">
        <v>2.0</v>
      </c>
      <c r="G73" s="79">
        <v>4.0</v>
      </c>
      <c r="H73" s="79">
        <v>2.0</v>
      </c>
      <c r="I73" s="79">
        <v>4.0</v>
      </c>
      <c r="J73" s="79">
        <v>2.0</v>
      </c>
      <c r="K73" s="79">
        <v>7.0</v>
      </c>
      <c r="L73" s="79">
        <v>2.0</v>
      </c>
      <c r="M73" s="79">
        <v>3.0</v>
      </c>
      <c r="N73" s="79">
        <v>8.0</v>
      </c>
      <c r="O73" s="13">
        <f t="shared" si="18"/>
        <v>40</v>
      </c>
    </row>
    <row r="74" ht="12.75" customHeight="1">
      <c r="A74" s="18"/>
      <c r="B74" s="58"/>
      <c r="C74" s="53" t="s">
        <v>64</v>
      </c>
      <c r="D74" s="61"/>
      <c r="E74" s="79">
        <v>2.0</v>
      </c>
      <c r="F74" s="79">
        <v>2.0</v>
      </c>
      <c r="G74" s="79">
        <v>1.0</v>
      </c>
      <c r="H74" s="79">
        <v>0.0</v>
      </c>
      <c r="I74" s="79">
        <v>3.0</v>
      </c>
      <c r="J74" s="79">
        <v>2.0</v>
      </c>
      <c r="K74" s="79">
        <v>1.0</v>
      </c>
      <c r="L74" s="79">
        <v>0.0</v>
      </c>
      <c r="M74" s="79">
        <v>2.0</v>
      </c>
      <c r="N74" s="79">
        <v>1.0</v>
      </c>
      <c r="O74" s="13">
        <f t="shared" si="18"/>
        <v>14</v>
      </c>
    </row>
    <row r="75" ht="12.75" customHeight="1">
      <c r="A75" s="18"/>
      <c r="B75" s="58"/>
      <c r="C75" s="53" t="s">
        <v>65</v>
      </c>
      <c r="D75" s="61"/>
      <c r="E75" s="79">
        <v>0.0</v>
      </c>
      <c r="F75" s="79">
        <v>0.0</v>
      </c>
      <c r="G75" s="79">
        <v>1.0</v>
      </c>
      <c r="H75" s="79">
        <v>1.0</v>
      </c>
      <c r="I75" s="79">
        <v>0.0</v>
      </c>
      <c r="J75" s="79">
        <v>0.0</v>
      </c>
      <c r="K75" s="79">
        <v>1.0</v>
      </c>
      <c r="L75" s="79">
        <v>0.0</v>
      </c>
      <c r="M75" s="79">
        <v>0.0</v>
      </c>
      <c r="N75" s="79">
        <v>0.0</v>
      </c>
      <c r="O75" s="13">
        <f t="shared" si="18"/>
        <v>3</v>
      </c>
    </row>
    <row r="76" ht="12.75" customHeight="1">
      <c r="A76" s="18"/>
      <c r="B76" s="58"/>
      <c r="C76" s="53" t="s">
        <v>66</v>
      </c>
      <c r="D76" s="61"/>
      <c r="E76" s="79">
        <v>0.0</v>
      </c>
      <c r="F76" s="79">
        <v>1.0</v>
      </c>
      <c r="G76" s="79">
        <v>0.0</v>
      </c>
      <c r="H76" s="79">
        <v>0.0</v>
      </c>
      <c r="I76" s="79">
        <v>0.0</v>
      </c>
      <c r="J76" s="79">
        <v>0.0</v>
      </c>
      <c r="K76" s="79">
        <v>0.0</v>
      </c>
      <c r="L76" s="79">
        <v>0.0</v>
      </c>
      <c r="M76" s="79">
        <v>0.0</v>
      </c>
      <c r="N76" s="79">
        <v>0.0</v>
      </c>
      <c r="O76" s="13">
        <f t="shared" si="18"/>
        <v>1</v>
      </c>
    </row>
    <row r="77" ht="12.75" customHeight="1">
      <c r="A77" s="18"/>
      <c r="B77" s="58"/>
      <c r="C77" s="53" t="s">
        <v>67</v>
      </c>
      <c r="D77" s="61"/>
      <c r="E77" s="79">
        <v>0.0</v>
      </c>
      <c r="F77" s="79">
        <v>0.0</v>
      </c>
      <c r="G77" s="79">
        <v>1.0</v>
      </c>
      <c r="H77" s="79">
        <v>0.0</v>
      </c>
      <c r="I77" s="79">
        <v>3.0</v>
      </c>
      <c r="J77" s="79">
        <v>3.0</v>
      </c>
      <c r="K77" s="79">
        <v>0.0</v>
      </c>
      <c r="L77" s="79">
        <v>1.0</v>
      </c>
      <c r="M77" s="79">
        <v>0.0</v>
      </c>
      <c r="N77" s="79">
        <v>0.0</v>
      </c>
      <c r="O77" s="13">
        <f t="shared" si="18"/>
        <v>8</v>
      </c>
    </row>
    <row r="78" ht="12.75" customHeight="1">
      <c r="A78" s="18"/>
      <c r="B78" s="58"/>
      <c r="C78" s="53" t="s">
        <v>68</v>
      </c>
      <c r="D78" s="61"/>
      <c r="E78" s="79">
        <v>0.0</v>
      </c>
      <c r="F78" s="79">
        <v>0.0</v>
      </c>
      <c r="G78" s="79">
        <v>1.0</v>
      </c>
      <c r="H78" s="79">
        <v>2.0</v>
      </c>
      <c r="I78" s="79">
        <v>0.0</v>
      </c>
      <c r="J78" s="79">
        <v>0.0</v>
      </c>
      <c r="K78" s="79">
        <v>0.0</v>
      </c>
      <c r="L78" s="79">
        <v>0.0</v>
      </c>
      <c r="M78" s="79">
        <v>0.0</v>
      </c>
      <c r="N78" s="79">
        <v>1.0</v>
      </c>
      <c r="O78" s="13">
        <f t="shared" si="18"/>
        <v>4</v>
      </c>
    </row>
    <row r="79" ht="12.75" customHeight="1">
      <c r="A79" s="19" t="s">
        <v>14</v>
      </c>
      <c r="B79" s="50" t="s">
        <v>48</v>
      </c>
      <c r="C79" s="15"/>
      <c r="D79" s="16"/>
      <c r="E79" s="13">
        <f t="shared" ref="E79:N79" si="19">SUM(E69:E78)</f>
        <v>64</v>
      </c>
      <c r="F79" s="13">
        <f t="shared" si="19"/>
        <v>59</v>
      </c>
      <c r="G79" s="13">
        <f t="shared" si="19"/>
        <v>71</v>
      </c>
      <c r="H79" s="13">
        <f t="shared" si="19"/>
        <v>25</v>
      </c>
      <c r="I79" s="13">
        <f t="shared" si="19"/>
        <v>41</v>
      </c>
      <c r="J79" s="13">
        <f t="shared" si="19"/>
        <v>28</v>
      </c>
      <c r="K79" s="13">
        <f t="shared" si="19"/>
        <v>56</v>
      </c>
      <c r="L79" s="13">
        <f t="shared" si="19"/>
        <v>89</v>
      </c>
      <c r="M79" s="13">
        <f t="shared" si="19"/>
        <v>33</v>
      </c>
      <c r="N79" s="13">
        <f t="shared" si="19"/>
        <v>44</v>
      </c>
      <c r="O79" s="13">
        <f t="shared" si="18"/>
        <v>510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36</v>
      </c>
      <c r="B81" s="50" t="s">
        <v>22</v>
      </c>
      <c r="C81" s="51" t="s">
        <v>69</v>
      </c>
      <c r="D81" s="16"/>
      <c r="E81" s="79">
        <v>2.0</v>
      </c>
      <c r="F81" s="79">
        <v>0.0</v>
      </c>
      <c r="G81" s="79">
        <v>3.0</v>
      </c>
      <c r="H81" s="79">
        <v>3.0</v>
      </c>
      <c r="I81" s="79">
        <v>3.0</v>
      </c>
      <c r="J81" s="79">
        <v>2.0</v>
      </c>
      <c r="K81" s="79">
        <v>3.0</v>
      </c>
      <c r="L81" s="79">
        <v>2.0</v>
      </c>
      <c r="M81" s="79">
        <v>4.0</v>
      </c>
      <c r="N81" s="79">
        <v>5.0</v>
      </c>
      <c r="O81" s="13">
        <f t="shared" ref="O81:O91" si="20">SUM(E81:N81)</f>
        <v>27</v>
      </c>
    </row>
    <row r="82" ht="12.75" customHeight="1">
      <c r="A82" s="31" t="s">
        <v>38</v>
      </c>
      <c r="B82" s="58"/>
      <c r="C82" s="53" t="s">
        <v>70</v>
      </c>
      <c r="D82" s="61"/>
      <c r="E82" s="79">
        <v>5.0</v>
      </c>
      <c r="F82" s="79">
        <v>4.0</v>
      </c>
      <c r="G82" s="79">
        <v>1.0</v>
      </c>
      <c r="H82" s="79">
        <v>3.0</v>
      </c>
      <c r="I82" s="79">
        <v>6.0</v>
      </c>
      <c r="J82" s="79">
        <v>2.0</v>
      </c>
      <c r="K82" s="79">
        <v>2.0</v>
      </c>
      <c r="L82" s="79">
        <v>1.0</v>
      </c>
      <c r="M82" s="79">
        <v>4.0</v>
      </c>
      <c r="N82" s="79">
        <v>4.0</v>
      </c>
      <c r="O82" s="13">
        <f t="shared" si="20"/>
        <v>32</v>
      </c>
    </row>
    <row r="83" ht="12.75" customHeight="1">
      <c r="A83" s="18"/>
      <c r="B83" s="58"/>
      <c r="C83" s="53" t="s">
        <v>71</v>
      </c>
      <c r="D83" s="61"/>
      <c r="E83" s="79">
        <v>0.0</v>
      </c>
      <c r="F83" s="79">
        <v>1.0</v>
      </c>
      <c r="G83" s="79">
        <v>1.0</v>
      </c>
      <c r="H83" s="79">
        <v>0.0</v>
      </c>
      <c r="I83" s="79">
        <v>2.0</v>
      </c>
      <c r="J83" s="79">
        <v>0.0</v>
      </c>
      <c r="K83" s="79">
        <v>2.0</v>
      </c>
      <c r="L83" s="79">
        <v>0.0</v>
      </c>
      <c r="M83" s="79">
        <v>1.0</v>
      </c>
      <c r="N83" s="79">
        <v>2.0</v>
      </c>
      <c r="O83" s="13">
        <f t="shared" si="20"/>
        <v>9</v>
      </c>
    </row>
    <row r="84" ht="12.75" customHeight="1">
      <c r="A84" s="18"/>
      <c r="B84" s="58"/>
      <c r="C84" s="53" t="s">
        <v>72</v>
      </c>
      <c r="D84" s="61"/>
      <c r="E84" s="79">
        <v>0.0</v>
      </c>
      <c r="F84" s="79">
        <v>1.0</v>
      </c>
      <c r="G84" s="79">
        <v>1.0</v>
      </c>
      <c r="H84" s="79">
        <v>0.0</v>
      </c>
      <c r="I84" s="79">
        <v>3.0</v>
      </c>
      <c r="J84" s="79">
        <v>0.0</v>
      </c>
      <c r="K84" s="79">
        <v>1.0</v>
      </c>
      <c r="L84" s="79">
        <v>1.0</v>
      </c>
      <c r="M84" s="79">
        <v>2.0</v>
      </c>
      <c r="N84" s="79">
        <v>3.0</v>
      </c>
      <c r="O84" s="13">
        <f t="shared" si="20"/>
        <v>12</v>
      </c>
    </row>
    <row r="85" ht="12.75" customHeight="1">
      <c r="A85" s="18"/>
      <c r="B85" s="58"/>
      <c r="C85" s="53" t="s">
        <v>73</v>
      </c>
      <c r="D85" s="61"/>
      <c r="E85" s="79">
        <v>1.0</v>
      </c>
      <c r="F85" s="79">
        <v>1.0</v>
      </c>
      <c r="G85" s="79">
        <v>0.0</v>
      </c>
      <c r="H85" s="79">
        <v>0.0</v>
      </c>
      <c r="I85" s="79">
        <v>0.0</v>
      </c>
      <c r="J85" s="79">
        <v>0.0</v>
      </c>
      <c r="K85" s="79">
        <v>1.0</v>
      </c>
      <c r="L85" s="79">
        <v>0.0</v>
      </c>
      <c r="M85" s="79">
        <v>0.0</v>
      </c>
      <c r="N85" s="79">
        <v>1.0</v>
      </c>
      <c r="O85" s="13">
        <f t="shared" si="20"/>
        <v>4</v>
      </c>
    </row>
    <row r="86" ht="12.75" customHeight="1">
      <c r="A86" s="18"/>
      <c r="B86" s="58"/>
      <c r="C86" s="53" t="s">
        <v>74</v>
      </c>
      <c r="D86" s="61"/>
      <c r="E86" s="79">
        <v>0.0</v>
      </c>
      <c r="F86" s="79">
        <v>2.0</v>
      </c>
      <c r="G86" s="79">
        <v>9.0</v>
      </c>
      <c r="H86" s="79">
        <v>21.0</v>
      </c>
      <c r="I86" s="79">
        <v>26.0</v>
      </c>
      <c r="J86" s="79">
        <v>20.0</v>
      </c>
      <c r="K86" s="79">
        <v>6.0</v>
      </c>
      <c r="L86" s="79">
        <v>13.0</v>
      </c>
      <c r="M86" s="79">
        <v>5.0</v>
      </c>
      <c r="N86" s="79">
        <v>5.0</v>
      </c>
      <c r="O86" s="13">
        <f t="shared" si="20"/>
        <v>107</v>
      </c>
    </row>
    <row r="87" ht="12.75" customHeight="1">
      <c r="A87" s="18"/>
      <c r="B87" s="58"/>
      <c r="C87" s="53" t="s">
        <v>75</v>
      </c>
      <c r="D87" s="61"/>
      <c r="E87" s="79">
        <v>0.0</v>
      </c>
      <c r="F87" s="79">
        <v>0.0</v>
      </c>
      <c r="G87" s="79">
        <v>0.0</v>
      </c>
      <c r="H87" s="79">
        <v>1.0</v>
      </c>
      <c r="I87" s="79">
        <v>1.0</v>
      </c>
      <c r="J87" s="79">
        <v>0.0</v>
      </c>
      <c r="K87" s="79">
        <v>0.0</v>
      </c>
      <c r="L87" s="79">
        <v>0.0</v>
      </c>
      <c r="M87" s="79">
        <v>0.0</v>
      </c>
      <c r="N87" s="79">
        <v>0.0</v>
      </c>
      <c r="O87" s="13">
        <f t="shared" si="20"/>
        <v>2</v>
      </c>
    </row>
    <row r="88" ht="12.75" customHeight="1">
      <c r="A88" s="18"/>
      <c r="B88" s="58"/>
      <c r="C88" s="53" t="s">
        <v>76</v>
      </c>
      <c r="D88" s="61"/>
      <c r="E88" s="79">
        <v>0.0</v>
      </c>
      <c r="F88" s="79">
        <v>0.0</v>
      </c>
      <c r="G88" s="79">
        <v>0.0</v>
      </c>
      <c r="H88" s="79">
        <v>0.0</v>
      </c>
      <c r="I88" s="79">
        <v>0.0</v>
      </c>
      <c r="J88" s="79">
        <v>1.0</v>
      </c>
      <c r="K88" s="79">
        <v>0.0</v>
      </c>
      <c r="L88" s="79">
        <v>0.0</v>
      </c>
      <c r="M88" s="79">
        <v>0.0</v>
      </c>
      <c r="N88" s="79">
        <v>0.0</v>
      </c>
      <c r="O88" s="13">
        <f t="shared" si="20"/>
        <v>1</v>
      </c>
    </row>
    <row r="89" ht="12.75" customHeight="1">
      <c r="A89" s="18"/>
      <c r="B89" s="58"/>
      <c r="C89" s="53" t="s">
        <v>77</v>
      </c>
      <c r="D89" s="61"/>
      <c r="E89" s="79">
        <v>0.0</v>
      </c>
      <c r="F89" s="79">
        <v>0.0</v>
      </c>
      <c r="G89" s="79">
        <v>0.0</v>
      </c>
      <c r="H89" s="79">
        <v>0.0</v>
      </c>
      <c r="I89" s="79">
        <v>0.0</v>
      </c>
      <c r="J89" s="79">
        <v>0.0</v>
      </c>
      <c r="K89" s="79">
        <v>0.0</v>
      </c>
      <c r="L89" s="79">
        <v>0.0</v>
      </c>
      <c r="M89" s="79">
        <v>0.0</v>
      </c>
      <c r="N89" s="79">
        <v>0.0</v>
      </c>
      <c r="O89" s="13">
        <f t="shared" si="20"/>
        <v>0</v>
      </c>
    </row>
    <row r="90" ht="12.75" customHeight="1">
      <c r="A90" s="18"/>
      <c r="B90" s="58"/>
      <c r="C90" s="53" t="s">
        <v>78</v>
      </c>
      <c r="D90" s="61"/>
      <c r="E90" s="79">
        <v>0.0</v>
      </c>
      <c r="F90" s="79">
        <v>0.0</v>
      </c>
      <c r="G90" s="79">
        <v>0.0</v>
      </c>
      <c r="H90" s="79">
        <v>0.0</v>
      </c>
      <c r="I90" s="79">
        <v>0.0</v>
      </c>
      <c r="J90" s="79">
        <v>0.0</v>
      </c>
      <c r="K90" s="79">
        <v>2.0</v>
      </c>
      <c r="L90" s="79">
        <v>0.0</v>
      </c>
      <c r="M90" s="79">
        <v>0.0</v>
      </c>
      <c r="N90" s="79">
        <v>0.0</v>
      </c>
      <c r="O90" s="13">
        <f t="shared" si="20"/>
        <v>2</v>
      </c>
    </row>
    <row r="91" ht="12.75" customHeight="1">
      <c r="A91" s="19" t="s">
        <v>14</v>
      </c>
      <c r="B91" s="50" t="s">
        <v>48</v>
      </c>
      <c r="C91" s="15"/>
      <c r="D91" s="16"/>
      <c r="E91" s="13">
        <f t="shared" ref="E91:N91" si="21">SUM(E81:E90)</f>
        <v>8</v>
      </c>
      <c r="F91" s="13">
        <f t="shared" si="21"/>
        <v>9</v>
      </c>
      <c r="G91" s="13">
        <f t="shared" si="21"/>
        <v>15</v>
      </c>
      <c r="H91" s="13">
        <f t="shared" si="21"/>
        <v>28</v>
      </c>
      <c r="I91" s="13">
        <f t="shared" si="21"/>
        <v>41</v>
      </c>
      <c r="J91" s="13">
        <f t="shared" si="21"/>
        <v>25</v>
      </c>
      <c r="K91" s="13">
        <f t="shared" si="21"/>
        <v>17</v>
      </c>
      <c r="L91" s="13">
        <f t="shared" si="21"/>
        <v>17</v>
      </c>
      <c r="M91" s="13">
        <f t="shared" si="21"/>
        <v>16</v>
      </c>
      <c r="N91" s="13">
        <f t="shared" si="21"/>
        <v>20</v>
      </c>
      <c r="O91" s="13">
        <f t="shared" si="20"/>
        <v>196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36</v>
      </c>
      <c r="B93" s="50" t="s">
        <v>79</v>
      </c>
      <c r="C93" s="51" t="s">
        <v>80</v>
      </c>
      <c r="D93" s="16"/>
      <c r="E93" s="79">
        <v>1.0</v>
      </c>
      <c r="F93" s="79">
        <v>0.0</v>
      </c>
      <c r="G93" s="79">
        <v>2.0</v>
      </c>
      <c r="H93" s="79">
        <v>2.0</v>
      </c>
      <c r="I93" s="79">
        <v>0.0</v>
      </c>
      <c r="J93" s="79">
        <v>6.0</v>
      </c>
      <c r="K93" s="79">
        <v>1.0</v>
      </c>
      <c r="L93" s="79">
        <v>1.0</v>
      </c>
      <c r="M93" s="79">
        <v>4.0</v>
      </c>
      <c r="N93" s="79">
        <v>0.0</v>
      </c>
      <c r="O93" s="13">
        <f t="shared" ref="O93:O103" si="22">SUM(E93:N93)</f>
        <v>17</v>
      </c>
    </row>
    <row r="94" ht="12.75" customHeight="1">
      <c r="A94" s="31" t="s">
        <v>38</v>
      </c>
      <c r="B94" s="58"/>
      <c r="C94" s="53" t="s">
        <v>81</v>
      </c>
      <c r="D94" s="61"/>
      <c r="E94" s="79">
        <v>5.0</v>
      </c>
      <c r="F94" s="79">
        <v>0.0</v>
      </c>
      <c r="G94" s="79">
        <v>2.0</v>
      </c>
      <c r="H94" s="79">
        <v>1.0</v>
      </c>
      <c r="I94" s="79">
        <v>0.0</v>
      </c>
      <c r="J94" s="79">
        <v>5.0</v>
      </c>
      <c r="K94" s="79">
        <v>13.0</v>
      </c>
      <c r="L94" s="79">
        <v>3.0</v>
      </c>
      <c r="M94" s="79">
        <v>8.0</v>
      </c>
      <c r="N94" s="79">
        <v>4.0</v>
      </c>
      <c r="O94" s="13">
        <f t="shared" si="22"/>
        <v>41</v>
      </c>
    </row>
    <row r="95" ht="12.75" customHeight="1">
      <c r="A95" s="18"/>
      <c r="B95" s="58"/>
      <c r="C95" s="53" t="s">
        <v>82</v>
      </c>
      <c r="D95" s="61"/>
      <c r="E95" s="79">
        <v>1.0</v>
      </c>
      <c r="F95" s="79">
        <v>1.0</v>
      </c>
      <c r="G95" s="79">
        <v>1.0</v>
      </c>
      <c r="H95" s="79">
        <v>0.0</v>
      </c>
      <c r="I95" s="79">
        <v>0.0</v>
      </c>
      <c r="J95" s="79">
        <v>1.0</v>
      </c>
      <c r="K95" s="79">
        <v>0.0</v>
      </c>
      <c r="L95" s="79">
        <v>0.0</v>
      </c>
      <c r="M95" s="79">
        <v>0.0</v>
      </c>
      <c r="N95" s="79">
        <v>1.0</v>
      </c>
      <c r="O95" s="13">
        <f t="shared" si="22"/>
        <v>5</v>
      </c>
    </row>
    <row r="96" ht="12.75" customHeight="1">
      <c r="A96" s="18"/>
      <c r="B96" s="58"/>
      <c r="C96" s="53" t="s">
        <v>83</v>
      </c>
      <c r="D96" s="61"/>
      <c r="E96" s="79">
        <v>0.0</v>
      </c>
      <c r="F96" s="79">
        <v>0.0</v>
      </c>
      <c r="G96" s="79">
        <v>0.0</v>
      </c>
      <c r="H96" s="79">
        <v>0.0</v>
      </c>
      <c r="I96" s="79">
        <v>0.0</v>
      </c>
      <c r="J96" s="79">
        <v>1.0</v>
      </c>
      <c r="K96" s="79">
        <v>0.0</v>
      </c>
      <c r="L96" s="79">
        <v>1.0</v>
      </c>
      <c r="M96" s="79">
        <v>0.0</v>
      </c>
      <c r="N96" s="79">
        <v>0.0</v>
      </c>
      <c r="O96" s="13">
        <f t="shared" si="22"/>
        <v>2</v>
      </c>
    </row>
    <row r="97" ht="12.75" customHeight="1">
      <c r="A97" s="18"/>
      <c r="B97" s="58"/>
      <c r="C97" s="53" t="s">
        <v>84</v>
      </c>
      <c r="D97" s="61"/>
      <c r="E97" s="79">
        <v>0.0</v>
      </c>
      <c r="F97" s="79">
        <v>1.0</v>
      </c>
      <c r="G97" s="79">
        <v>1.0</v>
      </c>
      <c r="H97" s="79">
        <v>0.0</v>
      </c>
      <c r="I97" s="79">
        <v>0.0</v>
      </c>
      <c r="J97" s="79">
        <v>1.0</v>
      </c>
      <c r="K97" s="79">
        <v>2.0</v>
      </c>
      <c r="L97" s="79">
        <v>0.0</v>
      </c>
      <c r="M97" s="79">
        <v>1.0</v>
      </c>
      <c r="N97" s="79">
        <v>1.0</v>
      </c>
      <c r="O97" s="13">
        <f t="shared" si="22"/>
        <v>7</v>
      </c>
    </row>
    <row r="98" ht="12.75" customHeight="1">
      <c r="A98" s="18"/>
      <c r="B98" s="58"/>
      <c r="C98" s="53" t="s">
        <v>85</v>
      </c>
      <c r="D98" s="61"/>
      <c r="E98" s="79">
        <v>0.0</v>
      </c>
      <c r="F98" s="79">
        <v>0.0</v>
      </c>
      <c r="G98" s="79">
        <v>0.0</v>
      </c>
      <c r="H98" s="79">
        <v>0.0</v>
      </c>
      <c r="I98" s="79">
        <v>0.0</v>
      </c>
      <c r="J98" s="79">
        <v>0.0</v>
      </c>
      <c r="K98" s="79">
        <v>0.0</v>
      </c>
      <c r="L98" s="79">
        <v>1.0</v>
      </c>
      <c r="M98" s="79">
        <v>1.0</v>
      </c>
      <c r="N98" s="79">
        <v>0.0</v>
      </c>
      <c r="O98" s="13">
        <f t="shared" si="22"/>
        <v>2</v>
      </c>
    </row>
    <row r="99" ht="12.75" customHeight="1">
      <c r="A99" s="18"/>
      <c r="B99" s="58"/>
      <c r="C99" s="53" t="s">
        <v>86</v>
      </c>
      <c r="D99" s="61"/>
      <c r="E99" s="79">
        <v>0.0</v>
      </c>
      <c r="F99" s="79">
        <v>0.0</v>
      </c>
      <c r="G99" s="79">
        <v>0.0</v>
      </c>
      <c r="H99" s="79">
        <v>0.0</v>
      </c>
      <c r="I99" s="79">
        <v>0.0</v>
      </c>
      <c r="J99" s="79">
        <v>0.0</v>
      </c>
      <c r="K99" s="79">
        <v>0.0</v>
      </c>
      <c r="L99" s="79">
        <v>0.0</v>
      </c>
      <c r="M99" s="79">
        <v>1.0</v>
      </c>
      <c r="N99" s="79">
        <v>1.0</v>
      </c>
      <c r="O99" s="13">
        <f t="shared" si="22"/>
        <v>2</v>
      </c>
    </row>
    <row r="100" ht="12.75" customHeight="1">
      <c r="A100" s="18"/>
      <c r="B100" s="58"/>
      <c r="C100" s="53" t="s">
        <v>87</v>
      </c>
      <c r="D100" s="61"/>
      <c r="E100" s="79">
        <v>0.0</v>
      </c>
      <c r="F100" s="79">
        <v>0.0</v>
      </c>
      <c r="G100" s="79">
        <v>0.0</v>
      </c>
      <c r="H100" s="79">
        <v>0.0</v>
      </c>
      <c r="I100" s="79">
        <v>0.0</v>
      </c>
      <c r="J100" s="79">
        <v>0.0</v>
      </c>
      <c r="K100" s="79">
        <v>0.0</v>
      </c>
      <c r="L100" s="79">
        <v>0.0</v>
      </c>
      <c r="M100" s="79">
        <v>0.0</v>
      </c>
      <c r="N100" s="79">
        <v>0.0</v>
      </c>
      <c r="O100" s="13">
        <f t="shared" si="22"/>
        <v>0</v>
      </c>
    </row>
    <row r="101" ht="12.75" customHeight="1">
      <c r="A101" s="18"/>
      <c r="B101" s="58"/>
      <c r="C101" s="53" t="s">
        <v>88</v>
      </c>
      <c r="D101" s="61"/>
      <c r="E101" s="79">
        <v>0.0</v>
      </c>
      <c r="F101" s="79">
        <v>0.0</v>
      </c>
      <c r="G101" s="79">
        <v>0.0</v>
      </c>
      <c r="H101" s="79">
        <v>0.0</v>
      </c>
      <c r="I101" s="79">
        <v>0.0</v>
      </c>
      <c r="J101" s="79">
        <v>0.0</v>
      </c>
      <c r="K101" s="79">
        <v>0.0</v>
      </c>
      <c r="L101" s="79">
        <v>0.0</v>
      </c>
      <c r="M101" s="79">
        <v>0.0</v>
      </c>
      <c r="N101" s="79">
        <v>0.0</v>
      </c>
      <c r="O101" s="13">
        <f t="shared" si="22"/>
        <v>0</v>
      </c>
    </row>
    <row r="102" ht="12.75" customHeight="1">
      <c r="A102" s="18"/>
      <c r="B102" s="58"/>
      <c r="C102" s="53" t="s">
        <v>89</v>
      </c>
      <c r="D102" s="61"/>
      <c r="E102" s="79">
        <v>0.0</v>
      </c>
      <c r="F102" s="79">
        <v>0.0</v>
      </c>
      <c r="G102" s="79">
        <v>0.0</v>
      </c>
      <c r="H102" s="79">
        <v>0.0</v>
      </c>
      <c r="I102" s="79">
        <v>0.0</v>
      </c>
      <c r="J102" s="79">
        <v>0.0</v>
      </c>
      <c r="K102" s="79">
        <v>0.0</v>
      </c>
      <c r="L102" s="79">
        <v>0.0</v>
      </c>
      <c r="M102" s="79">
        <v>0.0</v>
      </c>
      <c r="N102" s="79">
        <v>0.0</v>
      </c>
      <c r="O102" s="13">
        <f t="shared" si="22"/>
        <v>0</v>
      </c>
    </row>
    <row r="103" ht="12.75" customHeight="1">
      <c r="A103" s="19" t="s">
        <v>14</v>
      </c>
      <c r="B103" s="50" t="s">
        <v>48</v>
      </c>
      <c r="C103" s="15"/>
      <c r="D103" s="16"/>
      <c r="E103" s="13">
        <f t="shared" ref="E103:N103" si="23">SUM(E93:E102)</f>
        <v>7</v>
      </c>
      <c r="F103" s="13">
        <f t="shared" si="23"/>
        <v>2</v>
      </c>
      <c r="G103" s="13">
        <f t="shared" si="23"/>
        <v>6</v>
      </c>
      <c r="H103" s="13">
        <f t="shared" si="23"/>
        <v>3</v>
      </c>
      <c r="I103" s="13">
        <f t="shared" si="23"/>
        <v>0</v>
      </c>
      <c r="J103" s="13">
        <f t="shared" si="23"/>
        <v>14</v>
      </c>
      <c r="K103" s="13">
        <f t="shared" si="23"/>
        <v>16</v>
      </c>
      <c r="L103" s="13">
        <f t="shared" si="23"/>
        <v>6</v>
      </c>
      <c r="M103" s="13">
        <f t="shared" si="23"/>
        <v>15</v>
      </c>
      <c r="N103" s="13">
        <f t="shared" si="23"/>
        <v>7</v>
      </c>
      <c r="O103" s="13">
        <f t="shared" si="22"/>
        <v>76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</row>
    <row r="105" ht="12.75" customHeight="1">
      <c r="A105" s="31" t="s">
        <v>36</v>
      </c>
      <c r="B105" s="50" t="s">
        <v>90</v>
      </c>
      <c r="C105" s="51" t="s">
        <v>91</v>
      </c>
      <c r="D105" s="16"/>
      <c r="E105" s="79">
        <v>0.0</v>
      </c>
      <c r="F105" s="79">
        <v>0.0</v>
      </c>
      <c r="G105" s="79">
        <v>0.0</v>
      </c>
      <c r="H105" s="79">
        <v>0.0</v>
      </c>
      <c r="I105" s="79">
        <v>1.0</v>
      </c>
      <c r="J105" s="79">
        <v>0.0</v>
      </c>
      <c r="K105" s="79">
        <v>0.0</v>
      </c>
      <c r="L105" s="79">
        <v>1.0</v>
      </c>
      <c r="M105" s="79">
        <v>0.0</v>
      </c>
      <c r="N105" s="79">
        <v>1.0</v>
      </c>
      <c r="O105" s="13">
        <f t="shared" ref="O105:O107" si="24">SUM(E105:N105)</f>
        <v>3</v>
      </c>
    </row>
    <row r="106" ht="12.75" customHeight="1">
      <c r="A106" s="31" t="s">
        <v>38</v>
      </c>
      <c r="B106" s="58"/>
      <c r="C106" s="53" t="s">
        <v>92</v>
      </c>
      <c r="D106" s="61"/>
      <c r="E106" s="79">
        <v>0.0</v>
      </c>
      <c r="F106" s="79">
        <v>0.0</v>
      </c>
      <c r="G106" s="79">
        <v>1.0</v>
      </c>
      <c r="H106" s="79">
        <v>0.0</v>
      </c>
      <c r="I106" s="79">
        <v>1.0</v>
      </c>
      <c r="J106" s="79">
        <v>0.0</v>
      </c>
      <c r="K106" s="79">
        <v>0.0</v>
      </c>
      <c r="L106" s="79">
        <v>0.0</v>
      </c>
      <c r="M106" s="79">
        <v>1.0</v>
      </c>
      <c r="N106" s="79">
        <v>0.0</v>
      </c>
      <c r="O106" s="13">
        <f t="shared" si="24"/>
        <v>3</v>
      </c>
    </row>
    <row r="107" ht="12.75" customHeight="1">
      <c r="A107" s="18"/>
      <c r="B107" s="58"/>
      <c r="C107" s="53" t="s">
        <v>93</v>
      </c>
      <c r="D107" s="61"/>
      <c r="E107" s="79">
        <v>0.0</v>
      </c>
      <c r="F107" s="79">
        <v>0.0</v>
      </c>
      <c r="G107" s="79">
        <v>0.0</v>
      </c>
      <c r="H107" s="79">
        <v>0.0</v>
      </c>
      <c r="I107" s="79">
        <v>0.0</v>
      </c>
      <c r="J107" s="79">
        <v>0.0</v>
      </c>
      <c r="K107" s="79">
        <v>0.0</v>
      </c>
      <c r="L107" s="79">
        <v>0.0</v>
      </c>
      <c r="M107" s="79">
        <v>1.0</v>
      </c>
      <c r="N107" s="79">
        <v>0.0</v>
      </c>
      <c r="O107" s="13">
        <f t="shared" si="24"/>
        <v>1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85"/>
    </row>
    <row r="115" ht="12.75" customHeight="1">
      <c r="A115" s="19" t="s">
        <v>14</v>
      </c>
      <c r="B115" s="50" t="s">
        <v>48</v>
      </c>
      <c r="C115" s="15"/>
      <c r="D115" s="16"/>
      <c r="E115" s="13">
        <f t="shared" ref="E115:N115" si="25">SUM(E105:E114)</f>
        <v>0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2</v>
      </c>
      <c r="N115" s="13">
        <f t="shared" si="25"/>
        <v>1</v>
      </c>
      <c r="O115" s="13">
        <f>SUM(E115:N115)</f>
        <v>7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13"/>
    </row>
    <row r="117" ht="12.75" customHeight="1">
      <c r="A117" s="31" t="s">
        <v>36</v>
      </c>
      <c r="B117" s="50" t="s">
        <v>94</v>
      </c>
      <c r="C117" s="51" t="s">
        <v>95</v>
      </c>
      <c r="D117" s="16"/>
      <c r="E117" s="79">
        <v>1.0</v>
      </c>
      <c r="F117" s="79">
        <v>0.0</v>
      </c>
      <c r="G117" s="79">
        <v>0.0</v>
      </c>
      <c r="H117" s="79">
        <v>0.0</v>
      </c>
      <c r="I117" s="79">
        <v>1.0</v>
      </c>
      <c r="J117" s="79">
        <v>0.0</v>
      </c>
      <c r="K117" s="79">
        <v>0.0</v>
      </c>
      <c r="L117" s="79">
        <v>0.0</v>
      </c>
      <c r="M117" s="79">
        <v>1.0</v>
      </c>
      <c r="N117" s="79">
        <v>1.0</v>
      </c>
      <c r="O117" s="13">
        <f t="shared" ref="O117:O122" si="26">SUM(E117:N117)</f>
        <v>4</v>
      </c>
      <c r="P117" s="5"/>
      <c r="Q117" s="5"/>
    </row>
    <row r="118" ht="12.75" customHeight="1">
      <c r="A118" s="31" t="s">
        <v>38</v>
      </c>
      <c r="B118" s="58"/>
      <c r="C118" s="53" t="s">
        <v>96</v>
      </c>
      <c r="D118" s="61"/>
      <c r="E118" s="79">
        <v>0.0</v>
      </c>
      <c r="F118" s="79">
        <v>0.0</v>
      </c>
      <c r="G118" s="79">
        <v>0.0</v>
      </c>
      <c r="H118" s="79">
        <v>0.0</v>
      </c>
      <c r="I118" s="79">
        <v>1.0</v>
      </c>
      <c r="J118" s="79">
        <v>0.0</v>
      </c>
      <c r="K118" s="79">
        <v>2.0</v>
      </c>
      <c r="L118" s="79">
        <v>0.0</v>
      </c>
      <c r="M118" s="79">
        <v>2.0</v>
      </c>
      <c r="N118" s="79">
        <v>0.0</v>
      </c>
      <c r="O118" s="13">
        <f t="shared" si="26"/>
        <v>5</v>
      </c>
      <c r="P118" s="5"/>
      <c r="Q118" s="5"/>
    </row>
    <row r="119" ht="12.75" customHeight="1">
      <c r="A119" s="18"/>
      <c r="B119" s="58"/>
      <c r="C119" s="53" t="s">
        <v>97</v>
      </c>
      <c r="D119" s="61"/>
      <c r="E119" s="79">
        <v>0.0</v>
      </c>
      <c r="F119" s="79">
        <v>0.0</v>
      </c>
      <c r="G119" s="79">
        <v>0.0</v>
      </c>
      <c r="H119" s="79">
        <v>1.0</v>
      </c>
      <c r="I119" s="79">
        <v>0.0</v>
      </c>
      <c r="J119" s="79">
        <v>0.0</v>
      </c>
      <c r="K119" s="79">
        <v>0.0</v>
      </c>
      <c r="L119" s="79">
        <v>1.0</v>
      </c>
      <c r="M119" s="79">
        <v>0.0</v>
      </c>
      <c r="N119" s="79">
        <v>0.0</v>
      </c>
      <c r="O119" s="13">
        <f t="shared" si="26"/>
        <v>2</v>
      </c>
      <c r="P119" s="5"/>
      <c r="Q119" s="5"/>
    </row>
    <row r="120" ht="12.75" customHeight="1">
      <c r="A120" s="18"/>
      <c r="B120" s="58"/>
      <c r="C120" s="53" t="s">
        <v>98</v>
      </c>
      <c r="D120" s="61"/>
      <c r="E120" s="79">
        <v>0.0</v>
      </c>
      <c r="F120" s="79">
        <v>0.0</v>
      </c>
      <c r="G120" s="79">
        <v>0.0</v>
      </c>
      <c r="H120" s="79">
        <v>0.0</v>
      </c>
      <c r="I120" s="79">
        <v>0.0</v>
      </c>
      <c r="J120" s="79">
        <v>0.0</v>
      </c>
      <c r="K120" s="79">
        <v>0.0</v>
      </c>
      <c r="L120" s="79">
        <v>0.0</v>
      </c>
      <c r="M120" s="79">
        <v>0.0</v>
      </c>
      <c r="N120" s="79">
        <v>0.0</v>
      </c>
      <c r="O120" s="13">
        <f t="shared" si="26"/>
        <v>0</v>
      </c>
      <c r="P120" s="5"/>
      <c r="Q120" s="5"/>
    </row>
    <row r="121" ht="12.75" customHeight="1">
      <c r="A121" s="18"/>
      <c r="B121" s="58"/>
      <c r="C121" s="53" t="s">
        <v>99</v>
      </c>
      <c r="D121" s="61"/>
      <c r="E121" s="79">
        <v>0.0</v>
      </c>
      <c r="F121" s="79">
        <v>0.0</v>
      </c>
      <c r="G121" s="79">
        <v>0.0</v>
      </c>
      <c r="H121" s="79">
        <v>0.0</v>
      </c>
      <c r="I121" s="79">
        <v>0.0</v>
      </c>
      <c r="J121" s="79">
        <v>0.0</v>
      </c>
      <c r="K121" s="79">
        <v>0.0</v>
      </c>
      <c r="L121" s="79">
        <v>0.0</v>
      </c>
      <c r="M121" s="79">
        <v>0.0</v>
      </c>
      <c r="N121" s="79">
        <v>1.0</v>
      </c>
      <c r="O121" s="13">
        <f t="shared" si="26"/>
        <v>1</v>
      </c>
      <c r="P121" s="5"/>
      <c r="Q121" s="5"/>
    </row>
    <row r="122" ht="12.75" customHeight="1">
      <c r="A122" s="18"/>
      <c r="B122" s="58"/>
      <c r="C122" s="53" t="s">
        <v>100</v>
      </c>
      <c r="D122" s="61"/>
      <c r="E122" s="79">
        <v>0.0</v>
      </c>
      <c r="F122" s="79">
        <v>0.0</v>
      </c>
      <c r="G122" s="79">
        <v>0.0</v>
      </c>
      <c r="H122" s="79">
        <v>0.0</v>
      </c>
      <c r="I122" s="79">
        <v>0.0</v>
      </c>
      <c r="J122" s="79">
        <v>0.0</v>
      </c>
      <c r="K122" s="79">
        <v>0.0</v>
      </c>
      <c r="L122" s="79">
        <v>0.0</v>
      </c>
      <c r="M122" s="79">
        <v>0.0</v>
      </c>
      <c r="N122" s="79">
        <v>1.0</v>
      </c>
      <c r="O122" s="13">
        <f t="shared" si="26"/>
        <v>1</v>
      </c>
      <c r="P122" s="5"/>
      <c r="Q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85"/>
      <c r="P123" s="5"/>
      <c r="Q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85"/>
      <c r="P124" s="5"/>
      <c r="Q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85"/>
      <c r="P125" s="5"/>
      <c r="Q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85"/>
      <c r="P126" s="5"/>
      <c r="Q126" s="5"/>
    </row>
    <row r="127" ht="12.75" customHeight="1">
      <c r="A127" s="19" t="s">
        <v>14</v>
      </c>
      <c r="B127" s="50" t="s">
        <v>48</v>
      </c>
      <c r="C127" s="15"/>
      <c r="D127" s="16"/>
      <c r="E127" s="67">
        <f t="shared" ref="E127:N127" si="27">SUM(E117:E126)</f>
        <v>1</v>
      </c>
      <c r="F127" s="67">
        <f t="shared" si="27"/>
        <v>0</v>
      </c>
      <c r="G127" s="67">
        <f t="shared" si="27"/>
        <v>0</v>
      </c>
      <c r="H127" s="67">
        <f t="shared" si="27"/>
        <v>1</v>
      </c>
      <c r="I127" s="67">
        <f t="shared" si="27"/>
        <v>2</v>
      </c>
      <c r="J127" s="67">
        <f t="shared" si="27"/>
        <v>0</v>
      </c>
      <c r="K127" s="67">
        <f t="shared" si="27"/>
        <v>2</v>
      </c>
      <c r="L127" s="67">
        <f t="shared" si="27"/>
        <v>1</v>
      </c>
      <c r="M127" s="67">
        <f t="shared" si="27"/>
        <v>3</v>
      </c>
      <c r="N127" s="67">
        <f t="shared" si="27"/>
        <v>3</v>
      </c>
      <c r="O127" s="13">
        <f>SUM(E127:N127)</f>
        <v>13</v>
      </c>
      <c r="P127" s="5"/>
      <c r="Q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5"/>
      <c r="Q128" s="5"/>
    </row>
    <row r="129" ht="12.75" customHeight="1">
      <c r="A129" s="31" t="s">
        <v>36</v>
      </c>
      <c r="B129" s="50" t="s">
        <v>101</v>
      </c>
      <c r="C129" s="51" t="s">
        <v>102</v>
      </c>
      <c r="D129" s="16"/>
      <c r="E129" s="79">
        <v>3.0</v>
      </c>
      <c r="F129" s="79">
        <v>1.0</v>
      </c>
      <c r="G129" s="79">
        <v>3.0</v>
      </c>
      <c r="H129" s="79">
        <v>0.0</v>
      </c>
      <c r="I129" s="79">
        <v>0.0</v>
      </c>
      <c r="J129" s="79">
        <v>1.0</v>
      </c>
      <c r="K129" s="79">
        <v>4.0</v>
      </c>
      <c r="L129" s="79">
        <v>3.0</v>
      </c>
      <c r="M129" s="79">
        <v>1.0</v>
      </c>
      <c r="N129" s="79">
        <v>0.0</v>
      </c>
      <c r="O129" s="13">
        <f t="shared" ref="O129:O139" si="28">SUM(E129:N129)</f>
        <v>16</v>
      </c>
      <c r="P129" s="5"/>
      <c r="Q129" s="5"/>
    </row>
    <row r="130" ht="12.75" customHeight="1">
      <c r="A130" s="31" t="s">
        <v>38</v>
      </c>
      <c r="B130" s="58"/>
      <c r="C130" s="53" t="s">
        <v>103</v>
      </c>
      <c r="D130" s="60"/>
      <c r="E130" s="79">
        <v>3.0</v>
      </c>
      <c r="F130" s="79">
        <v>7.0</v>
      </c>
      <c r="G130" s="79">
        <v>11.0</v>
      </c>
      <c r="H130" s="79">
        <v>4.0</v>
      </c>
      <c r="I130" s="79">
        <v>4.0</v>
      </c>
      <c r="J130" s="79">
        <v>5.0</v>
      </c>
      <c r="K130" s="79">
        <v>14.0</v>
      </c>
      <c r="L130" s="79">
        <v>4.0</v>
      </c>
      <c r="M130" s="79">
        <v>3.0</v>
      </c>
      <c r="N130" s="79">
        <v>4.0</v>
      </c>
      <c r="O130" s="13">
        <f t="shared" si="28"/>
        <v>59</v>
      </c>
      <c r="P130" s="1"/>
      <c r="Q130" s="1"/>
    </row>
    <row r="131" ht="12.75" customHeight="1">
      <c r="A131" s="18"/>
      <c r="B131" s="58"/>
      <c r="C131" s="53" t="s">
        <v>104</v>
      </c>
      <c r="D131" s="60"/>
      <c r="E131" s="79">
        <v>1.0</v>
      </c>
      <c r="F131" s="79">
        <v>0.0</v>
      </c>
      <c r="G131" s="79">
        <v>0.0</v>
      </c>
      <c r="H131" s="79">
        <v>0.0</v>
      </c>
      <c r="I131" s="79">
        <v>0.0</v>
      </c>
      <c r="J131" s="79">
        <v>0.0</v>
      </c>
      <c r="K131" s="79">
        <v>0.0</v>
      </c>
      <c r="L131" s="79">
        <v>0.0</v>
      </c>
      <c r="M131" s="79">
        <v>1.0</v>
      </c>
      <c r="N131" s="79">
        <v>0.0</v>
      </c>
      <c r="O131" s="13">
        <f t="shared" si="28"/>
        <v>2</v>
      </c>
      <c r="P131" s="55"/>
      <c r="Q131" s="55"/>
    </row>
    <row r="132" ht="12.75" customHeight="1">
      <c r="A132" s="18"/>
      <c r="B132" s="58"/>
      <c r="C132" s="53" t="s">
        <v>105</v>
      </c>
      <c r="D132" s="60"/>
      <c r="E132" s="79">
        <v>0.0</v>
      </c>
      <c r="F132" s="79">
        <v>0.0</v>
      </c>
      <c r="G132" s="79">
        <v>0.0</v>
      </c>
      <c r="H132" s="79">
        <v>1.0</v>
      </c>
      <c r="I132" s="79">
        <v>0.0</v>
      </c>
      <c r="J132" s="79">
        <v>0.0</v>
      </c>
      <c r="K132" s="79">
        <v>1.0</v>
      </c>
      <c r="L132" s="79">
        <v>0.0</v>
      </c>
      <c r="M132" s="79">
        <v>0.0</v>
      </c>
      <c r="N132" s="79">
        <v>0.0</v>
      </c>
      <c r="O132" s="13">
        <f t="shared" si="28"/>
        <v>2</v>
      </c>
      <c r="P132" s="5"/>
      <c r="Q132" s="5"/>
    </row>
    <row r="133" ht="12.75" customHeight="1">
      <c r="A133" s="18"/>
      <c r="B133" s="58"/>
      <c r="C133" s="53" t="s">
        <v>106</v>
      </c>
      <c r="D133" s="60"/>
      <c r="E133" s="79">
        <v>0.0</v>
      </c>
      <c r="F133" s="79">
        <v>0.0</v>
      </c>
      <c r="G133" s="79">
        <v>1.0</v>
      </c>
      <c r="H133" s="79">
        <v>0.0</v>
      </c>
      <c r="I133" s="79">
        <v>0.0</v>
      </c>
      <c r="J133" s="79">
        <v>0.0</v>
      </c>
      <c r="K133" s="79">
        <v>0.0</v>
      </c>
      <c r="L133" s="79">
        <v>0.0</v>
      </c>
      <c r="M133" s="79">
        <v>0.0</v>
      </c>
      <c r="N133" s="79">
        <v>0.0</v>
      </c>
      <c r="O133" s="13">
        <f t="shared" si="28"/>
        <v>1</v>
      </c>
      <c r="P133" s="5"/>
      <c r="Q133" s="5"/>
    </row>
    <row r="134" ht="12.75" customHeight="1">
      <c r="A134" s="18"/>
      <c r="B134" s="58"/>
      <c r="C134" s="53" t="s">
        <v>107</v>
      </c>
      <c r="D134" s="60"/>
      <c r="E134" s="79">
        <v>0.0</v>
      </c>
      <c r="F134" s="79">
        <v>0.0</v>
      </c>
      <c r="G134" s="79">
        <v>0.0</v>
      </c>
      <c r="H134" s="79">
        <v>0.0</v>
      </c>
      <c r="I134" s="79">
        <v>0.0</v>
      </c>
      <c r="J134" s="79">
        <v>0.0</v>
      </c>
      <c r="K134" s="79">
        <v>0.0</v>
      </c>
      <c r="L134" s="79">
        <v>0.0</v>
      </c>
      <c r="M134" s="79">
        <v>0.0</v>
      </c>
      <c r="N134" s="79">
        <v>0.0</v>
      </c>
      <c r="O134" s="13">
        <f t="shared" si="28"/>
        <v>0</v>
      </c>
      <c r="P134" s="5"/>
      <c r="Q134" s="5"/>
    </row>
    <row r="135" ht="12.75" customHeight="1">
      <c r="A135" s="18"/>
      <c r="B135" s="58"/>
      <c r="C135" s="53" t="s">
        <v>108</v>
      </c>
      <c r="D135" s="61"/>
      <c r="E135" s="79">
        <v>0.0</v>
      </c>
      <c r="F135" s="79">
        <v>0.0</v>
      </c>
      <c r="G135" s="79">
        <v>0.0</v>
      </c>
      <c r="H135" s="79">
        <v>0.0</v>
      </c>
      <c r="I135" s="79">
        <v>0.0</v>
      </c>
      <c r="J135" s="79">
        <v>0.0</v>
      </c>
      <c r="K135" s="79">
        <v>0.0</v>
      </c>
      <c r="L135" s="79">
        <v>0.0</v>
      </c>
      <c r="M135" s="79">
        <v>0.0</v>
      </c>
      <c r="N135" s="79">
        <v>0.0</v>
      </c>
      <c r="O135" s="13">
        <f t="shared" si="28"/>
        <v>0</v>
      </c>
      <c r="P135" s="5"/>
      <c r="Q135" s="5"/>
    </row>
    <row r="136" ht="12.75" customHeight="1">
      <c r="A136" s="18"/>
      <c r="B136" s="58"/>
      <c r="C136" s="53" t="s">
        <v>109</v>
      </c>
      <c r="D136" s="60"/>
      <c r="E136" s="79">
        <v>0.0</v>
      </c>
      <c r="F136" s="79">
        <v>0.0</v>
      </c>
      <c r="G136" s="79">
        <v>0.0</v>
      </c>
      <c r="H136" s="79">
        <v>0.0</v>
      </c>
      <c r="I136" s="79">
        <v>0.0</v>
      </c>
      <c r="J136" s="79">
        <v>0.0</v>
      </c>
      <c r="K136" s="79">
        <v>0.0</v>
      </c>
      <c r="L136" s="79">
        <v>0.0</v>
      </c>
      <c r="M136" s="79">
        <v>0.0</v>
      </c>
      <c r="N136" s="79">
        <v>0.0</v>
      </c>
      <c r="O136" s="13">
        <f t="shared" si="28"/>
        <v>0</v>
      </c>
      <c r="P136" s="5"/>
      <c r="Q136" s="5"/>
    </row>
    <row r="137" ht="12.75" customHeight="1">
      <c r="A137" s="18"/>
      <c r="B137" s="58"/>
      <c r="C137" s="53" t="s">
        <v>110</v>
      </c>
      <c r="D137" s="60"/>
      <c r="E137" s="79">
        <v>0.0</v>
      </c>
      <c r="F137" s="79">
        <v>0.0</v>
      </c>
      <c r="G137" s="79">
        <v>0.0</v>
      </c>
      <c r="H137" s="79">
        <v>0.0</v>
      </c>
      <c r="I137" s="79">
        <v>0.0</v>
      </c>
      <c r="J137" s="79">
        <v>0.0</v>
      </c>
      <c r="K137" s="79">
        <v>0.0</v>
      </c>
      <c r="L137" s="79">
        <v>0.0</v>
      </c>
      <c r="M137" s="79">
        <v>0.0</v>
      </c>
      <c r="N137" s="79">
        <v>0.0</v>
      </c>
      <c r="O137" s="13">
        <f t="shared" si="28"/>
        <v>0</v>
      </c>
      <c r="P137" s="5"/>
      <c r="Q137" s="5"/>
    </row>
    <row r="138" ht="12.75" customHeight="1">
      <c r="A138" s="18"/>
      <c r="B138" s="58"/>
      <c r="C138" s="53" t="s">
        <v>111</v>
      </c>
      <c r="D138" s="60"/>
      <c r="E138" s="79">
        <v>0.0</v>
      </c>
      <c r="F138" s="79">
        <v>0.0</v>
      </c>
      <c r="G138" s="79">
        <v>0.0</v>
      </c>
      <c r="H138" s="79">
        <v>1.0</v>
      </c>
      <c r="I138" s="79">
        <v>0.0</v>
      </c>
      <c r="J138" s="79">
        <v>0.0</v>
      </c>
      <c r="K138" s="79">
        <v>0.0</v>
      </c>
      <c r="L138" s="79">
        <v>0.0</v>
      </c>
      <c r="M138" s="79">
        <v>0.0</v>
      </c>
      <c r="N138" s="79">
        <v>0.0</v>
      </c>
      <c r="O138" s="13">
        <f t="shared" si="28"/>
        <v>1</v>
      </c>
      <c r="P138" s="5"/>
      <c r="Q138" s="5"/>
    </row>
    <row r="139" ht="12.75" customHeight="1">
      <c r="A139" s="19" t="s">
        <v>14</v>
      </c>
      <c r="B139" s="50" t="s">
        <v>48</v>
      </c>
      <c r="C139" s="15"/>
      <c r="D139" s="16"/>
      <c r="E139" s="13">
        <f t="shared" ref="E139:N139" si="29">SUM(E129:E138)</f>
        <v>7</v>
      </c>
      <c r="F139" s="13">
        <f t="shared" si="29"/>
        <v>8</v>
      </c>
      <c r="G139" s="13">
        <f t="shared" si="29"/>
        <v>15</v>
      </c>
      <c r="H139" s="13">
        <f t="shared" si="29"/>
        <v>6</v>
      </c>
      <c r="I139" s="13">
        <f t="shared" si="29"/>
        <v>4</v>
      </c>
      <c r="J139" s="13">
        <f t="shared" si="29"/>
        <v>6</v>
      </c>
      <c r="K139" s="13">
        <f t="shared" si="29"/>
        <v>19</v>
      </c>
      <c r="L139" s="13">
        <f t="shared" si="29"/>
        <v>7</v>
      </c>
      <c r="M139" s="13">
        <f t="shared" si="29"/>
        <v>5</v>
      </c>
      <c r="N139" s="13">
        <f t="shared" si="29"/>
        <v>4</v>
      </c>
      <c r="O139" s="13">
        <f t="shared" si="28"/>
        <v>81</v>
      </c>
      <c r="P139" s="5"/>
      <c r="Q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5"/>
      <c r="Q140" s="5"/>
    </row>
    <row r="141" ht="12.75" customHeight="1">
      <c r="A141" s="31" t="s">
        <v>36</v>
      </c>
      <c r="B141" s="50" t="s">
        <v>112</v>
      </c>
      <c r="C141" s="51" t="s">
        <v>113</v>
      </c>
      <c r="D141" s="16"/>
      <c r="E141" s="79">
        <v>1.0</v>
      </c>
      <c r="F141" s="79">
        <v>0.0</v>
      </c>
      <c r="G141" s="79">
        <v>0.0</v>
      </c>
      <c r="H141" s="79">
        <v>0.0</v>
      </c>
      <c r="I141" s="79">
        <v>0.0</v>
      </c>
      <c r="J141" s="79">
        <v>0.0</v>
      </c>
      <c r="K141" s="79">
        <v>0.0</v>
      </c>
      <c r="L141" s="79">
        <v>0.0</v>
      </c>
      <c r="M141" s="79">
        <v>0.0</v>
      </c>
      <c r="N141" s="79">
        <v>0.0</v>
      </c>
      <c r="O141" s="13">
        <f t="shared" ref="O141:O144" si="30">SUM(E141:N141)</f>
        <v>1</v>
      </c>
      <c r="P141" s="1"/>
      <c r="Q141" s="1"/>
    </row>
    <row r="142" ht="12.75" customHeight="1">
      <c r="A142" s="31" t="s">
        <v>38</v>
      </c>
      <c r="B142" s="58"/>
      <c r="C142" s="53" t="s">
        <v>114</v>
      </c>
      <c r="D142" s="61"/>
      <c r="E142" s="79">
        <v>0.0</v>
      </c>
      <c r="F142" s="79">
        <v>0.0</v>
      </c>
      <c r="G142" s="79">
        <v>0.0</v>
      </c>
      <c r="H142" s="79">
        <v>0.0</v>
      </c>
      <c r="I142" s="79">
        <v>0.0</v>
      </c>
      <c r="J142" s="79">
        <v>0.0</v>
      </c>
      <c r="K142" s="79">
        <v>0.0</v>
      </c>
      <c r="L142" s="79">
        <v>0.0</v>
      </c>
      <c r="M142" s="79">
        <v>1.0</v>
      </c>
      <c r="N142" s="79">
        <v>0.0</v>
      </c>
      <c r="O142" s="13">
        <f t="shared" si="30"/>
        <v>1</v>
      </c>
      <c r="P142" s="55"/>
      <c r="Q142" s="55"/>
    </row>
    <row r="143" ht="12.75" customHeight="1">
      <c r="A143" s="18"/>
      <c r="B143" s="58"/>
      <c r="C143" s="53" t="s">
        <v>115</v>
      </c>
      <c r="D143" s="61"/>
      <c r="E143" s="79">
        <v>0.0</v>
      </c>
      <c r="F143" s="79">
        <v>0.0</v>
      </c>
      <c r="G143" s="79">
        <v>0.0</v>
      </c>
      <c r="H143" s="79">
        <v>0.0</v>
      </c>
      <c r="I143" s="79">
        <v>0.0</v>
      </c>
      <c r="J143" s="79">
        <v>0.0</v>
      </c>
      <c r="K143" s="79">
        <v>0.0</v>
      </c>
      <c r="L143" s="79">
        <v>0.0</v>
      </c>
      <c r="M143" s="79">
        <v>0.0</v>
      </c>
      <c r="N143" s="79">
        <v>0.0</v>
      </c>
      <c r="O143" s="13">
        <f t="shared" si="30"/>
        <v>0</v>
      </c>
      <c r="P143" s="5"/>
      <c r="Q143" s="5"/>
    </row>
    <row r="144" ht="12.75" customHeight="1">
      <c r="A144" s="18"/>
      <c r="B144" s="58"/>
      <c r="C144" s="53" t="s">
        <v>116</v>
      </c>
      <c r="D144" s="61"/>
      <c r="E144" s="79">
        <v>0.0</v>
      </c>
      <c r="F144" s="79">
        <v>0.0</v>
      </c>
      <c r="G144" s="79">
        <v>0.0</v>
      </c>
      <c r="H144" s="79">
        <v>0.0</v>
      </c>
      <c r="I144" s="79">
        <v>0.0</v>
      </c>
      <c r="J144" s="79">
        <v>0.0</v>
      </c>
      <c r="K144" s="79">
        <v>0.0</v>
      </c>
      <c r="L144" s="79">
        <v>0.0</v>
      </c>
      <c r="M144" s="79">
        <v>0.0</v>
      </c>
      <c r="N144" s="79">
        <v>0.0</v>
      </c>
      <c r="O144" s="13">
        <f t="shared" si="30"/>
        <v>0</v>
      </c>
      <c r="P144" s="5"/>
      <c r="Q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85"/>
      <c r="P145" s="5"/>
      <c r="Q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85"/>
      <c r="P146" s="5"/>
      <c r="Q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85"/>
      <c r="P147" s="5"/>
      <c r="Q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85"/>
      <c r="P148" s="5"/>
      <c r="Q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85"/>
      <c r="P149" s="5"/>
      <c r="Q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85"/>
      <c r="P150" s="5"/>
      <c r="Q150" s="5"/>
    </row>
    <row r="151" ht="12.75" customHeight="1">
      <c r="A151" s="19" t="s">
        <v>14</v>
      </c>
      <c r="B151" s="50" t="s">
        <v>48</v>
      </c>
      <c r="C151" s="15"/>
      <c r="D151" s="16"/>
      <c r="E151" s="13">
        <f t="shared" ref="E151:N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0</v>
      </c>
      <c r="O151" s="13">
        <f>SUM(E151:N151)</f>
        <v>2</v>
      </c>
      <c r="P151" s="1"/>
      <c r="Q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13"/>
      <c r="P152" s="55"/>
      <c r="Q152" s="55"/>
    </row>
    <row r="153" ht="12.75" customHeight="1">
      <c r="A153" s="31" t="s">
        <v>36</v>
      </c>
      <c r="B153" s="17" t="s">
        <v>117</v>
      </c>
      <c r="C153" s="68" t="s">
        <v>118</v>
      </c>
      <c r="D153" s="23"/>
      <c r="E153" s="79">
        <v>0.0</v>
      </c>
      <c r="F153" s="79">
        <v>0.0</v>
      </c>
      <c r="G153" s="79">
        <v>0.0</v>
      </c>
      <c r="H153" s="79">
        <v>0.0</v>
      </c>
      <c r="I153" s="79">
        <v>0.0</v>
      </c>
      <c r="J153" s="79">
        <v>0.0</v>
      </c>
      <c r="K153" s="79">
        <v>0.0</v>
      </c>
      <c r="L153" s="79">
        <v>0.0</v>
      </c>
      <c r="M153" s="79">
        <v>0.0</v>
      </c>
      <c r="N153" s="79">
        <v>0.0</v>
      </c>
      <c r="O153" s="13">
        <f t="shared" ref="O153:O156" si="32">SUM(E154:N154)</f>
        <v>1</v>
      </c>
      <c r="P153" s="5"/>
      <c r="Q153" s="5"/>
    </row>
    <row r="154" ht="12.75" customHeight="1">
      <c r="A154" s="69" t="s">
        <v>38</v>
      </c>
      <c r="B154" s="58"/>
      <c r="C154" s="53" t="s">
        <v>119</v>
      </c>
      <c r="D154" s="61"/>
      <c r="E154" s="87">
        <v>0.0</v>
      </c>
      <c r="F154" s="79">
        <v>0.0</v>
      </c>
      <c r="G154" s="79">
        <v>0.0</v>
      </c>
      <c r="H154" s="79">
        <v>0.0</v>
      </c>
      <c r="I154" s="79">
        <v>0.0</v>
      </c>
      <c r="J154" s="79">
        <v>1.0</v>
      </c>
      <c r="K154" s="79">
        <v>0.0</v>
      </c>
      <c r="L154" s="79">
        <v>0.0</v>
      </c>
      <c r="M154" s="79">
        <v>0.0</v>
      </c>
      <c r="N154" s="79">
        <v>0.0</v>
      </c>
      <c r="O154" s="13">
        <f t="shared" si="32"/>
        <v>2</v>
      </c>
      <c r="P154" s="5"/>
      <c r="Q154" s="5"/>
    </row>
    <row r="155" ht="12.75" customHeight="1">
      <c r="A155" s="18"/>
      <c r="B155" s="58"/>
      <c r="C155" s="53" t="s">
        <v>120</v>
      </c>
      <c r="D155" s="61"/>
      <c r="E155" s="87">
        <v>0.0</v>
      </c>
      <c r="F155" s="79">
        <v>0.0</v>
      </c>
      <c r="G155" s="79">
        <v>0.0</v>
      </c>
      <c r="H155" s="79">
        <v>0.0</v>
      </c>
      <c r="I155" s="79">
        <v>1.0</v>
      </c>
      <c r="J155" s="79">
        <v>0.0</v>
      </c>
      <c r="K155" s="79">
        <v>0.0</v>
      </c>
      <c r="L155" s="79">
        <v>1.0</v>
      </c>
      <c r="M155" s="79">
        <v>0.0</v>
      </c>
      <c r="N155" s="79">
        <v>0.0</v>
      </c>
      <c r="O155" s="13">
        <f t="shared" si="32"/>
        <v>0</v>
      </c>
      <c r="P155" s="5"/>
      <c r="Q155" s="5"/>
    </row>
    <row r="156" ht="12.75" customHeight="1">
      <c r="A156" s="18"/>
      <c r="B156" s="58"/>
      <c r="C156" s="53" t="s">
        <v>121</v>
      </c>
      <c r="D156" s="61"/>
      <c r="E156" s="87">
        <v>0.0</v>
      </c>
      <c r="F156" s="79">
        <v>0.0</v>
      </c>
      <c r="G156" s="79">
        <v>0.0</v>
      </c>
      <c r="H156" s="79">
        <v>0.0</v>
      </c>
      <c r="I156" s="79">
        <v>0.0</v>
      </c>
      <c r="J156" s="79">
        <v>0.0</v>
      </c>
      <c r="K156" s="79">
        <v>0.0</v>
      </c>
      <c r="L156" s="79">
        <v>0.0</v>
      </c>
      <c r="M156" s="79">
        <v>0.0</v>
      </c>
      <c r="N156" s="79">
        <v>0.0</v>
      </c>
      <c r="O156" s="13">
        <f t="shared" si="32"/>
        <v>0</v>
      </c>
      <c r="P156" s="5"/>
      <c r="Q156" s="5"/>
    </row>
    <row r="157" ht="12.75" customHeight="1">
      <c r="A157" s="18"/>
      <c r="B157" s="58"/>
      <c r="C157" s="53" t="s">
        <v>122</v>
      </c>
      <c r="D157" s="61"/>
      <c r="E157" s="87">
        <v>0.0</v>
      </c>
      <c r="F157" s="79">
        <v>0.0</v>
      </c>
      <c r="G157" s="79">
        <v>0.0</v>
      </c>
      <c r="H157" s="79">
        <v>0.0</v>
      </c>
      <c r="I157" s="79">
        <v>0.0</v>
      </c>
      <c r="J157" s="79">
        <v>0.0</v>
      </c>
      <c r="K157" s="79">
        <v>0.0</v>
      </c>
      <c r="L157" s="79">
        <v>0.0</v>
      </c>
      <c r="M157" s="79">
        <v>0.0</v>
      </c>
      <c r="N157" s="79">
        <v>0.0</v>
      </c>
      <c r="O157" s="13">
        <f t="shared" ref="O157:O160" si="33">SUM(E163:N163)</f>
        <v>3</v>
      </c>
      <c r="P157" s="5"/>
      <c r="Q157" s="5"/>
    </row>
    <row r="158" ht="12.75" customHeight="1">
      <c r="A158" s="18"/>
      <c r="B158" s="58"/>
      <c r="C158" s="53" t="s">
        <v>123</v>
      </c>
      <c r="D158" s="61"/>
      <c r="E158" s="87">
        <v>0.0</v>
      </c>
      <c r="F158" s="79">
        <v>0.0</v>
      </c>
      <c r="G158" s="79">
        <v>0.0</v>
      </c>
      <c r="H158" s="79">
        <v>0.0</v>
      </c>
      <c r="I158" s="79">
        <v>0.0</v>
      </c>
      <c r="J158" s="79">
        <v>0.0</v>
      </c>
      <c r="K158" s="79">
        <v>0.0</v>
      </c>
      <c r="L158" s="79">
        <v>0.0</v>
      </c>
      <c r="M158" s="79">
        <v>0.0</v>
      </c>
      <c r="N158" s="79">
        <v>0.0</v>
      </c>
      <c r="O158" s="13">
        <f t="shared" si="33"/>
        <v>0</v>
      </c>
      <c r="P158" s="5"/>
      <c r="Q158" s="5"/>
    </row>
    <row r="159" ht="12.75" customHeight="1">
      <c r="A159" s="18"/>
      <c r="B159" s="58"/>
      <c r="C159" s="53" t="s">
        <v>124</v>
      </c>
      <c r="D159" s="61"/>
      <c r="E159" s="87">
        <v>0.0</v>
      </c>
      <c r="F159" s="79">
        <v>0.0</v>
      </c>
      <c r="G159" s="79">
        <v>0.0</v>
      </c>
      <c r="H159" s="79">
        <v>0.0</v>
      </c>
      <c r="I159" s="79">
        <v>0.0</v>
      </c>
      <c r="J159" s="79">
        <v>0.0</v>
      </c>
      <c r="K159" s="79">
        <v>0.0</v>
      </c>
      <c r="L159" s="79">
        <v>0.0</v>
      </c>
      <c r="M159" s="79">
        <v>0.0</v>
      </c>
      <c r="N159" s="79">
        <v>0.0</v>
      </c>
      <c r="O159" s="13">
        <f t="shared" si="33"/>
        <v>0</v>
      </c>
      <c r="P159" s="5"/>
      <c r="Q159" s="5"/>
    </row>
    <row r="160" ht="12.75" customHeight="1">
      <c r="A160" s="18"/>
      <c r="B160" s="58"/>
      <c r="C160" s="53" t="s">
        <v>125</v>
      </c>
      <c r="D160" s="61"/>
      <c r="E160" s="87">
        <v>0.0</v>
      </c>
      <c r="F160" s="79">
        <v>0.0</v>
      </c>
      <c r="G160" s="79">
        <v>0.0</v>
      </c>
      <c r="H160" s="79">
        <v>0.0</v>
      </c>
      <c r="I160" s="79">
        <v>0.0</v>
      </c>
      <c r="J160" s="79">
        <v>0.0</v>
      </c>
      <c r="K160" s="79">
        <v>0.0</v>
      </c>
      <c r="L160" s="79">
        <v>0.0</v>
      </c>
      <c r="M160" s="79">
        <v>0.0</v>
      </c>
      <c r="N160" s="79">
        <v>0.0</v>
      </c>
      <c r="O160" s="13">
        <f t="shared" si="33"/>
        <v>2</v>
      </c>
      <c r="P160" s="5"/>
      <c r="Q160" s="5"/>
    </row>
    <row r="161" ht="12.75" customHeight="1">
      <c r="A161" s="18"/>
      <c r="B161" s="62"/>
      <c r="C161" s="70"/>
      <c r="D161" s="64"/>
      <c r="E161" s="86"/>
      <c r="F161" s="19"/>
      <c r="G161" s="19"/>
      <c r="H161" s="19"/>
      <c r="I161" s="19"/>
      <c r="J161" s="19"/>
      <c r="K161" s="19"/>
      <c r="L161" s="19"/>
      <c r="M161" s="19"/>
      <c r="N161" s="19"/>
      <c r="O161" s="85"/>
      <c r="P161" s="5"/>
      <c r="Q161" s="5"/>
    </row>
    <row r="162" ht="12.75" customHeight="1">
      <c r="A162" s="18"/>
      <c r="B162" s="62"/>
      <c r="C162" s="70"/>
      <c r="D162" s="64"/>
      <c r="E162" s="86"/>
      <c r="F162" s="19"/>
      <c r="G162" s="19"/>
      <c r="H162" s="19"/>
      <c r="I162" s="19"/>
      <c r="J162" s="19"/>
      <c r="K162" s="19"/>
      <c r="L162" s="19"/>
      <c r="M162" s="19"/>
      <c r="N162" s="19"/>
      <c r="O162" s="85"/>
      <c r="P162" s="5"/>
      <c r="Q162" s="5"/>
    </row>
    <row r="163" ht="12.75" customHeight="1">
      <c r="A163" s="19" t="s">
        <v>14</v>
      </c>
      <c r="B163" s="71" t="s">
        <v>48</v>
      </c>
      <c r="C163" s="47"/>
      <c r="D163" s="28"/>
      <c r="E163" s="13">
        <f t="shared" ref="E163:N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1</v>
      </c>
      <c r="J163" s="13">
        <f t="shared" si="34"/>
        <v>1</v>
      </c>
      <c r="K163" s="13">
        <f t="shared" si="34"/>
        <v>0</v>
      </c>
      <c r="L163" s="13">
        <f t="shared" si="34"/>
        <v>1</v>
      </c>
      <c r="M163" s="13">
        <f t="shared" si="34"/>
        <v>0</v>
      </c>
      <c r="N163" s="13">
        <f t="shared" si="34"/>
        <v>0</v>
      </c>
      <c r="O163" s="13">
        <f>SUM(E163:N163)</f>
        <v>3</v>
      </c>
      <c r="P163" s="5"/>
      <c r="Q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5"/>
      <c r="Q164" s="5"/>
    </row>
    <row r="165" ht="12.75" customHeight="1">
      <c r="A165" s="31" t="s">
        <v>36</v>
      </c>
      <c r="B165" s="50" t="s">
        <v>126</v>
      </c>
      <c r="C165" s="51" t="s">
        <v>127</v>
      </c>
      <c r="D165" s="16"/>
      <c r="E165" s="79">
        <v>0.0</v>
      </c>
      <c r="F165" s="79">
        <v>0.0</v>
      </c>
      <c r="G165" s="79">
        <v>0.0</v>
      </c>
      <c r="H165" s="79">
        <v>0.0</v>
      </c>
      <c r="I165" s="79">
        <v>0.0</v>
      </c>
      <c r="J165" s="79">
        <v>0.0</v>
      </c>
      <c r="K165" s="79">
        <v>0.0</v>
      </c>
      <c r="L165" s="79">
        <v>0.0</v>
      </c>
      <c r="M165" s="79">
        <v>0.0</v>
      </c>
      <c r="N165" s="79">
        <v>0.0</v>
      </c>
      <c r="O165" s="13">
        <f t="shared" ref="O165:O166" si="35">SUM(E165:N165)</f>
        <v>0</v>
      </c>
      <c r="P165" s="1"/>
      <c r="Q165" s="1"/>
    </row>
    <row r="166" ht="12.75" customHeight="1">
      <c r="A166" s="31" t="s">
        <v>38</v>
      </c>
      <c r="B166" s="58"/>
      <c r="C166" s="53" t="s">
        <v>128</v>
      </c>
      <c r="D166" s="61"/>
      <c r="E166" s="79">
        <v>0.0</v>
      </c>
      <c r="F166" s="79">
        <v>0.0</v>
      </c>
      <c r="G166" s="79">
        <v>1.0</v>
      </c>
      <c r="H166" s="79">
        <v>0.0</v>
      </c>
      <c r="I166" s="79">
        <v>0.0</v>
      </c>
      <c r="J166" s="79">
        <v>0.0</v>
      </c>
      <c r="K166" s="79">
        <v>1.0</v>
      </c>
      <c r="L166" s="79">
        <v>0.0</v>
      </c>
      <c r="M166" s="79">
        <v>0.0</v>
      </c>
      <c r="N166" s="79">
        <v>0.0</v>
      </c>
      <c r="O166" s="13">
        <f t="shared" si="35"/>
        <v>2</v>
      </c>
      <c r="P166" s="55"/>
      <c r="Q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85"/>
      <c r="P167" s="5"/>
      <c r="Q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85"/>
      <c r="P168" s="5"/>
      <c r="Q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85"/>
      <c r="P169" s="5"/>
      <c r="Q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85"/>
      <c r="P170" s="5"/>
      <c r="Q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85"/>
      <c r="P171" s="5"/>
      <c r="Q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85"/>
      <c r="P172" s="5"/>
      <c r="Q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85"/>
      <c r="P173" s="5"/>
      <c r="Q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85"/>
      <c r="P174" s="5"/>
      <c r="Q174" s="5"/>
    </row>
    <row r="175" ht="12.75" customHeight="1">
      <c r="A175" s="19" t="s">
        <v>14</v>
      </c>
      <c r="B175" s="50" t="s">
        <v>48</v>
      </c>
      <c r="C175" s="15"/>
      <c r="D175" s="16"/>
      <c r="E175" s="13">
        <f t="shared" ref="E175:N175" si="36">SUM(E165:E174)</f>
        <v>0</v>
      </c>
      <c r="F175" s="13">
        <f t="shared" si="36"/>
        <v>0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>SUM(E175:N175)</f>
        <v>2</v>
      </c>
      <c r="P175" s="5"/>
      <c r="Q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1"/>
      <c r="Q176" s="1"/>
    </row>
    <row r="177" ht="12.75" customHeight="1">
      <c r="A177" s="31" t="s">
        <v>36</v>
      </c>
      <c r="B177" s="50" t="s">
        <v>129</v>
      </c>
      <c r="C177" s="51" t="s">
        <v>130</v>
      </c>
      <c r="D177" s="16"/>
      <c r="E177" s="79">
        <v>0.0</v>
      </c>
      <c r="F177" s="79">
        <v>0.0</v>
      </c>
      <c r="G177" s="79">
        <v>0.0</v>
      </c>
      <c r="H177" s="79">
        <v>2.0</v>
      </c>
      <c r="I177" s="79">
        <v>0.0</v>
      </c>
      <c r="J177" s="79">
        <v>0.0</v>
      </c>
      <c r="K177" s="79">
        <v>0.0</v>
      </c>
      <c r="L177" s="79">
        <v>0.0</v>
      </c>
      <c r="M177" s="79">
        <v>0.0</v>
      </c>
      <c r="N177" s="79">
        <v>0.0</v>
      </c>
      <c r="O177" s="13">
        <f t="shared" ref="O177:O187" si="37">SUM(E177:N177)</f>
        <v>2</v>
      </c>
    </row>
    <row r="178" ht="12.75" customHeight="1">
      <c r="A178" s="31" t="s">
        <v>38</v>
      </c>
      <c r="B178" s="58"/>
      <c r="C178" s="53" t="s">
        <v>131</v>
      </c>
      <c r="D178" s="61"/>
      <c r="E178" s="79">
        <v>0.0</v>
      </c>
      <c r="F178" s="79">
        <v>2.0</v>
      </c>
      <c r="G178" s="79">
        <v>0.0</v>
      </c>
      <c r="H178" s="79">
        <v>2.0</v>
      </c>
      <c r="I178" s="79">
        <v>3.0</v>
      </c>
      <c r="J178" s="79">
        <v>10.0</v>
      </c>
      <c r="K178" s="79">
        <v>2.0</v>
      </c>
      <c r="L178" s="79">
        <v>0.0</v>
      </c>
      <c r="M178" s="79">
        <v>0.0</v>
      </c>
      <c r="N178" s="79">
        <v>0.0</v>
      </c>
      <c r="O178" s="13">
        <f t="shared" si="37"/>
        <v>19</v>
      </c>
      <c r="P178" s="5"/>
      <c r="Q178" s="5"/>
    </row>
    <row r="179" ht="12.75" customHeight="1">
      <c r="A179" s="18"/>
      <c r="B179" s="58"/>
      <c r="C179" s="53" t="s">
        <v>132</v>
      </c>
      <c r="D179" s="61"/>
      <c r="E179" s="79">
        <v>0.0</v>
      </c>
      <c r="F179" s="79">
        <v>0.0</v>
      </c>
      <c r="G179" s="79">
        <v>0.0</v>
      </c>
      <c r="H179" s="79">
        <v>0.0</v>
      </c>
      <c r="I179" s="79">
        <v>0.0</v>
      </c>
      <c r="J179" s="79">
        <v>0.0</v>
      </c>
      <c r="K179" s="79">
        <v>0.0</v>
      </c>
      <c r="L179" s="79">
        <v>0.0</v>
      </c>
      <c r="M179" s="79">
        <v>0.0</v>
      </c>
      <c r="N179" s="79">
        <v>0.0</v>
      </c>
      <c r="O179" s="13">
        <f t="shared" si="37"/>
        <v>0</v>
      </c>
      <c r="P179" s="5"/>
      <c r="Q179" s="5"/>
    </row>
    <row r="180" ht="12.75" customHeight="1">
      <c r="A180" s="18"/>
      <c r="B180" s="58"/>
      <c r="C180" s="53" t="s">
        <v>133</v>
      </c>
      <c r="D180" s="61"/>
      <c r="E180" s="79">
        <v>0.0</v>
      </c>
      <c r="F180" s="79">
        <v>0.0</v>
      </c>
      <c r="G180" s="79">
        <v>0.0</v>
      </c>
      <c r="H180" s="79">
        <v>0.0</v>
      </c>
      <c r="I180" s="79">
        <v>1.0</v>
      </c>
      <c r="J180" s="79">
        <v>1.0</v>
      </c>
      <c r="K180" s="79">
        <v>0.0</v>
      </c>
      <c r="L180" s="79">
        <v>0.0</v>
      </c>
      <c r="M180" s="79">
        <v>0.0</v>
      </c>
      <c r="N180" s="79">
        <v>0.0</v>
      </c>
      <c r="O180" s="13">
        <f t="shared" si="37"/>
        <v>2</v>
      </c>
      <c r="P180" s="5"/>
      <c r="Q180" s="5"/>
    </row>
    <row r="181" ht="12.75" customHeight="1">
      <c r="A181" s="18"/>
      <c r="B181" s="58"/>
      <c r="C181" s="53" t="s">
        <v>134</v>
      </c>
      <c r="D181" s="61"/>
      <c r="E181" s="79">
        <v>0.0</v>
      </c>
      <c r="F181" s="79">
        <v>0.0</v>
      </c>
      <c r="G181" s="79">
        <v>0.0</v>
      </c>
      <c r="H181" s="79">
        <v>0.0</v>
      </c>
      <c r="I181" s="79">
        <v>1.0</v>
      </c>
      <c r="J181" s="79">
        <v>0.0</v>
      </c>
      <c r="K181" s="79">
        <v>0.0</v>
      </c>
      <c r="L181" s="79">
        <v>0.0</v>
      </c>
      <c r="M181" s="79">
        <v>0.0</v>
      </c>
      <c r="N181" s="79">
        <v>0.0</v>
      </c>
      <c r="O181" s="13">
        <f t="shared" si="37"/>
        <v>1</v>
      </c>
      <c r="P181" s="5"/>
      <c r="Q181" s="5"/>
    </row>
    <row r="182" ht="12.75" customHeight="1">
      <c r="A182" s="18"/>
      <c r="B182" s="58"/>
      <c r="C182" s="53" t="s">
        <v>135</v>
      </c>
      <c r="D182" s="61"/>
      <c r="E182" s="79">
        <v>0.0</v>
      </c>
      <c r="F182" s="79">
        <v>0.0</v>
      </c>
      <c r="G182" s="79">
        <v>0.0</v>
      </c>
      <c r="H182" s="79">
        <v>0.0</v>
      </c>
      <c r="I182" s="79">
        <v>0.0</v>
      </c>
      <c r="J182" s="79">
        <v>0.0</v>
      </c>
      <c r="K182" s="79">
        <v>0.0</v>
      </c>
      <c r="L182" s="79">
        <v>0.0</v>
      </c>
      <c r="M182" s="79">
        <v>0.0</v>
      </c>
      <c r="N182" s="79">
        <v>0.0</v>
      </c>
      <c r="O182" s="13">
        <f t="shared" si="37"/>
        <v>0</v>
      </c>
      <c r="P182" s="5"/>
      <c r="Q182" s="5"/>
    </row>
    <row r="183" ht="12.75" customHeight="1">
      <c r="A183" s="18"/>
      <c r="B183" s="58"/>
      <c r="C183" s="53" t="s">
        <v>136</v>
      </c>
      <c r="D183" s="61"/>
      <c r="E183" s="79">
        <v>0.0</v>
      </c>
      <c r="F183" s="79">
        <v>0.0</v>
      </c>
      <c r="G183" s="79">
        <v>0.0</v>
      </c>
      <c r="H183" s="79">
        <v>0.0</v>
      </c>
      <c r="I183" s="79">
        <v>0.0</v>
      </c>
      <c r="J183" s="79">
        <v>0.0</v>
      </c>
      <c r="K183" s="79">
        <v>0.0</v>
      </c>
      <c r="L183" s="79">
        <v>0.0</v>
      </c>
      <c r="M183" s="79">
        <v>0.0</v>
      </c>
      <c r="N183" s="79">
        <v>0.0</v>
      </c>
      <c r="O183" s="13">
        <f t="shared" si="37"/>
        <v>0</v>
      </c>
      <c r="P183" s="5"/>
      <c r="Q183" s="5"/>
    </row>
    <row r="184" ht="12.75" customHeight="1">
      <c r="A184" s="18"/>
      <c r="B184" s="58"/>
      <c r="C184" s="53" t="s">
        <v>137</v>
      </c>
      <c r="D184" s="61"/>
      <c r="E184" s="79">
        <v>0.0</v>
      </c>
      <c r="F184" s="79">
        <v>0.0</v>
      </c>
      <c r="G184" s="79">
        <v>0.0</v>
      </c>
      <c r="H184" s="79">
        <v>0.0</v>
      </c>
      <c r="I184" s="79">
        <v>0.0</v>
      </c>
      <c r="J184" s="79">
        <v>0.0</v>
      </c>
      <c r="K184" s="79">
        <v>0.0</v>
      </c>
      <c r="L184" s="79">
        <v>0.0</v>
      </c>
      <c r="M184" s="79">
        <v>0.0</v>
      </c>
      <c r="N184" s="79">
        <v>0.0</v>
      </c>
      <c r="O184" s="13">
        <f t="shared" si="37"/>
        <v>0</v>
      </c>
      <c r="P184" s="5"/>
      <c r="Q184" s="5"/>
    </row>
    <row r="185" ht="12.75" customHeight="1">
      <c r="A185" s="18"/>
      <c r="B185" s="58"/>
      <c r="C185" s="53" t="s">
        <v>138</v>
      </c>
      <c r="D185" s="61"/>
      <c r="E185" s="79">
        <v>0.0</v>
      </c>
      <c r="F185" s="79">
        <v>0.0</v>
      </c>
      <c r="G185" s="79">
        <v>0.0</v>
      </c>
      <c r="H185" s="79">
        <v>0.0</v>
      </c>
      <c r="I185" s="79">
        <v>0.0</v>
      </c>
      <c r="J185" s="79">
        <v>0.0</v>
      </c>
      <c r="K185" s="79">
        <v>0.0</v>
      </c>
      <c r="L185" s="79">
        <v>0.0</v>
      </c>
      <c r="M185" s="79">
        <v>0.0</v>
      </c>
      <c r="N185" s="79">
        <v>0.0</v>
      </c>
      <c r="O185" s="13">
        <f t="shared" si="37"/>
        <v>0</v>
      </c>
      <c r="P185" s="5"/>
      <c r="Q185" s="5"/>
    </row>
    <row r="186" ht="12.75" customHeight="1">
      <c r="A186" s="18"/>
      <c r="B186" s="58"/>
      <c r="C186" s="53" t="s">
        <v>139</v>
      </c>
      <c r="D186" s="61"/>
      <c r="E186" s="79">
        <v>0.0</v>
      </c>
      <c r="F186" s="79">
        <v>0.0</v>
      </c>
      <c r="G186" s="79">
        <v>0.0</v>
      </c>
      <c r="H186" s="79">
        <v>0.0</v>
      </c>
      <c r="I186" s="79">
        <v>0.0</v>
      </c>
      <c r="J186" s="79">
        <v>0.0</v>
      </c>
      <c r="K186" s="79">
        <v>0.0</v>
      </c>
      <c r="L186" s="79">
        <v>0.0</v>
      </c>
      <c r="M186" s="79">
        <v>0.0</v>
      </c>
      <c r="N186" s="79">
        <v>0.0</v>
      </c>
      <c r="O186" s="13">
        <f t="shared" si="37"/>
        <v>0</v>
      </c>
      <c r="P186" s="5"/>
      <c r="Q186" s="5"/>
    </row>
    <row r="187" ht="12.75" customHeight="1">
      <c r="A187" s="19" t="s">
        <v>14</v>
      </c>
      <c r="B187" s="50" t="s">
        <v>48</v>
      </c>
      <c r="C187" s="15"/>
      <c r="D187" s="16"/>
      <c r="E187" s="13">
        <f t="shared" ref="E187:N187" si="38">SUM(E177:E186)</f>
        <v>0</v>
      </c>
      <c r="F187" s="13">
        <f t="shared" si="38"/>
        <v>2</v>
      </c>
      <c r="G187" s="13">
        <f t="shared" si="38"/>
        <v>0</v>
      </c>
      <c r="H187" s="13">
        <f t="shared" si="38"/>
        <v>4</v>
      </c>
      <c r="I187" s="13">
        <f t="shared" si="38"/>
        <v>5</v>
      </c>
      <c r="J187" s="13">
        <f t="shared" si="38"/>
        <v>11</v>
      </c>
      <c r="K187" s="13">
        <f t="shared" si="38"/>
        <v>2</v>
      </c>
      <c r="L187" s="13">
        <f t="shared" si="38"/>
        <v>0</v>
      </c>
      <c r="M187" s="13">
        <f t="shared" si="38"/>
        <v>0</v>
      </c>
      <c r="N187" s="13">
        <f t="shared" si="38"/>
        <v>0</v>
      </c>
      <c r="O187" s="13">
        <f t="shared" si="37"/>
        <v>24</v>
      </c>
      <c r="P187" s="1"/>
      <c r="Q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13"/>
    </row>
    <row r="189" ht="12.75" customHeight="1">
      <c r="A189" s="31" t="s">
        <v>36</v>
      </c>
      <c r="B189" s="50" t="s">
        <v>140</v>
      </c>
      <c r="C189" s="51" t="s">
        <v>141</v>
      </c>
      <c r="D189" s="16"/>
      <c r="E189" s="79">
        <v>1.0</v>
      </c>
      <c r="F189" s="79">
        <v>0.0</v>
      </c>
      <c r="G189" s="79">
        <v>0.0</v>
      </c>
      <c r="H189" s="79">
        <v>0.0</v>
      </c>
      <c r="I189" s="79">
        <v>0.0</v>
      </c>
      <c r="J189" s="79">
        <v>0.0</v>
      </c>
      <c r="K189" s="79">
        <v>0.0</v>
      </c>
      <c r="L189" s="79">
        <v>0.0</v>
      </c>
      <c r="M189" s="79">
        <v>1.0</v>
      </c>
      <c r="N189" s="79">
        <v>0.0</v>
      </c>
      <c r="O189" s="13">
        <f t="shared" ref="O189:O199" si="39">SUM(E189:N189)</f>
        <v>2</v>
      </c>
      <c r="P189" s="5"/>
      <c r="Q189" s="5"/>
    </row>
    <row r="190" ht="12.75" customHeight="1">
      <c r="A190" s="31" t="s">
        <v>38</v>
      </c>
      <c r="B190" s="58"/>
      <c r="C190" s="53" t="s">
        <v>142</v>
      </c>
      <c r="D190" s="61"/>
      <c r="E190" s="79">
        <v>0.0</v>
      </c>
      <c r="F190" s="79">
        <v>0.0</v>
      </c>
      <c r="G190" s="79">
        <v>0.0</v>
      </c>
      <c r="H190" s="79">
        <v>0.0</v>
      </c>
      <c r="I190" s="79">
        <v>0.0</v>
      </c>
      <c r="J190" s="79">
        <v>0.0</v>
      </c>
      <c r="K190" s="79">
        <v>0.0</v>
      </c>
      <c r="L190" s="79">
        <v>0.0</v>
      </c>
      <c r="M190" s="79">
        <v>0.0</v>
      </c>
      <c r="N190" s="79">
        <v>0.0</v>
      </c>
      <c r="O190" s="13">
        <f t="shared" si="39"/>
        <v>0</v>
      </c>
      <c r="P190" s="5"/>
      <c r="Q190" s="5"/>
    </row>
    <row r="191" ht="12.75" customHeight="1">
      <c r="A191" s="18"/>
      <c r="B191" s="58"/>
      <c r="C191" s="53" t="s">
        <v>143</v>
      </c>
      <c r="D191" s="61"/>
      <c r="E191" s="79">
        <v>0.0</v>
      </c>
      <c r="F191" s="79">
        <v>1.0</v>
      </c>
      <c r="G191" s="79">
        <v>0.0</v>
      </c>
      <c r="H191" s="79">
        <v>0.0</v>
      </c>
      <c r="I191" s="79">
        <v>0.0</v>
      </c>
      <c r="J191" s="79">
        <v>0.0</v>
      </c>
      <c r="K191" s="79">
        <v>0.0</v>
      </c>
      <c r="L191" s="79">
        <v>0.0</v>
      </c>
      <c r="M191" s="79">
        <v>0.0</v>
      </c>
      <c r="N191" s="79">
        <v>0.0</v>
      </c>
      <c r="O191" s="13">
        <f t="shared" si="39"/>
        <v>1</v>
      </c>
      <c r="P191" s="5"/>
      <c r="Q191" s="5"/>
    </row>
    <row r="192" ht="12.75" customHeight="1">
      <c r="A192" s="18"/>
      <c r="B192" s="58"/>
      <c r="C192" s="53" t="s">
        <v>144</v>
      </c>
      <c r="D192" s="61"/>
      <c r="E192" s="79">
        <v>0.0</v>
      </c>
      <c r="F192" s="79">
        <v>0.0</v>
      </c>
      <c r="G192" s="79">
        <v>0.0</v>
      </c>
      <c r="H192" s="79">
        <v>0.0</v>
      </c>
      <c r="I192" s="79">
        <v>0.0</v>
      </c>
      <c r="J192" s="79">
        <v>0.0</v>
      </c>
      <c r="K192" s="79">
        <v>0.0</v>
      </c>
      <c r="L192" s="79">
        <v>0.0</v>
      </c>
      <c r="M192" s="79">
        <v>0.0</v>
      </c>
      <c r="N192" s="79">
        <v>0.0</v>
      </c>
      <c r="O192" s="13">
        <f t="shared" si="39"/>
        <v>0</v>
      </c>
      <c r="P192" s="5"/>
      <c r="Q192" s="5"/>
    </row>
    <row r="193" ht="12.75" customHeight="1">
      <c r="A193" s="18"/>
      <c r="B193" s="58"/>
      <c r="C193" s="53" t="s">
        <v>145</v>
      </c>
      <c r="D193" s="61"/>
      <c r="E193" s="79">
        <v>0.0</v>
      </c>
      <c r="F193" s="79">
        <v>0.0</v>
      </c>
      <c r="G193" s="79">
        <v>0.0</v>
      </c>
      <c r="H193" s="79">
        <v>0.0</v>
      </c>
      <c r="I193" s="79">
        <v>0.0</v>
      </c>
      <c r="J193" s="79">
        <v>1.0</v>
      </c>
      <c r="K193" s="79">
        <v>0.0</v>
      </c>
      <c r="L193" s="79">
        <v>3.0</v>
      </c>
      <c r="M193" s="79">
        <v>3.0</v>
      </c>
      <c r="N193" s="79">
        <v>0.0</v>
      </c>
      <c r="O193" s="13">
        <f t="shared" si="39"/>
        <v>7</v>
      </c>
      <c r="P193" s="5"/>
      <c r="Q193" s="5"/>
    </row>
    <row r="194" ht="12.75" customHeight="1">
      <c r="A194" s="18"/>
      <c r="B194" s="58"/>
      <c r="C194" s="53" t="s">
        <v>146</v>
      </c>
      <c r="D194" s="61"/>
      <c r="E194" s="79">
        <v>0.0</v>
      </c>
      <c r="F194" s="79">
        <v>0.0</v>
      </c>
      <c r="G194" s="79">
        <v>0.0</v>
      </c>
      <c r="H194" s="79">
        <v>0.0</v>
      </c>
      <c r="I194" s="79">
        <v>0.0</v>
      </c>
      <c r="J194" s="79">
        <v>0.0</v>
      </c>
      <c r="K194" s="79">
        <v>0.0</v>
      </c>
      <c r="L194" s="79">
        <v>0.0</v>
      </c>
      <c r="M194" s="79">
        <v>0.0</v>
      </c>
      <c r="N194" s="79">
        <v>0.0</v>
      </c>
      <c r="O194" s="13">
        <f t="shared" si="39"/>
        <v>0</v>
      </c>
      <c r="P194" s="5"/>
      <c r="Q194" s="5"/>
    </row>
    <row r="195" ht="12.75" customHeight="1">
      <c r="A195" s="18"/>
      <c r="B195" s="58"/>
      <c r="C195" s="53" t="s">
        <v>147</v>
      </c>
      <c r="D195" s="61"/>
      <c r="E195" s="79">
        <v>0.0</v>
      </c>
      <c r="F195" s="79">
        <v>0.0</v>
      </c>
      <c r="G195" s="79">
        <v>0.0</v>
      </c>
      <c r="H195" s="79">
        <v>0.0</v>
      </c>
      <c r="I195" s="79">
        <v>0.0</v>
      </c>
      <c r="J195" s="79">
        <v>0.0</v>
      </c>
      <c r="K195" s="79">
        <v>0.0</v>
      </c>
      <c r="L195" s="79">
        <v>0.0</v>
      </c>
      <c r="M195" s="79">
        <v>0.0</v>
      </c>
      <c r="N195" s="79">
        <v>0.0</v>
      </c>
      <c r="O195" s="13">
        <f t="shared" si="39"/>
        <v>0</v>
      </c>
      <c r="P195" s="5"/>
      <c r="Q195" s="5"/>
    </row>
    <row r="196" ht="12.75" customHeight="1">
      <c r="A196" s="18"/>
      <c r="B196" s="58"/>
      <c r="C196" s="53" t="s">
        <v>148</v>
      </c>
      <c r="D196" s="61"/>
      <c r="E196" s="79">
        <v>0.0</v>
      </c>
      <c r="F196" s="79">
        <v>0.0</v>
      </c>
      <c r="G196" s="79">
        <v>0.0</v>
      </c>
      <c r="H196" s="79">
        <v>0.0</v>
      </c>
      <c r="I196" s="79">
        <v>0.0</v>
      </c>
      <c r="J196" s="79">
        <v>0.0</v>
      </c>
      <c r="K196" s="79">
        <v>0.0</v>
      </c>
      <c r="L196" s="79">
        <v>0.0</v>
      </c>
      <c r="M196" s="79">
        <v>0.0</v>
      </c>
      <c r="N196" s="79">
        <v>0.0</v>
      </c>
      <c r="O196" s="13">
        <f t="shared" si="39"/>
        <v>0</v>
      </c>
      <c r="P196" s="1"/>
      <c r="Q196" s="1"/>
    </row>
    <row r="197" ht="12.75" customHeight="1">
      <c r="A197" s="18"/>
      <c r="B197" s="58"/>
      <c r="C197" s="53" t="s">
        <v>149</v>
      </c>
      <c r="D197" s="61"/>
      <c r="E197" s="79">
        <v>0.0</v>
      </c>
      <c r="F197" s="79">
        <v>0.0</v>
      </c>
      <c r="G197" s="79">
        <v>0.0</v>
      </c>
      <c r="H197" s="79">
        <v>0.0</v>
      </c>
      <c r="I197" s="79">
        <v>0.0</v>
      </c>
      <c r="J197" s="79">
        <v>0.0</v>
      </c>
      <c r="K197" s="79">
        <v>0.0</v>
      </c>
      <c r="L197" s="79">
        <v>0.0</v>
      </c>
      <c r="M197" s="79">
        <v>0.0</v>
      </c>
      <c r="N197" s="79">
        <v>0.0</v>
      </c>
      <c r="O197" s="13">
        <f t="shared" si="39"/>
        <v>0</v>
      </c>
      <c r="P197" s="1"/>
      <c r="Q197" s="1"/>
    </row>
    <row r="198" ht="12.75" customHeight="1">
      <c r="A198" s="18"/>
      <c r="B198" s="58"/>
      <c r="C198" s="53" t="s">
        <v>150</v>
      </c>
      <c r="D198" s="61"/>
      <c r="E198" s="79">
        <v>0.0</v>
      </c>
      <c r="F198" s="79">
        <v>0.0</v>
      </c>
      <c r="G198" s="79">
        <v>0.0</v>
      </c>
      <c r="H198" s="79">
        <v>0.0</v>
      </c>
      <c r="I198" s="79">
        <v>0.0</v>
      </c>
      <c r="J198" s="79">
        <v>0.0</v>
      </c>
      <c r="K198" s="79">
        <v>0.0</v>
      </c>
      <c r="L198" s="79">
        <v>0.0</v>
      </c>
      <c r="M198" s="79">
        <v>0.0</v>
      </c>
      <c r="N198" s="79">
        <v>0.0</v>
      </c>
      <c r="O198" s="13">
        <f t="shared" si="39"/>
        <v>0</v>
      </c>
      <c r="P198" s="1"/>
      <c r="Q198" s="1"/>
    </row>
    <row r="199" ht="12.75" customHeight="1">
      <c r="A199" s="19" t="s">
        <v>14</v>
      </c>
      <c r="B199" s="50" t="s">
        <v>48</v>
      </c>
      <c r="C199" s="15"/>
      <c r="D199" s="16"/>
      <c r="E199" s="13">
        <f t="shared" ref="E199:N199" si="40">SUM(E189:E198)</f>
        <v>1</v>
      </c>
      <c r="F199" s="13">
        <f t="shared" si="40"/>
        <v>1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1</v>
      </c>
      <c r="K199" s="13">
        <f t="shared" si="40"/>
        <v>0</v>
      </c>
      <c r="L199" s="13">
        <f t="shared" si="40"/>
        <v>3</v>
      </c>
      <c r="M199" s="13">
        <f t="shared" si="40"/>
        <v>4</v>
      </c>
      <c r="N199" s="13">
        <f t="shared" si="40"/>
        <v>0</v>
      </c>
      <c r="O199" s="13">
        <f t="shared" si="39"/>
        <v>10</v>
      </c>
      <c r="P199" s="55"/>
      <c r="Q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5"/>
      <c r="Q200" s="5"/>
    </row>
    <row r="201" ht="12.75" customHeight="1">
      <c r="A201" s="31" t="s">
        <v>36</v>
      </c>
      <c r="B201" s="50" t="s">
        <v>151</v>
      </c>
      <c r="C201" s="51" t="s">
        <v>152</v>
      </c>
      <c r="D201" s="16"/>
      <c r="E201" s="79">
        <v>9.0</v>
      </c>
      <c r="F201" s="79">
        <v>12.0</v>
      </c>
      <c r="G201" s="79">
        <v>3.0</v>
      </c>
      <c r="H201" s="79">
        <v>1.0</v>
      </c>
      <c r="I201" s="79">
        <v>2.0</v>
      </c>
      <c r="J201" s="79">
        <v>1.0</v>
      </c>
      <c r="K201" s="79">
        <v>2.0</v>
      </c>
      <c r="L201" s="79">
        <v>0.0</v>
      </c>
      <c r="M201" s="79">
        <v>0.0</v>
      </c>
      <c r="N201" s="79">
        <v>0.0</v>
      </c>
      <c r="O201" s="13">
        <f t="shared" ref="O201:O211" si="41">SUM(E201:N201)</f>
        <v>30</v>
      </c>
      <c r="P201" s="5"/>
      <c r="Q201" s="5"/>
    </row>
    <row r="202" ht="12.75" customHeight="1">
      <c r="A202" s="31" t="s">
        <v>38</v>
      </c>
      <c r="B202" s="58"/>
      <c r="C202" s="53" t="s">
        <v>153</v>
      </c>
      <c r="D202" s="61"/>
      <c r="E202" s="79">
        <v>11.0</v>
      </c>
      <c r="F202" s="79">
        <v>31.0</v>
      </c>
      <c r="G202" s="79">
        <v>6.0</v>
      </c>
      <c r="H202" s="79">
        <v>2.0</v>
      </c>
      <c r="I202" s="79">
        <v>3.0</v>
      </c>
      <c r="J202" s="79">
        <v>3.0</v>
      </c>
      <c r="K202" s="79">
        <v>8.0</v>
      </c>
      <c r="L202" s="79">
        <v>1.0</v>
      </c>
      <c r="M202" s="79">
        <v>7.0</v>
      </c>
      <c r="N202" s="79">
        <v>1.0</v>
      </c>
      <c r="O202" s="13">
        <f t="shared" si="41"/>
        <v>73</v>
      </c>
      <c r="P202" s="5"/>
      <c r="Q202" s="5"/>
    </row>
    <row r="203" ht="12.75" customHeight="1">
      <c r="A203" s="18"/>
      <c r="B203" s="58"/>
      <c r="C203" s="53" t="s">
        <v>154</v>
      </c>
      <c r="D203" s="61"/>
      <c r="E203" s="79">
        <v>1.0</v>
      </c>
      <c r="F203" s="79">
        <v>4.0</v>
      </c>
      <c r="G203" s="79">
        <v>0.0</v>
      </c>
      <c r="H203" s="79">
        <v>3.0</v>
      </c>
      <c r="I203" s="79">
        <v>0.0</v>
      </c>
      <c r="J203" s="79">
        <v>0.0</v>
      </c>
      <c r="K203" s="79">
        <v>1.0</v>
      </c>
      <c r="L203" s="79">
        <v>0.0</v>
      </c>
      <c r="M203" s="79">
        <v>2.0</v>
      </c>
      <c r="N203" s="79">
        <v>0.0</v>
      </c>
      <c r="O203" s="13">
        <f t="shared" si="41"/>
        <v>11</v>
      </c>
      <c r="P203" s="5"/>
      <c r="Q203" s="5"/>
    </row>
    <row r="204" ht="12.75" customHeight="1">
      <c r="A204" s="18"/>
      <c r="B204" s="58"/>
      <c r="C204" s="53" t="s">
        <v>155</v>
      </c>
      <c r="D204" s="61"/>
      <c r="E204" s="79">
        <v>1.0</v>
      </c>
      <c r="F204" s="79">
        <v>0.0</v>
      </c>
      <c r="G204" s="79">
        <v>0.0</v>
      </c>
      <c r="H204" s="79">
        <v>0.0</v>
      </c>
      <c r="I204" s="79">
        <v>0.0</v>
      </c>
      <c r="J204" s="79">
        <v>0.0</v>
      </c>
      <c r="K204" s="79">
        <v>0.0</v>
      </c>
      <c r="L204" s="79">
        <v>0.0</v>
      </c>
      <c r="M204" s="79">
        <v>0.0</v>
      </c>
      <c r="N204" s="79">
        <v>1.0</v>
      </c>
      <c r="O204" s="13">
        <f t="shared" si="41"/>
        <v>2</v>
      </c>
      <c r="P204" s="5"/>
      <c r="Q204" s="5"/>
    </row>
    <row r="205" ht="12.75" customHeight="1">
      <c r="A205" s="18"/>
      <c r="B205" s="58"/>
      <c r="C205" s="53" t="s">
        <v>156</v>
      </c>
      <c r="D205" s="61"/>
      <c r="E205" s="79">
        <v>1.0</v>
      </c>
      <c r="F205" s="79">
        <v>1.0</v>
      </c>
      <c r="G205" s="79">
        <v>0.0</v>
      </c>
      <c r="H205" s="79">
        <v>0.0</v>
      </c>
      <c r="I205" s="79">
        <v>0.0</v>
      </c>
      <c r="J205" s="79">
        <v>0.0</v>
      </c>
      <c r="K205" s="79">
        <v>0.0</v>
      </c>
      <c r="L205" s="79">
        <v>1.0</v>
      </c>
      <c r="M205" s="79">
        <v>0.0</v>
      </c>
      <c r="N205" s="79">
        <v>0.0</v>
      </c>
      <c r="O205" s="13">
        <f t="shared" si="41"/>
        <v>3</v>
      </c>
      <c r="P205" s="5"/>
      <c r="Q205" s="5"/>
    </row>
    <row r="206" ht="12.75" customHeight="1">
      <c r="A206" s="18"/>
      <c r="B206" s="58"/>
      <c r="C206" s="53" t="s">
        <v>157</v>
      </c>
      <c r="D206" s="61"/>
      <c r="E206" s="79">
        <v>0.0</v>
      </c>
      <c r="F206" s="79">
        <v>0.0</v>
      </c>
      <c r="G206" s="79">
        <v>0.0</v>
      </c>
      <c r="H206" s="79">
        <v>0.0</v>
      </c>
      <c r="I206" s="79">
        <v>0.0</v>
      </c>
      <c r="J206" s="79">
        <v>0.0</v>
      </c>
      <c r="K206" s="79">
        <v>0.0</v>
      </c>
      <c r="L206" s="79">
        <v>0.0</v>
      </c>
      <c r="M206" s="79">
        <v>0.0</v>
      </c>
      <c r="N206" s="79">
        <v>0.0</v>
      </c>
      <c r="O206" s="13">
        <f t="shared" si="41"/>
        <v>0</v>
      </c>
      <c r="P206" s="5"/>
      <c r="Q206" s="5"/>
    </row>
    <row r="207" ht="12.75" customHeight="1">
      <c r="A207" s="18"/>
      <c r="B207" s="58"/>
      <c r="C207" s="53" t="s">
        <v>158</v>
      </c>
      <c r="D207" s="61"/>
      <c r="E207" s="79">
        <v>0.0</v>
      </c>
      <c r="F207" s="79">
        <v>0.0</v>
      </c>
      <c r="G207" s="79">
        <v>0.0</v>
      </c>
      <c r="H207" s="79">
        <v>0.0</v>
      </c>
      <c r="I207" s="79">
        <v>0.0</v>
      </c>
      <c r="J207" s="79">
        <v>0.0</v>
      </c>
      <c r="K207" s="79">
        <v>0.0</v>
      </c>
      <c r="L207" s="79">
        <v>0.0</v>
      </c>
      <c r="M207" s="79">
        <v>0.0</v>
      </c>
      <c r="N207" s="79">
        <v>0.0</v>
      </c>
      <c r="O207" s="13">
        <f t="shared" si="41"/>
        <v>0</v>
      </c>
      <c r="P207" s="1"/>
      <c r="Q207" s="1"/>
    </row>
    <row r="208" ht="12.75" customHeight="1">
      <c r="A208" s="18"/>
      <c r="B208" s="58"/>
      <c r="C208" s="53" t="s">
        <v>159</v>
      </c>
      <c r="D208" s="61"/>
      <c r="E208" s="79">
        <v>0.0</v>
      </c>
      <c r="F208" s="79">
        <v>1.0</v>
      </c>
      <c r="G208" s="79">
        <v>0.0</v>
      </c>
      <c r="H208" s="79">
        <v>1.0</v>
      </c>
      <c r="I208" s="79">
        <v>0.0</v>
      </c>
      <c r="J208" s="79">
        <v>0.0</v>
      </c>
      <c r="K208" s="79">
        <v>0.0</v>
      </c>
      <c r="L208" s="79">
        <v>0.0</v>
      </c>
      <c r="M208" s="79">
        <v>0.0</v>
      </c>
      <c r="N208" s="79">
        <v>0.0</v>
      </c>
      <c r="O208" s="13">
        <f t="shared" si="41"/>
        <v>2</v>
      </c>
      <c r="P208" s="55"/>
      <c r="Q208" s="55"/>
    </row>
    <row r="209" ht="12.75" customHeight="1">
      <c r="A209" s="18"/>
      <c r="B209" s="58"/>
      <c r="C209" s="53" t="s">
        <v>160</v>
      </c>
      <c r="D209" s="61"/>
      <c r="E209" s="79">
        <v>0.0</v>
      </c>
      <c r="F209" s="79">
        <v>0.0</v>
      </c>
      <c r="G209" s="79">
        <v>0.0</v>
      </c>
      <c r="H209" s="79">
        <v>0.0</v>
      </c>
      <c r="I209" s="79">
        <v>0.0</v>
      </c>
      <c r="J209" s="79">
        <v>0.0</v>
      </c>
      <c r="K209" s="79">
        <v>0.0</v>
      </c>
      <c r="L209" s="79">
        <v>0.0</v>
      </c>
      <c r="M209" s="79">
        <v>0.0</v>
      </c>
      <c r="N209" s="79">
        <v>0.0</v>
      </c>
      <c r="O209" s="13">
        <f t="shared" si="41"/>
        <v>0</v>
      </c>
      <c r="P209" s="55"/>
      <c r="Q209" s="55"/>
    </row>
    <row r="210" ht="12.75" customHeight="1">
      <c r="A210" s="18"/>
      <c r="B210" s="58"/>
      <c r="C210" s="53" t="s">
        <v>161</v>
      </c>
      <c r="D210" s="61"/>
      <c r="E210" s="79">
        <v>0.0</v>
      </c>
      <c r="F210" s="79">
        <v>0.0</v>
      </c>
      <c r="G210" s="79">
        <v>0.0</v>
      </c>
      <c r="H210" s="79">
        <v>0.0</v>
      </c>
      <c r="I210" s="79">
        <v>0.0</v>
      </c>
      <c r="J210" s="79">
        <v>0.0</v>
      </c>
      <c r="K210" s="79">
        <v>0.0</v>
      </c>
      <c r="L210" s="79">
        <v>0.0</v>
      </c>
      <c r="M210" s="79">
        <v>0.0</v>
      </c>
      <c r="N210" s="79">
        <v>0.0</v>
      </c>
      <c r="O210" s="13">
        <f t="shared" si="41"/>
        <v>0</v>
      </c>
      <c r="P210" s="55"/>
      <c r="Q210" s="55"/>
    </row>
    <row r="211" ht="12.75" customHeight="1">
      <c r="A211" s="19" t="s">
        <v>14</v>
      </c>
      <c r="B211" s="50" t="s">
        <v>48</v>
      </c>
      <c r="C211" s="15"/>
      <c r="D211" s="16"/>
      <c r="E211" s="13">
        <f t="shared" ref="E211:N211" si="42">SUM(E201:E210)</f>
        <v>23</v>
      </c>
      <c r="F211" s="13">
        <f t="shared" si="42"/>
        <v>49</v>
      </c>
      <c r="G211" s="13">
        <f t="shared" si="42"/>
        <v>9</v>
      </c>
      <c r="H211" s="13">
        <f t="shared" si="42"/>
        <v>7</v>
      </c>
      <c r="I211" s="13">
        <f t="shared" si="42"/>
        <v>5</v>
      </c>
      <c r="J211" s="13">
        <f t="shared" si="42"/>
        <v>4</v>
      </c>
      <c r="K211" s="13">
        <f t="shared" si="42"/>
        <v>11</v>
      </c>
      <c r="L211" s="13">
        <f t="shared" si="42"/>
        <v>2</v>
      </c>
      <c r="M211" s="13">
        <f t="shared" si="42"/>
        <v>9</v>
      </c>
      <c r="N211" s="13">
        <f t="shared" si="42"/>
        <v>2</v>
      </c>
      <c r="O211" s="13">
        <f t="shared" si="41"/>
        <v>121</v>
      </c>
      <c r="P211" s="5"/>
      <c r="Q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5"/>
      <c r="Q212" s="5"/>
    </row>
    <row r="213" ht="12.75" customHeight="1">
      <c r="A213" s="31" t="s">
        <v>36</v>
      </c>
      <c r="B213" s="50" t="s">
        <v>162</v>
      </c>
      <c r="C213" s="51" t="s">
        <v>163</v>
      </c>
      <c r="D213" s="16"/>
      <c r="E213" s="79">
        <v>0.0</v>
      </c>
      <c r="F213" s="79">
        <v>1.0</v>
      </c>
      <c r="G213" s="79">
        <v>1.0</v>
      </c>
      <c r="H213" s="79">
        <v>4.0</v>
      </c>
      <c r="I213" s="79">
        <v>2.0</v>
      </c>
      <c r="J213" s="79">
        <v>16.0</v>
      </c>
      <c r="K213" s="79">
        <v>4.0</v>
      </c>
      <c r="L213" s="79">
        <v>1.0</v>
      </c>
      <c r="M213" s="79">
        <v>0.0</v>
      </c>
      <c r="N213" s="79">
        <v>2.0</v>
      </c>
      <c r="O213" s="13">
        <f t="shared" ref="O213:O216" si="43">SUM(E213:N213)</f>
        <v>31</v>
      </c>
      <c r="P213" s="5"/>
      <c r="Q213" s="5"/>
    </row>
    <row r="214" ht="12.75" customHeight="1">
      <c r="A214" s="31" t="s">
        <v>38</v>
      </c>
      <c r="B214" s="58"/>
      <c r="C214" s="53" t="s">
        <v>164</v>
      </c>
      <c r="D214" s="60"/>
      <c r="E214" s="79">
        <v>2.0</v>
      </c>
      <c r="F214" s="79">
        <v>1.0</v>
      </c>
      <c r="G214" s="79">
        <v>2.0</v>
      </c>
      <c r="H214" s="79">
        <v>4.0</v>
      </c>
      <c r="I214" s="79">
        <v>8.0</v>
      </c>
      <c r="J214" s="79">
        <v>10.0</v>
      </c>
      <c r="K214" s="79">
        <v>8.0</v>
      </c>
      <c r="L214" s="79">
        <v>2.0</v>
      </c>
      <c r="M214" s="79">
        <v>2.0</v>
      </c>
      <c r="N214" s="79">
        <v>2.0</v>
      </c>
      <c r="O214" s="13">
        <f t="shared" si="43"/>
        <v>41</v>
      </c>
      <c r="P214" s="5"/>
      <c r="Q214" s="5"/>
    </row>
    <row r="215" ht="12.75" customHeight="1">
      <c r="A215" s="18"/>
      <c r="B215" s="58"/>
      <c r="C215" s="53" t="s">
        <v>165</v>
      </c>
      <c r="D215" s="60"/>
      <c r="E215" s="79">
        <v>0.0</v>
      </c>
      <c r="F215" s="79">
        <v>1.0</v>
      </c>
      <c r="G215" s="79">
        <v>0.0</v>
      </c>
      <c r="H215" s="79">
        <v>3.0</v>
      </c>
      <c r="I215" s="79">
        <v>2.0</v>
      </c>
      <c r="J215" s="79">
        <v>4.0</v>
      </c>
      <c r="K215" s="79">
        <v>0.0</v>
      </c>
      <c r="L215" s="79">
        <v>2.0</v>
      </c>
      <c r="M215" s="79">
        <v>3.0</v>
      </c>
      <c r="N215" s="79">
        <v>4.0</v>
      </c>
      <c r="O215" s="13">
        <f t="shared" si="43"/>
        <v>19</v>
      </c>
      <c r="P215" s="5"/>
      <c r="Q215" s="5"/>
    </row>
    <row r="216" ht="12.75" customHeight="1">
      <c r="A216" s="18"/>
      <c r="B216" s="58"/>
      <c r="C216" s="53" t="s">
        <v>166</v>
      </c>
      <c r="E216" s="79">
        <v>0.0</v>
      </c>
      <c r="F216" s="79">
        <v>0.0</v>
      </c>
      <c r="G216" s="79">
        <v>3.0</v>
      </c>
      <c r="H216" s="79">
        <v>0.0</v>
      </c>
      <c r="I216" s="79">
        <v>2.0</v>
      </c>
      <c r="J216" s="79">
        <v>0.0</v>
      </c>
      <c r="K216" s="79">
        <v>0.0</v>
      </c>
      <c r="L216" s="79">
        <v>0.0</v>
      </c>
      <c r="M216" s="79">
        <v>1.0</v>
      </c>
      <c r="N216" s="79">
        <v>0.0</v>
      </c>
      <c r="O216" s="13">
        <f t="shared" si="43"/>
        <v>6</v>
      </c>
      <c r="P216" s="5"/>
      <c r="Q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85"/>
      <c r="P217" s="5"/>
      <c r="Q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85"/>
      <c r="P218" s="1"/>
      <c r="Q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85"/>
      <c r="P219" s="55"/>
      <c r="Q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85"/>
      <c r="P220" s="5"/>
      <c r="Q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85"/>
      <c r="P221" s="5"/>
      <c r="Q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85"/>
      <c r="P222" s="5"/>
      <c r="Q222" s="5"/>
    </row>
    <row r="223" ht="12.75" customHeight="1">
      <c r="A223" s="19" t="s">
        <v>14</v>
      </c>
      <c r="B223" s="50" t="s">
        <v>48</v>
      </c>
      <c r="C223" s="15"/>
      <c r="D223" s="16"/>
      <c r="E223" s="13">
        <f t="shared" ref="E223:N223" si="44">SUM(E213:E222)</f>
        <v>2</v>
      </c>
      <c r="F223" s="13">
        <f t="shared" si="44"/>
        <v>3</v>
      </c>
      <c r="G223" s="13">
        <f t="shared" si="44"/>
        <v>6</v>
      </c>
      <c r="H223" s="13">
        <f t="shared" si="44"/>
        <v>11</v>
      </c>
      <c r="I223" s="13">
        <f t="shared" si="44"/>
        <v>14</v>
      </c>
      <c r="J223" s="13">
        <f t="shared" si="44"/>
        <v>30</v>
      </c>
      <c r="K223" s="13">
        <f t="shared" si="44"/>
        <v>12</v>
      </c>
      <c r="L223" s="13">
        <f t="shared" si="44"/>
        <v>5</v>
      </c>
      <c r="M223" s="13">
        <f t="shared" si="44"/>
        <v>6</v>
      </c>
      <c r="N223" s="13">
        <f t="shared" si="44"/>
        <v>8</v>
      </c>
      <c r="O223" s="13">
        <f>SUM(E223:N223)</f>
        <v>97</v>
      </c>
      <c r="P223" s="5"/>
      <c r="Q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5"/>
      <c r="Q224" s="5"/>
    </row>
    <row r="225" ht="12.75" customHeight="1">
      <c r="A225" s="31" t="s">
        <v>36</v>
      </c>
      <c r="B225" s="50" t="s">
        <v>167</v>
      </c>
      <c r="C225" s="51" t="s">
        <v>168</v>
      </c>
      <c r="D225" s="16"/>
      <c r="E225" s="79">
        <v>0.0</v>
      </c>
      <c r="F225" s="79">
        <v>0.0</v>
      </c>
      <c r="G225" s="79">
        <v>0.0</v>
      </c>
      <c r="H225" s="79">
        <v>0.0</v>
      </c>
      <c r="I225" s="79">
        <v>0.0</v>
      </c>
      <c r="J225" s="79">
        <v>0.0</v>
      </c>
      <c r="K225" s="79">
        <v>0.0</v>
      </c>
      <c r="L225" s="79">
        <v>0.0</v>
      </c>
      <c r="M225" s="79">
        <v>0.0</v>
      </c>
      <c r="N225" s="79">
        <v>0.0</v>
      </c>
      <c r="O225" s="13">
        <f t="shared" ref="O225:O229" si="45">SUM(E225:N225)</f>
        <v>0</v>
      </c>
      <c r="P225" s="5"/>
      <c r="Q225" s="5"/>
    </row>
    <row r="226" ht="12.75" customHeight="1">
      <c r="A226" s="31" t="s">
        <v>38</v>
      </c>
      <c r="B226" s="58"/>
      <c r="C226" s="53" t="s">
        <v>169</v>
      </c>
      <c r="D226" s="61"/>
      <c r="E226" s="79">
        <v>0.0</v>
      </c>
      <c r="F226" s="79">
        <v>0.0</v>
      </c>
      <c r="G226" s="79">
        <v>0.0</v>
      </c>
      <c r="H226" s="79">
        <v>0.0</v>
      </c>
      <c r="I226" s="79">
        <v>0.0</v>
      </c>
      <c r="J226" s="79">
        <v>0.0</v>
      </c>
      <c r="K226" s="79">
        <v>0.0</v>
      </c>
      <c r="L226" s="79">
        <v>0.0</v>
      </c>
      <c r="M226" s="79">
        <v>1.0</v>
      </c>
      <c r="N226" s="79">
        <v>0.0</v>
      </c>
      <c r="O226" s="13">
        <f t="shared" si="45"/>
        <v>1</v>
      </c>
      <c r="P226" s="5"/>
      <c r="Q226" s="5"/>
    </row>
    <row r="227" ht="12.75" customHeight="1">
      <c r="A227" s="18"/>
      <c r="B227" s="58"/>
      <c r="C227" s="53" t="s">
        <v>170</v>
      </c>
      <c r="D227" s="61"/>
      <c r="E227" s="79">
        <v>0.0</v>
      </c>
      <c r="F227" s="79">
        <v>0.0</v>
      </c>
      <c r="G227" s="79">
        <v>0.0</v>
      </c>
      <c r="H227" s="79">
        <v>0.0</v>
      </c>
      <c r="I227" s="79">
        <v>0.0</v>
      </c>
      <c r="J227" s="79">
        <v>0.0</v>
      </c>
      <c r="K227" s="79">
        <v>0.0</v>
      </c>
      <c r="L227" s="79">
        <v>0.0</v>
      </c>
      <c r="M227" s="79">
        <v>0.0</v>
      </c>
      <c r="N227" s="79">
        <v>0.0</v>
      </c>
      <c r="O227" s="13">
        <f t="shared" si="45"/>
        <v>0</v>
      </c>
      <c r="P227" s="5"/>
      <c r="Q227" s="5"/>
    </row>
    <row r="228" ht="12.75" customHeight="1">
      <c r="A228" s="18"/>
      <c r="B228" s="58"/>
      <c r="C228" s="53" t="s">
        <v>171</v>
      </c>
      <c r="D228" s="61"/>
      <c r="E228" s="79">
        <v>0.0</v>
      </c>
      <c r="F228" s="79">
        <v>0.0</v>
      </c>
      <c r="G228" s="79">
        <v>0.0</v>
      </c>
      <c r="H228" s="79">
        <v>0.0</v>
      </c>
      <c r="I228" s="79">
        <v>0.0</v>
      </c>
      <c r="J228" s="79">
        <v>0.0</v>
      </c>
      <c r="K228" s="79">
        <v>0.0</v>
      </c>
      <c r="L228" s="79">
        <v>0.0</v>
      </c>
      <c r="M228" s="79">
        <v>0.0</v>
      </c>
      <c r="N228" s="79">
        <v>0.0</v>
      </c>
      <c r="O228" s="13">
        <f t="shared" si="45"/>
        <v>0</v>
      </c>
      <c r="P228" s="5"/>
      <c r="Q228" s="5"/>
    </row>
    <row r="229" ht="12.75" customHeight="1">
      <c r="A229" s="18"/>
      <c r="B229" s="58"/>
      <c r="C229" s="53" t="s">
        <v>172</v>
      </c>
      <c r="D229" s="61"/>
      <c r="E229" s="79">
        <v>0.0</v>
      </c>
      <c r="F229" s="79">
        <v>0.0</v>
      </c>
      <c r="G229" s="79">
        <v>0.0</v>
      </c>
      <c r="H229" s="79">
        <v>0.0</v>
      </c>
      <c r="I229" s="79">
        <v>0.0</v>
      </c>
      <c r="J229" s="79">
        <v>0.0</v>
      </c>
      <c r="K229" s="79">
        <v>0.0</v>
      </c>
      <c r="L229" s="79">
        <v>0.0</v>
      </c>
      <c r="M229" s="79">
        <v>0.0</v>
      </c>
      <c r="N229" s="79">
        <v>0.0</v>
      </c>
      <c r="O229" s="13">
        <f t="shared" si="45"/>
        <v>0</v>
      </c>
      <c r="P229" s="1"/>
      <c r="Q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85"/>
      <c r="P230" s="55"/>
      <c r="Q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85"/>
      <c r="P231" s="5"/>
      <c r="Q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85"/>
      <c r="P232" s="5"/>
      <c r="Q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85"/>
      <c r="P233" s="5"/>
      <c r="Q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85"/>
      <c r="P234" s="5"/>
      <c r="Q234" s="5"/>
    </row>
    <row r="235" ht="12.75" customHeight="1">
      <c r="A235" s="19" t="s">
        <v>14</v>
      </c>
      <c r="B235" s="50" t="s">
        <v>48</v>
      </c>
      <c r="C235" s="15"/>
      <c r="D235" s="16"/>
      <c r="E235" s="13">
        <f t="shared" ref="E235:N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>SUM(E235:N235)</f>
        <v>1</v>
      </c>
      <c r="P235" s="5"/>
      <c r="Q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5"/>
      <c r="Q236" s="5"/>
    </row>
    <row r="237" ht="12.75" customHeight="1">
      <c r="A237" s="31" t="s">
        <v>36</v>
      </c>
      <c r="B237" s="50" t="s">
        <v>173</v>
      </c>
      <c r="C237" s="51" t="s">
        <v>174</v>
      </c>
      <c r="D237" s="16"/>
      <c r="E237" s="79">
        <v>3.0</v>
      </c>
      <c r="F237" s="79">
        <v>0.0</v>
      </c>
      <c r="G237" s="79">
        <v>0.0</v>
      </c>
      <c r="H237" s="79">
        <v>0.0</v>
      </c>
      <c r="I237" s="79">
        <v>0.0</v>
      </c>
      <c r="J237" s="79">
        <v>0.0</v>
      </c>
      <c r="K237" s="79">
        <v>0.0</v>
      </c>
      <c r="L237" s="79">
        <v>0.0</v>
      </c>
      <c r="M237" s="79">
        <v>1.0</v>
      </c>
      <c r="N237" s="79">
        <v>0.0</v>
      </c>
      <c r="O237" s="13">
        <f t="shared" ref="O237:O247" si="47">SUM(E237:N237)</f>
        <v>4</v>
      </c>
      <c r="P237" s="5"/>
      <c r="Q237" s="5"/>
    </row>
    <row r="238" ht="12.75" customHeight="1">
      <c r="A238" s="31" t="s">
        <v>38</v>
      </c>
      <c r="B238" s="58"/>
      <c r="C238" s="53" t="s">
        <v>175</v>
      </c>
      <c r="D238" s="61"/>
      <c r="E238" s="79">
        <v>2.0</v>
      </c>
      <c r="F238" s="79">
        <v>0.0</v>
      </c>
      <c r="G238" s="79">
        <v>0.0</v>
      </c>
      <c r="H238" s="79">
        <v>0.0</v>
      </c>
      <c r="I238" s="79">
        <v>0.0</v>
      </c>
      <c r="J238" s="79">
        <v>0.0</v>
      </c>
      <c r="K238" s="79">
        <v>0.0</v>
      </c>
      <c r="L238" s="79">
        <v>0.0</v>
      </c>
      <c r="M238" s="79">
        <v>1.0</v>
      </c>
      <c r="N238" s="79">
        <v>0.0</v>
      </c>
      <c r="O238" s="13">
        <f t="shared" si="47"/>
        <v>3</v>
      </c>
      <c r="P238" s="5"/>
      <c r="Q238" s="5"/>
    </row>
    <row r="239" ht="12.75" customHeight="1">
      <c r="A239" s="18"/>
      <c r="B239" s="58"/>
      <c r="C239" s="53" t="s">
        <v>176</v>
      </c>
      <c r="D239" s="61"/>
      <c r="E239" s="79">
        <v>1.0</v>
      </c>
      <c r="F239" s="79">
        <v>6.0</v>
      </c>
      <c r="G239" s="79">
        <v>0.0</v>
      </c>
      <c r="H239" s="79">
        <v>1.0</v>
      </c>
      <c r="I239" s="79">
        <v>1.0</v>
      </c>
      <c r="J239" s="79">
        <v>1.0</v>
      </c>
      <c r="K239" s="79">
        <v>0.0</v>
      </c>
      <c r="L239" s="79">
        <v>0.0</v>
      </c>
      <c r="M239" s="79">
        <v>0.0</v>
      </c>
      <c r="N239" s="79">
        <v>0.0</v>
      </c>
      <c r="O239" s="13">
        <f t="shared" si="47"/>
        <v>10</v>
      </c>
      <c r="P239" s="5"/>
      <c r="Q239" s="5"/>
    </row>
    <row r="240" ht="12.75" customHeight="1">
      <c r="A240" s="18"/>
      <c r="B240" s="58"/>
      <c r="C240" s="53" t="s">
        <v>177</v>
      </c>
      <c r="D240" s="61"/>
      <c r="E240" s="79">
        <v>0.0</v>
      </c>
      <c r="F240" s="79">
        <v>0.0</v>
      </c>
      <c r="G240" s="79">
        <v>0.0</v>
      </c>
      <c r="H240" s="79">
        <v>0.0</v>
      </c>
      <c r="I240" s="79">
        <v>0.0</v>
      </c>
      <c r="J240" s="79">
        <v>0.0</v>
      </c>
      <c r="K240" s="79">
        <v>0.0</v>
      </c>
      <c r="L240" s="79">
        <v>0.0</v>
      </c>
      <c r="M240" s="79">
        <v>0.0</v>
      </c>
      <c r="N240" s="79">
        <v>0.0</v>
      </c>
      <c r="O240" s="13">
        <f t="shared" si="47"/>
        <v>0</v>
      </c>
      <c r="P240" s="1"/>
      <c r="Q240" s="1"/>
    </row>
    <row r="241" ht="12.75" customHeight="1">
      <c r="A241" s="18"/>
      <c r="B241" s="58"/>
      <c r="C241" s="53" t="s">
        <v>178</v>
      </c>
      <c r="D241" s="61"/>
      <c r="E241" s="79">
        <v>0.0</v>
      </c>
      <c r="F241" s="79">
        <v>0.0</v>
      </c>
      <c r="G241" s="79">
        <v>0.0</v>
      </c>
      <c r="H241" s="79">
        <v>0.0</v>
      </c>
      <c r="I241" s="79">
        <v>0.0</v>
      </c>
      <c r="J241" s="79">
        <v>0.0</v>
      </c>
      <c r="K241" s="79">
        <v>0.0</v>
      </c>
      <c r="L241" s="79">
        <v>0.0</v>
      </c>
      <c r="M241" s="79">
        <v>0.0</v>
      </c>
      <c r="N241" s="79">
        <v>0.0</v>
      </c>
      <c r="O241" s="13">
        <f t="shared" si="47"/>
        <v>0</v>
      </c>
    </row>
    <row r="242" ht="12.75" customHeight="1">
      <c r="A242" s="18"/>
      <c r="B242" s="58"/>
      <c r="C242" s="53" t="s">
        <v>179</v>
      </c>
      <c r="D242" s="61"/>
      <c r="E242" s="79">
        <v>0.0</v>
      </c>
      <c r="F242" s="79">
        <v>0.0</v>
      </c>
      <c r="G242" s="79">
        <v>0.0</v>
      </c>
      <c r="H242" s="79">
        <v>0.0</v>
      </c>
      <c r="I242" s="79">
        <v>1.0</v>
      </c>
      <c r="J242" s="79">
        <v>0.0</v>
      </c>
      <c r="K242" s="79">
        <v>0.0</v>
      </c>
      <c r="L242" s="79">
        <v>0.0</v>
      </c>
      <c r="M242" s="79">
        <v>0.0</v>
      </c>
      <c r="N242" s="79">
        <v>0.0</v>
      </c>
      <c r="O242" s="13">
        <f t="shared" si="47"/>
        <v>1</v>
      </c>
    </row>
    <row r="243" ht="12.75" customHeight="1">
      <c r="A243" s="18"/>
      <c r="B243" s="58"/>
      <c r="C243" s="53" t="s">
        <v>180</v>
      </c>
      <c r="D243" s="61"/>
      <c r="E243" s="79">
        <v>0.0</v>
      </c>
      <c r="F243" s="79">
        <v>0.0</v>
      </c>
      <c r="G243" s="79">
        <v>0.0</v>
      </c>
      <c r="H243" s="79">
        <v>0.0</v>
      </c>
      <c r="I243" s="79">
        <v>0.0</v>
      </c>
      <c r="J243" s="79">
        <v>0.0</v>
      </c>
      <c r="K243" s="79">
        <v>0.0</v>
      </c>
      <c r="L243" s="79">
        <v>0.0</v>
      </c>
      <c r="M243" s="79">
        <v>0.0</v>
      </c>
      <c r="N243" s="79">
        <v>0.0</v>
      </c>
      <c r="O243" s="13">
        <f t="shared" si="47"/>
        <v>0</v>
      </c>
    </row>
    <row r="244" ht="12.75" customHeight="1">
      <c r="A244" s="18"/>
      <c r="B244" s="58"/>
      <c r="C244" s="53" t="s">
        <v>181</v>
      </c>
      <c r="D244" s="61"/>
      <c r="E244" s="79">
        <v>0.0</v>
      </c>
      <c r="F244" s="79">
        <v>0.0</v>
      </c>
      <c r="G244" s="79">
        <v>0.0</v>
      </c>
      <c r="H244" s="79">
        <v>0.0</v>
      </c>
      <c r="I244" s="79">
        <v>0.0</v>
      </c>
      <c r="J244" s="79">
        <v>0.0</v>
      </c>
      <c r="K244" s="79">
        <v>0.0</v>
      </c>
      <c r="L244" s="79">
        <v>0.0</v>
      </c>
      <c r="M244" s="79">
        <v>0.0</v>
      </c>
      <c r="N244" s="79">
        <v>0.0</v>
      </c>
      <c r="O244" s="13">
        <f t="shared" si="47"/>
        <v>0</v>
      </c>
    </row>
    <row r="245" ht="12.75" customHeight="1">
      <c r="A245" s="18"/>
      <c r="B245" s="58"/>
      <c r="C245" s="53" t="s">
        <v>182</v>
      </c>
      <c r="D245" s="61"/>
      <c r="E245" s="79">
        <v>0.0</v>
      </c>
      <c r="F245" s="79">
        <v>0.0</v>
      </c>
      <c r="G245" s="79">
        <v>0.0</v>
      </c>
      <c r="H245" s="79">
        <v>0.0</v>
      </c>
      <c r="I245" s="79">
        <v>0.0</v>
      </c>
      <c r="J245" s="79">
        <v>0.0</v>
      </c>
      <c r="K245" s="79">
        <v>0.0</v>
      </c>
      <c r="L245" s="79">
        <v>0.0</v>
      </c>
      <c r="M245" s="79">
        <v>0.0</v>
      </c>
      <c r="N245" s="79">
        <v>0.0</v>
      </c>
      <c r="O245" s="13">
        <f t="shared" si="47"/>
        <v>0</v>
      </c>
    </row>
    <row r="246" ht="12.75" customHeight="1">
      <c r="A246" s="18"/>
      <c r="B246" s="58"/>
      <c r="C246" s="53" t="s">
        <v>183</v>
      </c>
      <c r="D246" s="61"/>
      <c r="E246" s="79">
        <v>0.0</v>
      </c>
      <c r="F246" s="79">
        <v>0.0</v>
      </c>
      <c r="G246" s="79">
        <v>0.0</v>
      </c>
      <c r="H246" s="79">
        <v>0.0</v>
      </c>
      <c r="I246" s="79">
        <v>0.0</v>
      </c>
      <c r="J246" s="79">
        <v>0.0</v>
      </c>
      <c r="K246" s="79">
        <v>0.0</v>
      </c>
      <c r="L246" s="79">
        <v>0.0</v>
      </c>
      <c r="M246" s="79">
        <v>0.0</v>
      </c>
      <c r="N246" s="79">
        <v>0.0</v>
      </c>
      <c r="O246" s="13">
        <f t="shared" si="47"/>
        <v>0</v>
      </c>
    </row>
    <row r="247" ht="12.75" customHeight="1">
      <c r="A247" s="19" t="s">
        <v>14</v>
      </c>
      <c r="B247" s="50" t="s">
        <v>48</v>
      </c>
      <c r="C247" s="15"/>
      <c r="D247" s="16"/>
      <c r="E247" s="13">
        <f t="shared" ref="E247:N247" si="48">SUM(E237:E246)</f>
        <v>6</v>
      </c>
      <c r="F247" s="13">
        <f t="shared" si="48"/>
        <v>6</v>
      </c>
      <c r="G247" s="13">
        <f t="shared" si="48"/>
        <v>0</v>
      </c>
      <c r="H247" s="13">
        <f t="shared" si="48"/>
        <v>1</v>
      </c>
      <c r="I247" s="13">
        <f t="shared" si="48"/>
        <v>2</v>
      </c>
      <c r="J247" s="13">
        <f t="shared" si="48"/>
        <v>1</v>
      </c>
      <c r="K247" s="13">
        <f t="shared" si="48"/>
        <v>0</v>
      </c>
      <c r="L247" s="13">
        <f t="shared" si="48"/>
        <v>0</v>
      </c>
      <c r="M247" s="13">
        <f t="shared" si="48"/>
        <v>2</v>
      </c>
      <c r="N247" s="13">
        <f t="shared" si="48"/>
        <v>0</v>
      </c>
      <c r="O247" s="13">
        <f t="shared" si="47"/>
        <v>18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36</v>
      </c>
      <c r="B249" s="50" t="s">
        <v>184</v>
      </c>
      <c r="C249" s="51" t="s">
        <v>185</v>
      </c>
      <c r="D249" s="16"/>
      <c r="E249" s="79">
        <v>0.0</v>
      </c>
      <c r="F249" s="79">
        <v>0.0</v>
      </c>
      <c r="G249" s="79">
        <v>0.0</v>
      </c>
      <c r="H249" s="79">
        <v>0.0</v>
      </c>
      <c r="I249" s="79">
        <v>1.0</v>
      </c>
      <c r="J249" s="79">
        <v>0.0</v>
      </c>
      <c r="K249" s="79">
        <v>0.0</v>
      </c>
      <c r="L249" s="79">
        <v>0.0</v>
      </c>
      <c r="M249" s="79">
        <v>0.0</v>
      </c>
      <c r="N249" s="79">
        <v>0.0</v>
      </c>
      <c r="O249" s="13">
        <f t="shared" ref="O249:O252" si="49">SUM(E249:N249)</f>
        <v>1</v>
      </c>
    </row>
    <row r="250" ht="12.75" customHeight="1">
      <c r="A250" s="31" t="s">
        <v>38</v>
      </c>
      <c r="B250" s="58"/>
      <c r="C250" s="53" t="s">
        <v>186</v>
      </c>
      <c r="D250" s="61"/>
      <c r="E250" s="79">
        <v>0.0</v>
      </c>
      <c r="F250" s="79">
        <v>0.0</v>
      </c>
      <c r="G250" s="79">
        <v>0.0</v>
      </c>
      <c r="H250" s="79">
        <v>0.0</v>
      </c>
      <c r="I250" s="79">
        <v>0.0</v>
      </c>
      <c r="J250" s="79">
        <v>0.0</v>
      </c>
      <c r="K250" s="79">
        <v>0.0</v>
      </c>
      <c r="L250" s="79">
        <v>0.0</v>
      </c>
      <c r="M250" s="79">
        <v>0.0</v>
      </c>
      <c r="N250" s="79">
        <v>0.0</v>
      </c>
      <c r="O250" s="13">
        <f t="shared" si="49"/>
        <v>0</v>
      </c>
    </row>
    <row r="251" ht="12.75" customHeight="1">
      <c r="A251" s="18"/>
      <c r="B251" s="58"/>
      <c r="C251" s="53" t="s">
        <v>187</v>
      </c>
      <c r="D251" s="61"/>
      <c r="E251" s="79">
        <v>0.0</v>
      </c>
      <c r="F251" s="79">
        <v>0.0</v>
      </c>
      <c r="G251" s="79">
        <v>0.0</v>
      </c>
      <c r="H251" s="79">
        <v>0.0</v>
      </c>
      <c r="I251" s="79">
        <v>0.0</v>
      </c>
      <c r="J251" s="79">
        <v>0.0</v>
      </c>
      <c r="K251" s="79">
        <v>0.0</v>
      </c>
      <c r="L251" s="79">
        <v>0.0</v>
      </c>
      <c r="M251" s="79">
        <v>0.0</v>
      </c>
      <c r="N251" s="79">
        <v>0.0</v>
      </c>
      <c r="O251" s="13">
        <f t="shared" si="49"/>
        <v>0</v>
      </c>
    </row>
    <row r="252" ht="12.75" customHeight="1">
      <c r="A252" s="18"/>
      <c r="B252" s="58"/>
      <c r="C252" s="53" t="s">
        <v>188</v>
      </c>
      <c r="D252" s="61"/>
      <c r="E252" s="79">
        <v>0.0</v>
      </c>
      <c r="F252" s="79">
        <v>0.0</v>
      </c>
      <c r="G252" s="79">
        <v>0.0</v>
      </c>
      <c r="H252" s="79">
        <v>0.0</v>
      </c>
      <c r="I252" s="79">
        <v>0.0</v>
      </c>
      <c r="J252" s="79">
        <v>0.0</v>
      </c>
      <c r="K252" s="79">
        <v>0.0</v>
      </c>
      <c r="L252" s="79">
        <v>0.0</v>
      </c>
      <c r="M252" s="79">
        <v>0.0</v>
      </c>
      <c r="N252" s="79">
        <v>0.0</v>
      </c>
      <c r="O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85"/>
    </row>
    <row r="259" ht="12.75" customHeight="1">
      <c r="A259" s="19" t="s">
        <v>14</v>
      </c>
      <c r="B259" s="50" t="s">
        <v>48</v>
      </c>
      <c r="C259" s="15"/>
      <c r="D259" s="16"/>
      <c r="E259" s="13">
        <f t="shared" ref="E259:N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1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>SUM(E259:N259)</f>
        <v>1</v>
      </c>
    </row>
    <row r="260" ht="12.75" customHeight="1"/>
    <row r="261" ht="12.75" customHeight="1">
      <c r="A261" s="45" t="s">
        <v>189</v>
      </c>
      <c r="B261" s="14" t="s">
        <v>190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82"/>
      <c r="O261" s="13"/>
    </row>
    <row r="262" ht="12.75" customHeight="1">
      <c r="A262" s="45"/>
      <c r="B262" s="74" t="s">
        <v>191</v>
      </c>
      <c r="C262" s="75" t="s">
        <v>192</v>
      </c>
      <c r="D262" s="16"/>
      <c r="E262" s="19">
        <f t="shared" ref="E262:N262" si="51">E55+E67+E79+E91+E103+E115+E127+E139+E151+E163+E175+E187+E199+E211+E223+E235+E247+E259</f>
        <v>176</v>
      </c>
      <c r="F262" s="19">
        <f t="shared" si="51"/>
        <v>192</v>
      </c>
      <c r="G262" s="19">
        <f t="shared" si="51"/>
        <v>166</v>
      </c>
      <c r="H262" s="19">
        <f t="shared" si="51"/>
        <v>166</v>
      </c>
      <c r="I262" s="19">
        <f t="shared" si="51"/>
        <v>180</v>
      </c>
      <c r="J262" s="19">
        <f t="shared" si="51"/>
        <v>181</v>
      </c>
      <c r="K262" s="19">
        <f t="shared" si="51"/>
        <v>192</v>
      </c>
      <c r="L262" s="19">
        <f t="shared" si="51"/>
        <v>188</v>
      </c>
      <c r="M262" s="19">
        <f t="shared" si="51"/>
        <v>214</v>
      </c>
      <c r="N262" s="19">
        <f t="shared" si="51"/>
        <v>186</v>
      </c>
      <c r="O262" s="13">
        <f t="shared" ref="O262:O264" si="52">SUM(E262:N262)</f>
        <v>1841</v>
      </c>
    </row>
    <row r="263" ht="12.75" customHeight="1">
      <c r="A263" s="36"/>
      <c r="B263" s="74" t="s">
        <v>193</v>
      </c>
      <c r="C263" s="75" t="s">
        <v>194</v>
      </c>
      <c r="D263" s="16"/>
      <c r="E263" s="79">
        <v>27.0</v>
      </c>
      <c r="F263" s="79">
        <v>17.0</v>
      </c>
      <c r="G263" s="79">
        <v>23.0</v>
      </c>
      <c r="H263" s="79">
        <v>28.0</v>
      </c>
      <c r="I263" s="79">
        <v>26.0</v>
      </c>
      <c r="J263" s="79">
        <v>31.0</v>
      </c>
      <c r="K263" s="79">
        <v>26.0</v>
      </c>
      <c r="L263" s="79">
        <v>11.0</v>
      </c>
      <c r="M263" s="79">
        <v>23.0</v>
      </c>
      <c r="N263" s="79">
        <v>15.0</v>
      </c>
      <c r="O263" s="13">
        <f t="shared" si="52"/>
        <v>227</v>
      </c>
    </row>
    <row r="264" ht="12.75" customHeight="1">
      <c r="A264" s="44"/>
      <c r="B264" s="74" t="s">
        <v>195</v>
      </c>
      <c r="C264" s="75" t="s">
        <v>196</v>
      </c>
      <c r="D264" s="16"/>
      <c r="E264" s="13">
        <f t="shared" ref="E264:N264" si="53">SUM(E262:E263)</f>
        <v>203</v>
      </c>
      <c r="F264" s="13">
        <f t="shared" si="53"/>
        <v>209</v>
      </c>
      <c r="G264" s="13">
        <f t="shared" si="53"/>
        <v>189</v>
      </c>
      <c r="H264" s="13">
        <f t="shared" si="53"/>
        <v>194</v>
      </c>
      <c r="I264" s="13">
        <f t="shared" si="53"/>
        <v>206</v>
      </c>
      <c r="J264" s="13">
        <f t="shared" si="53"/>
        <v>212</v>
      </c>
      <c r="K264" s="13">
        <f t="shared" si="53"/>
        <v>218</v>
      </c>
      <c r="L264" s="13">
        <f t="shared" si="53"/>
        <v>199</v>
      </c>
      <c r="M264" s="13">
        <f t="shared" si="53"/>
        <v>237</v>
      </c>
      <c r="N264" s="13">
        <f t="shared" si="53"/>
        <v>201</v>
      </c>
      <c r="O264" s="13">
        <f t="shared" si="52"/>
        <v>2068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N34">
    <cfRule type="expression" dxfId="0" priority="1">
      <formula>E34&lt;&gt;E64</formula>
    </cfRule>
  </conditionalFormatting>
  <conditionalFormatting sqref="E14:N15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E30&lt;&gt;E47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